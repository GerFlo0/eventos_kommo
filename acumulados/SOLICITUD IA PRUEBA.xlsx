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hidePivotFieldList="1"/>
  <xr:revisionPtr revIDLastSave="30303" documentId="11_0F748088276ED6763601B621A8D84AE36823142C" xr6:coauthVersionLast="47" xr6:coauthVersionMax="47" xr10:uidLastSave="{40C7D6B4-3530-4C2F-A22E-437B370CC948}"/>
  <bookViews>
    <workbookView xWindow="0" yWindow="0" windowWidth="28560" windowHeight="13905" activeTab="1" xr2:uid="{A22C7B05-6B0A-4116-A99A-60EDDEA67682}"/>
  </bookViews>
  <sheets>
    <sheet name="Hoja1" sheetId="1" r:id="rId1"/>
    <sheet name="Etiquetas" sheetId="17" r:id="rId2"/>
    <sheet name="ACUMULADO NEGOCIOS" sheetId="8" r:id="rId3"/>
    <sheet name="Hoja6" sheetId="12" r:id="rId4"/>
    <sheet name="ASIGNACIONES" sheetId="11" r:id="rId5"/>
    <sheet name="LISTA" sheetId="2" r:id="rId6"/>
    <sheet name="Informes" sheetId="4" r:id="rId7"/>
    <sheet name="Detalle1" sheetId="14" r:id="rId8"/>
    <sheet name="Detalle3" sheetId="16" r:id="rId9"/>
    <sheet name="Hoja2" sheetId="7" r:id="rId10"/>
    <sheet name="Hoja3" sheetId="6" r:id="rId11"/>
    <sheet name="Hoja5" sheetId="5" r:id="rId12"/>
    <sheet name="Hoja7" sheetId="13" r:id="rId13"/>
    <sheet name="Hoja9" sheetId="19" r:id="rId14"/>
  </sheets>
  <definedNames>
    <definedName name="_xlnm._FilterDatabase" localSheetId="0" hidden="1">Hoja1!$A$1:$Q$3007</definedName>
    <definedName name="_xlnm._FilterDatabase" localSheetId="6" hidden="1">Informes!$G$2:$J$2</definedName>
    <definedName name="_xlnm._FilterDatabase" localSheetId="2" hidden="1">'ACUMULADO NEGOCIOS'!$A$1:$S$110</definedName>
  </definedNames>
  <calcPr calcId="191028" calcCompleted="0"/>
  <pivotCaches>
    <pivotCache cacheId="25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37" i="11" l="1"/>
  <c r="F1137" i="11"/>
  <c r="F1135" i="11"/>
  <c r="G1135" i="11"/>
  <c r="F1134" i="11"/>
  <c r="G1134" i="11"/>
  <c r="O3007" i="1"/>
  <c r="N3007" i="1"/>
  <c r="O3006" i="1"/>
  <c r="N3006" i="1"/>
  <c r="O3005" i="1"/>
  <c r="N3005" i="1"/>
  <c r="O3004" i="1"/>
  <c r="N3004" i="1"/>
  <c r="O3003" i="1"/>
  <c r="N3003" i="1"/>
  <c r="O3002" i="1"/>
  <c r="O3001" i="1"/>
  <c r="N3002" i="1"/>
  <c r="N3001" i="1"/>
  <c r="G1132" i="11"/>
  <c r="F1132" i="11"/>
  <c r="O3000" i="1"/>
  <c r="N3000" i="1"/>
  <c r="O2999" i="1"/>
  <c r="N2999" i="1"/>
  <c r="O2998" i="1"/>
  <c r="N2998" i="1"/>
  <c r="G1131" i="11"/>
  <c r="F1131" i="11"/>
  <c r="O2997" i="1"/>
  <c r="N2997" i="1"/>
  <c r="F1130" i="11"/>
  <c r="G1130" i="11"/>
  <c r="O2996" i="1"/>
  <c r="N2996" i="1"/>
  <c r="G1128" i="11"/>
  <c r="F1128" i="11"/>
  <c r="G1127" i="11"/>
  <c r="F1127" i="11"/>
  <c r="D1126" i="11"/>
  <c r="G1125" i="11"/>
  <c r="F1125" i="11"/>
  <c r="O2995" i="1"/>
  <c r="N2995" i="1"/>
  <c r="O2994" i="1"/>
  <c r="N2994" i="1"/>
  <c r="O2993" i="1"/>
  <c r="O2992" i="1"/>
  <c r="N2993" i="1"/>
  <c r="N2992" i="1"/>
  <c r="L2984" i="1"/>
  <c r="L2979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O2978" i="1"/>
  <c r="N2978" i="1"/>
  <c r="F1123" i="11"/>
  <c r="G1123" i="11"/>
  <c r="N2977" i="1"/>
  <c r="O2977" i="1"/>
  <c r="G1122" i="11"/>
  <c r="F1122" i="11"/>
  <c r="G1121" i="11"/>
  <c r="F1121" i="11"/>
  <c r="O2976" i="1"/>
  <c r="N2976" i="1"/>
  <c r="G1120" i="11"/>
  <c r="F1120" i="11"/>
  <c r="O2975" i="1"/>
  <c r="N2975" i="1"/>
  <c r="O2974" i="1"/>
  <c r="N2974" i="1"/>
  <c r="N2973" i="1"/>
  <c r="O2973" i="1"/>
  <c r="O2972" i="1"/>
  <c r="N2972" i="1"/>
  <c r="G1119" i="11"/>
  <c r="F1119" i="11"/>
  <c r="O2971" i="1"/>
  <c r="N2971" i="1"/>
  <c r="O2970" i="1"/>
  <c r="N2970" i="1"/>
  <c r="O2969" i="1"/>
  <c r="N2969" i="1"/>
  <c r="O2968" i="1"/>
  <c r="N2968" i="1"/>
  <c r="F1117" i="11"/>
  <c r="G1117" i="11"/>
  <c r="O2967" i="1"/>
  <c r="N2967" i="1"/>
  <c r="O2966" i="1"/>
  <c r="N2966" i="1"/>
  <c r="L2965" i="1"/>
  <c r="O2965" i="1"/>
  <c r="N2965" i="1"/>
  <c r="F1116" i="11"/>
  <c r="G1116" i="11"/>
  <c r="O2964" i="1"/>
  <c r="N2964" i="1"/>
  <c r="O2963" i="1"/>
  <c r="N2963" i="1"/>
  <c r="O2962" i="1"/>
  <c r="N2962" i="1"/>
  <c r="F1115" i="11"/>
  <c r="G1115" i="11"/>
  <c r="F1114" i="11"/>
  <c r="G1114" i="11"/>
  <c r="O2961" i="1"/>
  <c r="N2961" i="1"/>
  <c r="O2960" i="1"/>
  <c r="N2960" i="1"/>
  <c r="F1113" i="11"/>
  <c r="G1113" i="11"/>
  <c r="O2958" i="1"/>
  <c r="O2959" i="1"/>
  <c r="N2958" i="1"/>
  <c r="N2959" i="1"/>
  <c r="O2956" i="1"/>
  <c r="O2957" i="1"/>
  <c r="N2956" i="1"/>
  <c r="N2957" i="1"/>
  <c r="G1109" i="11"/>
  <c r="F1109" i="11"/>
  <c r="O2955" i="1"/>
  <c r="N2955" i="1"/>
  <c r="O2954" i="1"/>
  <c r="N2954" i="1"/>
  <c r="G1107" i="11"/>
  <c r="F1107" i="1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D1103" i="11"/>
  <c r="L2945" i="1"/>
  <c r="G1100" i="11"/>
  <c r="F1100" i="11"/>
  <c r="G1099" i="11"/>
  <c r="F1099" i="11"/>
  <c r="L2941" i="1"/>
  <c r="G1098" i="11"/>
  <c r="F1098" i="11"/>
  <c r="O2946" i="1"/>
  <c r="N2946" i="1"/>
  <c r="O2945" i="1"/>
  <c r="O2944" i="1"/>
  <c r="O2943" i="1"/>
  <c r="N2945" i="1"/>
  <c r="N2944" i="1"/>
  <c r="N2943" i="1"/>
  <c r="G1093" i="11"/>
  <c r="F1093" i="11"/>
  <c r="G1092" i="11"/>
  <c r="F1092" i="11"/>
  <c r="E1091" i="11"/>
  <c r="D1091" i="11"/>
  <c r="G1090" i="11"/>
  <c r="F1090" i="11"/>
  <c r="G1089" i="11"/>
  <c r="F1089" i="11"/>
  <c r="G1088" i="11"/>
  <c r="F1088" i="11"/>
  <c r="G1087" i="11"/>
  <c r="F1087" i="11"/>
  <c r="D1086" i="11"/>
  <c r="D1085" i="11"/>
  <c r="G1084" i="11"/>
  <c r="F1084" i="11"/>
  <c r="G1083" i="11"/>
  <c r="F1083" i="11"/>
  <c r="O2942" i="1"/>
  <c r="N2942" i="1"/>
  <c r="L2894" i="1"/>
  <c r="M2934" i="1"/>
  <c r="L2934" i="1"/>
  <c r="L2933" i="1"/>
  <c r="O2941" i="1"/>
  <c r="N2941" i="1"/>
  <c r="O2940" i="1"/>
  <c r="N2940" i="1"/>
  <c r="M2928" i="1"/>
  <c r="L2928" i="1"/>
  <c r="L2927" i="1"/>
  <c r="L2924" i="1"/>
  <c r="M2923" i="1"/>
  <c r="L2923" i="1"/>
  <c r="L2919" i="1"/>
  <c r="L2915" i="1"/>
  <c r="L2911" i="1"/>
  <c r="L2910" i="1"/>
  <c r="L2909" i="1"/>
  <c r="L2907" i="1"/>
  <c r="O2939" i="1"/>
  <c r="N2939" i="1"/>
  <c r="O2938" i="1"/>
  <c r="N2938" i="1"/>
  <c r="O2937" i="1"/>
  <c r="O2936" i="1"/>
  <c r="O2935" i="1"/>
  <c r="O2934" i="1"/>
  <c r="N2937" i="1"/>
  <c r="N2936" i="1"/>
  <c r="N2935" i="1"/>
  <c r="N2934" i="1"/>
  <c r="O2933" i="1"/>
  <c r="N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O2918" i="1"/>
  <c r="N2918" i="1"/>
  <c r="O2917" i="1"/>
  <c r="N2917" i="1"/>
  <c r="O2916" i="1"/>
  <c r="N2916" i="1"/>
  <c r="N2915" i="1"/>
  <c r="O2915" i="1"/>
  <c r="O2914" i="1"/>
  <c r="O2913" i="1"/>
  <c r="N2914" i="1"/>
  <c r="N2913" i="1"/>
  <c r="O2912" i="1"/>
  <c r="N2912" i="1"/>
  <c r="G1068" i="11"/>
  <c r="F1068" i="11"/>
  <c r="G1067" i="11"/>
  <c r="F1067" i="11"/>
  <c r="G1066" i="11"/>
  <c r="F1066" i="11"/>
  <c r="G1065" i="11"/>
  <c r="F1065" i="11"/>
  <c r="O2911" i="1"/>
  <c r="N2911" i="1"/>
  <c r="G1064" i="11"/>
  <c r="F1064" i="11"/>
  <c r="G1063" i="11"/>
  <c r="F1063" i="11"/>
  <c r="O2910" i="1"/>
  <c r="N2910" i="1"/>
  <c r="G1062" i="11"/>
  <c r="F1062" i="11"/>
  <c r="G1061" i="11"/>
  <c r="F1061" i="11"/>
  <c r="G1060" i="11"/>
  <c r="F1060" i="11"/>
  <c r="G1059" i="11"/>
  <c r="F1059" i="11"/>
  <c r="O2909" i="1"/>
  <c r="N2909" i="1"/>
  <c r="O2908" i="1"/>
  <c r="N2908" i="1"/>
  <c r="G1058" i="11"/>
  <c r="F1058" i="11"/>
  <c r="G1057" i="11"/>
  <c r="F1057" i="11"/>
  <c r="G1056" i="11"/>
  <c r="F1056" i="11"/>
  <c r="O2907" i="1"/>
  <c r="N2907" i="1"/>
  <c r="O2906" i="1"/>
  <c r="N2906" i="1"/>
  <c r="O2905" i="1"/>
  <c r="N2905" i="1"/>
  <c r="N2904" i="1"/>
  <c r="O2904" i="1"/>
  <c r="O2903" i="1"/>
  <c r="N2903" i="1"/>
  <c r="O2902" i="1"/>
  <c r="N2902" i="1"/>
  <c r="O2901" i="1"/>
  <c r="O2900" i="1"/>
  <c r="O2899" i="1"/>
  <c r="O2898" i="1"/>
  <c r="O2897" i="1"/>
  <c r="O2896" i="1"/>
  <c r="N2901" i="1"/>
  <c r="N2900" i="1"/>
  <c r="N2899" i="1"/>
  <c r="N2898" i="1"/>
  <c r="N2897" i="1"/>
  <c r="N2896" i="1"/>
  <c r="O2895" i="1"/>
  <c r="N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O2872" i="1"/>
  <c r="O2871" i="1"/>
  <c r="O2870" i="1"/>
  <c r="O2869" i="1"/>
  <c r="O2868" i="1"/>
  <c r="O2867" i="1"/>
  <c r="O2866" i="1"/>
  <c r="O2865" i="1"/>
  <c r="N2872" i="1"/>
  <c r="N2871" i="1"/>
  <c r="N2870" i="1"/>
  <c r="N2869" i="1"/>
  <c r="N2868" i="1"/>
  <c r="N2867" i="1"/>
  <c r="N2866" i="1"/>
  <c r="N2865" i="1"/>
  <c r="O2864" i="1"/>
  <c r="O2863" i="1"/>
  <c r="O2862" i="1"/>
  <c r="O2861" i="1"/>
  <c r="N2864" i="1"/>
  <c r="N2863" i="1"/>
  <c r="N2862" i="1"/>
  <c r="N2861" i="1"/>
  <c r="O2860" i="1"/>
  <c r="O2859" i="1"/>
  <c r="N2860" i="1"/>
  <c r="N2859" i="1"/>
  <c r="D1055" i="11"/>
  <c r="D1054" i="11"/>
  <c r="G1053" i="11"/>
  <c r="F1053" i="11"/>
  <c r="G1052" i="11"/>
  <c r="F1052" i="11"/>
  <c r="G1051" i="11"/>
  <c r="F1051" i="11"/>
  <c r="D1050" i="11"/>
  <c r="D1049" i="11"/>
  <c r="E1048" i="11"/>
  <c r="D1048" i="11"/>
  <c r="F1044" i="11"/>
  <c r="G1044" i="11"/>
  <c r="L2858" i="1"/>
  <c r="L2857" i="1"/>
  <c r="O2858" i="1"/>
  <c r="N2858" i="1"/>
  <c r="L2856" i="1"/>
  <c r="O2857" i="1"/>
  <c r="N2857" i="1"/>
  <c r="L2855" i="1"/>
  <c r="L2854" i="1"/>
  <c r="O2856" i="1"/>
  <c r="O2855" i="1"/>
  <c r="N2856" i="1"/>
  <c r="N2855" i="1"/>
  <c r="M2853" i="1"/>
  <c r="L2853" i="1"/>
  <c r="O2853" i="1"/>
  <c r="O2854" i="1"/>
  <c r="N2853" i="1"/>
  <c r="N2854" i="1"/>
  <c r="L2851" i="1"/>
  <c r="O2852" i="1"/>
  <c r="N2852" i="1"/>
  <c r="O2851" i="1"/>
  <c r="N2851" i="1"/>
  <c r="L2849" i="1"/>
  <c r="O2850" i="1"/>
  <c r="N2850" i="1"/>
  <c r="O2847" i="1"/>
  <c r="O2848" i="1"/>
  <c r="O2849" i="1"/>
  <c r="N2847" i="1"/>
  <c r="N2848" i="1"/>
  <c r="N2849" i="1"/>
  <c r="O2846" i="1"/>
  <c r="N2846" i="1"/>
  <c r="O2845" i="1"/>
  <c r="N2845" i="1"/>
  <c r="O2844" i="1"/>
  <c r="N2844" i="1"/>
  <c r="O2843" i="1"/>
  <c r="N2843" i="1"/>
  <c r="L2842" i="1"/>
  <c r="O2842" i="1"/>
  <c r="N2842" i="1"/>
  <c r="O2841" i="1"/>
  <c r="N2841" i="1"/>
  <c r="L2840" i="1"/>
  <c r="M2839" i="1"/>
  <c r="L2839" i="1"/>
  <c r="O2840" i="1"/>
  <c r="O2839" i="1"/>
  <c r="O2838" i="1"/>
  <c r="O2837" i="1"/>
  <c r="O2836" i="1"/>
  <c r="O2835" i="1"/>
  <c r="O2834" i="1"/>
  <c r="O2833" i="1"/>
  <c r="N2840" i="1"/>
  <c r="N2839" i="1"/>
  <c r="N2838" i="1"/>
  <c r="N2837" i="1"/>
  <c r="N2836" i="1"/>
  <c r="N2835" i="1"/>
  <c r="N2834" i="1"/>
  <c r="N2833" i="1"/>
  <c r="F1042" i="11"/>
  <c r="G1042" i="11"/>
  <c r="O2832" i="1"/>
  <c r="N2832" i="1"/>
  <c r="O2831" i="1"/>
  <c r="N2831" i="1"/>
  <c r="G1040" i="11"/>
  <c r="F1040" i="11"/>
  <c r="G1039" i="11"/>
  <c r="F1039" i="11"/>
  <c r="G1038" i="11"/>
  <c r="F1038" i="11"/>
  <c r="O2830" i="1"/>
  <c r="N2830" i="1"/>
  <c r="O2829" i="1"/>
  <c r="O2828" i="1"/>
  <c r="O2827" i="1"/>
  <c r="N2829" i="1"/>
  <c r="N2828" i="1"/>
  <c r="N2827" i="1"/>
  <c r="O2826" i="1"/>
  <c r="N2826" i="1"/>
  <c r="N2825" i="1"/>
  <c r="O2825" i="1"/>
  <c r="G1036" i="11"/>
  <c r="F1036" i="11"/>
  <c r="O2824" i="1"/>
  <c r="N2824" i="1"/>
  <c r="O2823" i="1"/>
  <c r="N2823" i="1"/>
  <c r="G1035" i="11"/>
  <c r="F1035" i="11"/>
  <c r="O2822" i="1"/>
  <c r="N2822" i="1"/>
  <c r="O2821" i="1"/>
  <c r="N2821" i="1"/>
  <c r="O2820" i="1"/>
  <c r="N2820" i="1"/>
  <c r="O2819" i="1"/>
  <c r="N2819" i="1"/>
  <c r="G1033" i="11"/>
  <c r="F1033" i="11"/>
  <c r="G1032" i="11"/>
  <c r="F1032" i="11"/>
  <c r="O2818" i="1"/>
  <c r="N2818" i="1"/>
  <c r="O2817" i="1"/>
  <c r="N2817" i="1"/>
  <c r="O2816" i="1"/>
  <c r="N2816" i="1"/>
  <c r="O2815" i="1"/>
  <c r="N2815" i="1"/>
  <c r="O2814" i="1"/>
  <c r="N2814" i="1"/>
  <c r="O2812" i="1"/>
  <c r="O2813" i="1"/>
  <c r="N2812" i="1"/>
  <c r="N2813" i="1"/>
  <c r="O2811" i="1"/>
  <c r="N2811" i="1"/>
  <c r="O2810" i="1"/>
  <c r="N2810" i="1"/>
  <c r="F1031" i="11"/>
  <c r="G1031" i="11"/>
  <c r="O2809" i="1"/>
  <c r="N2809" i="1"/>
  <c r="F1030" i="11"/>
  <c r="G1030" i="11"/>
  <c r="O2808" i="1"/>
  <c r="N2808" i="1"/>
  <c r="O2807" i="1"/>
  <c r="N2807" i="1"/>
  <c r="O2806" i="1"/>
  <c r="N2806" i="1"/>
  <c r="D1028" i="11"/>
  <c r="F1028" i="11"/>
  <c r="G1028" i="1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G1027" i="11"/>
  <c r="F1027" i="11"/>
  <c r="O2799" i="1"/>
  <c r="N2799" i="1"/>
  <c r="O2798" i="1"/>
  <c r="N2798" i="1"/>
  <c r="O2797" i="1"/>
  <c r="N2797" i="1"/>
  <c r="O2796" i="1"/>
  <c r="N2796" i="1"/>
  <c r="F1025" i="11"/>
  <c r="G1025" i="11"/>
  <c r="D1020" i="11"/>
  <c r="F1020" i="11"/>
  <c r="G1020" i="11"/>
  <c r="D1021" i="11"/>
  <c r="F1021" i="11"/>
  <c r="G1021" i="11"/>
  <c r="F1022" i="11"/>
  <c r="G1022" i="11"/>
  <c r="F1023" i="11"/>
  <c r="G1023" i="11"/>
  <c r="F1024" i="11"/>
  <c r="G1024" i="11"/>
  <c r="D1019" i="11"/>
  <c r="E1019" i="11"/>
  <c r="F1019" i="11"/>
  <c r="G1019" i="11"/>
  <c r="F1017" i="11"/>
  <c r="G1017" i="11"/>
  <c r="F1018" i="11"/>
  <c r="G1018" i="11"/>
  <c r="O2795" i="1"/>
  <c r="N2795" i="1"/>
  <c r="L2794" i="1"/>
  <c r="O2793" i="1"/>
  <c r="O2794" i="1"/>
  <c r="N2793" i="1"/>
  <c r="N2794" i="1"/>
  <c r="O2792" i="1"/>
  <c r="N2792" i="1"/>
  <c r="O2791" i="1"/>
  <c r="N2791" i="1"/>
  <c r="L2790" i="1"/>
  <c r="O2790" i="1"/>
  <c r="N2790" i="1"/>
  <c r="L2789" i="1"/>
  <c r="M2786" i="1"/>
  <c r="L2786" i="1"/>
  <c r="O2789" i="1"/>
  <c r="O2788" i="1"/>
  <c r="O2787" i="1"/>
  <c r="O2786" i="1"/>
  <c r="O2785" i="1"/>
  <c r="O2784" i="1"/>
  <c r="O2783" i="1"/>
  <c r="O2782" i="1"/>
  <c r="O2781" i="1"/>
  <c r="N2789" i="1"/>
  <c r="N2788" i="1"/>
  <c r="N2787" i="1"/>
  <c r="N2786" i="1"/>
  <c r="N2785" i="1"/>
  <c r="N2784" i="1"/>
  <c r="N2783" i="1"/>
  <c r="N2782" i="1"/>
  <c r="N2781" i="1"/>
  <c r="O2780" i="1"/>
  <c r="N2780" i="1"/>
  <c r="O2779" i="1"/>
  <c r="N2779" i="1"/>
  <c r="O2778" i="1"/>
  <c r="N2778" i="1"/>
  <c r="G1013" i="11"/>
  <c r="F1013" i="11"/>
  <c r="N2777" i="1"/>
  <c r="O2777" i="1"/>
  <c r="G1011" i="11"/>
  <c r="F1011" i="11"/>
  <c r="N2776" i="1"/>
  <c r="O2776" i="1"/>
  <c r="O2775" i="1"/>
  <c r="N2775" i="1"/>
  <c r="O2774" i="1"/>
  <c r="N2774" i="1"/>
  <c r="G1010" i="11"/>
  <c r="F1010" i="11"/>
  <c r="O2773" i="1"/>
  <c r="N2773" i="1"/>
  <c r="O2772" i="1"/>
  <c r="N2772" i="1"/>
  <c r="G1009" i="11"/>
  <c r="F1009" i="11"/>
  <c r="O2771" i="1"/>
  <c r="N2771" i="1"/>
  <c r="G1007" i="11"/>
  <c r="F1007" i="11"/>
  <c r="G1006" i="11"/>
  <c r="F1006" i="11"/>
  <c r="O2770" i="1"/>
  <c r="N2770" i="1"/>
  <c r="O2769" i="1"/>
  <c r="N2769" i="1"/>
  <c r="O2768" i="1"/>
  <c r="N2768" i="1"/>
  <c r="G1004" i="11"/>
  <c r="F1004" i="11"/>
  <c r="G1003" i="11"/>
  <c r="F1003" i="11"/>
  <c r="N2767" i="1"/>
  <c r="O2767" i="1"/>
  <c r="O2766" i="1"/>
  <c r="N2766" i="1"/>
  <c r="G1002" i="11"/>
  <c r="F1002" i="11"/>
  <c r="O2765" i="1"/>
  <c r="N2765" i="1"/>
  <c r="O2764" i="1"/>
  <c r="O2763" i="1"/>
  <c r="O2762" i="1"/>
  <c r="N2764" i="1"/>
  <c r="N2763" i="1"/>
  <c r="N2762" i="1"/>
  <c r="N2760" i="1"/>
  <c r="O2760" i="1"/>
  <c r="O2761" i="1"/>
  <c r="N2761" i="1"/>
  <c r="G993" i="11"/>
  <c r="F993" i="11"/>
  <c r="G992" i="11"/>
  <c r="F992" i="11"/>
  <c r="O2759" i="1"/>
  <c r="N2759" i="1"/>
  <c r="D991" i="11"/>
  <c r="O2758" i="1"/>
  <c r="N2758" i="1"/>
  <c r="G990" i="11"/>
  <c r="F990" i="11"/>
  <c r="G989" i="11"/>
  <c r="F989" i="11"/>
  <c r="G988" i="11"/>
  <c r="F988" i="11"/>
  <c r="L2750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N2751" i="1"/>
  <c r="O2751" i="1"/>
  <c r="O2750" i="1"/>
  <c r="N2750" i="1"/>
  <c r="O2749" i="1"/>
  <c r="N2749" i="1"/>
  <c r="O2747" i="1"/>
  <c r="O2748" i="1"/>
  <c r="N2747" i="1"/>
  <c r="N2748" i="1"/>
  <c r="O2746" i="1"/>
  <c r="N2746" i="1"/>
  <c r="O2745" i="1"/>
  <c r="N2745" i="1"/>
  <c r="O2744" i="1"/>
  <c r="N2744" i="1"/>
  <c r="O2743" i="1"/>
  <c r="N2743" i="1"/>
  <c r="O2742" i="1"/>
  <c r="N2742" i="1"/>
  <c r="G987" i="11"/>
  <c r="F987" i="11"/>
  <c r="G986" i="11"/>
  <c r="F986" i="11"/>
  <c r="G985" i="11"/>
  <c r="F985" i="11"/>
  <c r="D984" i="11"/>
  <c r="E983" i="11"/>
  <c r="D983" i="11"/>
  <c r="G982" i="11"/>
  <c r="F982" i="11"/>
  <c r="G981" i="11"/>
  <c r="F981" i="11"/>
  <c r="E980" i="11"/>
  <c r="D980" i="11"/>
  <c r="O2741" i="1"/>
  <c r="O2740" i="1"/>
  <c r="O2739" i="1"/>
  <c r="N2741" i="1"/>
  <c r="N2740" i="1"/>
  <c r="N2739" i="1"/>
  <c r="O2738" i="1"/>
  <c r="N2738" i="1"/>
  <c r="O2737" i="1"/>
  <c r="N2737" i="1"/>
  <c r="O2735" i="1"/>
  <c r="O2736" i="1"/>
  <c r="N2735" i="1"/>
  <c r="N2736" i="1"/>
  <c r="L2729" i="1"/>
  <c r="M2727" i="1"/>
  <c r="L2727" i="1"/>
  <c r="M2720" i="1"/>
  <c r="L2720" i="1"/>
  <c r="M2717" i="1"/>
  <c r="L2717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O2716" i="1"/>
  <c r="G979" i="11"/>
  <c r="F979" i="11"/>
  <c r="O2715" i="1"/>
  <c r="N2715" i="1"/>
  <c r="G977" i="11"/>
  <c r="F977" i="11"/>
  <c r="O2714" i="1"/>
  <c r="N2714" i="1"/>
  <c r="G975" i="11"/>
  <c r="F975" i="11"/>
  <c r="O2713" i="1"/>
  <c r="O2712" i="1"/>
  <c r="N2713" i="1"/>
  <c r="N2712" i="1"/>
  <c r="N2665" i="1"/>
  <c r="O2665" i="1"/>
  <c r="O2711" i="1"/>
  <c r="N2711" i="1"/>
  <c r="O2710" i="1"/>
  <c r="N2710" i="1"/>
  <c r="O2709" i="1"/>
  <c r="N2709" i="1"/>
  <c r="O2708" i="1"/>
  <c r="N2708" i="1"/>
  <c r="O2707" i="1"/>
  <c r="N2707" i="1"/>
  <c r="G970" i="11"/>
  <c r="F970" i="11"/>
  <c r="G969" i="11"/>
  <c r="F969" i="11"/>
  <c r="O2706" i="1"/>
  <c r="N2706" i="1"/>
  <c r="O2705" i="1"/>
  <c r="N2705" i="1"/>
  <c r="G968" i="11"/>
  <c r="F968" i="11"/>
  <c r="O2704" i="1"/>
  <c r="N2704" i="1"/>
  <c r="O2703" i="1"/>
  <c r="N2703" i="1"/>
  <c r="G966" i="11"/>
  <c r="F966" i="11"/>
  <c r="G963" i="11"/>
  <c r="F963" i="11"/>
  <c r="O2702" i="1"/>
  <c r="N2702" i="1"/>
  <c r="O2701" i="1"/>
  <c r="N2701" i="1"/>
  <c r="O2700" i="1"/>
  <c r="N2700" i="1"/>
  <c r="G961" i="11"/>
  <c r="F961" i="11"/>
  <c r="O2699" i="1"/>
  <c r="N2699" i="1"/>
  <c r="O2698" i="1"/>
  <c r="N2698" i="1"/>
  <c r="O2697" i="1"/>
  <c r="N2697" i="1"/>
  <c r="G960" i="11"/>
  <c r="F960" i="11"/>
  <c r="O2696" i="1"/>
  <c r="N2696" i="1"/>
  <c r="O2695" i="1"/>
  <c r="N2695" i="1"/>
  <c r="O2694" i="1"/>
  <c r="N2694" i="1"/>
  <c r="G959" i="11"/>
  <c r="F959" i="11"/>
  <c r="O2693" i="1"/>
  <c r="N2693" i="1"/>
  <c r="O2692" i="1"/>
  <c r="N2692" i="1"/>
  <c r="O2691" i="1"/>
  <c r="N2691" i="1"/>
  <c r="O2690" i="1"/>
  <c r="N2690" i="1"/>
  <c r="O2689" i="1"/>
  <c r="N2689" i="1"/>
  <c r="G951" i="11"/>
  <c r="F951" i="11"/>
  <c r="O2688" i="1"/>
  <c r="N2688" i="1"/>
  <c r="O2687" i="1"/>
  <c r="N2687" i="1"/>
  <c r="N2686" i="1"/>
  <c r="O2686" i="1"/>
  <c r="O2685" i="1"/>
  <c r="N2685" i="1"/>
  <c r="G950" i="11"/>
  <c r="F950" i="11"/>
  <c r="O2684" i="1"/>
  <c r="O2683" i="1"/>
  <c r="N2684" i="1"/>
  <c r="N2683" i="1"/>
  <c r="O2682" i="1"/>
  <c r="O2681" i="1"/>
  <c r="N2682" i="1"/>
  <c r="N2681" i="1"/>
  <c r="N2680" i="1"/>
  <c r="O2680" i="1"/>
  <c r="G948" i="11"/>
  <c r="F948" i="11"/>
  <c r="O2679" i="1"/>
  <c r="N2679" i="1"/>
  <c r="O2678" i="1"/>
  <c r="N2678" i="1"/>
  <c r="N2677" i="1"/>
  <c r="O2677" i="1"/>
  <c r="O2676" i="1"/>
  <c r="N2676" i="1"/>
  <c r="N2675" i="1"/>
  <c r="O2675" i="1"/>
  <c r="N2674" i="1"/>
  <c r="O2674" i="1"/>
  <c r="N2673" i="1"/>
  <c r="O2673" i="1"/>
  <c r="O2672" i="1"/>
  <c r="N2672" i="1"/>
  <c r="D947" i="11"/>
  <c r="D945" i="11"/>
  <c r="G944" i="11"/>
  <c r="F944" i="11"/>
  <c r="G943" i="11"/>
  <c r="F943" i="11"/>
  <c r="O2671" i="1"/>
  <c r="O2670" i="1"/>
  <c r="O2669" i="1"/>
  <c r="O2668" i="1"/>
  <c r="N2671" i="1"/>
  <c r="N2670" i="1"/>
  <c r="N2669" i="1"/>
  <c r="N2668" i="1"/>
  <c r="L2667" i="1"/>
  <c r="O2667" i="1"/>
  <c r="N2667" i="1"/>
  <c r="L2666" i="1"/>
  <c r="O2666" i="1"/>
  <c r="N2666" i="1"/>
  <c r="L2664" i="1"/>
  <c r="L2660" i="1"/>
  <c r="L2658" i="1"/>
  <c r="L2657" i="1"/>
  <c r="M2656" i="1"/>
  <c r="L2656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O2652" i="1"/>
  <c r="N2652" i="1"/>
  <c r="O2651" i="1"/>
  <c r="N2651" i="1"/>
  <c r="G942" i="11"/>
  <c r="F942" i="11"/>
  <c r="O2650" i="1"/>
  <c r="N2650" i="1"/>
  <c r="G941" i="11"/>
  <c r="F941" i="11"/>
  <c r="O2649" i="1"/>
  <c r="N2649" i="1"/>
  <c r="O2648" i="1"/>
  <c r="N2648" i="1"/>
  <c r="O2647" i="1"/>
  <c r="N2647" i="1"/>
  <c r="O2646" i="1"/>
  <c r="N2646" i="1"/>
  <c r="G940" i="11"/>
  <c r="F940" i="11"/>
  <c r="O2645" i="1"/>
  <c r="N2645" i="1"/>
  <c r="O2644" i="1"/>
  <c r="N2644" i="1"/>
  <c r="O2643" i="1"/>
  <c r="N2643" i="1"/>
  <c r="O2642" i="1"/>
  <c r="N2642" i="1"/>
  <c r="O2641" i="1"/>
  <c r="N2641" i="1"/>
  <c r="G937" i="11"/>
  <c r="F937" i="11"/>
  <c r="G936" i="11"/>
  <c r="F936" i="11"/>
  <c r="O2640" i="1"/>
  <c r="N2640" i="1"/>
  <c r="O2639" i="1"/>
  <c r="N2639" i="1"/>
  <c r="O2638" i="1"/>
  <c r="N2638" i="1"/>
  <c r="O2637" i="1"/>
  <c r="N2637" i="1"/>
  <c r="F935" i="11"/>
  <c r="G935" i="11"/>
  <c r="F934" i="11"/>
  <c r="G934" i="11"/>
  <c r="O2636" i="1"/>
  <c r="N2636" i="1"/>
  <c r="O2634" i="1"/>
  <c r="O2635" i="1"/>
  <c r="N2634" i="1"/>
  <c r="N2635" i="1"/>
  <c r="F932" i="11"/>
  <c r="G932" i="11"/>
  <c r="D931" i="11"/>
  <c r="F931" i="11"/>
  <c r="G931" i="11"/>
  <c r="F930" i="11"/>
  <c r="G930" i="11"/>
  <c r="L2633" i="1"/>
  <c r="O2633" i="1"/>
  <c r="N2633" i="1"/>
  <c r="O2630" i="1"/>
  <c r="O2631" i="1"/>
  <c r="O2632" i="1"/>
  <c r="N2630" i="1"/>
  <c r="N2631" i="1"/>
  <c r="N2632" i="1"/>
  <c r="F928" i="11"/>
  <c r="G928" i="11"/>
  <c r="O2629" i="1"/>
  <c r="N2629" i="1"/>
  <c r="F927" i="11"/>
  <c r="G927" i="11"/>
  <c r="F926" i="11"/>
  <c r="G926" i="11"/>
  <c r="F925" i="11"/>
  <c r="G925" i="11"/>
  <c r="O2628" i="1"/>
  <c r="N2628" i="1"/>
  <c r="F921" i="11"/>
  <c r="G921" i="11"/>
  <c r="O2627" i="1"/>
  <c r="N2627" i="1"/>
  <c r="R2620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F919" i="11"/>
  <c r="G919" i="11"/>
  <c r="O2616" i="1"/>
  <c r="N2616" i="1"/>
  <c r="O2615" i="1"/>
  <c r="N2615" i="1"/>
  <c r="O2614" i="1"/>
  <c r="N2614" i="1"/>
  <c r="F917" i="11"/>
  <c r="G917" i="11"/>
  <c r="O2613" i="1"/>
  <c r="N2613" i="1"/>
  <c r="O2612" i="1"/>
  <c r="N2612" i="1"/>
  <c r="O2611" i="1"/>
  <c r="N2611" i="1"/>
  <c r="O2610" i="1"/>
  <c r="N2610" i="1"/>
  <c r="F915" i="11"/>
  <c r="G915" i="11"/>
  <c r="O2609" i="1"/>
  <c r="N2609" i="1"/>
  <c r="O2608" i="1"/>
  <c r="N2608" i="1"/>
  <c r="O2607" i="1"/>
  <c r="N2607" i="1"/>
  <c r="F912" i="11"/>
  <c r="G912" i="11"/>
  <c r="F911" i="11"/>
  <c r="G911" i="11"/>
  <c r="F910" i="11"/>
  <c r="G910" i="11"/>
  <c r="D909" i="11"/>
  <c r="F909" i="11"/>
  <c r="G909" i="11"/>
  <c r="O2605" i="1"/>
  <c r="O2606" i="1"/>
  <c r="N2605" i="1"/>
  <c r="N2606" i="1"/>
  <c r="O2604" i="1"/>
  <c r="N2604" i="1"/>
  <c r="O2602" i="1"/>
  <c r="O2603" i="1"/>
  <c r="N2602" i="1"/>
  <c r="N2603" i="1"/>
  <c r="O2601" i="1"/>
  <c r="N2601" i="1"/>
  <c r="M2600" i="1"/>
  <c r="L2600" i="1"/>
  <c r="O2600" i="1"/>
  <c r="N2600" i="1"/>
  <c r="L2590" i="1"/>
  <c r="L2583" i="1"/>
  <c r="L2588" i="1"/>
  <c r="I2587" i="1"/>
  <c r="I2588" i="1"/>
  <c r="I2589" i="1"/>
  <c r="I259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O2580" i="1"/>
  <c r="N2580" i="1"/>
  <c r="O2579" i="1"/>
  <c r="N2579" i="1"/>
  <c r="F906" i="11"/>
  <c r="G906" i="11"/>
  <c r="O2578" i="1"/>
  <c r="N2578" i="1"/>
  <c r="O2577" i="1"/>
  <c r="N2577" i="1"/>
  <c r="O2576" i="1"/>
  <c r="N2576" i="1"/>
  <c r="F905" i="11"/>
  <c r="G905" i="11"/>
  <c r="O2575" i="1"/>
  <c r="N2575" i="1"/>
  <c r="N2557" i="1"/>
  <c r="O2557" i="1"/>
  <c r="F902" i="11"/>
  <c r="G902" i="11"/>
  <c r="O2574" i="1"/>
  <c r="N2574" i="1"/>
  <c r="F898" i="11"/>
  <c r="G898" i="11"/>
  <c r="F897" i="11"/>
  <c r="G897" i="11"/>
  <c r="F896" i="11"/>
  <c r="G896" i="11"/>
  <c r="F895" i="11"/>
  <c r="G895" i="11"/>
  <c r="F894" i="11"/>
  <c r="G894" i="1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O2565" i="1"/>
  <c r="N2566" i="1"/>
  <c r="N2565" i="1"/>
  <c r="O2564" i="1"/>
  <c r="N2564" i="1"/>
  <c r="O2563" i="1"/>
  <c r="N2563" i="1"/>
  <c r="O2561" i="1"/>
  <c r="O2562" i="1"/>
  <c r="N2561" i="1"/>
  <c r="N2562" i="1"/>
  <c r="F879" i="11"/>
  <c r="G879" i="11"/>
  <c r="F878" i="11"/>
  <c r="G878" i="11"/>
  <c r="D877" i="11"/>
  <c r="E877" i="11"/>
  <c r="F877" i="11"/>
  <c r="G877" i="11"/>
  <c r="O2560" i="1"/>
  <c r="N2560" i="1"/>
  <c r="D876" i="11"/>
  <c r="F876" i="11"/>
  <c r="G876" i="11"/>
  <c r="M2555" i="1"/>
  <c r="L2555" i="1"/>
  <c r="F875" i="11"/>
  <c r="G875" i="11"/>
  <c r="L2558" i="1"/>
  <c r="M2548" i="1"/>
  <c r="L2548" i="1"/>
  <c r="M2546" i="1"/>
  <c r="L2546" i="1"/>
  <c r="O2559" i="1"/>
  <c r="N2559" i="1"/>
  <c r="O2558" i="1"/>
  <c r="N2558" i="1"/>
  <c r="F874" i="11"/>
  <c r="G874" i="11"/>
  <c r="F873" i="11"/>
  <c r="G873" i="11"/>
  <c r="O2556" i="1"/>
  <c r="N2556" i="1"/>
  <c r="F872" i="11"/>
  <c r="G872" i="11"/>
  <c r="O2554" i="1"/>
  <c r="N2554" i="1"/>
  <c r="O2553" i="1"/>
  <c r="N2553" i="1"/>
  <c r="F871" i="11"/>
  <c r="G871" i="11"/>
  <c r="F870" i="11"/>
  <c r="G870" i="11"/>
  <c r="O2552" i="1"/>
  <c r="N2552" i="1"/>
  <c r="F869" i="11"/>
  <c r="G869" i="11"/>
  <c r="O2551" i="1"/>
  <c r="N2551" i="1"/>
  <c r="D868" i="11"/>
  <c r="F868" i="11"/>
  <c r="G868" i="11"/>
  <c r="O2550" i="1"/>
  <c r="N2550" i="1"/>
  <c r="F867" i="11"/>
  <c r="G867" i="11"/>
  <c r="O2549" i="1"/>
  <c r="N2549" i="1"/>
  <c r="F866" i="11"/>
  <c r="G866" i="11"/>
  <c r="F865" i="11"/>
  <c r="G865" i="11"/>
  <c r="L2530" i="1"/>
  <c r="O2548" i="1"/>
  <c r="N2548" i="1"/>
  <c r="O2547" i="1"/>
  <c r="N2547" i="1"/>
  <c r="O2546" i="1"/>
  <c r="N2546" i="1"/>
  <c r="F864" i="11"/>
  <c r="G864" i="11"/>
  <c r="O2544" i="1"/>
  <c r="O2545" i="1"/>
  <c r="N2544" i="1"/>
  <c r="N2545" i="1"/>
  <c r="O2543" i="1"/>
  <c r="N2543" i="1"/>
  <c r="F863" i="11"/>
  <c r="G863" i="11"/>
  <c r="D862" i="11"/>
  <c r="O2542" i="1"/>
  <c r="N2542" i="1"/>
  <c r="O2541" i="1"/>
  <c r="N2541" i="1"/>
  <c r="L2518" i="1"/>
  <c r="O2540" i="1"/>
  <c r="N2540" i="1"/>
  <c r="O2538" i="1"/>
  <c r="O2539" i="1"/>
  <c r="N2538" i="1"/>
  <c r="N2539" i="1"/>
  <c r="O2537" i="1"/>
  <c r="N2537" i="1"/>
  <c r="F861" i="11"/>
  <c r="G861" i="11"/>
  <c r="F860" i="11"/>
  <c r="G860" i="11"/>
  <c r="O2536" i="1"/>
  <c r="N2536" i="1"/>
  <c r="O2535" i="1"/>
  <c r="N2535" i="1"/>
  <c r="F859" i="11"/>
  <c r="G859" i="11"/>
  <c r="G858" i="11"/>
  <c r="F858" i="11"/>
  <c r="F857" i="11"/>
  <c r="G857" i="11"/>
  <c r="F856" i="11"/>
  <c r="G856" i="11"/>
  <c r="F855" i="11"/>
  <c r="G855" i="11"/>
  <c r="F854" i="11"/>
  <c r="G854" i="11"/>
  <c r="F853" i="11"/>
  <c r="G853" i="11"/>
  <c r="O2532" i="1"/>
  <c r="O2533" i="1"/>
  <c r="O2534" i="1"/>
  <c r="N2532" i="1"/>
  <c r="N2533" i="1"/>
  <c r="N2534" i="1"/>
  <c r="F852" i="11"/>
  <c r="G852" i="11"/>
  <c r="F851" i="11"/>
  <c r="G851" i="11"/>
  <c r="F850" i="11"/>
  <c r="G850" i="11"/>
  <c r="F849" i="11"/>
  <c r="G849" i="11"/>
  <c r="F848" i="11"/>
  <c r="G848" i="11"/>
  <c r="F847" i="11"/>
  <c r="G847" i="11"/>
  <c r="F846" i="11"/>
  <c r="G846" i="11"/>
  <c r="L2469" i="1"/>
  <c r="F845" i="11"/>
  <c r="G845" i="11"/>
  <c r="F844" i="11"/>
  <c r="G844" i="11"/>
  <c r="O2531" i="1"/>
  <c r="N2531" i="1"/>
  <c r="O2530" i="1"/>
  <c r="N2530" i="1"/>
  <c r="F829" i="11"/>
  <c r="G829" i="11"/>
  <c r="F828" i="11"/>
  <c r="G828" i="11"/>
  <c r="O2529" i="1"/>
  <c r="N2529" i="1"/>
  <c r="O2528" i="1"/>
  <c r="O2527" i="1"/>
  <c r="O2526" i="1"/>
  <c r="N2528" i="1"/>
  <c r="N2527" i="1"/>
  <c r="N2526" i="1"/>
  <c r="L2446" i="1"/>
  <c r="O2525" i="1"/>
  <c r="O2524" i="1"/>
  <c r="O2523" i="1"/>
  <c r="N2525" i="1"/>
  <c r="N2524" i="1"/>
  <c r="N2523" i="1"/>
  <c r="O2517" i="1"/>
  <c r="O2518" i="1"/>
  <c r="O2519" i="1"/>
  <c r="O2520" i="1"/>
  <c r="O2521" i="1"/>
  <c r="O2522" i="1"/>
  <c r="N2517" i="1"/>
  <c r="N2518" i="1"/>
  <c r="N2519" i="1"/>
  <c r="N2520" i="1"/>
  <c r="N2521" i="1"/>
  <c r="N2522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O2501" i="1"/>
  <c r="O2502" i="1"/>
  <c r="O2503" i="1"/>
  <c r="N2501" i="1"/>
  <c r="N2502" i="1"/>
  <c r="N2503" i="1"/>
  <c r="O2500" i="1"/>
  <c r="N2500" i="1"/>
  <c r="O2495" i="1"/>
  <c r="O2496" i="1"/>
  <c r="O2497" i="1"/>
  <c r="O2498" i="1"/>
  <c r="O2499" i="1"/>
  <c r="N2495" i="1"/>
  <c r="N2496" i="1"/>
  <c r="N2497" i="1"/>
  <c r="N2498" i="1"/>
  <c r="N2499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G814" i="11"/>
  <c r="F814" i="11"/>
  <c r="G813" i="11"/>
  <c r="F813" i="11"/>
  <c r="G812" i="11"/>
  <c r="F812" i="11"/>
  <c r="G811" i="11"/>
  <c r="F811" i="11"/>
  <c r="G810" i="11"/>
  <c r="F810" i="11"/>
  <c r="G809" i="11"/>
  <c r="F809" i="11"/>
  <c r="G808" i="11"/>
  <c r="F808" i="11"/>
  <c r="G807" i="11"/>
  <c r="F807" i="11"/>
  <c r="G806" i="11"/>
  <c r="F806" i="11"/>
  <c r="O2420" i="1"/>
  <c r="N2420" i="1"/>
  <c r="O2419" i="1"/>
  <c r="N2419" i="1"/>
  <c r="O2418" i="1"/>
  <c r="N2418" i="1"/>
  <c r="L2414" i="1"/>
  <c r="O2417" i="1"/>
  <c r="N2417" i="1"/>
  <c r="O2411" i="1"/>
  <c r="O2412" i="1"/>
  <c r="O2413" i="1"/>
  <c r="O2414" i="1"/>
  <c r="O2415" i="1"/>
  <c r="O2416" i="1"/>
  <c r="N2411" i="1"/>
  <c r="N2412" i="1"/>
  <c r="N2413" i="1"/>
  <c r="N2414" i="1"/>
  <c r="N2415" i="1"/>
  <c r="N2416" i="1"/>
  <c r="M26" i="6"/>
  <c r="M25" i="6"/>
  <c r="M24" i="6"/>
  <c r="Q30" i="6"/>
  <c r="P30" i="6"/>
  <c r="O30" i="6"/>
  <c r="N30" i="6"/>
  <c r="O29" i="6"/>
  <c r="N29" i="6"/>
  <c r="Q27" i="6"/>
  <c r="P27" i="6"/>
  <c r="O27" i="6"/>
  <c r="N27" i="6"/>
  <c r="Q26" i="6"/>
  <c r="P26" i="6"/>
  <c r="O26" i="6"/>
  <c r="N26" i="6"/>
  <c r="Q25" i="6"/>
  <c r="P25" i="6"/>
  <c r="O25" i="6"/>
  <c r="N25" i="6"/>
  <c r="Q24" i="6"/>
  <c r="P24" i="6"/>
  <c r="O24" i="6"/>
  <c r="N24" i="6"/>
  <c r="Q18" i="6"/>
  <c r="P18" i="6"/>
  <c r="Q17" i="6"/>
  <c r="P17" i="6"/>
  <c r="Q16" i="6"/>
  <c r="Q15" i="6"/>
  <c r="P15" i="6"/>
  <c r="Q14" i="6"/>
  <c r="P14" i="6"/>
  <c r="Q13" i="6"/>
  <c r="Q12" i="6"/>
  <c r="Q11" i="6"/>
  <c r="Q10" i="6"/>
  <c r="Q9" i="6"/>
  <c r="Q8" i="6"/>
  <c r="Q7" i="6"/>
  <c r="M30" i="6"/>
  <c r="L30" i="6"/>
  <c r="K30" i="6"/>
  <c r="J30" i="6"/>
  <c r="I30" i="6"/>
  <c r="M29" i="6"/>
  <c r="L29" i="6"/>
  <c r="K29" i="6"/>
  <c r="J29" i="6"/>
  <c r="I29" i="6"/>
  <c r="H29" i="6"/>
  <c r="E29" i="6"/>
  <c r="D29" i="6"/>
  <c r="C29" i="6"/>
  <c r="B29" i="6"/>
  <c r="M27" i="6"/>
  <c r="L27" i="6"/>
  <c r="K27" i="6"/>
  <c r="J27" i="6"/>
  <c r="I27" i="6"/>
  <c r="H27" i="6"/>
  <c r="G27" i="6"/>
  <c r="F27" i="6"/>
  <c r="E27" i="6"/>
  <c r="D27" i="6"/>
  <c r="C27" i="6"/>
  <c r="B27" i="6"/>
  <c r="L26" i="6"/>
  <c r="K26" i="6"/>
  <c r="J26" i="6"/>
  <c r="I26" i="6"/>
  <c r="H26" i="6"/>
  <c r="G26" i="6"/>
  <c r="F26" i="6"/>
  <c r="E26" i="6"/>
  <c r="D26" i="6"/>
  <c r="C26" i="6"/>
  <c r="B26" i="6"/>
  <c r="L25" i="6"/>
  <c r="K25" i="6"/>
  <c r="J25" i="6"/>
  <c r="I25" i="6"/>
  <c r="H25" i="6"/>
  <c r="G25" i="6"/>
  <c r="F25" i="6"/>
  <c r="E25" i="6"/>
  <c r="D25" i="6"/>
  <c r="C25" i="6"/>
  <c r="B25" i="6"/>
  <c r="L24" i="6"/>
  <c r="K24" i="6"/>
  <c r="J24" i="6"/>
  <c r="I24" i="6"/>
  <c r="H24" i="6"/>
  <c r="G24" i="6"/>
  <c r="F24" i="6"/>
  <c r="E24" i="6"/>
  <c r="D24" i="6"/>
  <c r="C24" i="6"/>
  <c r="B24" i="6"/>
  <c r="L14" i="6"/>
  <c r="K14" i="6"/>
  <c r="J14" i="6"/>
  <c r="I14" i="6"/>
  <c r="H14" i="6"/>
  <c r="G14" i="6"/>
  <c r="F14" i="6"/>
  <c r="E14" i="6"/>
  <c r="D14" i="6"/>
  <c r="C14" i="6"/>
  <c r="B14" i="6"/>
  <c r="P13" i="6"/>
  <c r="O13" i="6"/>
  <c r="N13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P8" i="6"/>
  <c r="O8" i="6"/>
  <c r="N8" i="6"/>
  <c r="M8" i="6"/>
  <c r="L8" i="6"/>
  <c r="K8" i="6"/>
  <c r="J8" i="6"/>
  <c r="I8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O18" i="6"/>
  <c r="N18" i="6"/>
  <c r="O17" i="6"/>
  <c r="N17" i="6"/>
  <c r="N16" i="6"/>
  <c r="M16" i="6"/>
  <c r="O15" i="6"/>
  <c r="N15" i="6"/>
  <c r="O14" i="6"/>
  <c r="N14" i="6"/>
  <c r="M14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Q3" i="6"/>
  <c r="P3" i="6"/>
  <c r="O3" i="6"/>
  <c r="N3" i="6"/>
  <c r="M3" i="6"/>
  <c r="L3" i="6"/>
  <c r="K3" i="6"/>
  <c r="J3" i="6"/>
  <c r="H3" i="6"/>
  <c r="G3" i="6"/>
  <c r="F3" i="6"/>
  <c r="E3" i="6"/>
  <c r="D3" i="6"/>
  <c r="C3" i="6"/>
  <c r="B3" i="6"/>
  <c r="K17" i="7"/>
  <c r="J17" i="7"/>
  <c r="I17" i="7"/>
  <c r="H17" i="7"/>
  <c r="G17" i="7"/>
  <c r="F17" i="7"/>
  <c r="E17" i="7"/>
  <c r="D17" i="7"/>
  <c r="C17" i="7"/>
  <c r="B17" i="7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K5" i="7"/>
  <c r="J5" i="7"/>
  <c r="I5" i="7"/>
  <c r="H5" i="7"/>
  <c r="G5" i="7"/>
  <c r="F5" i="7"/>
  <c r="E5" i="7"/>
  <c r="D5" i="7"/>
  <c r="C5" i="7"/>
  <c r="B5" i="7"/>
  <c r="K4" i="7"/>
  <c r="J4" i="7"/>
  <c r="I4" i="7"/>
  <c r="H4" i="7"/>
  <c r="G4" i="7"/>
  <c r="F4" i="7"/>
  <c r="E4" i="7"/>
  <c r="D4" i="7"/>
  <c r="C4" i="7"/>
  <c r="B4" i="7"/>
  <c r="K3" i="7"/>
  <c r="J3" i="7"/>
  <c r="I3" i="7"/>
  <c r="H3" i="7"/>
  <c r="G3" i="7"/>
  <c r="F3" i="7"/>
  <c r="E3" i="7"/>
  <c r="D3" i="7"/>
  <c r="C3" i="7"/>
  <c r="B3" i="7"/>
  <c r="K2" i="7"/>
  <c r="J2" i="7"/>
  <c r="I2" i="7"/>
  <c r="H2" i="7"/>
  <c r="G2" i="7"/>
  <c r="F2" i="7"/>
  <c r="E2" i="7"/>
  <c r="D2" i="7"/>
  <c r="C2" i="7"/>
  <c r="B2" i="7"/>
  <c r="O2410" i="1"/>
  <c r="N2410" i="1"/>
  <c r="O2408" i="1"/>
  <c r="O2409" i="1"/>
  <c r="N2408" i="1"/>
  <c r="N2409" i="1"/>
  <c r="O2406" i="1"/>
  <c r="O2407" i="1"/>
  <c r="N2406" i="1"/>
  <c r="N2407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G805" i="11"/>
  <c r="F805" i="11"/>
  <c r="O2392" i="1"/>
  <c r="N2392" i="1"/>
  <c r="O2391" i="1"/>
  <c r="N2391" i="1"/>
  <c r="D804" i="11"/>
  <c r="O2390" i="1"/>
  <c r="N2390" i="1"/>
  <c r="L2387" i="1"/>
  <c r="O2389" i="1"/>
  <c r="N2389" i="1"/>
  <c r="O2388" i="1"/>
  <c r="O2387" i="1"/>
  <c r="N2388" i="1"/>
  <c r="N2387" i="1"/>
  <c r="O2386" i="1"/>
  <c r="O2385" i="1"/>
  <c r="N2386" i="1"/>
  <c r="N2385" i="1"/>
  <c r="O2384" i="1"/>
  <c r="N2384" i="1"/>
  <c r="O2383" i="1"/>
  <c r="N2383" i="1"/>
  <c r="O2382" i="1"/>
  <c r="N2382" i="1"/>
  <c r="O2381" i="1"/>
  <c r="N2381" i="1"/>
  <c r="G797" i="11"/>
  <c r="F797" i="11"/>
  <c r="G796" i="11"/>
  <c r="F796" i="11"/>
  <c r="O2380" i="1"/>
  <c r="N2380" i="1"/>
  <c r="N2379" i="1"/>
  <c r="N2378" i="1"/>
  <c r="O2378" i="1"/>
  <c r="O2379" i="1"/>
  <c r="G795" i="11"/>
  <c r="F795" i="11"/>
  <c r="G794" i="11"/>
  <c r="F794" i="11"/>
  <c r="O2377" i="1"/>
  <c r="N2377" i="1"/>
  <c r="O2376" i="1"/>
  <c r="N2376" i="1"/>
  <c r="O2375" i="1"/>
  <c r="N2375" i="1"/>
  <c r="G793" i="11"/>
  <c r="F793" i="11"/>
  <c r="O2374" i="1"/>
  <c r="N2374" i="1"/>
  <c r="O2373" i="1"/>
  <c r="N2373" i="1"/>
  <c r="O2372" i="1"/>
  <c r="O2371" i="1"/>
  <c r="N2372" i="1"/>
  <c r="N2371" i="1"/>
  <c r="O2370" i="1"/>
  <c r="N2370" i="1"/>
  <c r="O2369" i="1"/>
  <c r="N2369" i="1"/>
  <c r="O2368" i="1"/>
  <c r="N2368" i="1"/>
  <c r="N2367" i="1"/>
  <c r="O2367" i="1"/>
  <c r="G791" i="11"/>
  <c r="F791" i="11"/>
  <c r="O2366" i="1"/>
  <c r="N2366" i="1"/>
  <c r="O2365" i="1"/>
  <c r="N2365" i="1"/>
  <c r="O2364" i="1"/>
  <c r="N2364" i="1"/>
  <c r="G788" i="11"/>
  <c r="F788" i="11"/>
  <c r="G787" i="11"/>
  <c r="F787" i="11"/>
  <c r="G786" i="11"/>
  <c r="F786" i="11"/>
  <c r="O2363" i="1"/>
  <c r="N2363" i="1"/>
  <c r="N2362" i="1"/>
  <c r="O2362" i="1"/>
  <c r="O2361" i="1"/>
  <c r="N2361" i="1"/>
  <c r="O2360" i="1"/>
  <c r="N2360" i="1"/>
  <c r="N2359" i="1"/>
  <c r="O2359" i="1"/>
  <c r="N2358" i="1"/>
  <c r="O2358" i="1"/>
  <c r="N2357" i="1"/>
  <c r="O2357" i="1"/>
  <c r="N2356" i="1"/>
  <c r="O2356" i="1"/>
  <c r="N2355" i="1"/>
  <c r="O2355" i="1"/>
  <c r="D784" i="11"/>
  <c r="L2354" i="1"/>
  <c r="O2354" i="1"/>
  <c r="N2354" i="1"/>
  <c r="G783" i="11"/>
  <c r="F783" i="11"/>
  <c r="G782" i="11"/>
  <c r="F782" i="11"/>
  <c r="O2353" i="1"/>
  <c r="N2353" i="1"/>
  <c r="O2352" i="1"/>
  <c r="N2352" i="1"/>
  <c r="G780" i="11"/>
  <c r="F780" i="11"/>
  <c r="G779" i="11"/>
  <c r="F779" i="11"/>
  <c r="O2351" i="1"/>
  <c r="O2350" i="1"/>
  <c r="N2351" i="1"/>
  <c r="N2350" i="1"/>
  <c r="G776" i="11"/>
  <c r="F776" i="11"/>
  <c r="G775" i="11"/>
  <c r="F775" i="11"/>
  <c r="G774" i="11"/>
  <c r="F774" i="11"/>
  <c r="G773" i="11"/>
  <c r="F773" i="11"/>
  <c r="G772" i="11"/>
  <c r="F772" i="11"/>
  <c r="G771" i="11"/>
  <c r="F771" i="11"/>
  <c r="G770" i="11"/>
  <c r="F770" i="11"/>
  <c r="G769" i="11"/>
  <c r="F769" i="11"/>
  <c r="G768" i="11"/>
  <c r="F768" i="11"/>
  <c r="G767" i="11"/>
  <c r="F767" i="11"/>
  <c r="G766" i="11"/>
  <c r="F766" i="11"/>
  <c r="G765" i="11"/>
  <c r="F765" i="11"/>
  <c r="G764" i="11"/>
  <c r="F764" i="11"/>
  <c r="O2349" i="1"/>
  <c r="N2349" i="1"/>
  <c r="B13" i="5"/>
  <c r="B3" i="5"/>
  <c r="B4" i="5"/>
  <c r="B5" i="5"/>
  <c r="B6" i="5"/>
  <c r="B7" i="5"/>
  <c r="B8" i="5"/>
  <c r="B9" i="5"/>
  <c r="B10" i="5"/>
  <c r="B11" i="5"/>
  <c r="B12" i="5"/>
  <c r="O2348" i="1"/>
  <c r="N2348" i="1"/>
  <c r="O2347" i="1"/>
  <c r="O2346" i="1"/>
  <c r="O2345" i="1"/>
  <c r="N2347" i="1"/>
  <c r="N2346" i="1"/>
  <c r="N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G762" i="11"/>
  <c r="F762" i="11"/>
  <c r="G761" i="11"/>
  <c r="F761" i="11"/>
  <c r="O2319" i="1"/>
  <c r="N2319" i="1"/>
  <c r="O2318" i="1"/>
  <c r="N2318" i="1"/>
  <c r="G759" i="11"/>
  <c r="F759" i="11"/>
  <c r="O2317" i="1"/>
  <c r="N2317" i="1"/>
  <c r="G758" i="11"/>
  <c r="F758" i="11"/>
  <c r="G756" i="11"/>
  <c r="F756" i="11"/>
  <c r="O2316" i="1"/>
  <c r="N2316" i="1"/>
  <c r="O2315" i="1"/>
  <c r="N2315" i="1"/>
  <c r="O2314" i="1"/>
  <c r="N2314" i="1"/>
  <c r="O2313" i="1"/>
  <c r="N2313" i="1"/>
  <c r="G753" i="11"/>
  <c r="F753" i="11"/>
  <c r="O2312" i="1"/>
  <c r="O2311" i="1"/>
  <c r="N2312" i="1"/>
  <c r="N2311" i="1"/>
  <c r="O2310" i="1"/>
  <c r="N2310" i="1"/>
  <c r="N2309" i="1"/>
  <c r="O2309" i="1"/>
  <c r="O2308" i="1"/>
  <c r="N2308" i="1"/>
  <c r="O2307" i="1"/>
  <c r="N2307" i="1"/>
  <c r="G752" i="11"/>
  <c r="F752" i="11"/>
  <c r="O2306" i="1"/>
  <c r="N2306" i="1"/>
  <c r="O2305" i="1"/>
  <c r="N2305" i="1"/>
  <c r="O2304" i="1"/>
  <c r="N2304" i="1"/>
  <c r="O2303" i="1"/>
  <c r="N2303" i="1"/>
  <c r="O2301" i="1"/>
  <c r="O2302" i="1"/>
  <c r="N2301" i="1"/>
  <c r="N2302" i="1"/>
  <c r="O2300" i="1"/>
  <c r="N2300" i="1"/>
  <c r="O2299" i="1"/>
  <c r="N2299" i="1"/>
  <c r="O2298" i="1"/>
  <c r="N2298" i="1"/>
  <c r="O2297" i="1"/>
  <c r="N2297" i="1"/>
  <c r="G743" i="11"/>
  <c r="F743" i="11"/>
  <c r="O2296" i="1"/>
  <c r="N2296" i="1"/>
  <c r="O2295" i="1"/>
  <c r="N2295" i="1"/>
  <c r="G741" i="11"/>
  <c r="F741" i="11"/>
  <c r="G740" i="11"/>
  <c r="F740" i="11"/>
  <c r="O2294" i="1"/>
  <c r="N2294" i="1"/>
  <c r="N2293" i="1"/>
  <c r="O2293" i="1"/>
  <c r="N2292" i="1"/>
  <c r="O2292" i="1"/>
  <c r="N2291" i="1"/>
  <c r="O2291" i="1"/>
  <c r="O2290" i="1"/>
  <c r="N2290" i="1"/>
  <c r="L2287" i="1"/>
  <c r="O2289" i="1"/>
  <c r="N2289" i="1"/>
  <c r="O2288" i="1"/>
  <c r="O2287" i="1"/>
  <c r="N2288" i="1"/>
  <c r="N2287" i="1"/>
  <c r="O2286" i="1"/>
  <c r="N2286" i="1"/>
  <c r="O2285" i="1"/>
  <c r="N2285" i="1"/>
  <c r="G735" i="11"/>
  <c r="F735" i="11"/>
  <c r="G734" i="11"/>
  <c r="F734" i="11"/>
  <c r="O2284" i="1"/>
  <c r="N2284" i="1"/>
  <c r="O2283" i="1"/>
  <c r="N2283" i="1"/>
  <c r="O2282" i="1"/>
  <c r="N2282" i="1"/>
  <c r="G731" i="11"/>
  <c r="F731" i="11"/>
  <c r="O2281" i="1"/>
  <c r="O2280" i="1"/>
  <c r="N2281" i="1"/>
  <c r="N2280" i="1"/>
  <c r="O2279" i="1"/>
  <c r="N2279" i="1"/>
  <c r="G728" i="11"/>
  <c r="F728" i="11"/>
  <c r="G727" i="11"/>
  <c r="F727" i="11"/>
  <c r="G726" i="11"/>
  <c r="F726" i="11"/>
  <c r="O2278" i="1"/>
  <c r="N2278" i="1"/>
  <c r="G725" i="11"/>
  <c r="F725" i="11"/>
  <c r="G724" i="11"/>
  <c r="F724" i="11"/>
  <c r="G723" i="11"/>
  <c r="F723" i="11"/>
  <c r="G722" i="11"/>
  <c r="F722" i="11"/>
  <c r="L2272" i="1"/>
  <c r="G721" i="11"/>
  <c r="F721" i="11"/>
  <c r="O2277" i="1"/>
  <c r="N2277" i="1"/>
  <c r="D720" i="11"/>
  <c r="L2256" i="1"/>
  <c r="G719" i="11"/>
  <c r="F719" i="11"/>
  <c r="G718" i="11"/>
  <c r="F718" i="11"/>
  <c r="G717" i="11"/>
  <c r="F717" i="11"/>
  <c r="G716" i="11"/>
  <c r="F716" i="11"/>
  <c r="J715" i="11"/>
  <c r="G715" i="11"/>
  <c r="F715" i="11"/>
  <c r="G714" i="11"/>
  <c r="F714" i="11"/>
  <c r="R2231" i="1"/>
  <c r="O2276" i="1"/>
  <c r="N2276" i="1"/>
  <c r="O2275" i="1"/>
  <c r="N2275" i="1"/>
  <c r="B2" i="5"/>
  <c r="D698" i="11"/>
  <c r="M2217" i="1"/>
  <c r="L2217" i="1"/>
  <c r="L2218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D697" i="11"/>
  <c r="E696" i="11"/>
  <c r="D696" i="11"/>
  <c r="L2213" i="1"/>
  <c r="M2212" i="1"/>
  <c r="L2212" i="1"/>
  <c r="O2213" i="1"/>
  <c r="N2213" i="1"/>
  <c r="O2212" i="1"/>
  <c r="N2212" i="1"/>
  <c r="O2211" i="1"/>
  <c r="N2211" i="1"/>
  <c r="O2210" i="1"/>
  <c r="N2210" i="1"/>
  <c r="G695" i="11"/>
  <c r="F695" i="11"/>
  <c r="N2209" i="1"/>
  <c r="O2209" i="1"/>
  <c r="O2208" i="1"/>
  <c r="O2207" i="1"/>
  <c r="N2208" i="1"/>
  <c r="N2207" i="1"/>
  <c r="G694" i="11"/>
  <c r="F694" i="11"/>
  <c r="G693" i="11"/>
  <c r="F693" i="11"/>
  <c r="G691" i="11"/>
  <c r="F691" i="11"/>
  <c r="D690" i="11"/>
  <c r="O2206" i="1"/>
  <c r="N2206" i="1"/>
  <c r="O2205" i="1"/>
  <c r="O2204" i="1"/>
  <c r="N2205" i="1"/>
  <c r="N2204" i="1"/>
  <c r="L2202" i="1"/>
  <c r="O2203" i="1"/>
  <c r="O2202" i="1"/>
  <c r="N2203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O2193" i="1"/>
  <c r="N2194" i="1"/>
  <c r="N2193" i="1"/>
  <c r="G688" i="11"/>
  <c r="F688" i="11"/>
  <c r="O2192" i="1"/>
  <c r="N2192" i="1"/>
  <c r="O2191" i="1"/>
  <c r="N2191" i="1"/>
  <c r="D687" i="11"/>
  <c r="O2190" i="1"/>
  <c r="N2190" i="1"/>
  <c r="L2189" i="1"/>
  <c r="O2189" i="1"/>
  <c r="N2189" i="1"/>
  <c r="O2188" i="1"/>
  <c r="N2188" i="1"/>
  <c r="O2187" i="1"/>
  <c r="N2187" i="1"/>
  <c r="N2186" i="1"/>
  <c r="O2186" i="1"/>
  <c r="G680" i="11"/>
  <c r="F680" i="11"/>
  <c r="G679" i="11"/>
  <c r="F679" i="11"/>
  <c r="N2185" i="1"/>
  <c r="O2185" i="1"/>
  <c r="N2184" i="1"/>
  <c r="O2184" i="1"/>
  <c r="O2183" i="1"/>
  <c r="N2183" i="1"/>
  <c r="G676" i="11"/>
  <c r="F676" i="11"/>
  <c r="G675" i="11"/>
  <c r="F675" i="11"/>
  <c r="G674" i="11"/>
  <c r="F674" i="11"/>
  <c r="G673" i="11"/>
  <c r="F673" i="11"/>
  <c r="G672" i="11"/>
  <c r="F672" i="11"/>
  <c r="O2182" i="1"/>
  <c r="N2182" i="1"/>
  <c r="O2181" i="1"/>
  <c r="O2180" i="1"/>
  <c r="O2179" i="1"/>
  <c r="O2177" i="1"/>
  <c r="O2176" i="1"/>
  <c r="O2175" i="1"/>
  <c r="O2174" i="1"/>
  <c r="O2173" i="1"/>
  <c r="O2172" i="1"/>
  <c r="O2171" i="1"/>
  <c r="N2181" i="1"/>
  <c r="N2180" i="1"/>
  <c r="N2179" i="1"/>
  <c r="N2177" i="1"/>
  <c r="N2176" i="1"/>
  <c r="N2175" i="1"/>
  <c r="N2174" i="1"/>
  <c r="N2173" i="1"/>
  <c r="N2172" i="1"/>
  <c r="N2171" i="1"/>
  <c r="G669" i="11"/>
  <c r="F669" i="11"/>
  <c r="O2170" i="1"/>
  <c r="N2170" i="1"/>
  <c r="G667" i="11"/>
  <c r="F667" i="11"/>
  <c r="O2169" i="1"/>
  <c r="N2169" i="1"/>
  <c r="G666" i="11"/>
  <c r="F666" i="11"/>
  <c r="G665" i="11"/>
  <c r="F665" i="11"/>
  <c r="G664" i="11"/>
  <c r="F664" i="11"/>
  <c r="G663" i="11"/>
  <c r="F663" i="11"/>
  <c r="O2168" i="1"/>
  <c r="N2168" i="1"/>
  <c r="O2167" i="1"/>
  <c r="N2167" i="1"/>
  <c r="N2166" i="1"/>
  <c r="O2166" i="1"/>
  <c r="N2165" i="1"/>
  <c r="O2165" i="1"/>
  <c r="O2164" i="1"/>
  <c r="N2164" i="1"/>
  <c r="N2163" i="1"/>
  <c r="O2163" i="1"/>
  <c r="O2162" i="1"/>
  <c r="O2161" i="1"/>
  <c r="N2162" i="1"/>
  <c r="N2161" i="1"/>
  <c r="O2160" i="1"/>
  <c r="N2160" i="1"/>
  <c r="N2159" i="1"/>
  <c r="O2159" i="1"/>
  <c r="O2158" i="1"/>
  <c r="N2158" i="1"/>
  <c r="O2157" i="1"/>
  <c r="N2157" i="1"/>
  <c r="D658" i="11"/>
  <c r="L2156" i="1"/>
  <c r="L2155" i="1"/>
  <c r="G657" i="11"/>
  <c r="F657" i="11"/>
  <c r="G655" i="11"/>
  <c r="F655" i="11"/>
  <c r="O2156" i="1"/>
  <c r="N2156" i="1"/>
  <c r="D654" i="11"/>
  <c r="O2155" i="1"/>
  <c r="N2155" i="1"/>
  <c r="L2153" i="1"/>
  <c r="M2151" i="1"/>
  <c r="L2151" i="1"/>
  <c r="O2154" i="1"/>
  <c r="N2154" i="1"/>
  <c r="O2153" i="1"/>
  <c r="O2152" i="1"/>
  <c r="N2153" i="1"/>
  <c r="N2152" i="1"/>
  <c r="O2151" i="1"/>
  <c r="N2151" i="1"/>
  <c r="G652" i="11"/>
  <c r="F652" i="11"/>
  <c r="O2150" i="1"/>
  <c r="N2150" i="1"/>
  <c r="O2149" i="1"/>
  <c r="N2149" i="1"/>
  <c r="O2148" i="1"/>
  <c r="O2147" i="1"/>
  <c r="N2148" i="1"/>
  <c r="N2147" i="1"/>
  <c r="O2146" i="1"/>
  <c r="O2145" i="1"/>
  <c r="N2146" i="1"/>
  <c r="N2145" i="1"/>
  <c r="E648" i="11"/>
  <c r="F648" i="11"/>
  <c r="G648" i="11"/>
  <c r="F647" i="11"/>
  <c r="G647" i="11"/>
  <c r="O2144" i="1"/>
  <c r="N2144" i="1"/>
  <c r="F646" i="11"/>
  <c r="G646" i="11"/>
  <c r="F645" i="11"/>
  <c r="G645" i="11"/>
  <c r="M2141" i="1"/>
  <c r="O2143" i="1"/>
  <c r="N2143" i="1"/>
  <c r="O2142" i="1"/>
  <c r="N2142" i="1"/>
  <c r="O2141" i="1"/>
  <c r="N2141" i="1"/>
  <c r="O2140" i="1"/>
  <c r="N2140" i="1"/>
  <c r="O2137" i="1"/>
  <c r="O2138" i="1"/>
  <c r="O2139" i="1"/>
  <c r="N2137" i="1"/>
  <c r="N2138" i="1"/>
  <c r="N2139" i="1"/>
  <c r="O2136" i="1"/>
  <c r="N2136" i="1"/>
  <c r="O2135" i="1"/>
  <c r="N2135" i="1"/>
  <c r="F642" i="11"/>
  <c r="G642" i="11"/>
  <c r="O2134" i="1"/>
  <c r="N2134" i="1"/>
  <c r="F638" i="11"/>
  <c r="G638" i="11"/>
  <c r="F637" i="11"/>
  <c r="G637" i="11"/>
  <c r="O2131" i="1"/>
  <c r="O2132" i="1"/>
  <c r="O2133" i="1"/>
  <c r="N2131" i="1"/>
  <c r="N2132" i="1"/>
  <c r="N2133" i="1"/>
  <c r="F634" i="11"/>
  <c r="G634" i="11"/>
  <c r="O2130" i="1"/>
  <c r="N2130" i="1"/>
  <c r="O2129" i="1"/>
  <c r="N2129" i="1"/>
  <c r="O2128" i="1"/>
  <c r="N2128" i="1"/>
  <c r="O2127" i="1"/>
  <c r="N2127" i="1"/>
  <c r="F632" i="11"/>
  <c r="G632" i="11"/>
  <c r="F630" i="11"/>
  <c r="G630" i="11"/>
  <c r="F631" i="11"/>
  <c r="G631" i="11"/>
  <c r="F629" i="11"/>
  <c r="G629" i="11"/>
  <c r="F627" i="11"/>
  <c r="G627" i="11"/>
  <c r="F628" i="11"/>
  <c r="G628" i="11"/>
  <c r="F626" i="11"/>
  <c r="G626" i="11"/>
  <c r="O2126" i="1"/>
  <c r="N2126" i="1"/>
  <c r="O2125" i="1"/>
  <c r="N2125" i="1"/>
  <c r="O2124" i="1"/>
  <c r="O2123" i="1"/>
  <c r="N2124" i="1"/>
  <c r="N2123" i="1"/>
  <c r="L2121" i="1"/>
  <c r="L2122" i="1"/>
  <c r="L2105" i="1"/>
  <c r="L2111" i="1"/>
  <c r="L2112" i="1"/>
  <c r="O2122" i="1"/>
  <c r="O2121" i="1"/>
  <c r="O2120" i="1"/>
  <c r="O2119" i="1"/>
  <c r="O2118" i="1"/>
  <c r="O2117" i="1"/>
  <c r="O2116" i="1"/>
  <c r="O2115" i="1"/>
  <c r="N2122" i="1"/>
  <c r="N2121" i="1"/>
  <c r="N2120" i="1"/>
  <c r="N2119" i="1"/>
  <c r="N2118" i="1"/>
  <c r="N2117" i="1"/>
  <c r="N2116" i="1"/>
  <c r="N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G609" i="11"/>
  <c r="F609" i="11"/>
  <c r="G608" i="11"/>
  <c r="F608" i="11"/>
  <c r="G607" i="11"/>
  <c r="F607" i="11"/>
  <c r="G606" i="11"/>
  <c r="F606" i="11"/>
  <c r="G605" i="11"/>
  <c r="F605" i="11"/>
  <c r="G604" i="11"/>
  <c r="F604" i="11"/>
  <c r="G603" i="11"/>
  <c r="F603" i="11"/>
  <c r="G602" i="11"/>
  <c r="F602" i="11"/>
  <c r="D601" i="11"/>
  <c r="G600" i="11"/>
  <c r="F600" i="11"/>
  <c r="G599" i="11"/>
  <c r="F599" i="11"/>
  <c r="M2092" i="1"/>
  <c r="L2092" i="1"/>
  <c r="L2094" i="1"/>
  <c r="B4" i="19"/>
  <c r="B2" i="19"/>
  <c r="B3" i="19"/>
  <c r="B1" i="19"/>
  <c r="L2088" i="1"/>
  <c r="O2099" i="1"/>
  <c r="N2099" i="1"/>
  <c r="L2068" i="1"/>
  <c r="O2098" i="1"/>
  <c r="O2097" i="1"/>
  <c r="N2098" i="1"/>
  <c r="N2097" i="1"/>
  <c r="O2096" i="1"/>
  <c r="O2095" i="1"/>
  <c r="N2096" i="1"/>
  <c r="N2095" i="1"/>
  <c r="O2094" i="1"/>
  <c r="N2094" i="1"/>
  <c r="O2093" i="1"/>
  <c r="N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G598" i="11"/>
  <c r="F598" i="11"/>
  <c r="O2059" i="1"/>
  <c r="N2059" i="1"/>
  <c r="O2058" i="1"/>
  <c r="N2058" i="1"/>
  <c r="O2057" i="1"/>
  <c r="N2057" i="1"/>
  <c r="O2056" i="1"/>
  <c r="N2056" i="1"/>
  <c r="G597" i="11"/>
  <c r="F597" i="11"/>
  <c r="O2055" i="1"/>
  <c r="O2054" i="1"/>
  <c r="N2055" i="1"/>
  <c r="N2054" i="1"/>
  <c r="G595" i="11"/>
  <c r="F595" i="11"/>
  <c r="D594" i="11"/>
  <c r="O2053" i="1"/>
  <c r="O2052" i="1"/>
  <c r="N2053" i="1"/>
  <c r="N2052" i="1"/>
  <c r="L2051" i="1"/>
  <c r="O2051" i="1"/>
  <c r="N2051" i="1"/>
  <c r="O2050" i="1"/>
  <c r="N2050" i="1"/>
  <c r="O2049" i="1"/>
  <c r="N2049" i="1"/>
  <c r="O2048" i="1"/>
  <c r="N2048" i="1"/>
  <c r="G591" i="11"/>
  <c r="F591" i="11"/>
  <c r="O2047" i="1"/>
  <c r="N2047" i="1"/>
  <c r="O2046" i="1"/>
  <c r="N2046" i="1"/>
  <c r="G590" i="11"/>
  <c r="F590" i="11"/>
  <c r="O2045" i="1"/>
  <c r="N2045" i="1"/>
  <c r="O2044" i="1"/>
  <c r="N2044" i="1"/>
  <c r="G587" i="11"/>
  <c r="F587" i="11"/>
  <c r="O2043" i="1"/>
  <c r="N2043" i="1"/>
  <c r="O2042" i="1"/>
  <c r="N2042" i="1"/>
  <c r="O2041" i="1"/>
  <c r="N2041" i="1"/>
  <c r="G586" i="11"/>
  <c r="F586" i="11"/>
  <c r="O2040" i="1"/>
  <c r="N2040" i="1"/>
  <c r="L2039" i="1"/>
  <c r="G585" i="11"/>
  <c r="F585" i="11"/>
  <c r="G584" i="11"/>
  <c r="F584" i="11"/>
  <c r="G583" i="11"/>
  <c r="F583" i="11"/>
  <c r="G582" i="11"/>
  <c r="F582" i="11"/>
  <c r="O2039" i="1"/>
  <c r="N2039" i="1"/>
  <c r="G581" i="11"/>
  <c r="F581" i="11"/>
  <c r="L2035" i="1"/>
  <c r="O2038" i="1"/>
  <c r="O2037" i="1"/>
  <c r="O2036" i="1"/>
  <c r="O2035" i="1"/>
  <c r="O2034" i="1"/>
  <c r="O2033" i="1"/>
  <c r="O2032" i="1"/>
  <c r="N2038" i="1"/>
  <c r="N2037" i="1"/>
  <c r="N2036" i="1"/>
  <c r="N2035" i="1"/>
  <c r="N2034" i="1"/>
  <c r="N2033" i="1"/>
  <c r="N2032" i="1"/>
  <c r="O2031" i="1"/>
  <c r="O2030" i="1"/>
  <c r="O2029" i="1"/>
  <c r="O2028" i="1"/>
  <c r="O2027" i="1"/>
  <c r="N2031" i="1"/>
  <c r="N2030" i="1"/>
  <c r="N2029" i="1"/>
  <c r="N2028" i="1"/>
  <c r="N2027" i="1"/>
  <c r="O2026" i="1"/>
  <c r="N2026" i="1"/>
  <c r="G577" i="11"/>
  <c r="F577" i="11"/>
  <c r="O2025" i="1"/>
  <c r="N2025" i="1"/>
  <c r="O2024" i="1"/>
  <c r="N2024" i="1"/>
  <c r="O2023" i="1"/>
  <c r="N2023" i="1"/>
  <c r="O2022" i="1"/>
  <c r="N2022" i="1"/>
  <c r="G571" i="11"/>
  <c r="F571" i="11"/>
  <c r="G565" i="11"/>
  <c r="F565" i="11"/>
  <c r="O2021" i="1"/>
  <c r="N2021" i="1"/>
  <c r="G564" i="11"/>
  <c r="F564" i="11"/>
  <c r="O2020" i="1"/>
  <c r="N2020" i="1"/>
  <c r="O2019" i="1"/>
  <c r="N2019" i="1"/>
  <c r="G560" i="11"/>
  <c r="F560" i="11"/>
  <c r="O2018" i="1"/>
  <c r="N2018" i="1"/>
  <c r="O2017" i="1"/>
  <c r="N2017" i="1"/>
  <c r="O2016" i="1"/>
  <c r="N2016" i="1"/>
  <c r="O2014" i="1"/>
  <c r="O2015" i="1"/>
  <c r="N2014" i="1"/>
  <c r="N2015" i="1"/>
  <c r="O2013" i="1"/>
  <c r="N2013" i="1"/>
  <c r="O2011" i="1"/>
  <c r="O2012" i="1"/>
  <c r="N2011" i="1"/>
  <c r="N2012" i="1"/>
  <c r="F556" i="11"/>
  <c r="G556" i="11"/>
  <c r="G555" i="11"/>
  <c r="F555" i="1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G552" i="11"/>
  <c r="F552" i="11"/>
  <c r="O2002" i="1"/>
  <c r="N2002" i="1"/>
  <c r="O2001" i="1"/>
  <c r="N2001" i="1"/>
  <c r="O2000" i="1"/>
  <c r="N2000" i="1"/>
  <c r="D551" i="11"/>
  <c r="G550" i="11"/>
  <c r="F550" i="11"/>
  <c r="L1999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G542" i="11"/>
  <c r="F542" i="11"/>
  <c r="F541" i="11"/>
  <c r="E541" i="11"/>
  <c r="G541" i="11" s="1"/>
  <c r="M1989" i="1"/>
  <c r="O1990" i="1"/>
  <c r="O1989" i="1"/>
  <c r="N1990" i="1"/>
  <c r="N1989" i="1"/>
  <c r="O1988" i="1"/>
  <c r="O1987" i="1"/>
  <c r="N1988" i="1"/>
  <c r="N1987" i="1"/>
  <c r="D538" i="11"/>
  <c r="G537" i="11"/>
  <c r="F537" i="11"/>
  <c r="G536" i="11"/>
  <c r="F536" i="11"/>
  <c r="G535" i="11"/>
  <c r="F535" i="11"/>
  <c r="G534" i="11"/>
  <c r="F534" i="11"/>
  <c r="O1986" i="1"/>
  <c r="N1986" i="1"/>
  <c r="L1985" i="1"/>
  <c r="O1985" i="1"/>
  <c r="N1985" i="1"/>
  <c r="M1976" i="1"/>
  <c r="O1983" i="1"/>
  <c r="O1984" i="1"/>
  <c r="N1983" i="1"/>
  <c r="N1984" i="1"/>
  <c r="O1978" i="1"/>
  <c r="N1978" i="1"/>
  <c r="N1973" i="1"/>
  <c r="O1973" i="1"/>
  <c r="O1982" i="1"/>
  <c r="O1981" i="1"/>
  <c r="O1980" i="1"/>
  <c r="O1979" i="1"/>
  <c r="O1976" i="1"/>
  <c r="O1975" i="1"/>
  <c r="O1974" i="1"/>
  <c r="O1972" i="1"/>
  <c r="O1971" i="1"/>
  <c r="O1970" i="1"/>
  <c r="O1969" i="1"/>
  <c r="O1968" i="1"/>
  <c r="N1982" i="1"/>
  <c r="N1981" i="1"/>
  <c r="N1980" i="1"/>
  <c r="N1979" i="1"/>
  <c r="N1976" i="1"/>
  <c r="N1975" i="1"/>
  <c r="N1974" i="1"/>
  <c r="N1972" i="1"/>
  <c r="N1971" i="1"/>
  <c r="N1970" i="1"/>
  <c r="N1969" i="1"/>
  <c r="N1968" i="1"/>
  <c r="G532" i="11"/>
  <c r="F532" i="11"/>
  <c r="G531" i="11"/>
  <c r="F531" i="11"/>
  <c r="O1967" i="1"/>
  <c r="N1967" i="1"/>
  <c r="O1966" i="1"/>
  <c r="N1966" i="1"/>
  <c r="O1965" i="1"/>
  <c r="N1965" i="1"/>
  <c r="O1964" i="1"/>
  <c r="N1964" i="1"/>
  <c r="O1963" i="1"/>
  <c r="N1963" i="1"/>
  <c r="G526" i="11"/>
  <c r="F526" i="11"/>
  <c r="O1962" i="1"/>
  <c r="N1962" i="1"/>
  <c r="O1961" i="1"/>
  <c r="N1961" i="1"/>
  <c r="G524" i="11"/>
  <c r="F524" i="11"/>
  <c r="O1960" i="1"/>
  <c r="N1960" i="1"/>
  <c r="O1957" i="1"/>
  <c r="O1958" i="1"/>
  <c r="O1959" i="1"/>
  <c r="N1957" i="1"/>
  <c r="N1958" i="1"/>
  <c r="N1959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O1946" i="1"/>
  <c r="N1947" i="1"/>
  <c r="N1946" i="1"/>
  <c r="G515" i="11"/>
  <c r="F515" i="11"/>
  <c r="O1945" i="1"/>
  <c r="N1945" i="1"/>
  <c r="F514" i="11"/>
  <c r="E514" i="11"/>
  <c r="G514" i="11" s="1"/>
  <c r="O1944" i="1"/>
  <c r="N1944" i="1"/>
  <c r="O1943" i="1"/>
  <c r="N1943" i="1"/>
  <c r="M1942" i="1"/>
  <c r="O1942" i="1"/>
  <c r="N1942" i="1"/>
  <c r="G513" i="11"/>
  <c r="F513" i="11"/>
  <c r="O1941" i="1"/>
  <c r="N1941" i="1"/>
  <c r="O1940" i="1"/>
  <c r="N1940" i="1"/>
  <c r="O1939" i="1"/>
  <c r="N1939" i="1"/>
  <c r="O1938" i="1"/>
  <c r="N1938" i="1"/>
  <c r="O1937" i="1"/>
  <c r="N1937" i="1"/>
  <c r="G509" i="11"/>
  <c r="F509" i="11"/>
  <c r="O1936" i="1"/>
  <c r="N1936" i="1"/>
  <c r="O1935" i="1"/>
  <c r="N1935" i="1"/>
  <c r="O1934" i="1"/>
  <c r="N1934" i="1"/>
  <c r="G508" i="11"/>
  <c r="F508" i="11"/>
  <c r="O1933" i="1"/>
  <c r="N1933" i="1"/>
  <c r="G507" i="11"/>
  <c r="F507" i="11"/>
  <c r="G506" i="11"/>
  <c r="F506" i="11"/>
  <c r="O1932" i="1"/>
  <c r="N1932" i="1"/>
  <c r="O1931" i="1"/>
  <c r="O1930" i="1"/>
  <c r="N1931" i="1"/>
  <c r="N1930" i="1"/>
  <c r="G505" i="11"/>
  <c r="F505" i="11"/>
  <c r="O1929" i="1"/>
  <c r="O1928" i="1"/>
  <c r="O1927" i="1"/>
  <c r="O1926" i="1"/>
  <c r="O1925" i="1"/>
  <c r="O1924" i="1"/>
  <c r="O1923" i="1"/>
  <c r="O1922" i="1"/>
  <c r="O1921" i="1"/>
  <c r="N1929" i="1"/>
  <c r="N1928" i="1"/>
  <c r="N1927" i="1"/>
  <c r="N1926" i="1"/>
  <c r="N1925" i="1"/>
  <c r="N1924" i="1"/>
  <c r="N1923" i="1"/>
  <c r="N1922" i="1"/>
  <c r="N1921" i="1"/>
  <c r="O1920" i="1"/>
  <c r="N1920" i="1"/>
  <c r="O1919" i="1"/>
  <c r="O1918" i="1"/>
  <c r="O1917" i="1"/>
  <c r="O1916" i="1"/>
  <c r="N1919" i="1"/>
  <c r="N1918" i="1"/>
  <c r="N1917" i="1"/>
  <c r="N1916" i="1"/>
  <c r="O1915" i="1"/>
  <c r="O1914" i="1"/>
  <c r="O1913" i="1"/>
  <c r="N1915" i="1"/>
  <c r="N1914" i="1"/>
  <c r="N1913" i="1"/>
  <c r="O1912" i="1"/>
  <c r="O1911" i="1"/>
  <c r="O1910" i="1"/>
  <c r="O1909" i="1"/>
  <c r="N1912" i="1"/>
  <c r="N1911" i="1"/>
  <c r="N1910" i="1"/>
  <c r="N1909" i="1"/>
  <c r="O1908" i="1"/>
  <c r="N1908" i="1"/>
  <c r="O1907" i="1"/>
  <c r="N1907" i="1"/>
  <c r="G500" i="11"/>
  <c r="F500" i="11"/>
  <c r="O1906" i="1"/>
  <c r="N1906" i="1"/>
  <c r="O1905" i="1"/>
  <c r="N1905" i="1"/>
  <c r="G499" i="11"/>
  <c r="F499" i="11"/>
  <c r="G498" i="11"/>
  <c r="F498" i="11"/>
  <c r="O1904" i="1"/>
  <c r="N1904" i="1"/>
  <c r="O1903" i="1"/>
  <c r="N1903" i="1"/>
  <c r="G497" i="11"/>
  <c r="F497" i="11"/>
  <c r="G496" i="11"/>
  <c r="F496" i="11"/>
  <c r="G495" i="11"/>
  <c r="F495" i="11"/>
  <c r="O1902" i="1"/>
  <c r="O1901" i="1"/>
  <c r="N1902" i="1"/>
  <c r="N1901" i="1"/>
  <c r="O1900" i="1"/>
  <c r="O1899" i="1"/>
  <c r="N1900" i="1"/>
  <c r="N1899" i="1"/>
  <c r="O1898" i="1"/>
  <c r="N1898" i="1"/>
  <c r="O1897" i="1"/>
  <c r="N1897" i="1"/>
  <c r="O1896" i="1"/>
  <c r="N1896" i="1"/>
  <c r="G488" i="11"/>
  <c r="F488" i="11"/>
  <c r="G487" i="11"/>
  <c r="F487" i="11"/>
  <c r="G485" i="11"/>
  <c r="F485" i="11"/>
  <c r="G484" i="11"/>
  <c r="F484" i="11"/>
  <c r="O1895" i="1"/>
  <c r="N1895" i="1"/>
  <c r="O1894" i="1"/>
  <c r="O1893" i="1"/>
  <c r="O1892" i="1"/>
  <c r="N1894" i="1"/>
  <c r="N1893" i="1"/>
  <c r="N1892" i="1"/>
  <c r="O1891" i="1"/>
  <c r="N1891" i="1"/>
  <c r="O1890" i="1"/>
  <c r="O1889" i="1"/>
  <c r="N1890" i="1"/>
  <c r="N1889" i="1"/>
  <c r="F482" i="11"/>
  <c r="G482" i="11"/>
  <c r="O1888" i="1"/>
  <c r="N1888" i="1"/>
  <c r="O1887" i="1"/>
  <c r="N1887" i="1"/>
  <c r="O1886" i="1"/>
  <c r="N1886" i="1"/>
  <c r="O1884" i="1"/>
  <c r="O1885" i="1"/>
  <c r="N1884" i="1"/>
  <c r="N1885" i="1"/>
  <c r="D480" i="11"/>
  <c r="F480" i="11"/>
  <c r="G480" i="11"/>
  <c r="O1883" i="1"/>
  <c r="N1883" i="1"/>
  <c r="L1881" i="1"/>
  <c r="O1882" i="1"/>
  <c r="N1882" i="1"/>
  <c r="O1881" i="1"/>
  <c r="N1881" i="1"/>
  <c r="O1880" i="1"/>
  <c r="O1879" i="1"/>
  <c r="N1880" i="1"/>
  <c r="N1879" i="1"/>
  <c r="O1878" i="1"/>
  <c r="N1878" i="1"/>
  <c r="G476" i="11"/>
  <c r="F476" i="11"/>
  <c r="O1877" i="1"/>
  <c r="N1877" i="1"/>
  <c r="O1876" i="1"/>
  <c r="N1876" i="1"/>
  <c r="O1875" i="1"/>
  <c r="N1875" i="1"/>
  <c r="O1874" i="1"/>
  <c r="N1874" i="1"/>
  <c r="G474" i="11"/>
  <c r="F474" i="11"/>
  <c r="O1873" i="1"/>
  <c r="N1873" i="1"/>
  <c r="O1872" i="1"/>
  <c r="N1872" i="1"/>
  <c r="O1871" i="1"/>
  <c r="O1870" i="1"/>
  <c r="O1869" i="1"/>
  <c r="N1871" i="1"/>
  <c r="N1870" i="1"/>
  <c r="N1869" i="1"/>
  <c r="G461" i="11"/>
  <c r="F461" i="11"/>
  <c r="G460" i="11"/>
  <c r="F460" i="11"/>
  <c r="G459" i="11"/>
  <c r="F459" i="11"/>
  <c r="G458" i="11"/>
  <c r="F458" i="11"/>
  <c r="G457" i="11"/>
  <c r="F457" i="11"/>
  <c r="G456" i="11"/>
  <c r="F456" i="11"/>
  <c r="N1848" i="1"/>
  <c r="O1848" i="1"/>
  <c r="N1851" i="1"/>
  <c r="O1851" i="1"/>
  <c r="O1868" i="1"/>
  <c r="N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0" i="1"/>
  <c r="O1849" i="1"/>
  <c r="O1847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0" i="1"/>
  <c r="N1849" i="1"/>
  <c r="N1847" i="1"/>
  <c r="O1846" i="1"/>
  <c r="O1845" i="1"/>
  <c r="O1844" i="1"/>
  <c r="O1843" i="1"/>
  <c r="N1846" i="1"/>
  <c r="N1845" i="1"/>
  <c r="N1844" i="1"/>
  <c r="N1843" i="1"/>
  <c r="F453" i="11"/>
  <c r="G453" i="11"/>
  <c r="G451" i="11"/>
  <c r="F451" i="11"/>
  <c r="O1842" i="1"/>
  <c r="N1842" i="1"/>
  <c r="O1841" i="1"/>
  <c r="N1841" i="1"/>
  <c r="O1840" i="1"/>
  <c r="N1840" i="1"/>
  <c r="O1839" i="1"/>
  <c r="N1839" i="1"/>
  <c r="O1838" i="1"/>
  <c r="N1838" i="1"/>
  <c r="J448" i="11"/>
  <c r="G448" i="11"/>
  <c r="F448" i="11"/>
  <c r="R1836" i="1"/>
  <c r="O1837" i="1"/>
  <c r="N1837" i="1"/>
  <c r="O1836" i="1"/>
  <c r="N1836" i="1"/>
  <c r="O1835" i="1"/>
  <c r="N1835" i="1"/>
  <c r="O1834" i="1"/>
  <c r="O1833" i="1"/>
  <c r="N1834" i="1"/>
  <c r="N1833" i="1"/>
  <c r="O1832" i="1"/>
  <c r="N1832" i="1"/>
  <c r="G446" i="11"/>
  <c r="F446" i="11"/>
  <c r="G445" i="11"/>
  <c r="F445" i="11"/>
  <c r="O1831" i="1"/>
  <c r="N1831" i="1"/>
  <c r="O1830" i="1"/>
  <c r="O1829" i="1"/>
  <c r="N1830" i="1"/>
  <c r="N1829" i="1"/>
  <c r="G444" i="11"/>
  <c r="F444" i="11"/>
  <c r="G441" i="11"/>
  <c r="F441" i="11"/>
  <c r="G440" i="11"/>
  <c r="F440" i="11"/>
  <c r="O1828" i="1"/>
  <c r="O1827" i="1"/>
  <c r="N1828" i="1"/>
  <c r="N1827" i="1"/>
  <c r="O1826" i="1"/>
  <c r="N1826" i="1"/>
  <c r="O1825" i="1"/>
  <c r="N1825" i="1"/>
  <c r="O1823" i="1"/>
  <c r="O1824" i="1"/>
  <c r="N1823" i="1"/>
  <c r="N1824" i="1"/>
  <c r="O1822" i="1"/>
  <c r="N1822" i="1"/>
  <c r="G439" i="11"/>
  <c r="F439" i="11"/>
  <c r="G438" i="11"/>
  <c r="F438" i="11"/>
  <c r="O1821" i="1"/>
  <c r="N1821" i="1"/>
  <c r="O1820" i="1"/>
  <c r="N1820" i="1"/>
  <c r="G437" i="11"/>
  <c r="F437" i="11"/>
  <c r="O1819" i="1"/>
  <c r="N1819" i="1"/>
  <c r="G436" i="11"/>
  <c r="F436" i="11"/>
  <c r="O1818" i="1"/>
  <c r="N1818" i="1"/>
  <c r="O1817" i="1"/>
  <c r="O1816" i="1"/>
  <c r="N1817" i="1"/>
  <c r="N1816" i="1"/>
  <c r="O1815" i="1"/>
  <c r="N1815" i="1"/>
  <c r="O1814" i="1"/>
  <c r="N1814" i="1"/>
  <c r="O1813" i="1"/>
  <c r="N1813" i="1"/>
  <c r="G435" i="11"/>
  <c r="F435" i="11"/>
  <c r="O1812" i="1"/>
  <c r="N1812" i="1"/>
  <c r="O1811" i="1"/>
  <c r="N1811" i="1"/>
  <c r="O1810" i="1"/>
  <c r="N1810" i="1"/>
  <c r="O1809" i="1"/>
  <c r="N1809" i="1"/>
  <c r="G434" i="11"/>
  <c r="F434" i="11"/>
  <c r="O1808" i="1"/>
  <c r="N1808" i="1"/>
  <c r="O1807" i="1"/>
  <c r="N1807" i="1"/>
  <c r="G432" i="11"/>
  <c r="F432" i="11"/>
  <c r="G431" i="11"/>
  <c r="F431" i="11"/>
  <c r="O1806" i="1"/>
  <c r="N1806" i="1"/>
  <c r="O1805" i="1"/>
  <c r="N1805" i="1"/>
  <c r="O1804" i="1"/>
  <c r="N1804" i="1"/>
  <c r="O1803" i="1"/>
  <c r="N1803" i="1"/>
  <c r="G429" i="11"/>
  <c r="F429" i="11"/>
  <c r="O1802" i="1"/>
  <c r="N1802" i="1"/>
  <c r="O1801" i="1"/>
  <c r="N1801" i="1"/>
  <c r="O1800" i="1"/>
  <c r="N1800" i="1"/>
  <c r="O1799" i="1"/>
  <c r="N1799" i="1"/>
  <c r="G424" i="11"/>
  <c r="F424" i="11"/>
  <c r="O1798" i="1"/>
  <c r="N1798" i="1"/>
  <c r="O1797" i="1"/>
  <c r="N1797" i="1"/>
  <c r="G422" i="11"/>
  <c r="F422" i="11"/>
  <c r="O1796" i="1"/>
  <c r="N1796" i="1"/>
  <c r="G421" i="11"/>
  <c r="F421" i="11"/>
  <c r="O1795" i="1"/>
  <c r="N1795" i="1"/>
  <c r="L1792" i="1"/>
  <c r="O1794" i="1"/>
  <c r="N1794" i="1"/>
  <c r="O1793" i="1"/>
  <c r="O1792" i="1"/>
  <c r="N1793" i="1"/>
  <c r="N1792" i="1"/>
  <c r="G419" i="11"/>
  <c r="F419" i="11"/>
  <c r="G418" i="11"/>
  <c r="F418" i="11"/>
  <c r="O1791" i="1"/>
  <c r="N1791" i="1"/>
  <c r="O1790" i="1"/>
  <c r="N1790" i="1"/>
  <c r="O1789" i="1"/>
  <c r="N1789" i="1"/>
  <c r="L1785" i="1"/>
  <c r="D417" i="11"/>
  <c r="L1778" i="1"/>
  <c r="O1788" i="1"/>
  <c r="N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G406" i="11"/>
  <c r="F406" i="11"/>
  <c r="G405" i="11"/>
  <c r="F405" i="11"/>
  <c r="O1774" i="1"/>
  <c r="O1773" i="1"/>
  <c r="N1774" i="1"/>
  <c r="N1773" i="1"/>
  <c r="O1772" i="1"/>
  <c r="O1771" i="1"/>
  <c r="O1770" i="1"/>
  <c r="N1772" i="1"/>
  <c r="N1771" i="1"/>
  <c r="N1770" i="1"/>
  <c r="O1769" i="1"/>
  <c r="N1769" i="1"/>
  <c r="G403" i="11"/>
  <c r="F403" i="11"/>
  <c r="O1768" i="1"/>
  <c r="N1768" i="1"/>
  <c r="O1767" i="1"/>
  <c r="N1767" i="1"/>
  <c r="O1766" i="1"/>
  <c r="O1765" i="1"/>
  <c r="O1764" i="1"/>
  <c r="N1766" i="1"/>
  <c r="N1765" i="1"/>
  <c r="N1764" i="1"/>
  <c r="O1763" i="1"/>
  <c r="N1763" i="1"/>
  <c r="G400" i="11"/>
  <c r="F400" i="11"/>
  <c r="G399" i="11"/>
  <c r="F399" i="11"/>
  <c r="O1762" i="1"/>
  <c r="O1761" i="1"/>
  <c r="N1762" i="1"/>
  <c r="N1761" i="1"/>
  <c r="O1760" i="1"/>
  <c r="N1760" i="1"/>
  <c r="O1759" i="1"/>
  <c r="N1759" i="1"/>
  <c r="G396" i="11"/>
  <c r="F396" i="11"/>
  <c r="L1757" i="1"/>
  <c r="O1758" i="1"/>
  <c r="N1758" i="1"/>
  <c r="O1757" i="1"/>
  <c r="N1757" i="1"/>
  <c r="G394" i="11"/>
  <c r="F394" i="11"/>
  <c r="G393" i="11"/>
  <c r="F393" i="11"/>
  <c r="O1756" i="1"/>
  <c r="N1756" i="1"/>
  <c r="O1755" i="1"/>
  <c r="N1755" i="1"/>
  <c r="G389" i="11"/>
  <c r="F389" i="11"/>
  <c r="D388" i="11"/>
  <c r="G387" i="11"/>
  <c r="F387" i="11"/>
  <c r="G386" i="11"/>
  <c r="F386" i="11"/>
  <c r="D385" i="11"/>
  <c r="O1754" i="1"/>
  <c r="O1753" i="1"/>
  <c r="O1752" i="1"/>
  <c r="N1754" i="1"/>
  <c r="N1753" i="1"/>
  <c r="N1752" i="1"/>
  <c r="G384" i="11"/>
  <c r="F384" i="11"/>
  <c r="G380" i="11"/>
  <c r="F380" i="11"/>
  <c r="G379" i="11"/>
  <c r="F379" i="11"/>
  <c r="G378" i="11"/>
  <c r="F378" i="11"/>
  <c r="G377" i="11"/>
  <c r="F377" i="11"/>
  <c r="G376" i="11"/>
  <c r="F376" i="11"/>
  <c r="O1751" i="1"/>
  <c r="N1751" i="1"/>
  <c r="O1750" i="1"/>
  <c r="N1750" i="1"/>
  <c r="D375" i="11"/>
  <c r="E374" i="11"/>
  <c r="D374" i="11"/>
  <c r="G372" i="11"/>
  <c r="F372" i="11"/>
  <c r="L1744" i="1"/>
  <c r="M1743" i="1"/>
  <c r="D371" i="11"/>
  <c r="G370" i="11"/>
  <c r="F370" i="11"/>
  <c r="G369" i="11"/>
  <c r="F369" i="11"/>
  <c r="G368" i="11"/>
  <c r="F368" i="11"/>
  <c r="O1749" i="1"/>
  <c r="O1748" i="1"/>
  <c r="O1747" i="1"/>
  <c r="O1746" i="1"/>
  <c r="O1745" i="1"/>
  <c r="O1744" i="1"/>
  <c r="O1743" i="1"/>
  <c r="N1749" i="1"/>
  <c r="N1748" i="1"/>
  <c r="N1747" i="1"/>
  <c r="N1746" i="1"/>
  <c r="N1745" i="1"/>
  <c r="N1744" i="1"/>
  <c r="N1743" i="1"/>
  <c r="G366" i="11"/>
  <c r="F366" i="11"/>
  <c r="G364" i="11"/>
  <c r="F364" i="11"/>
  <c r="G363" i="11"/>
  <c r="F363" i="11"/>
  <c r="G362" i="11"/>
  <c r="F362" i="11"/>
  <c r="O1742" i="1"/>
  <c r="N1742" i="1"/>
  <c r="O1741" i="1"/>
  <c r="O1740" i="1"/>
  <c r="O1739" i="1"/>
  <c r="O1738" i="1"/>
  <c r="O1737" i="1"/>
  <c r="N1741" i="1"/>
  <c r="N1740" i="1"/>
  <c r="N1739" i="1"/>
  <c r="N1738" i="1"/>
  <c r="N1737" i="1"/>
  <c r="G361" i="11"/>
  <c r="F361" i="11"/>
  <c r="M1715" i="1"/>
  <c r="G359" i="11"/>
  <c r="F359" i="11"/>
  <c r="G358" i="11"/>
  <c r="F358" i="11"/>
  <c r="G357" i="11"/>
  <c r="F357" i="11"/>
  <c r="O1736" i="1"/>
  <c r="O1735" i="1"/>
  <c r="O1734" i="1"/>
  <c r="O1733" i="1"/>
  <c r="N1736" i="1"/>
  <c r="N1735" i="1"/>
  <c r="N1734" i="1"/>
  <c r="N1733" i="1"/>
  <c r="G356" i="11"/>
  <c r="F356" i="11"/>
  <c r="O1732" i="1"/>
  <c r="N1732" i="1"/>
  <c r="G355" i="11"/>
  <c r="F355" i="11"/>
  <c r="L1721" i="1"/>
  <c r="E354" i="11"/>
  <c r="D354" i="11"/>
  <c r="G353" i="11"/>
  <c r="F353" i="11"/>
  <c r="M1632" i="1"/>
  <c r="L1632" i="1"/>
  <c r="M1631" i="1"/>
  <c r="L1631" i="1"/>
  <c r="O1731" i="1"/>
  <c r="N1731" i="1"/>
  <c r="G351" i="11"/>
  <c r="F351" i="11"/>
  <c r="G349" i="11"/>
  <c r="F349" i="11"/>
  <c r="G348" i="11"/>
  <c r="F348" i="11"/>
  <c r="G347" i="11"/>
  <c r="F347" i="11"/>
  <c r="O1730" i="1"/>
  <c r="N1730" i="1"/>
  <c r="G342" i="11"/>
  <c r="F342" i="11"/>
  <c r="G341" i="11"/>
  <c r="F341" i="11"/>
  <c r="D340" i="11"/>
  <c r="O1729" i="1"/>
  <c r="N1729" i="1"/>
  <c r="G339" i="11"/>
  <c r="F339" i="11"/>
  <c r="O1728" i="1"/>
  <c r="O1727" i="1"/>
  <c r="O1726" i="1"/>
  <c r="N1728" i="1"/>
  <c r="N1727" i="1"/>
  <c r="N1726" i="1"/>
  <c r="G338" i="11"/>
  <c r="F338" i="11"/>
  <c r="D337" i="11"/>
  <c r="G336" i="11"/>
  <c r="F336" i="11"/>
  <c r="M1658" i="1"/>
  <c r="L1658" i="1"/>
  <c r="L1655" i="1"/>
  <c r="L1653" i="1"/>
  <c r="L1652" i="1"/>
  <c r="M1651" i="1"/>
  <c r="L1651" i="1"/>
  <c r="M1650" i="1"/>
  <c r="L1650" i="1"/>
  <c r="L1649" i="1"/>
  <c r="L1648" i="1"/>
  <c r="O1725" i="1"/>
  <c r="O1724" i="1"/>
  <c r="N1725" i="1"/>
  <c r="N1724" i="1"/>
  <c r="L1674" i="1"/>
  <c r="L1671" i="1"/>
  <c r="O1723" i="1"/>
  <c r="O1722" i="1"/>
  <c r="N1723" i="1"/>
  <c r="N1722" i="1"/>
  <c r="L1669" i="1"/>
  <c r="L1657" i="1"/>
  <c r="O1721" i="1"/>
  <c r="O1720" i="1"/>
  <c r="O1719" i="1"/>
  <c r="N1721" i="1"/>
  <c r="N1720" i="1"/>
  <c r="N1719" i="1"/>
  <c r="L1668" i="1"/>
  <c r="O1718" i="1"/>
  <c r="N1718" i="1"/>
  <c r="O1717" i="1"/>
  <c r="O1716" i="1"/>
  <c r="O1715" i="1"/>
  <c r="O1714" i="1"/>
  <c r="O1713" i="1"/>
  <c r="O1712" i="1"/>
  <c r="O1711" i="1"/>
  <c r="O1710" i="1"/>
  <c r="N1717" i="1"/>
  <c r="N1716" i="1"/>
  <c r="N1715" i="1"/>
  <c r="N1714" i="1"/>
  <c r="N1713" i="1"/>
  <c r="N1712" i="1"/>
  <c r="N1711" i="1"/>
  <c r="N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O110" i="8"/>
  <c r="N110" i="8"/>
  <c r="O109" i="8"/>
  <c r="N109" i="8"/>
  <c r="O108" i="8"/>
  <c r="N108" i="8"/>
  <c r="O107" i="8"/>
  <c r="N107" i="8"/>
  <c r="L106" i="8"/>
  <c r="O105" i="8"/>
  <c r="N105" i="8"/>
  <c r="L104" i="8"/>
  <c r="O103" i="8"/>
  <c r="N103" i="8"/>
  <c r="O102" i="8"/>
  <c r="N102" i="8"/>
  <c r="O101" i="8"/>
  <c r="N101" i="8"/>
  <c r="O100" i="8"/>
  <c r="N100" i="8"/>
  <c r="O99" i="8"/>
  <c r="N99" i="8"/>
  <c r="O98" i="8"/>
  <c r="N98" i="8"/>
  <c r="O97" i="8"/>
  <c r="N97" i="8"/>
  <c r="O96" i="8"/>
  <c r="N96" i="8"/>
  <c r="O95" i="8"/>
  <c r="N95" i="8"/>
  <c r="O94" i="8"/>
  <c r="N94" i="8"/>
  <c r="O93" i="8"/>
  <c r="N93" i="8"/>
  <c r="O92" i="8"/>
  <c r="N92" i="8"/>
  <c r="O91" i="8"/>
  <c r="N91" i="8"/>
  <c r="O90" i="8"/>
  <c r="N90" i="8"/>
  <c r="O89" i="8"/>
  <c r="N89" i="8"/>
  <c r="O88" i="8"/>
  <c r="N88" i="8"/>
  <c r="O87" i="8"/>
  <c r="N87" i="8"/>
  <c r="O86" i="8"/>
  <c r="N86" i="8"/>
  <c r="O85" i="8"/>
  <c r="N85" i="8"/>
  <c r="O84" i="8"/>
  <c r="N84" i="8"/>
  <c r="O83" i="8"/>
  <c r="N83" i="8"/>
  <c r="O82" i="8"/>
  <c r="N82" i="8"/>
  <c r="O81" i="8"/>
  <c r="N81" i="8"/>
  <c r="O80" i="8"/>
  <c r="N80" i="8"/>
  <c r="O79" i="8"/>
  <c r="N79" i="8"/>
  <c r="O78" i="8"/>
  <c r="N78" i="8"/>
  <c r="O77" i="8"/>
  <c r="N77" i="8"/>
  <c r="O76" i="8"/>
  <c r="N76" i="8"/>
  <c r="O75" i="8"/>
  <c r="N75" i="8"/>
  <c r="O74" i="8"/>
  <c r="N74" i="8"/>
  <c r="O73" i="8"/>
  <c r="N73" i="8"/>
  <c r="O72" i="8"/>
  <c r="N72" i="8"/>
  <c r="O71" i="8"/>
  <c r="N71" i="8"/>
  <c r="O70" i="8"/>
  <c r="N70" i="8"/>
  <c r="O69" i="8"/>
  <c r="N69" i="8"/>
  <c r="O68" i="8"/>
  <c r="N68" i="8"/>
  <c r="O67" i="8"/>
  <c r="N67" i="8"/>
  <c r="O66" i="8"/>
  <c r="N66" i="8"/>
  <c r="O65" i="8"/>
  <c r="N65" i="8"/>
  <c r="O64" i="8"/>
  <c r="N64" i="8"/>
  <c r="O63" i="8"/>
  <c r="N63" i="8"/>
  <c r="L62" i="8"/>
  <c r="O61" i="8"/>
  <c r="N61" i="8"/>
  <c r="L60" i="8"/>
  <c r="O59" i="8"/>
  <c r="N59" i="8"/>
  <c r="O58" i="8"/>
  <c r="N58" i="8"/>
  <c r="O57" i="8"/>
  <c r="N57" i="8"/>
  <c r="O56" i="8"/>
  <c r="N56" i="8"/>
  <c r="O55" i="8"/>
  <c r="N55" i="8"/>
  <c r="O54" i="8"/>
  <c r="N54" i="8"/>
  <c r="O53" i="8"/>
  <c r="N53" i="8"/>
  <c r="O52" i="8"/>
  <c r="N52" i="8"/>
  <c r="O51" i="8"/>
  <c r="N51" i="8"/>
  <c r="O50" i="8"/>
  <c r="N50" i="8"/>
  <c r="O49" i="8"/>
  <c r="N49" i="8"/>
  <c r="O48" i="8"/>
  <c r="N48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L39" i="8"/>
  <c r="O38" i="8"/>
  <c r="N38" i="8"/>
  <c r="O37" i="8"/>
  <c r="N37" i="8"/>
  <c r="O36" i="8"/>
  <c r="N36" i="8"/>
  <c r="O35" i="8"/>
  <c r="N35" i="8"/>
  <c r="O34" i="8"/>
  <c r="N34" i="8"/>
  <c r="O33" i="8"/>
  <c r="N33" i="8"/>
  <c r="O32" i="8"/>
  <c r="N32" i="8"/>
  <c r="O31" i="8"/>
  <c r="N31" i="8"/>
  <c r="O30" i="8"/>
  <c r="N30" i="8"/>
  <c r="O29" i="8"/>
  <c r="N29" i="8"/>
  <c r="L28" i="8"/>
  <c r="O27" i="8"/>
  <c r="N27" i="8"/>
  <c r="L26" i="8"/>
  <c r="O25" i="8"/>
  <c r="N25" i="8"/>
  <c r="O24" i="8"/>
  <c r="N24" i="8"/>
  <c r="L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L15" i="8"/>
  <c r="N14" i="8"/>
  <c r="M14" i="8"/>
  <c r="O14" i="8" s="1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L6" i="8"/>
  <c r="O5" i="8"/>
  <c r="N5" i="8"/>
  <c r="O4" i="8"/>
  <c r="N4" i="8"/>
  <c r="O3" i="8"/>
  <c r="N3" i="8"/>
  <c r="O2" i="8"/>
  <c r="N2" i="8"/>
  <c r="O1627" i="1"/>
  <c r="O1626" i="1"/>
  <c r="N1627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N1618" i="1"/>
  <c r="O1618" i="1"/>
  <c r="L1615" i="1"/>
  <c r="O1617" i="1"/>
  <c r="N1617" i="1"/>
  <c r="O1616" i="1"/>
  <c r="O1615" i="1"/>
  <c r="N1616" i="1"/>
  <c r="N1615" i="1"/>
  <c r="O1614" i="1"/>
  <c r="N1614" i="1"/>
  <c r="G318" i="11"/>
  <c r="F318" i="11"/>
  <c r="O1613" i="1"/>
  <c r="O1612" i="1"/>
  <c r="N1613" i="1"/>
  <c r="N1612" i="1"/>
  <c r="G317" i="11"/>
  <c r="F317" i="11"/>
  <c r="G316" i="11"/>
  <c r="F316" i="11"/>
  <c r="O1611" i="1"/>
  <c r="N1611" i="1"/>
  <c r="O1610" i="1"/>
  <c r="N1610" i="1"/>
  <c r="O1609" i="1"/>
  <c r="N1609" i="1"/>
  <c r="O1608" i="1"/>
  <c r="N1608" i="1"/>
  <c r="O1607" i="1"/>
  <c r="N1607" i="1"/>
  <c r="G311" i="11"/>
  <c r="F311" i="11"/>
  <c r="O1606" i="1"/>
  <c r="O1605" i="1"/>
  <c r="O1604" i="1"/>
  <c r="N1606" i="1"/>
  <c r="N1605" i="1"/>
  <c r="N1604" i="1"/>
  <c r="O1603" i="1"/>
  <c r="N1603" i="1"/>
  <c r="D309" i="11"/>
  <c r="L1598" i="1"/>
  <c r="N1598" i="1"/>
  <c r="O1598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2" i="1"/>
  <c r="N74" i="1"/>
  <c r="N75" i="1"/>
  <c r="N76" i="1"/>
  <c r="N77" i="1"/>
  <c r="N78" i="1"/>
  <c r="N79" i="1"/>
  <c r="N81" i="1"/>
  <c r="N82" i="1"/>
  <c r="N83" i="1"/>
  <c r="N84" i="1"/>
  <c r="N86" i="1"/>
  <c r="N88" i="1"/>
  <c r="N90" i="1"/>
  <c r="N91" i="1"/>
  <c r="N92" i="1"/>
  <c r="N93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5" i="1"/>
  <c r="N196" i="1"/>
  <c r="N197" i="1"/>
  <c r="N198" i="1"/>
  <c r="N200" i="1"/>
  <c r="N201" i="1"/>
  <c r="N202" i="1"/>
  <c r="N203" i="1"/>
  <c r="N204" i="1"/>
  <c r="N205" i="1"/>
  <c r="N207" i="1"/>
  <c r="N208" i="1"/>
  <c r="N209" i="1"/>
  <c r="N210" i="1"/>
  <c r="N211" i="1"/>
  <c r="N213" i="1"/>
  <c r="N214" i="1"/>
  <c r="N215" i="1"/>
  <c r="N216" i="1"/>
  <c r="N217" i="1"/>
  <c r="N220" i="1"/>
  <c r="N221" i="1"/>
  <c r="N222" i="1"/>
  <c r="N223" i="1"/>
  <c r="N225" i="1"/>
  <c r="N226" i="1"/>
  <c r="N227" i="1"/>
  <c r="N233" i="1"/>
  <c r="N234" i="1"/>
  <c r="N235" i="1"/>
  <c r="N239" i="1"/>
  <c r="N241" i="1"/>
  <c r="N243" i="1"/>
  <c r="N244" i="1"/>
  <c r="N245" i="1"/>
  <c r="N247" i="1"/>
  <c r="N248" i="1"/>
  <c r="N249" i="1"/>
  <c r="N252" i="1"/>
  <c r="N254" i="1"/>
  <c r="N256" i="1"/>
  <c r="N257" i="1"/>
  <c r="N259" i="1"/>
  <c r="N260" i="1"/>
  <c r="N262" i="1"/>
  <c r="N263" i="1"/>
  <c r="N264" i="1"/>
  <c r="N265" i="1"/>
  <c r="N266" i="1"/>
  <c r="N267" i="1"/>
  <c r="N268" i="1"/>
  <c r="N269" i="1"/>
  <c r="N270" i="1"/>
  <c r="N272" i="1"/>
  <c r="N273" i="1"/>
  <c r="N274" i="1"/>
  <c r="N275" i="1"/>
  <c r="N277" i="1"/>
  <c r="N280" i="1"/>
  <c r="N281" i="1"/>
  <c r="N282" i="1"/>
  <c r="N283" i="1"/>
  <c r="N284" i="1"/>
  <c r="N285" i="1"/>
  <c r="N286" i="1"/>
  <c r="N287" i="1"/>
  <c r="N288" i="1"/>
  <c r="N291" i="1"/>
  <c r="N292" i="1"/>
  <c r="N293" i="1"/>
  <c r="N294" i="1"/>
  <c r="N296" i="1"/>
  <c r="N297" i="1"/>
  <c r="N299" i="1"/>
  <c r="N300" i="1"/>
  <c r="N301" i="1"/>
  <c r="N302" i="1"/>
  <c r="N303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8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8" i="1"/>
  <c r="N339" i="1"/>
  <c r="N340" i="1"/>
  <c r="N341" i="1"/>
  <c r="N342" i="1"/>
  <c r="N343" i="1"/>
  <c r="N347" i="1"/>
  <c r="N349" i="1"/>
  <c r="N350" i="1"/>
  <c r="N352" i="1"/>
  <c r="N353" i="1"/>
  <c r="N354" i="1"/>
  <c r="N355" i="1"/>
  <c r="N356" i="1"/>
  <c r="N357" i="1"/>
  <c r="N358" i="1"/>
  <c r="N359" i="1"/>
  <c r="N360" i="1"/>
  <c r="N361" i="1"/>
  <c r="N362" i="1"/>
  <c r="N364" i="1"/>
  <c r="N366" i="1"/>
  <c r="N367" i="1"/>
  <c r="N368" i="1"/>
  <c r="N369" i="1"/>
  <c r="N371" i="1"/>
  <c r="N373" i="1"/>
  <c r="N374" i="1"/>
  <c r="N375" i="1"/>
  <c r="N376" i="1"/>
  <c r="N377" i="1"/>
  <c r="N378" i="1"/>
  <c r="N379" i="1"/>
  <c r="N380" i="1"/>
  <c r="N381" i="1"/>
  <c r="N382" i="1"/>
  <c r="N383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3" i="1"/>
  <c r="N406" i="1"/>
  <c r="N407" i="1"/>
  <c r="N408" i="1"/>
  <c r="N410" i="1"/>
  <c r="N412" i="1"/>
  <c r="N413" i="1"/>
  <c r="N417" i="1"/>
  <c r="N418" i="1"/>
  <c r="N419" i="1"/>
  <c r="N420" i="1"/>
  <c r="N422" i="1"/>
  <c r="N425" i="1"/>
  <c r="N426" i="1"/>
  <c r="N427" i="1"/>
  <c r="N429" i="1"/>
  <c r="N431" i="1"/>
  <c r="N432" i="1"/>
  <c r="N434" i="1"/>
  <c r="N435" i="1"/>
  <c r="N436" i="1"/>
  <c r="N437" i="1"/>
  <c r="N439" i="1"/>
  <c r="N440" i="1"/>
  <c r="N443" i="1"/>
  <c r="N444" i="1"/>
  <c r="N445" i="1"/>
  <c r="N446" i="1"/>
  <c r="N447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8" i="1"/>
  <c r="N469" i="1"/>
  <c r="N470" i="1"/>
  <c r="N474" i="1"/>
  <c r="N475" i="1"/>
  <c r="N476" i="1"/>
  <c r="N477" i="1"/>
  <c r="N479" i="1"/>
  <c r="N481" i="1"/>
  <c r="N483" i="1"/>
  <c r="N485" i="1"/>
  <c r="N486" i="1"/>
  <c r="N487" i="1"/>
  <c r="N490" i="1"/>
  <c r="N491" i="1"/>
  <c r="N493" i="1"/>
  <c r="N494" i="1"/>
  <c r="N495" i="1"/>
  <c r="N496" i="1"/>
  <c r="N497" i="1"/>
  <c r="N499" i="1"/>
  <c r="N500" i="1"/>
  <c r="N501" i="1"/>
  <c r="N502" i="1"/>
  <c r="N503" i="1"/>
  <c r="N505" i="1"/>
  <c r="N506" i="1"/>
  <c r="N508" i="1"/>
  <c r="N509" i="1"/>
  <c r="N510" i="1"/>
  <c r="N511" i="1"/>
  <c r="N512" i="1"/>
  <c r="N513" i="1"/>
  <c r="N514" i="1"/>
  <c r="N515" i="1"/>
  <c r="N516" i="1"/>
  <c r="N517" i="1"/>
  <c r="N519" i="1"/>
  <c r="N520" i="1"/>
  <c r="N521" i="1"/>
  <c r="N522" i="1"/>
  <c r="N523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4" i="1"/>
  <c r="N545" i="1"/>
  <c r="N546" i="1"/>
  <c r="N548" i="1"/>
  <c r="N551" i="1"/>
  <c r="N554" i="1"/>
  <c r="N555" i="1"/>
  <c r="N556" i="1"/>
  <c r="N557" i="1"/>
  <c r="N560" i="1"/>
  <c r="N563" i="1"/>
  <c r="N564" i="1"/>
  <c r="N565" i="1"/>
  <c r="N566" i="1"/>
  <c r="N567" i="1"/>
  <c r="N570" i="1"/>
  <c r="N572" i="1"/>
  <c r="N574" i="1"/>
  <c r="N575" i="1"/>
  <c r="N576" i="1"/>
  <c r="N577" i="1"/>
  <c r="N578" i="1"/>
  <c r="N579" i="1"/>
  <c r="N580" i="1"/>
  <c r="N581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2" i="1"/>
  <c r="N603" i="1"/>
  <c r="N605" i="1"/>
  <c r="N606" i="1"/>
  <c r="N607" i="1"/>
  <c r="N608" i="1"/>
  <c r="N609" i="1"/>
  <c r="N610" i="1"/>
  <c r="N611" i="1"/>
  <c r="N612" i="1"/>
  <c r="N613" i="1"/>
  <c r="N615" i="1"/>
  <c r="N616" i="1"/>
  <c r="N617" i="1"/>
  <c r="N618" i="1"/>
  <c r="N619" i="1"/>
  <c r="N620" i="1"/>
  <c r="N622" i="1"/>
  <c r="N623" i="1"/>
  <c r="N625" i="1"/>
  <c r="N627" i="1"/>
  <c r="N628" i="1"/>
  <c r="N630" i="1"/>
  <c r="N631" i="1"/>
  <c r="N632" i="1"/>
  <c r="N634" i="1"/>
  <c r="N635" i="1"/>
  <c r="N636" i="1"/>
  <c r="N639" i="1"/>
  <c r="N640" i="1"/>
  <c r="N642" i="1"/>
  <c r="N647" i="1"/>
  <c r="N648" i="1"/>
  <c r="N649" i="1"/>
  <c r="N650" i="1"/>
  <c r="N651" i="1"/>
  <c r="N652" i="1"/>
  <c r="N657" i="1"/>
  <c r="N658" i="1"/>
  <c r="N659" i="1"/>
  <c r="N661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6" i="1"/>
  <c r="N687" i="1"/>
  <c r="N688" i="1"/>
  <c r="N689" i="1"/>
  <c r="N690" i="1"/>
  <c r="N691" i="1"/>
  <c r="N693" i="1"/>
  <c r="N694" i="1"/>
  <c r="N695" i="1"/>
  <c r="N696" i="1"/>
  <c r="N697" i="1"/>
  <c r="N698" i="1"/>
  <c r="N700" i="1"/>
  <c r="N701" i="1"/>
  <c r="N705" i="1"/>
  <c r="N710" i="1"/>
  <c r="N711" i="1"/>
  <c r="N712" i="1"/>
  <c r="N713" i="1"/>
  <c r="N714" i="1"/>
  <c r="N715" i="1"/>
  <c r="N716" i="1"/>
  <c r="N718" i="1"/>
  <c r="N719" i="1"/>
  <c r="N720" i="1"/>
  <c r="N721" i="1"/>
  <c r="N722" i="1"/>
  <c r="N723" i="1"/>
  <c r="N725" i="1"/>
  <c r="N726" i="1"/>
  <c r="N728" i="1"/>
  <c r="N730" i="1"/>
  <c r="N731" i="1"/>
  <c r="N732" i="1"/>
  <c r="N733" i="1"/>
  <c r="N734" i="1"/>
  <c r="N735" i="1"/>
  <c r="N736" i="1"/>
  <c r="N737" i="1"/>
  <c r="N738" i="1"/>
  <c r="N740" i="1"/>
  <c r="N741" i="1"/>
  <c r="N742" i="1"/>
  <c r="N743" i="1"/>
  <c r="N744" i="1"/>
  <c r="N745" i="1"/>
  <c r="N746" i="1"/>
  <c r="N747" i="1"/>
  <c r="N748" i="1"/>
  <c r="N749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4" i="1"/>
  <c r="N765" i="1"/>
  <c r="N766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8" i="1"/>
  <c r="N809" i="1"/>
  <c r="N810" i="1"/>
  <c r="N813" i="1"/>
  <c r="N814" i="1"/>
  <c r="N815" i="1"/>
  <c r="N816" i="1"/>
  <c r="N817" i="1"/>
  <c r="N818" i="1"/>
  <c r="N821" i="1"/>
  <c r="N822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40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60" i="1"/>
  <c r="N861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4" i="1"/>
  <c r="N885" i="1"/>
  <c r="N887" i="1"/>
  <c r="N888" i="1"/>
  <c r="N890" i="1"/>
  <c r="N892" i="1"/>
  <c r="N893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9" i="1"/>
  <c r="N921" i="1"/>
  <c r="N923" i="1"/>
  <c r="N925" i="1"/>
  <c r="N926" i="1"/>
  <c r="N933" i="1"/>
  <c r="N934" i="1"/>
  <c r="N937" i="1"/>
  <c r="N944" i="1"/>
  <c r="N945" i="1"/>
  <c r="N947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6" i="1"/>
  <c r="N977" i="1"/>
  <c r="N978" i="1"/>
  <c r="N979" i="1"/>
  <c r="N980" i="1"/>
  <c r="N981" i="1"/>
  <c r="N982" i="1"/>
  <c r="N983" i="1"/>
  <c r="N985" i="1"/>
  <c r="N986" i="1"/>
  <c r="N987" i="1"/>
  <c r="N988" i="1"/>
  <c r="N989" i="1"/>
  <c r="N990" i="1"/>
  <c r="N991" i="1"/>
  <c r="N992" i="1"/>
  <c r="N993" i="1"/>
  <c r="N994" i="1"/>
  <c r="N1000" i="1"/>
  <c r="N1001" i="1"/>
  <c r="N1003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3" i="1"/>
  <c r="N1024" i="1"/>
  <c r="N1025" i="1"/>
  <c r="N1026" i="1"/>
  <c r="N1027" i="1"/>
  <c r="N1028" i="1"/>
  <c r="N1029" i="1"/>
  <c r="N1030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6" i="1"/>
  <c r="N1057" i="1"/>
  <c r="N1063" i="1"/>
  <c r="N1066" i="1"/>
  <c r="N1067" i="1"/>
  <c r="N1068" i="1"/>
  <c r="N1069" i="1"/>
  <c r="N1070" i="1"/>
  <c r="N1071" i="1"/>
  <c r="N1072" i="1"/>
  <c r="N1073" i="1"/>
  <c r="N1074" i="1"/>
  <c r="N1076" i="1"/>
  <c r="N1078" i="1"/>
  <c r="N1079" i="1"/>
  <c r="N1080" i="1"/>
  <c r="N1081" i="1"/>
  <c r="N1083" i="1"/>
  <c r="N1084" i="1"/>
  <c r="N1085" i="1"/>
  <c r="N1086" i="1"/>
  <c r="N1087" i="1"/>
  <c r="N1089" i="1"/>
  <c r="N1090" i="1"/>
  <c r="N1092" i="1"/>
  <c r="N1093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5" i="1"/>
  <c r="N1146" i="1"/>
  <c r="N1149" i="1"/>
  <c r="N1151" i="1"/>
  <c r="N1152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4" i="1"/>
  <c r="N1195" i="1"/>
  <c r="N1196" i="1"/>
  <c r="N1197" i="1"/>
  <c r="N1200" i="1"/>
  <c r="N1204" i="1"/>
  <c r="N1206" i="1"/>
  <c r="N1207" i="1"/>
  <c r="N1208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6" i="1"/>
  <c r="N1337" i="1"/>
  <c r="N1338" i="1"/>
  <c r="N1339" i="1"/>
  <c r="N1340" i="1"/>
  <c r="N1341" i="1"/>
  <c r="N1342" i="1"/>
  <c r="N1343" i="1"/>
  <c r="N1344" i="1"/>
  <c r="N1345" i="1"/>
  <c r="N1347" i="1"/>
  <c r="N1348" i="1"/>
  <c r="N1349" i="1"/>
  <c r="N1350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70" i="1"/>
  <c r="N1371" i="1"/>
  <c r="N1373" i="1"/>
  <c r="N1374" i="1"/>
  <c r="N1375" i="1"/>
  <c r="N1376" i="1"/>
  <c r="N1377" i="1"/>
  <c r="N1378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2" i="1"/>
  <c r="N1463" i="1"/>
  <c r="N1464" i="1"/>
  <c r="N1465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4" i="1"/>
  <c r="N1595" i="1"/>
  <c r="N1596" i="1"/>
  <c r="N1597" i="1"/>
  <c r="N1599" i="1"/>
  <c r="N1600" i="1"/>
  <c r="N1601" i="1"/>
  <c r="N160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2" i="1"/>
  <c r="O74" i="1"/>
  <c r="O75" i="1"/>
  <c r="O76" i="1"/>
  <c r="O77" i="1"/>
  <c r="O78" i="1"/>
  <c r="O79" i="1"/>
  <c r="O81" i="1"/>
  <c r="O82" i="1"/>
  <c r="O83" i="1"/>
  <c r="O84" i="1"/>
  <c r="O86" i="1"/>
  <c r="O88" i="1"/>
  <c r="O90" i="1"/>
  <c r="O91" i="1"/>
  <c r="O92" i="1"/>
  <c r="O93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5" i="1"/>
  <c r="O196" i="1"/>
  <c r="O197" i="1"/>
  <c r="O198" i="1"/>
  <c r="O200" i="1"/>
  <c r="O201" i="1"/>
  <c r="O202" i="1"/>
  <c r="O203" i="1"/>
  <c r="O204" i="1"/>
  <c r="O205" i="1"/>
  <c r="O207" i="1"/>
  <c r="O208" i="1"/>
  <c r="O209" i="1"/>
  <c r="O210" i="1"/>
  <c r="O211" i="1"/>
  <c r="O213" i="1"/>
  <c r="O214" i="1"/>
  <c r="O215" i="1"/>
  <c r="O216" i="1"/>
  <c r="O217" i="1"/>
  <c r="O220" i="1"/>
  <c r="O222" i="1"/>
  <c r="O223" i="1"/>
  <c r="O225" i="1"/>
  <c r="O227" i="1"/>
  <c r="O234" i="1"/>
  <c r="O235" i="1"/>
  <c r="O239" i="1"/>
  <c r="O243" i="1"/>
  <c r="O244" i="1"/>
  <c r="O247" i="1"/>
  <c r="O248" i="1"/>
  <c r="O249" i="1"/>
  <c r="O252" i="1"/>
  <c r="O254" i="1"/>
  <c r="O256" i="1"/>
  <c r="O257" i="1"/>
  <c r="O259" i="1"/>
  <c r="O260" i="1"/>
  <c r="O262" i="1"/>
  <c r="O263" i="1"/>
  <c r="O264" i="1"/>
  <c r="O265" i="1"/>
  <c r="O266" i="1"/>
  <c r="O267" i="1"/>
  <c r="O268" i="1"/>
  <c r="O269" i="1"/>
  <c r="O270" i="1"/>
  <c r="O272" i="1"/>
  <c r="O273" i="1"/>
  <c r="O274" i="1"/>
  <c r="O275" i="1"/>
  <c r="O277" i="1"/>
  <c r="O280" i="1"/>
  <c r="O281" i="1"/>
  <c r="O282" i="1"/>
  <c r="O283" i="1"/>
  <c r="O284" i="1"/>
  <c r="O285" i="1"/>
  <c r="O286" i="1"/>
  <c r="O287" i="1"/>
  <c r="O288" i="1"/>
  <c r="O291" i="1"/>
  <c r="O292" i="1"/>
  <c r="O293" i="1"/>
  <c r="O294" i="1"/>
  <c r="O296" i="1"/>
  <c r="O297" i="1"/>
  <c r="O299" i="1"/>
  <c r="O300" i="1"/>
  <c r="O301" i="1"/>
  <c r="O302" i="1"/>
  <c r="O303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8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8" i="1"/>
  <c r="O339" i="1"/>
  <c r="O340" i="1"/>
  <c r="O341" i="1"/>
  <c r="O342" i="1"/>
  <c r="O343" i="1"/>
  <c r="O347" i="1"/>
  <c r="O350" i="1"/>
  <c r="O352" i="1"/>
  <c r="O353" i="1"/>
  <c r="O354" i="1"/>
  <c r="O355" i="1"/>
  <c r="O356" i="1"/>
  <c r="O357" i="1"/>
  <c r="O358" i="1"/>
  <c r="O359" i="1"/>
  <c r="O360" i="1"/>
  <c r="O361" i="1"/>
  <c r="O362" i="1"/>
  <c r="O364" i="1"/>
  <c r="O366" i="1"/>
  <c r="O367" i="1"/>
  <c r="O368" i="1"/>
  <c r="O369" i="1"/>
  <c r="O371" i="1"/>
  <c r="O373" i="1"/>
  <c r="O374" i="1"/>
  <c r="O375" i="1"/>
  <c r="O376" i="1"/>
  <c r="O377" i="1"/>
  <c r="O378" i="1"/>
  <c r="O379" i="1"/>
  <c r="O380" i="1"/>
  <c r="O381" i="1"/>
  <c r="O382" i="1"/>
  <c r="O383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3" i="1"/>
  <c r="O406" i="1"/>
  <c r="O407" i="1"/>
  <c r="O408" i="1"/>
  <c r="O410" i="1"/>
  <c r="O412" i="1"/>
  <c r="O413" i="1"/>
  <c r="O417" i="1"/>
  <c r="O418" i="1"/>
  <c r="O419" i="1"/>
  <c r="O420" i="1"/>
  <c r="O422" i="1"/>
  <c r="O425" i="1"/>
  <c r="O426" i="1"/>
  <c r="O427" i="1"/>
  <c r="O429" i="1"/>
  <c r="O431" i="1"/>
  <c r="O432" i="1"/>
  <c r="O434" i="1"/>
  <c r="O435" i="1"/>
  <c r="O436" i="1"/>
  <c r="O437" i="1"/>
  <c r="O439" i="1"/>
  <c r="O440" i="1"/>
  <c r="O443" i="1"/>
  <c r="O444" i="1"/>
  <c r="O445" i="1"/>
  <c r="O446" i="1"/>
  <c r="O447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8" i="1"/>
  <c r="O469" i="1"/>
  <c r="O470" i="1"/>
  <c r="O474" i="1"/>
  <c r="O475" i="1"/>
  <c r="O476" i="1"/>
  <c r="O477" i="1"/>
  <c r="O481" i="1"/>
  <c r="O483" i="1"/>
  <c r="O485" i="1"/>
  <c r="O486" i="1"/>
  <c r="O487" i="1"/>
  <c r="O490" i="1"/>
  <c r="O491" i="1"/>
  <c r="O493" i="1"/>
  <c r="O494" i="1"/>
  <c r="O495" i="1"/>
  <c r="O496" i="1"/>
  <c r="O497" i="1"/>
  <c r="O499" i="1"/>
  <c r="O500" i="1"/>
  <c r="O501" i="1"/>
  <c r="O502" i="1"/>
  <c r="O503" i="1"/>
  <c r="O505" i="1"/>
  <c r="O506" i="1"/>
  <c r="O508" i="1"/>
  <c r="O509" i="1"/>
  <c r="O510" i="1"/>
  <c r="O511" i="1"/>
  <c r="O512" i="1"/>
  <c r="O513" i="1"/>
  <c r="O514" i="1"/>
  <c r="O515" i="1"/>
  <c r="O516" i="1"/>
  <c r="O517" i="1"/>
  <c r="O519" i="1"/>
  <c r="O520" i="1"/>
  <c r="O521" i="1"/>
  <c r="O522" i="1"/>
  <c r="O523" i="1"/>
  <c r="O525" i="1"/>
  <c r="O526" i="1"/>
  <c r="O527" i="1"/>
  <c r="O528" i="1"/>
  <c r="O529" i="1"/>
  <c r="O530" i="1"/>
  <c r="O532" i="1"/>
  <c r="O533" i="1"/>
  <c r="O534" i="1"/>
  <c r="O535" i="1"/>
  <c r="O536" i="1"/>
  <c r="O537" i="1"/>
  <c r="O538" i="1"/>
  <c r="O539" i="1"/>
  <c r="O540" i="1"/>
  <c r="O541" i="1"/>
  <c r="O542" i="1"/>
  <c r="O544" i="1"/>
  <c r="O545" i="1"/>
  <c r="O546" i="1"/>
  <c r="O548" i="1"/>
  <c r="O551" i="1"/>
  <c r="O554" i="1"/>
  <c r="O555" i="1"/>
  <c r="O556" i="1"/>
  <c r="O557" i="1"/>
  <c r="O560" i="1"/>
  <c r="O563" i="1"/>
  <c r="O564" i="1"/>
  <c r="O565" i="1"/>
  <c r="O566" i="1"/>
  <c r="O567" i="1"/>
  <c r="O570" i="1"/>
  <c r="O572" i="1"/>
  <c r="O574" i="1"/>
  <c r="O575" i="1"/>
  <c r="O576" i="1"/>
  <c r="O577" i="1"/>
  <c r="O578" i="1"/>
  <c r="O579" i="1"/>
  <c r="O580" i="1"/>
  <c r="O581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2" i="1"/>
  <c r="O603" i="1"/>
  <c r="O605" i="1"/>
  <c r="O606" i="1"/>
  <c r="O607" i="1"/>
  <c r="O608" i="1"/>
  <c r="O609" i="1"/>
  <c r="O610" i="1"/>
  <c r="O611" i="1"/>
  <c r="O612" i="1"/>
  <c r="O613" i="1"/>
  <c r="O615" i="1"/>
  <c r="O616" i="1"/>
  <c r="O617" i="1"/>
  <c r="O618" i="1"/>
  <c r="O619" i="1"/>
  <c r="O620" i="1"/>
  <c r="O622" i="1"/>
  <c r="O623" i="1"/>
  <c r="O625" i="1"/>
  <c r="O627" i="1"/>
  <c r="O630" i="1"/>
  <c r="O631" i="1"/>
  <c r="O632" i="1"/>
  <c r="O634" i="1"/>
  <c r="O635" i="1"/>
  <c r="O636" i="1"/>
  <c r="O639" i="1"/>
  <c r="O640" i="1"/>
  <c r="O642" i="1"/>
  <c r="O647" i="1"/>
  <c r="O648" i="1"/>
  <c r="O649" i="1"/>
  <c r="O650" i="1"/>
  <c r="O651" i="1"/>
  <c r="O652" i="1"/>
  <c r="O657" i="1"/>
  <c r="O658" i="1"/>
  <c r="O659" i="1"/>
  <c r="O661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6" i="1"/>
  <c r="O687" i="1"/>
  <c r="O688" i="1"/>
  <c r="O689" i="1"/>
  <c r="O690" i="1"/>
  <c r="O691" i="1"/>
  <c r="O693" i="1"/>
  <c r="O694" i="1"/>
  <c r="O695" i="1"/>
  <c r="O696" i="1"/>
  <c r="O697" i="1"/>
  <c r="O698" i="1"/>
  <c r="O700" i="1"/>
  <c r="O701" i="1"/>
  <c r="O705" i="1"/>
  <c r="O710" i="1"/>
  <c r="O711" i="1"/>
  <c r="O712" i="1"/>
  <c r="O713" i="1"/>
  <c r="O714" i="1"/>
  <c r="O715" i="1"/>
  <c r="O716" i="1"/>
  <c r="O718" i="1"/>
  <c r="O719" i="1"/>
  <c r="O720" i="1"/>
  <c r="O721" i="1"/>
  <c r="O722" i="1"/>
  <c r="O723" i="1"/>
  <c r="O725" i="1"/>
  <c r="O726" i="1"/>
  <c r="O728" i="1"/>
  <c r="O730" i="1"/>
  <c r="O731" i="1"/>
  <c r="O732" i="1"/>
  <c r="O733" i="1"/>
  <c r="O734" i="1"/>
  <c r="O735" i="1"/>
  <c r="O736" i="1"/>
  <c r="O737" i="1"/>
  <c r="O738" i="1"/>
  <c r="O740" i="1"/>
  <c r="O741" i="1"/>
  <c r="O742" i="1"/>
  <c r="O743" i="1"/>
  <c r="O744" i="1"/>
  <c r="O745" i="1"/>
  <c r="O746" i="1"/>
  <c r="O747" i="1"/>
  <c r="O748" i="1"/>
  <c r="O749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4" i="1"/>
  <c r="O765" i="1"/>
  <c r="O766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8" i="1"/>
  <c r="O809" i="1"/>
  <c r="O810" i="1"/>
  <c r="O813" i="1"/>
  <c r="O814" i="1"/>
  <c r="O815" i="1"/>
  <c r="O816" i="1"/>
  <c r="O817" i="1"/>
  <c r="O818" i="1"/>
  <c r="O821" i="1"/>
  <c r="O822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8" i="1"/>
  <c r="O840" i="1"/>
  <c r="O842" i="1"/>
  <c r="O843" i="1"/>
  <c r="O844" i="1"/>
  <c r="O845" i="1"/>
  <c r="O846" i="1"/>
  <c r="O847" i="1"/>
  <c r="O848" i="1"/>
  <c r="O849" i="1"/>
  <c r="O850" i="1"/>
  <c r="O852" i="1"/>
  <c r="O853" i="1"/>
  <c r="O854" i="1"/>
  <c r="O855" i="1"/>
  <c r="O856" i="1"/>
  <c r="O857" i="1"/>
  <c r="O860" i="1"/>
  <c r="O861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4" i="1"/>
  <c r="O885" i="1"/>
  <c r="O887" i="1"/>
  <c r="O888" i="1"/>
  <c r="O890" i="1"/>
  <c r="O892" i="1"/>
  <c r="O893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9" i="1"/>
  <c r="O921" i="1"/>
  <c r="O923" i="1"/>
  <c r="O925" i="1"/>
  <c r="O926" i="1"/>
  <c r="O933" i="1"/>
  <c r="O934" i="1"/>
  <c r="O937" i="1"/>
  <c r="O944" i="1"/>
  <c r="O945" i="1"/>
  <c r="O947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6" i="1"/>
  <c r="O977" i="1"/>
  <c r="O978" i="1"/>
  <c r="O979" i="1"/>
  <c r="O980" i="1"/>
  <c r="O981" i="1"/>
  <c r="O982" i="1"/>
  <c r="O983" i="1"/>
  <c r="O985" i="1"/>
  <c r="O986" i="1"/>
  <c r="O987" i="1"/>
  <c r="O988" i="1"/>
  <c r="O989" i="1"/>
  <c r="O990" i="1"/>
  <c r="O991" i="1"/>
  <c r="O992" i="1"/>
  <c r="O993" i="1"/>
  <c r="O994" i="1"/>
  <c r="O1000" i="1"/>
  <c r="O1001" i="1"/>
  <c r="O1003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3" i="1"/>
  <c r="O1024" i="1"/>
  <c r="O1025" i="1"/>
  <c r="O1026" i="1"/>
  <c r="O1027" i="1"/>
  <c r="O1028" i="1"/>
  <c r="O1029" i="1"/>
  <c r="O1030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6" i="1"/>
  <c r="O1057" i="1"/>
  <c r="O1063" i="1"/>
  <c r="O1066" i="1"/>
  <c r="O1067" i="1"/>
  <c r="O1068" i="1"/>
  <c r="O1069" i="1"/>
  <c r="O1070" i="1"/>
  <c r="O1071" i="1"/>
  <c r="O1072" i="1"/>
  <c r="O1073" i="1"/>
  <c r="O1074" i="1"/>
  <c r="O1076" i="1"/>
  <c r="O1078" i="1"/>
  <c r="O1079" i="1"/>
  <c r="O1080" i="1"/>
  <c r="O1081" i="1"/>
  <c r="O1083" i="1"/>
  <c r="O1084" i="1"/>
  <c r="O1085" i="1"/>
  <c r="O1086" i="1"/>
  <c r="O1087" i="1"/>
  <c r="O1089" i="1"/>
  <c r="O1090" i="1"/>
  <c r="O1092" i="1"/>
  <c r="O1093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5" i="1"/>
  <c r="O1146" i="1"/>
  <c r="O1149" i="1"/>
  <c r="O1151" i="1"/>
  <c r="O1152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4" i="1"/>
  <c r="O1195" i="1"/>
  <c r="O1196" i="1"/>
  <c r="O1197" i="1"/>
  <c r="O1200" i="1"/>
  <c r="O1204" i="1"/>
  <c r="O1206" i="1"/>
  <c r="O1207" i="1"/>
  <c r="O1208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6" i="1"/>
  <c r="O1337" i="1"/>
  <c r="O1338" i="1"/>
  <c r="O1339" i="1"/>
  <c r="O1340" i="1"/>
  <c r="O1341" i="1"/>
  <c r="O1342" i="1"/>
  <c r="O1343" i="1"/>
  <c r="O1344" i="1"/>
  <c r="O1347" i="1"/>
  <c r="O1348" i="1"/>
  <c r="O1349" i="1"/>
  <c r="O1350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70" i="1"/>
  <c r="O1371" i="1"/>
  <c r="O1373" i="1"/>
  <c r="O1374" i="1"/>
  <c r="O1375" i="1"/>
  <c r="O1376" i="1"/>
  <c r="O1377" i="1"/>
  <c r="O1378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2" i="1"/>
  <c r="O1463" i="1"/>
  <c r="O1464" i="1"/>
  <c r="O1465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4" i="1"/>
  <c r="O1595" i="1"/>
  <c r="O1596" i="1"/>
  <c r="O1597" i="1"/>
  <c r="O1599" i="1"/>
  <c r="O1600" i="1"/>
  <c r="O1601" i="1"/>
  <c r="O1602" i="1"/>
  <c r="F307" i="11"/>
  <c r="G307" i="11"/>
  <c r="F306" i="11"/>
  <c r="G306" i="11"/>
  <c r="F305" i="11"/>
  <c r="G305" i="11"/>
  <c r="D304" i="11"/>
  <c r="F303" i="11"/>
  <c r="G303" i="11"/>
  <c r="F302" i="11"/>
  <c r="G302" i="11"/>
  <c r="F300" i="11"/>
  <c r="G300" i="11"/>
  <c r="F299" i="11"/>
  <c r="G299" i="11"/>
  <c r="L1593" i="1"/>
  <c r="F298" i="11"/>
  <c r="G298" i="11"/>
  <c r="F297" i="11"/>
  <c r="G297" i="11"/>
  <c r="G295" i="11"/>
  <c r="F295" i="11"/>
  <c r="G287" i="11"/>
  <c r="F287" i="11"/>
  <c r="G286" i="11"/>
  <c r="F286" i="11"/>
  <c r="G285" i="11"/>
  <c r="F285" i="11"/>
  <c r="M1556" i="1"/>
  <c r="O1556" i="1" s="1"/>
  <c r="G278" i="11"/>
  <c r="F278" i="11"/>
  <c r="G277" i="11"/>
  <c r="F277" i="11"/>
  <c r="G274" i="11"/>
  <c r="F274" i="11"/>
  <c r="G270" i="11"/>
  <c r="F270" i="11"/>
  <c r="G266" i="11"/>
  <c r="F266" i="11"/>
  <c r="G265" i="11"/>
  <c r="F265" i="11"/>
  <c r="G263" i="11"/>
  <c r="F263" i="11"/>
  <c r="G261" i="11"/>
  <c r="F261" i="11"/>
  <c r="G260" i="11"/>
  <c r="F260" i="11"/>
  <c r="G258" i="11"/>
  <c r="F258" i="11"/>
  <c r="G257" i="11"/>
  <c r="F257" i="11"/>
  <c r="G254" i="11"/>
  <c r="F254" i="11"/>
  <c r="F244" i="11"/>
  <c r="G244" i="11"/>
  <c r="F243" i="11"/>
  <c r="G243" i="11"/>
  <c r="F242" i="11"/>
  <c r="G242" i="11"/>
  <c r="L1504" i="1"/>
  <c r="F240" i="11"/>
  <c r="G240" i="11"/>
  <c r="F239" i="11"/>
  <c r="G239" i="11"/>
  <c r="F238" i="11"/>
  <c r="G238" i="11"/>
  <c r="F237" i="11"/>
  <c r="G237" i="11"/>
  <c r="G235" i="11"/>
  <c r="F235" i="11"/>
  <c r="G234" i="11"/>
  <c r="F234" i="11"/>
  <c r="G231" i="11"/>
  <c r="F231" i="11"/>
  <c r="G230" i="11"/>
  <c r="F230" i="11"/>
  <c r="G229" i="11"/>
  <c r="F229" i="11"/>
  <c r="G228" i="11"/>
  <c r="F228" i="11"/>
  <c r="G225" i="11"/>
  <c r="F225" i="11"/>
  <c r="G224" i="11"/>
  <c r="F224" i="11"/>
  <c r="G223" i="11"/>
  <c r="F223" i="11"/>
  <c r="G222" i="11"/>
  <c r="F222" i="11"/>
  <c r="G221" i="11"/>
  <c r="F221" i="11"/>
  <c r="D219" i="11"/>
  <c r="D218" i="11"/>
  <c r="L1467" i="1"/>
  <c r="G217" i="11"/>
  <c r="F217" i="11"/>
  <c r="L1466" i="1"/>
  <c r="G215" i="11"/>
  <c r="F215" i="11"/>
  <c r="L1461" i="1"/>
  <c r="G214" i="11"/>
  <c r="F214" i="11"/>
  <c r="G211" i="11"/>
  <c r="F211" i="11"/>
  <c r="G210" i="11"/>
  <c r="F210" i="11"/>
  <c r="G209" i="11"/>
  <c r="F209" i="11"/>
  <c r="G208" i="11"/>
  <c r="F208" i="11"/>
  <c r="G207" i="11"/>
  <c r="F207" i="11"/>
  <c r="G206" i="11"/>
  <c r="F206" i="11"/>
  <c r="G205" i="11"/>
  <c r="F205" i="11"/>
  <c r="G204" i="11"/>
  <c r="F204" i="11"/>
  <c r="L1432" i="1"/>
  <c r="G203" i="11"/>
  <c r="F203" i="11"/>
  <c r="G202" i="11"/>
  <c r="F202" i="11"/>
  <c r="G201" i="11"/>
  <c r="F201" i="11"/>
  <c r="G200" i="11"/>
  <c r="F200" i="11"/>
  <c r="G199" i="11"/>
  <c r="F199" i="11"/>
  <c r="G196" i="11"/>
  <c r="F196" i="11"/>
  <c r="G195" i="11"/>
  <c r="F195" i="11"/>
  <c r="G194" i="11"/>
  <c r="F194" i="11"/>
  <c r="D193" i="11"/>
  <c r="G188" i="11"/>
  <c r="F188" i="11"/>
  <c r="G187" i="11"/>
  <c r="F187" i="11"/>
  <c r="G186" i="11"/>
  <c r="F186" i="11"/>
  <c r="G185" i="11"/>
  <c r="F185" i="11"/>
  <c r="L1408" i="1"/>
  <c r="F184" i="11"/>
  <c r="G184" i="11"/>
  <c r="G176" i="11"/>
  <c r="F176" i="11"/>
  <c r="G174" i="11"/>
  <c r="F174" i="11"/>
  <c r="D167" i="11"/>
  <c r="G166" i="11"/>
  <c r="F166" i="11"/>
  <c r="G165" i="11"/>
  <c r="F165" i="11"/>
  <c r="G164" i="11"/>
  <c r="F164" i="11"/>
  <c r="D163" i="11"/>
  <c r="G162" i="11"/>
  <c r="F162" i="11"/>
  <c r="D161" i="11"/>
  <c r="L1379" i="1"/>
  <c r="G160" i="11"/>
  <c r="F160" i="11"/>
  <c r="G159" i="11"/>
  <c r="F159" i="11"/>
  <c r="L1372" i="1"/>
  <c r="G158" i="11"/>
  <c r="F158" i="11"/>
  <c r="G157" i="11"/>
  <c r="F157" i="11"/>
  <c r="G156" i="11"/>
  <c r="F156" i="11"/>
  <c r="G155" i="11"/>
  <c r="F155" i="11"/>
  <c r="L1369" i="1"/>
  <c r="G154" i="11"/>
  <c r="F154" i="11"/>
  <c r="D153" i="11"/>
  <c r="L1351" i="1"/>
  <c r="F152" i="11"/>
  <c r="E152" i="11"/>
  <c r="G152" i="11" s="1"/>
  <c r="L1346" i="1"/>
  <c r="M1345" i="1"/>
  <c r="O1345" i="1" s="1"/>
  <c r="G150" i="11"/>
  <c r="F150" i="11"/>
  <c r="L1335" i="1"/>
  <c r="G140" i="11"/>
  <c r="F140" i="11"/>
  <c r="G139" i="11"/>
  <c r="F139" i="11"/>
  <c r="F138" i="11"/>
  <c r="G138" i="11"/>
  <c r="F137" i="11"/>
  <c r="G137" i="11"/>
  <c r="D136" i="11"/>
  <c r="G135" i="11"/>
  <c r="F135" i="11"/>
  <c r="G134" i="11"/>
  <c r="F134" i="11"/>
  <c r="L1313" i="1"/>
  <c r="G130" i="11"/>
  <c r="F130" i="11"/>
  <c r="G128" i="11"/>
  <c r="F128" i="11"/>
  <c r="G127" i="11"/>
  <c r="F127" i="11"/>
  <c r="G126" i="11"/>
  <c r="F126" i="11"/>
  <c r="G125" i="11"/>
  <c r="F125" i="11"/>
  <c r="G124" i="11"/>
  <c r="F124" i="11"/>
  <c r="G123" i="11"/>
  <c r="F123" i="11"/>
  <c r="G122" i="11"/>
  <c r="F122" i="11"/>
  <c r="G121" i="11"/>
  <c r="F121" i="11"/>
  <c r="L1294" i="1"/>
  <c r="F118" i="11"/>
  <c r="G118" i="11"/>
  <c r="F117" i="11"/>
  <c r="G117" i="11"/>
  <c r="F113" i="11"/>
  <c r="G113" i="11"/>
  <c r="F112" i="11"/>
  <c r="G112" i="11"/>
  <c r="F111" i="11"/>
  <c r="G111" i="11"/>
  <c r="F107" i="11"/>
  <c r="G107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1" i="11"/>
  <c r="F91" i="11"/>
  <c r="G90" i="11"/>
  <c r="F90" i="11"/>
  <c r="G89" i="11"/>
  <c r="F89" i="11"/>
  <c r="G88" i="11"/>
  <c r="F88" i="11"/>
  <c r="L1209" i="1"/>
  <c r="D80" i="11"/>
  <c r="D79" i="11"/>
  <c r="G78" i="11"/>
  <c r="F78" i="11"/>
  <c r="L1199" i="1"/>
  <c r="M1205" i="1"/>
  <c r="L1205" i="1"/>
  <c r="L1193" i="1"/>
  <c r="M1192" i="1"/>
  <c r="L1192" i="1"/>
  <c r="L1191" i="1"/>
  <c r="L1201" i="1"/>
  <c r="M1202" i="1"/>
  <c r="L1202" i="1"/>
  <c r="L1203" i="1"/>
  <c r="L1198" i="1"/>
  <c r="G77" i="11"/>
  <c r="F77" i="11"/>
  <c r="F74" i="11"/>
  <c r="G74" i="11"/>
  <c r="G69" i="11"/>
  <c r="F69" i="11"/>
  <c r="G68" i="11"/>
  <c r="F68" i="11"/>
  <c r="G66" i="11"/>
  <c r="F66" i="11"/>
  <c r="G65" i="11"/>
  <c r="F65" i="11"/>
  <c r="G64" i="11"/>
  <c r="F64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L1147" i="1"/>
  <c r="L1144" i="1"/>
  <c r="M1148" i="1"/>
  <c r="L1148" i="1"/>
  <c r="M1150" i="1"/>
  <c r="L1150" i="1"/>
  <c r="L1153" i="1"/>
  <c r="M1143" i="1"/>
  <c r="L1143" i="1"/>
  <c r="L1142" i="1"/>
  <c r="G49" i="11"/>
  <c r="F49" i="11"/>
  <c r="G48" i="11"/>
  <c r="F48" i="11"/>
  <c r="G45" i="11"/>
  <c r="F45" i="11"/>
  <c r="G44" i="11"/>
  <c r="F44" i="11"/>
  <c r="F2" i="11"/>
  <c r="F3" i="11"/>
  <c r="F4" i="11"/>
  <c r="F5" i="11"/>
  <c r="F6" i="11"/>
  <c r="F8" i="11"/>
  <c r="F9" i="11"/>
  <c r="F10" i="11"/>
  <c r="F11" i="11"/>
  <c r="F12" i="11"/>
  <c r="F13" i="11"/>
  <c r="F14" i="11"/>
  <c r="F16" i="11"/>
  <c r="F17" i="11"/>
  <c r="F18" i="11"/>
  <c r="F19" i="11"/>
  <c r="F20" i="11"/>
  <c r="F21" i="11"/>
  <c r="F22" i="11"/>
  <c r="F23" i="11"/>
  <c r="F25" i="11"/>
  <c r="F26" i="11"/>
  <c r="F27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G41" i="11"/>
  <c r="G42" i="11"/>
  <c r="G40" i="11"/>
  <c r="G39" i="11"/>
  <c r="G37" i="11"/>
  <c r="G38" i="11"/>
  <c r="G36" i="11"/>
  <c r="G35" i="11"/>
  <c r="G33" i="11"/>
  <c r="G34" i="11"/>
  <c r="G32" i="11"/>
  <c r="G30" i="11"/>
  <c r="G31" i="11"/>
  <c r="D28" i="11"/>
  <c r="F28" i="11" s="1"/>
  <c r="G28" i="11"/>
  <c r="G29" i="11"/>
  <c r="G27" i="11"/>
  <c r="G26" i="11"/>
  <c r="G25" i="11"/>
  <c r="D24" i="11"/>
  <c r="F24" i="11" s="1"/>
  <c r="G24" i="11"/>
  <c r="G23" i="11"/>
  <c r="G22" i="11"/>
  <c r="G21" i="11"/>
  <c r="G20" i="11"/>
  <c r="G19" i="11"/>
  <c r="G18" i="11"/>
  <c r="G17" i="11"/>
  <c r="G16" i="11"/>
  <c r="D15" i="11"/>
  <c r="F15" i="11" s="1"/>
  <c r="G15" i="11"/>
  <c r="G2" i="11"/>
  <c r="G3" i="11"/>
  <c r="G4" i="11"/>
  <c r="G5" i="11"/>
  <c r="G6" i="11"/>
  <c r="D7" i="11"/>
  <c r="F7" i="11" s="1"/>
  <c r="G7" i="11"/>
  <c r="G8" i="11"/>
  <c r="G9" i="11"/>
  <c r="G10" i="11"/>
  <c r="G11" i="11"/>
  <c r="G12" i="11"/>
  <c r="G13" i="11"/>
  <c r="G14" i="11"/>
  <c r="M1112" i="1"/>
  <c r="L1112" i="1"/>
  <c r="L1095" i="1"/>
  <c r="L1094" i="1"/>
  <c r="L1091" i="1"/>
  <c r="L1088" i="1"/>
  <c r="M1075" i="1"/>
  <c r="L1075" i="1"/>
  <c r="L1077" i="1"/>
  <c r="L1082" i="1"/>
  <c r="M1065" i="1"/>
  <c r="L1065" i="1"/>
  <c r="M1064" i="1"/>
  <c r="L1064" i="1"/>
  <c r="L1062" i="1"/>
  <c r="L1061" i="1"/>
  <c r="M1060" i="1"/>
  <c r="L1060" i="1"/>
  <c r="L1059" i="1"/>
  <c r="L1058" i="1"/>
  <c r="L1055" i="1"/>
  <c r="L1031" i="1"/>
  <c r="M1032" i="1"/>
  <c r="L1032" i="1"/>
  <c r="L1033" i="1"/>
  <c r="L1034" i="1"/>
  <c r="L1022" i="1"/>
  <c r="L14" i="7"/>
  <c r="L15" i="7"/>
  <c r="L16" i="7"/>
  <c r="L17" i="7"/>
  <c r="M995" i="1"/>
  <c r="L995" i="1"/>
  <c r="M998" i="1"/>
  <c r="L998" i="1"/>
  <c r="L999" i="1"/>
  <c r="L1002" i="1"/>
  <c r="L1004" i="1"/>
  <c r="L996" i="1"/>
  <c r="L997" i="1"/>
  <c r="Q33" i="6"/>
  <c r="L984" i="1"/>
  <c r="L974" i="1"/>
  <c r="L975" i="1"/>
  <c r="M948" i="1"/>
  <c r="L948" i="1"/>
  <c r="L949" i="1"/>
  <c r="M922" i="1"/>
  <c r="L922" i="1"/>
  <c r="L931" i="1"/>
  <c r="L935" i="1"/>
  <c r="L938" i="1"/>
  <c r="L940" i="1"/>
  <c r="L941" i="1"/>
  <c r="M942" i="1"/>
  <c r="L942" i="1"/>
  <c r="L946" i="1"/>
  <c r="L943" i="1"/>
  <c r="M930" i="1"/>
  <c r="L930" i="1"/>
  <c r="M929" i="1"/>
  <c r="L929" i="1"/>
  <c r="L928" i="1"/>
  <c r="M927" i="1"/>
  <c r="L927" i="1"/>
  <c r="L939" i="1"/>
  <c r="L936" i="1"/>
  <c r="L924" i="1"/>
  <c r="M932" i="1"/>
  <c r="L932" i="1"/>
  <c r="M915" i="1"/>
  <c r="L915" i="1"/>
  <c r="M916" i="1"/>
  <c r="L916" i="1"/>
  <c r="L917" i="1"/>
  <c r="L918" i="1"/>
  <c r="L920" i="1"/>
  <c r="P33" i="6"/>
  <c r="L859" i="1"/>
  <c r="L881" i="1"/>
  <c r="M882" i="1"/>
  <c r="L882" i="1"/>
  <c r="L883" i="1"/>
  <c r="M886" i="1"/>
  <c r="L886" i="1"/>
  <c r="L889" i="1"/>
  <c r="M891" i="1"/>
  <c r="L891" i="1"/>
  <c r="M894" i="1"/>
  <c r="L894" i="1"/>
  <c r="M858" i="1"/>
  <c r="L858" i="1"/>
  <c r="L862" i="1"/>
  <c r="M851" i="1"/>
  <c r="O851" i="1" s="1"/>
  <c r="L841" i="1"/>
  <c r="L839" i="1"/>
  <c r="M837" i="1"/>
  <c r="O837" i="1" s="1"/>
  <c r="L823" i="1"/>
  <c r="L820" i="1"/>
  <c r="L819" i="1"/>
  <c r="L13" i="7"/>
  <c r="M812" i="1"/>
  <c r="L812" i="1"/>
  <c r="L811" i="1"/>
  <c r="L807" i="1"/>
  <c r="L768" i="1"/>
  <c r="L769" i="1"/>
  <c r="L770" i="1"/>
  <c r="M771" i="1"/>
  <c r="L771" i="1"/>
  <c r="M772" i="1"/>
  <c r="L772" i="1"/>
  <c r="L773" i="1"/>
  <c r="L767" i="1"/>
  <c r="L763" i="1"/>
  <c r="M33" i="6"/>
  <c r="L750" i="1"/>
  <c r="L739" i="1"/>
  <c r="M729" i="1"/>
  <c r="L729" i="1"/>
  <c r="L727" i="1"/>
  <c r="L724" i="1"/>
  <c r="L717" i="1"/>
  <c r="L12" i="7"/>
  <c r="L709" i="1"/>
  <c r="M708" i="1"/>
  <c r="L708" i="1"/>
  <c r="L707" i="1"/>
  <c r="L706" i="1"/>
  <c r="L702" i="1"/>
  <c r="L703" i="1"/>
  <c r="M704" i="1"/>
  <c r="L704" i="1"/>
  <c r="L692" i="1"/>
  <c r="M699" i="1"/>
  <c r="L699" i="1"/>
  <c r="L33" i="6"/>
  <c r="L685" i="1"/>
  <c r="L11" i="7"/>
  <c r="L665" i="1"/>
  <c r="M665" i="1"/>
  <c r="M664" i="1"/>
  <c r="L664" i="1"/>
  <c r="L663" i="1"/>
  <c r="L662" i="1"/>
  <c r="M662" i="1"/>
  <c r="M660" i="1"/>
  <c r="L660" i="1"/>
  <c r="L656" i="1"/>
  <c r="M656" i="1"/>
  <c r="L655" i="1"/>
  <c r="L654" i="1"/>
  <c r="M653" i="1"/>
  <c r="L653" i="1"/>
  <c r="L646" i="1"/>
  <c r="L645" i="1"/>
  <c r="M644" i="1"/>
  <c r="L644" i="1"/>
  <c r="L643" i="1"/>
  <c r="L638" i="1"/>
  <c r="M637" i="1"/>
  <c r="L637" i="1"/>
  <c r="M633" i="1"/>
  <c r="L633" i="1"/>
  <c r="L629" i="1"/>
  <c r="M628" i="1"/>
  <c r="O628" i="1" s="1"/>
  <c r="L626" i="1"/>
  <c r="L641" i="1"/>
  <c r="L624" i="1"/>
  <c r="L614" i="1"/>
  <c r="L621" i="1"/>
  <c r="L604" i="1"/>
  <c r="M601" i="1"/>
  <c r="L601" i="1"/>
  <c r="L582" i="1"/>
  <c r="L10" i="7"/>
  <c r="L573" i="1"/>
  <c r="L558" i="1"/>
  <c r="L561" i="1"/>
  <c r="L559" i="1"/>
  <c r="L550" i="1"/>
  <c r="L549" i="1"/>
  <c r="L553" i="1"/>
  <c r="L568" i="1"/>
  <c r="L569" i="1"/>
  <c r="L571" i="1"/>
  <c r="L562" i="1"/>
  <c r="L552" i="1"/>
  <c r="L547" i="1"/>
  <c r="K33" i="6"/>
  <c r="J33" i="6"/>
  <c r="M543" i="1"/>
  <c r="L543" i="1"/>
  <c r="M531" i="1"/>
  <c r="O531" i="1" s="1"/>
  <c r="L524" i="1"/>
  <c r="L518" i="1"/>
  <c r="L507" i="1"/>
  <c r="L504" i="1"/>
  <c r="L498" i="1"/>
  <c r="L492" i="1"/>
  <c r="M492" i="1"/>
  <c r="L9" i="7"/>
  <c r="L8" i="7"/>
  <c r="M489" i="1"/>
  <c r="L489" i="1"/>
  <c r="L488" i="1"/>
  <c r="L478" i="1"/>
  <c r="M479" i="1"/>
  <c r="O479" i="1" s="1"/>
  <c r="M480" i="1"/>
  <c r="L480" i="1"/>
  <c r="L484" i="1"/>
  <c r="M484" i="1"/>
  <c r="L482" i="1"/>
  <c r="M473" i="1"/>
  <c r="L473" i="1"/>
  <c r="L472" i="1"/>
  <c r="M471" i="1"/>
  <c r="L471" i="1"/>
  <c r="L467" i="1"/>
  <c r="L448" i="1"/>
  <c r="I33" i="6"/>
  <c r="L433" i="1"/>
  <c r="L430" i="1"/>
  <c r="M428" i="1"/>
  <c r="L428" i="1"/>
  <c r="M424" i="1"/>
  <c r="L424" i="1"/>
  <c r="L423" i="1"/>
  <c r="M421" i="1"/>
  <c r="L421" i="1"/>
  <c r="L438" i="1"/>
  <c r="M441" i="1"/>
  <c r="L441" i="1"/>
  <c r="L416" i="1"/>
  <c r="L414" i="1"/>
  <c r="L415" i="1"/>
  <c r="L411" i="1"/>
  <c r="M411" i="1"/>
  <c r="L409" i="1"/>
  <c r="L404" i="1"/>
  <c r="L442" i="1"/>
  <c r="L405" i="1"/>
  <c r="L402" i="1"/>
  <c r="L384" i="1"/>
  <c r="M372" i="1"/>
  <c r="L372" i="1"/>
  <c r="L370" i="1"/>
  <c r="L363" i="1"/>
  <c r="M363" i="1"/>
  <c r="M365" i="1"/>
  <c r="L365" i="1"/>
  <c r="L351" i="1"/>
  <c r="L348" i="1"/>
  <c r="M349" i="1"/>
  <c r="O349" i="1" s="1"/>
  <c r="L346" i="1"/>
  <c r="M345" i="1"/>
  <c r="L345" i="1"/>
  <c r="M344" i="1"/>
  <c r="L344" i="1"/>
  <c r="M337" i="1"/>
  <c r="L337" i="1"/>
  <c r="R328" i="1"/>
  <c r="L319" i="1"/>
  <c r="L317" i="1"/>
  <c r="M298" i="1"/>
  <c r="L298" i="1"/>
  <c r="L304" i="1"/>
  <c r="L295" i="1"/>
  <c r="M290" i="1"/>
  <c r="L290" i="1"/>
  <c r="M289" i="1"/>
  <c r="L289" i="1"/>
  <c r="M278" i="1"/>
  <c r="L278" i="1"/>
  <c r="L279" i="1"/>
  <c r="L276" i="1"/>
  <c r="L271" i="1"/>
  <c r="L258" i="1"/>
  <c r="L261" i="1"/>
  <c r="L255" i="1"/>
  <c r="M253" i="1"/>
  <c r="L253" i="1"/>
  <c r="L250" i="1"/>
  <c r="L251" i="1"/>
  <c r="L246" i="1"/>
  <c r="M245" i="1"/>
  <c r="O245" i="1" s="1"/>
  <c r="L242" i="1"/>
  <c r="L236" i="1"/>
  <c r="M240" i="1"/>
  <c r="L240" i="1"/>
  <c r="M241" i="1"/>
  <c r="O241" i="1" s="1"/>
  <c r="L238" i="1"/>
  <c r="L237" i="1"/>
  <c r="M233" i="1"/>
  <c r="O233" i="1" s="1"/>
  <c r="L232" i="1"/>
  <c r="L231" i="1"/>
  <c r="L230" i="1"/>
  <c r="L229" i="1"/>
  <c r="M228" i="1"/>
  <c r="L228" i="1"/>
  <c r="M226" i="1"/>
  <c r="O226" i="1" s="1"/>
  <c r="M221" i="1"/>
  <c r="O221" i="1" s="1"/>
  <c r="M224" i="1"/>
  <c r="L224" i="1"/>
  <c r="L219" i="1"/>
  <c r="L218" i="1"/>
  <c r="L212" i="1"/>
  <c r="L206" i="1"/>
  <c r="L199" i="1"/>
  <c r="L194" i="1"/>
  <c r="B39" i="6"/>
  <c r="B38" i="6"/>
  <c r="B37" i="6"/>
  <c r="L173" i="1"/>
  <c r="M94" i="1"/>
  <c r="L94" i="1"/>
  <c r="L95" i="1"/>
  <c r="L89" i="1"/>
  <c r="L87" i="1"/>
  <c r="L85" i="1"/>
  <c r="L80" i="1"/>
  <c r="L73" i="1"/>
  <c r="L71" i="1"/>
  <c r="L54" i="1"/>
  <c r="L37" i="1"/>
  <c r="L22" i="1"/>
  <c r="G1126" i="11" l="1"/>
  <c r="F1126" i="11"/>
  <c r="G1103" i="11"/>
  <c r="F1103" i="11"/>
  <c r="G1085" i="11"/>
  <c r="F1085" i="11"/>
  <c r="G1086" i="11"/>
  <c r="F1086" i="11"/>
  <c r="G1091" i="11"/>
  <c r="F1091" i="11"/>
  <c r="G1048" i="11"/>
  <c r="F1048" i="11"/>
  <c r="G1049" i="11"/>
  <c r="F1049" i="11"/>
  <c r="G1050" i="11"/>
  <c r="F1050" i="11"/>
  <c r="G1054" i="11"/>
  <c r="F1054" i="11"/>
  <c r="G1055" i="11"/>
  <c r="F1055" i="11"/>
  <c r="G991" i="11"/>
  <c r="F991" i="11"/>
  <c r="G984" i="11"/>
  <c r="F984" i="11"/>
  <c r="G983" i="11"/>
  <c r="F983" i="11"/>
  <c r="G980" i="11"/>
  <c r="F980" i="11"/>
  <c r="G947" i="11"/>
  <c r="F947" i="11"/>
  <c r="G945" i="11"/>
  <c r="F945" i="11"/>
  <c r="O2555" i="1"/>
  <c r="N2555" i="1"/>
  <c r="F862" i="11"/>
  <c r="G862" i="11"/>
  <c r="G804" i="11"/>
  <c r="F804" i="11"/>
  <c r="G784" i="11"/>
  <c r="F784" i="11"/>
  <c r="G720" i="11"/>
  <c r="F720" i="11"/>
  <c r="G698" i="11"/>
  <c r="F698" i="11"/>
  <c r="G697" i="11"/>
  <c r="F697" i="11"/>
  <c r="G696" i="11"/>
  <c r="F696" i="11"/>
  <c r="G690" i="11"/>
  <c r="F690" i="11"/>
  <c r="F687" i="11"/>
  <c r="G687" i="11"/>
  <c r="G658" i="11"/>
  <c r="F658" i="11"/>
  <c r="G654" i="11"/>
  <c r="F654" i="11"/>
  <c r="G601" i="11"/>
  <c r="F601" i="11"/>
  <c r="G594" i="11"/>
  <c r="F594" i="11"/>
  <c r="G551" i="11"/>
  <c r="F551" i="11"/>
  <c r="G538" i="11"/>
  <c r="F538" i="11"/>
  <c r="G417" i="11"/>
  <c r="F417" i="11"/>
  <c r="G388" i="11"/>
  <c r="F388" i="11"/>
  <c r="G385" i="11"/>
  <c r="F385" i="11"/>
  <c r="G375" i="11"/>
  <c r="F375" i="11"/>
  <c r="G374" i="11"/>
  <c r="F374" i="11"/>
  <c r="G371" i="11"/>
  <c r="F371" i="11"/>
  <c r="G354" i="11"/>
  <c r="F354" i="11"/>
  <c r="G340" i="11"/>
  <c r="F340" i="11"/>
  <c r="G337" i="11"/>
  <c r="F337" i="11"/>
  <c r="O6" i="8"/>
  <c r="N6" i="8"/>
  <c r="O15" i="8"/>
  <c r="N15" i="8"/>
  <c r="O23" i="8"/>
  <c r="N23" i="8"/>
  <c r="O26" i="8"/>
  <c r="N26" i="8"/>
  <c r="O28" i="8"/>
  <c r="N28" i="8"/>
  <c r="O39" i="8"/>
  <c r="N39" i="8"/>
  <c r="O60" i="8"/>
  <c r="N60" i="8"/>
  <c r="O62" i="8"/>
  <c r="N62" i="8"/>
  <c r="O104" i="8"/>
  <c r="N104" i="8"/>
  <c r="O106" i="8"/>
  <c r="N106" i="8"/>
  <c r="N22" i="1"/>
  <c r="O22" i="1"/>
  <c r="N37" i="1"/>
  <c r="O37" i="1"/>
  <c r="N54" i="1"/>
  <c r="O54" i="1"/>
  <c r="N71" i="1"/>
  <c r="O71" i="1"/>
  <c r="N73" i="1"/>
  <c r="O73" i="1"/>
  <c r="N80" i="1"/>
  <c r="O80" i="1"/>
  <c r="N85" i="1"/>
  <c r="O85" i="1"/>
  <c r="N87" i="1"/>
  <c r="O87" i="1"/>
  <c r="N89" i="1"/>
  <c r="O89" i="1"/>
  <c r="N95" i="1"/>
  <c r="O95" i="1"/>
  <c r="N94" i="1"/>
  <c r="O94" i="1"/>
  <c r="N173" i="1"/>
  <c r="O173" i="1"/>
  <c r="N194" i="1"/>
  <c r="O194" i="1"/>
  <c r="N199" i="1"/>
  <c r="O199" i="1"/>
  <c r="N206" i="1"/>
  <c r="O206" i="1"/>
  <c r="N212" i="1"/>
  <c r="O212" i="1"/>
  <c r="N218" i="1"/>
  <c r="O218" i="1"/>
  <c r="N219" i="1"/>
  <c r="O219" i="1"/>
  <c r="N224" i="1"/>
  <c r="O224" i="1"/>
  <c r="N228" i="1"/>
  <c r="O228" i="1"/>
  <c r="N229" i="1"/>
  <c r="O229" i="1"/>
  <c r="N230" i="1"/>
  <c r="O230" i="1"/>
  <c r="N231" i="1"/>
  <c r="O231" i="1"/>
  <c r="N232" i="1"/>
  <c r="O232" i="1"/>
  <c r="N237" i="1"/>
  <c r="O237" i="1"/>
  <c r="N238" i="1"/>
  <c r="O238" i="1"/>
  <c r="N240" i="1"/>
  <c r="O240" i="1"/>
  <c r="N236" i="1"/>
  <c r="O236" i="1"/>
  <c r="N242" i="1"/>
  <c r="O242" i="1"/>
  <c r="N246" i="1"/>
  <c r="O246" i="1"/>
  <c r="N251" i="1"/>
  <c r="O251" i="1"/>
  <c r="N250" i="1"/>
  <c r="O250" i="1"/>
  <c r="N253" i="1"/>
  <c r="O253" i="1"/>
  <c r="N255" i="1"/>
  <c r="O255" i="1"/>
  <c r="N261" i="1"/>
  <c r="O261" i="1"/>
  <c r="N258" i="1"/>
  <c r="O258" i="1"/>
  <c r="N271" i="1"/>
  <c r="O271" i="1"/>
  <c r="N276" i="1"/>
  <c r="O276" i="1"/>
  <c r="N279" i="1"/>
  <c r="O279" i="1"/>
  <c r="N278" i="1"/>
  <c r="O278" i="1"/>
  <c r="N289" i="1"/>
  <c r="O289" i="1"/>
  <c r="N290" i="1"/>
  <c r="O290" i="1"/>
  <c r="N295" i="1"/>
  <c r="O295" i="1"/>
  <c r="N304" i="1"/>
  <c r="O304" i="1"/>
  <c r="N298" i="1"/>
  <c r="O298" i="1"/>
  <c r="N317" i="1"/>
  <c r="O317" i="1"/>
  <c r="N319" i="1"/>
  <c r="O319" i="1"/>
  <c r="N337" i="1"/>
  <c r="O337" i="1"/>
  <c r="N344" i="1"/>
  <c r="O344" i="1"/>
  <c r="N345" i="1"/>
  <c r="O345" i="1"/>
  <c r="N346" i="1"/>
  <c r="O346" i="1"/>
  <c r="N348" i="1"/>
  <c r="O348" i="1"/>
  <c r="N351" i="1"/>
  <c r="O351" i="1"/>
  <c r="N365" i="1"/>
  <c r="O365" i="1"/>
  <c r="N363" i="1"/>
  <c r="O363" i="1"/>
  <c r="N370" i="1"/>
  <c r="O370" i="1"/>
  <c r="N372" i="1"/>
  <c r="O372" i="1"/>
  <c r="N384" i="1"/>
  <c r="O384" i="1"/>
  <c r="N402" i="1"/>
  <c r="O402" i="1"/>
  <c r="N405" i="1"/>
  <c r="O405" i="1"/>
  <c r="N442" i="1"/>
  <c r="O442" i="1"/>
  <c r="N404" i="1"/>
  <c r="O404" i="1"/>
  <c r="N409" i="1"/>
  <c r="O409" i="1"/>
  <c r="N411" i="1"/>
  <c r="O411" i="1"/>
  <c r="N415" i="1"/>
  <c r="O415" i="1"/>
  <c r="N414" i="1"/>
  <c r="O414" i="1"/>
  <c r="N416" i="1"/>
  <c r="O416" i="1"/>
  <c r="N441" i="1"/>
  <c r="O441" i="1"/>
  <c r="N438" i="1"/>
  <c r="O438" i="1"/>
  <c r="N421" i="1"/>
  <c r="O421" i="1"/>
  <c r="N423" i="1"/>
  <c r="O423" i="1"/>
  <c r="N424" i="1"/>
  <c r="O424" i="1"/>
  <c r="N428" i="1"/>
  <c r="O428" i="1"/>
  <c r="N430" i="1"/>
  <c r="O430" i="1"/>
  <c r="N433" i="1"/>
  <c r="O433" i="1"/>
  <c r="N448" i="1"/>
  <c r="O448" i="1"/>
  <c r="N467" i="1"/>
  <c r="O467" i="1"/>
  <c r="N471" i="1"/>
  <c r="O471" i="1"/>
  <c r="N472" i="1"/>
  <c r="O472" i="1"/>
  <c r="N473" i="1"/>
  <c r="O473" i="1"/>
  <c r="N482" i="1"/>
  <c r="O482" i="1"/>
  <c r="N484" i="1"/>
  <c r="O484" i="1"/>
  <c r="N480" i="1"/>
  <c r="O480" i="1"/>
  <c r="N478" i="1"/>
  <c r="O478" i="1"/>
  <c r="N488" i="1"/>
  <c r="O488" i="1"/>
  <c r="N489" i="1"/>
  <c r="O489" i="1"/>
  <c r="N492" i="1"/>
  <c r="O492" i="1"/>
  <c r="N498" i="1"/>
  <c r="O498" i="1"/>
  <c r="N504" i="1"/>
  <c r="O504" i="1"/>
  <c r="N507" i="1"/>
  <c r="O507" i="1"/>
  <c r="N518" i="1"/>
  <c r="O518" i="1"/>
  <c r="N524" i="1"/>
  <c r="O524" i="1"/>
  <c r="N543" i="1"/>
  <c r="O543" i="1"/>
  <c r="N547" i="1"/>
  <c r="O547" i="1"/>
  <c r="N552" i="1"/>
  <c r="O552" i="1"/>
  <c r="N562" i="1"/>
  <c r="O562" i="1"/>
  <c r="N571" i="1"/>
  <c r="O571" i="1"/>
  <c r="N569" i="1"/>
  <c r="O569" i="1"/>
  <c r="N568" i="1"/>
  <c r="O568" i="1"/>
  <c r="N553" i="1"/>
  <c r="O553" i="1"/>
  <c r="N549" i="1"/>
  <c r="O549" i="1"/>
  <c r="N550" i="1"/>
  <c r="O550" i="1"/>
  <c r="N559" i="1"/>
  <c r="O559" i="1"/>
  <c r="N561" i="1"/>
  <c r="O561" i="1"/>
  <c r="N558" i="1"/>
  <c r="O558" i="1"/>
  <c r="N573" i="1"/>
  <c r="O573" i="1"/>
  <c r="N582" i="1"/>
  <c r="O582" i="1"/>
  <c r="N601" i="1"/>
  <c r="O601" i="1"/>
  <c r="N604" i="1"/>
  <c r="O604" i="1"/>
  <c r="N621" i="1"/>
  <c r="O621" i="1"/>
  <c r="N614" i="1"/>
  <c r="O614" i="1"/>
  <c r="N624" i="1"/>
  <c r="O624" i="1"/>
  <c r="N641" i="1"/>
  <c r="O641" i="1"/>
  <c r="N626" i="1"/>
  <c r="O626" i="1"/>
  <c r="N629" i="1"/>
  <c r="O629" i="1"/>
  <c r="N633" i="1"/>
  <c r="O633" i="1"/>
  <c r="N637" i="1"/>
  <c r="O637" i="1"/>
  <c r="N638" i="1"/>
  <c r="O638" i="1"/>
  <c r="N643" i="1"/>
  <c r="O643" i="1"/>
  <c r="N644" i="1"/>
  <c r="O644" i="1"/>
  <c r="N645" i="1"/>
  <c r="O645" i="1"/>
  <c r="N646" i="1"/>
  <c r="O646" i="1"/>
  <c r="N653" i="1"/>
  <c r="O653" i="1"/>
  <c r="N654" i="1"/>
  <c r="O654" i="1"/>
  <c r="N655" i="1"/>
  <c r="O655" i="1"/>
  <c r="N656" i="1"/>
  <c r="O656" i="1"/>
  <c r="N660" i="1"/>
  <c r="O660" i="1"/>
  <c r="N662" i="1"/>
  <c r="O662" i="1"/>
  <c r="N663" i="1"/>
  <c r="O663" i="1"/>
  <c r="N664" i="1"/>
  <c r="O664" i="1"/>
  <c r="N665" i="1"/>
  <c r="O665" i="1"/>
  <c r="N685" i="1"/>
  <c r="O685" i="1"/>
  <c r="N699" i="1"/>
  <c r="O699" i="1"/>
  <c r="N692" i="1"/>
  <c r="O692" i="1"/>
  <c r="N704" i="1"/>
  <c r="O704" i="1"/>
  <c r="N703" i="1"/>
  <c r="O703" i="1"/>
  <c r="N702" i="1"/>
  <c r="O702" i="1"/>
  <c r="N706" i="1"/>
  <c r="O706" i="1"/>
  <c r="N707" i="1"/>
  <c r="O707" i="1"/>
  <c r="N708" i="1"/>
  <c r="O708" i="1"/>
  <c r="N709" i="1"/>
  <c r="O709" i="1"/>
  <c r="N717" i="1"/>
  <c r="O717" i="1"/>
  <c r="N724" i="1"/>
  <c r="O724" i="1"/>
  <c r="N727" i="1"/>
  <c r="O727" i="1"/>
  <c r="N729" i="1"/>
  <c r="O729" i="1"/>
  <c r="N739" i="1"/>
  <c r="O739" i="1"/>
  <c r="N750" i="1"/>
  <c r="O750" i="1"/>
  <c r="N763" i="1"/>
  <c r="O763" i="1"/>
  <c r="N767" i="1"/>
  <c r="O767" i="1"/>
  <c r="N773" i="1"/>
  <c r="O773" i="1"/>
  <c r="N772" i="1"/>
  <c r="O772" i="1"/>
  <c r="N771" i="1"/>
  <c r="O771" i="1"/>
  <c r="N770" i="1"/>
  <c r="O770" i="1"/>
  <c r="N769" i="1"/>
  <c r="O769" i="1"/>
  <c r="N768" i="1"/>
  <c r="O768" i="1"/>
  <c r="N807" i="1"/>
  <c r="O807" i="1"/>
  <c r="N811" i="1"/>
  <c r="O811" i="1"/>
  <c r="N812" i="1"/>
  <c r="O812" i="1"/>
  <c r="N819" i="1"/>
  <c r="O819" i="1"/>
  <c r="N820" i="1"/>
  <c r="O820" i="1"/>
  <c r="N823" i="1"/>
  <c r="O823" i="1"/>
  <c r="N839" i="1"/>
  <c r="O839" i="1"/>
  <c r="N841" i="1"/>
  <c r="O841" i="1"/>
  <c r="N862" i="1"/>
  <c r="O862" i="1"/>
  <c r="N858" i="1"/>
  <c r="O858" i="1"/>
  <c r="N894" i="1"/>
  <c r="O894" i="1"/>
  <c r="N891" i="1"/>
  <c r="O891" i="1"/>
  <c r="N889" i="1"/>
  <c r="O889" i="1"/>
  <c r="N886" i="1"/>
  <c r="O886" i="1"/>
  <c r="N883" i="1"/>
  <c r="O883" i="1"/>
  <c r="N882" i="1"/>
  <c r="O882" i="1"/>
  <c r="N881" i="1"/>
  <c r="O881" i="1"/>
  <c r="N859" i="1"/>
  <c r="O859" i="1"/>
  <c r="N920" i="1"/>
  <c r="O920" i="1"/>
  <c r="N918" i="1"/>
  <c r="O918" i="1"/>
  <c r="N917" i="1"/>
  <c r="O917" i="1"/>
  <c r="N916" i="1"/>
  <c r="O916" i="1"/>
  <c r="N915" i="1"/>
  <c r="O915" i="1"/>
  <c r="N932" i="1"/>
  <c r="O932" i="1"/>
  <c r="N924" i="1"/>
  <c r="O924" i="1"/>
  <c r="N936" i="1"/>
  <c r="O936" i="1"/>
  <c r="N939" i="1"/>
  <c r="O939" i="1"/>
  <c r="N927" i="1"/>
  <c r="O927" i="1"/>
  <c r="N928" i="1"/>
  <c r="O928" i="1"/>
  <c r="N929" i="1"/>
  <c r="O929" i="1"/>
  <c r="N930" i="1"/>
  <c r="O930" i="1"/>
  <c r="N943" i="1"/>
  <c r="O943" i="1"/>
  <c r="N946" i="1"/>
  <c r="O946" i="1"/>
  <c r="N942" i="1"/>
  <c r="O942" i="1"/>
  <c r="N941" i="1"/>
  <c r="O941" i="1"/>
  <c r="N940" i="1"/>
  <c r="O940" i="1"/>
  <c r="N938" i="1"/>
  <c r="O938" i="1"/>
  <c r="N935" i="1"/>
  <c r="O935" i="1"/>
  <c r="N931" i="1"/>
  <c r="O931" i="1"/>
  <c r="N922" i="1"/>
  <c r="O922" i="1"/>
  <c r="N949" i="1"/>
  <c r="O949" i="1"/>
  <c r="N948" i="1"/>
  <c r="O948" i="1"/>
  <c r="N975" i="1"/>
  <c r="O975" i="1"/>
  <c r="N974" i="1"/>
  <c r="O974" i="1"/>
  <c r="N984" i="1"/>
  <c r="O984" i="1"/>
  <c r="N997" i="1"/>
  <c r="O997" i="1"/>
  <c r="N996" i="1"/>
  <c r="O996" i="1"/>
  <c r="N1004" i="1"/>
  <c r="O1004" i="1"/>
  <c r="N1002" i="1"/>
  <c r="O1002" i="1"/>
  <c r="N999" i="1"/>
  <c r="O999" i="1"/>
  <c r="N998" i="1"/>
  <c r="O998" i="1"/>
  <c r="N995" i="1"/>
  <c r="O995" i="1"/>
  <c r="N1022" i="1"/>
  <c r="O1022" i="1"/>
  <c r="N1034" i="1"/>
  <c r="O1034" i="1"/>
  <c r="N1033" i="1"/>
  <c r="O1033" i="1"/>
  <c r="N1032" i="1"/>
  <c r="O1032" i="1"/>
  <c r="N1031" i="1"/>
  <c r="O1031" i="1"/>
  <c r="N1055" i="1"/>
  <c r="O1055" i="1"/>
  <c r="N1058" i="1"/>
  <c r="O1058" i="1"/>
  <c r="N1059" i="1"/>
  <c r="O1059" i="1"/>
  <c r="N1060" i="1"/>
  <c r="O1060" i="1"/>
  <c r="N1061" i="1"/>
  <c r="O1061" i="1"/>
  <c r="N1062" i="1"/>
  <c r="O1062" i="1"/>
  <c r="N1064" i="1"/>
  <c r="O1064" i="1"/>
  <c r="N1065" i="1"/>
  <c r="O1065" i="1"/>
  <c r="N1082" i="1"/>
  <c r="O1082" i="1"/>
  <c r="N1077" i="1"/>
  <c r="O1077" i="1"/>
  <c r="N1075" i="1"/>
  <c r="O1075" i="1"/>
  <c r="N1088" i="1"/>
  <c r="O1088" i="1"/>
  <c r="N1091" i="1"/>
  <c r="O1091" i="1"/>
  <c r="N1094" i="1"/>
  <c r="O1094" i="1"/>
  <c r="N1095" i="1"/>
  <c r="O1095" i="1"/>
  <c r="N1112" i="1"/>
  <c r="O1112" i="1"/>
  <c r="N1142" i="1"/>
  <c r="O1142" i="1"/>
  <c r="N1143" i="1"/>
  <c r="O1143" i="1"/>
  <c r="N1153" i="1"/>
  <c r="O1153" i="1"/>
  <c r="N1150" i="1"/>
  <c r="O1150" i="1"/>
  <c r="N1148" i="1"/>
  <c r="O1148" i="1"/>
  <c r="N1144" i="1"/>
  <c r="O1144" i="1"/>
  <c r="N1147" i="1"/>
  <c r="O1147" i="1"/>
  <c r="N1198" i="1"/>
  <c r="O1198" i="1"/>
  <c r="N1203" i="1"/>
  <c r="O1203" i="1"/>
  <c r="N1202" i="1"/>
  <c r="O1202" i="1"/>
  <c r="N1201" i="1"/>
  <c r="O1201" i="1"/>
  <c r="N1191" i="1"/>
  <c r="O1191" i="1"/>
  <c r="N1192" i="1"/>
  <c r="O1192" i="1"/>
  <c r="N1193" i="1"/>
  <c r="O1193" i="1"/>
  <c r="N1205" i="1"/>
  <c r="O1205" i="1"/>
  <c r="N1199" i="1"/>
  <c r="O1199" i="1"/>
  <c r="N1209" i="1"/>
  <c r="O1209" i="1"/>
  <c r="N1294" i="1"/>
  <c r="O1294" i="1"/>
  <c r="N1313" i="1"/>
  <c r="O1313" i="1"/>
  <c r="N1335" i="1"/>
  <c r="O1335" i="1"/>
  <c r="N1346" i="1"/>
  <c r="O1346" i="1"/>
  <c r="N1351" i="1"/>
  <c r="O1351" i="1"/>
  <c r="N1369" i="1"/>
  <c r="O1369" i="1"/>
  <c r="N1372" i="1"/>
  <c r="O1372" i="1"/>
  <c r="N1379" i="1"/>
  <c r="O1379" i="1"/>
  <c r="N1408" i="1"/>
  <c r="O1408" i="1"/>
  <c r="N1432" i="1"/>
  <c r="O1432" i="1"/>
  <c r="N1461" i="1"/>
  <c r="O1461" i="1"/>
  <c r="N1466" i="1"/>
  <c r="O1466" i="1"/>
  <c r="N1467" i="1"/>
  <c r="O1467" i="1"/>
  <c r="N1504" i="1"/>
  <c r="O1504" i="1"/>
  <c r="N1593" i="1"/>
  <c r="O1593" i="1"/>
  <c r="G309" i="11"/>
  <c r="F309" i="11"/>
  <c r="F304" i="11"/>
  <c r="G304" i="11"/>
  <c r="G219" i="11"/>
  <c r="F219" i="11"/>
  <c r="G218" i="11"/>
  <c r="F218" i="11"/>
  <c r="G193" i="11"/>
  <c r="F193" i="11"/>
  <c r="G167" i="11"/>
  <c r="F167" i="11"/>
  <c r="G163" i="11"/>
  <c r="F163" i="11"/>
  <c r="G161" i="11"/>
  <c r="F161" i="11"/>
  <c r="G153" i="11"/>
  <c r="F153" i="11"/>
  <c r="G136" i="11"/>
  <c r="F136" i="11"/>
  <c r="G79" i="11"/>
  <c r="F79" i="11"/>
  <c r="G80" i="11"/>
  <c r="F80" i="11"/>
  <c r="O33" i="6"/>
  <c r="N33" i="6"/>
  <c r="H33" i="6"/>
  <c r="L7" i="7"/>
  <c r="G33" i="6"/>
  <c r="L6" i="7"/>
  <c r="F33" i="6"/>
  <c r="E33" i="6"/>
  <c r="D33" i="6"/>
  <c r="C33" i="6"/>
  <c r="B33" i="6"/>
  <c r="L3" i="7"/>
  <c r="L5" i="7"/>
  <c r="L2" i="7"/>
  <c r="L4" i="7"/>
  <c r="G2923" i="1"/>
</calcChain>
</file>

<file path=xl/sharedStrings.xml><?xml version="1.0" encoding="utf-8"?>
<sst xmlns="http://schemas.openxmlformats.org/spreadsheetml/2006/main" count="15407" uniqueCount="2874">
  <si>
    <t>ID Lead</t>
  </si>
  <si>
    <t>fecha</t>
  </si>
  <si>
    <t>Hora</t>
  </si>
  <si>
    <t>Nombre</t>
  </si>
  <si>
    <t>Telefono</t>
  </si>
  <si>
    <t>telefono2</t>
  </si>
  <si>
    <t>CURP</t>
  </si>
  <si>
    <t>NSS</t>
  </si>
  <si>
    <t>Fecha_de_nac</t>
  </si>
  <si>
    <t>Estado_de_nac</t>
  </si>
  <si>
    <t>ESTATUS</t>
  </si>
  <si>
    <t xml:space="preserve"> INFORMEDEPAGO </t>
  </si>
  <si>
    <t>DESCUENTOS</t>
  </si>
  <si>
    <t xml:space="preserve">$0.30 </t>
  </si>
  <si>
    <t>CAPACIDAD</t>
  </si>
  <si>
    <t>VENCIMIENTO</t>
  </si>
  <si>
    <t xml:space="preserve">FINANCIERA </t>
  </si>
  <si>
    <t>MONTO COMPRA</t>
  </si>
  <si>
    <t xml:space="preserve">ASIGNADO A </t>
  </si>
  <si>
    <t>FECHA ASIG</t>
  </si>
  <si>
    <t>Columna1</t>
  </si>
  <si>
    <t>Columna2</t>
  </si>
  <si>
    <t>Columna3</t>
  </si>
  <si>
    <t>Columna4</t>
  </si>
  <si>
    <t>Columna5</t>
  </si>
  <si>
    <t>CONTEO PANTALLA</t>
  </si>
  <si>
    <t>TORJ591111HNLRVN03</t>
  </si>
  <si>
    <t>COMPRA MAYOR</t>
  </si>
  <si>
    <t>IRASEMA</t>
  </si>
  <si>
    <t>EUHA671126HVZSRN05</t>
  </si>
  <si>
    <t>COMPRA BIMESTRES</t>
  </si>
  <si>
    <t>KARLA</t>
  </si>
  <si>
    <t>NO DATO</t>
  </si>
  <si>
    <t>JOSE MANUEL CASTRO PANTOJA</t>
  </si>
  <si>
    <t>RESTRINGIDA</t>
  </si>
  <si>
    <t>DANIELLY</t>
  </si>
  <si>
    <t>0-3664819434</t>
  </si>
  <si>
    <t>KACG691208HCCNHS09</t>
  </si>
  <si>
    <t>NUEVO MENOR</t>
  </si>
  <si>
    <t>HECTOR</t>
  </si>
  <si>
    <t>HEQT630204MCHRXR01</t>
  </si>
  <si>
    <t>profuturo</t>
  </si>
  <si>
    <t>COSI610201HGRRLG09</t>
  </si>
  <si>
    <t>CONSUPAGO</t>
  </si>
  <si>
    <t>DIMEX</t>
  </si>
  <si>
    <t>MIGUEL ANGEL MEZA</t>
  </si>
  <si>
    <t>MEXM510110HCMZXG02</t>
  </si>
  <si>
    <t>EXITUS</t>
  </si>
  <si>
    <t>vema420815HOCRRR00</t>
  </si>
  <si>
    <t>MARIO GARCIA NITSCH</t>
  </si>
  <si>
    <t>GANM991202HCSRTR01</t>
  </si>
  <si>
    <t>LEY 97</t>
  </si>
  <si>
    <t>VAHN790421HPLLRX06</t>
  </si>
  <si>
    <t>FOMM650802MVZRRR06</t>
  </si>
  <si>
    <t>NUEVO MAYOR</t>
  </si>
  <si>
    <t>ITZELH</t>
  </si>
  <si>
    <t>MACC660503HCLRRR06</t>
  </si>
  <si>
    <t>FISOFO</t>
  </si>
  <si>
    <t>SIN CAPACIDAD</t>
  </si>
  <si>
    <t>MULTIVA</t>
  </si>
  <si>
    <t>FOFT610912MMNNGR00</t>
  </si>
  <si>
    <t>RASS550909HDFMNR09</t>
  </si>
  <si>
    <t>CAROLINA</t>
  </si>
  <si>
    <t>MELANIE</t>
  </si>
  <si>
    <t>Dorotea Martha Cuevas Torres</t>
  </si>
  <si>
    <t>CUTD560701DFVR02</t>
  </si>
  <si>
    <t>Francisco</t>
  </si>
  <si>
    <t>ALFREDO AGUSTIN PEREZ DIAZ</t>
  </si>
  <si>
    <t>PXDA560828HCSRZL07</t>
  </si>
  <si>
    <t>MAFER</t>
  </si>
  <si>
    <t>MAEJ690216HBCRSS00</t>
  </si>
  <si>
    <t>mabf611016hnlcrr01</t>
  </si>
  <si>
    <t>0379-61-0515</t>
  </si>
  <si>
    <t>OPCIPRES</t>
  </si>
  <si>
    <t>OEOA640821HSPJVN02</t>
  </si>
  <si>
    <t>INBURSA</t>
  </si>
  <si>
    <t>CAML650225HDFHLS08</t>
  </si>
  <si>
    <t>PROFUTURO</t>
  </si>
  <si>
    <t>Came601023HNLSRN00</t>
  </si>
  <si>
    <t>MEBS630912HVZNCM00</t>
  </si>
  <si>
    <t>BANCREA</t>
  </si>
  <si>
    <t>13725405255</t>
  </si>
  <si>
    <t>Rubén Arturo Sánchez López</t>
  </si>
  <si>
    <t>33816488283</t>
  </si>
  <si>
    <t>43846240174</t>
  </si>
  <si>
    <t>COMV570406HCMNLC01</t>
  </si>
  <si>
    <t>23947208031</t>
  </si>
  <si>
    <t>Ignacio</t>
  </si>
  <si>
    <t>54795862082</t>
  </si>
  <si>
    <t>43756014833</t>
  </si>
  <si>
    <t>MAGALI</t>
  </si>
  <si>
    <t>24866508476</t>
  </si>
  <si>
    <t>43796178606</t>
  </si>
  <si>
    <t>TOII661011HSPRBN06</t>
  </si>
  <si>
    <t>33836506502</t>
  </si>
  <si>
    <t>MARISOL</t>
  </si>
  <si>
    <t>84846200651</t>
  </si>
  <si>
    <t>63806312243</t>
  </si>
  <si>
    <t>FERNANDA</t>
  </si>
  <si>
    <t>ROSA ELVIRA GUTIERREZ</t>
  </si>
  <si>
    <t>GUXR690328MJCTXS01</t>
  </si>
  <si>
    <t>José Guadalupe López Horta</t>
  </si>
  <si>
    <t>LOHG730513HJRPRD04</t>
  </si>
  <si>
    <t>54927386497</t>
  </si>
  <si>
    <t>MAGC621026HMCRNR04</t>
  </si>
  <si>
    <t>108562259-4</t>
  </si>
  <si>
    <t>50907498690</t>
  </si>
  <si>
    <t>COMPRA MENOR</t>
  </si>
  <si>
    <t>04896017078</t>
  </si>
  <si>
    <t>BARF600114HVZRYL09</t>
  </si>
  <si>
    <t>Dimr600925hvzzrb09</t>
  </si>
  <si>
    <t>67846052503</t>
  </si>
  <si>
    <t>71805914851</t>
  </si>
  <si>
    <t>RECUPERADO</t>
  </si>
  <si>
    <t>SALD730501HTSNRN00</t>
  </si>
  <si>
    <t>MARIO ALBERTO CORREA FUENTES</t>
  </si>
  <si>
    <t>COFM610420HDFRNR05</t>
  </si>
  <si>
    <t>CARRILLO PULIDO FELIX</t>
  </si>
  <si>
    <t>CAPF631116HVZRL00</t>
  </si>
  <si>
    <t>Dism460223hspznn07</t>
  </si>
  <si>
    <t>MXAR730713MCHNLS07</t>
  </si>
  <si>
    <t>SOMF620417HJCSRR07</t>
  </si>
  <si>
    <t>AAPJ560616HPLLNN01</t>
  </si>
  <si>
    <t>01785515410</t>
  </si>
  <si>
    <t>MOHG460704MHGRRD08</t>
  </si>
  <si>
    <t>YADIRA ELIZABETH ARREOLA ARAUJO</t>
  </si>
  <si>
    <t>5502840406-3</t>
  </si>
  <si>
    <t>ANDREA MARGARITA BARRERA MIRAMONTES</t>
  </si>
  <si>
    <t>04917311930</t>
  </si>
  <si>
    <t>JESUS RAMON ROSAS BABA</t>
  </si>
  <si>
    <t>ROBJ631004HSLSBS08</t>
  </si>
  <si>
    <t>23856302817</t>
  </si>
  <si>
    <t>CORI630125MCHNDS06</t>
  </si>
  <si>
    <t>Goab531006hdgnvr07</t>
  </si>
  <si>
    <t>LISBETH</t>
  </si>
  <si>
    <t>GAML660602MDFLRS08</t>
  </si>
  <si>
    <t>75846617159</t>
  </si>
  <si>
    <t>Adrian Alvarado Landin</t>
  </si>
  <si>
    <t>AALA530304HVZLND04</t>
  </si>
  <si>
    <t>Manuel</t>
  </si>
  <si>
    <t>HEMM680313HPLRTN03</t>
  </si>
  <si>
    <t>CONSUBANCO</t>
  </si>
  <si>
    <t>JAR1530115HCLCCN02</t>
  </si>
  <si>
    <t>ARACELI ORTIZ ROMERO</t>
  </si>
  <si>
    <t>15664511928</t>
  </si>
  <si>
    <t>MIGUEL ANGEL SANCHEZ LEDEZMA</t>
  </si>
  <si>
    <t>CALM611119HDFHZG03</t>
  </si>
  <si>
    <t>GOOH720613MDGLLL00</t>
  </si>
  <si>
    <t>49805606594</t>
  </si>
  <si>
    <t>FETE630212HVZRRD02</t>
  </si>
  <si>
    <t>JOSÉ ANGEL</t>
  </si>
  <si>
    <t>SETA740219HVZRLN08</t>
  </si>
  <si>
    <t>90907428115</t>
  </si>
  <si>
    <t>VECT530328MYNNNR00</t>
  </si>
  <si>
    <t>Julio cesar Salas Juárez</t>
  </si>
  <si>
    <t>JUANA MARIA AUXILIO CONTRERAS LUGO</t>
  </si>
  <si>
    <t>3161461087-6</t>
  </si>
  <si>
    <t>VALENCIA CABRERA JOSE CELSO</t>
  </si>
  <si>
    <t>1607640054-4</t>
  </si>
  <si>
    <t>LOVM650604HGRPLN05</t>
  </si>
  <si>
    <t>GAXF560314HGTLXL04</t>
  </si>
  <si>
    <t>AAMJ760314HDFLNR00</t>
  </si>
  <si>
    <t>RORA560620MVZXSR03</t>
  </si>
  <si>
    <t>ZELJ710903HCLRPS17</t>
  </si>
  <si>
    <t>32897134519</t>
  </si>
  <si>
    <t>MABC691204HDFRNR01</t>
  </si>
  <si>
    <t xml:space="preserve">PROFUTURO GNP </t>
  </si>
  <si>
    <t>GAAJ651009HSLXLN07</t>
  </si>
  <si>
    <t>22836506547</t>
  </si>
  <si>
    <t xml:space="preserve">CONSUBANCO </t>
  </si>
  <si>
    <t>LORL640621HJCMMS07</t>
  </si>
  <si>
    <t>REVISIÓN</t>
  </si>
  <si>
    <t>DAOR640904MNLVRS03</t>
  </si>
  <si>
    <t>MARIA MYRIAM VALENCIA HERRERA</t>
  </si>
  <si>
    <t>30907291667</t>
  </si>
  <si>
    <t>8178570100-4</t>
  </si>
  <si>
    <t>COCI570714HTCRPL08</t>
  </si>
  <si>
    <t>Rene</t>
  </si>
  <si>
    <t>GLORIA VALDEZ</t>
  </si>
  <si>
    <t>VAVE600517MDGRRS08</t>
  </si>
  <si>
    <t>sergio garza sanchez</t>
  </si>
  <si>
    <t>José Luis Gómez Santiago</t>
  </si>
  <si>
    <t>GOSL680311HMCMNS07</t>
  </si>
  <si>
    <t>92876858942</t>
  </si>
  <si>
    <t>FORTALEZA</t>
  </si>
  <si>
    <t>GOMP750612HCSMRT02</t>
  </si>
  <si>
    <t>43735731192</t>
  </si>
  <si>
    <t>LAURA ANA SEGOVIA ZULETA</t>
  </si>
  <si>
    <t>32109432255</t>
  </si>
  <si>
    <t>SIN NOMINA</t>
  </si>
  <si>
    <t xml:space="preserve">FISOFO </t>
  </si>
  <si>
    <t>AEMR601109HDFRNC07</t>
  </si>
  <si>
    <t>NAEF590111HTSVLR02</t>
  </si>
  <si>
    <t>22937201701</t>
  </si>
  <si>
    <t>MIMC580414MMCRRC02</t>
  </si>
  <si>
    <t>ROAP580622HDFDLL04</t>
  </si>
  <si>
    <t>HEVJ570612HDFRRN06</t>
  </si>
  <si>
    <t>VELL670320MBCGPZ00</t>
  </si>
  <si>
    <t>33796226448</t>
  </si>
  <si>
    <t>JUGA610213HCLRMR01</t>
  </si>
  <si>
    <t>Roog620603mcsdcd02</t>
  </si>
  <si>
    <t>PABLO</t>
  </si>
  <si>
    <t>ROPP570822HNLDRB05</t>
  </si>
  <si>
    <t>COMF561116MSPRDD01</t>
  </si>
  <si>
    <t>JORGE</t>
  </si>
  <si>
    <t>LOSJ610423HVZZNR08</t>
  </si>
  <si>
    <t xml:space="preserve">DIMEX </t>
  </si>
  <si>
    <t>Jesús</t>
  </si>
  <si>
    <t>33735404965</t>
  </si>
  <si>
    <t>Silvia</t>
  </si>
  <si>
    <t>GFI APOYO</t>
  </si>
  <si>
    <t>LITZY</t>
  </si>
  <si>
    <t>OECO590730HGRJBS09</t>
  </si>
  <si>
    <t>GOGJ650603HNLDRV08</t>
  </si>
  <si>
    <t>SAHF670929MHGNRL05</t>
  </si>
  <si>
    <t>Camerino barrientos sanchez</t>
  </si>
  <si>
    <t>16:40:45 PM</t>
  </si>
  <si>
    <t>CARMEN ADRIANA ARCIGA MARTINEZ</t>
  </si>
  <si>
    <t>53866416117</t>
  </si>
  <si>
    <t>16:42:08 PM</t>
  </si>
  <si>
    <t>ISIDRO CALZADA TORRES</t>
  </si>
  <si>
    <t>CATI530407HDGLRS01</t>
  </si>
  <si>
    <t>16:44:08 PM</t>
  </si>
  <si>
    <t>CLAUDIA LILIANA YEVERINO SIFUENTES</t>
  </si>
  <si>
    <t>60917075743</t>
  </si>
  <si>
    <t>16:47:42 PM</t>
  </si>
  <si>
    <t>MANUEL CASIMIRO ORTIZ LOPEZ</t>
  </si>
  <si>
    <t>OILM560304HSRRPN01</t>
  </si>
  <si>
    <t>16:54:34 PM</t>
  </si>
  <si>
    <t>EMMA BERNAL NAVARRO</t>
  </si>
  <si>
    <t>80896755313</t>
  </si>
  <si>
    <t>CAOO640713HNTMRS03</t>
  </si>
  <si>
    <t>MOCE610929MSLNSV08</t>
  </si>
  <si>
    <t>VELAZQUEZ DELGADO JUAN ANTONIO</t>
  </si>
  <si>
    <t>VEDJ670328HSPLLN00</t>
  </si>
  <si>
    <t>MILTIVA</t>
  </si>
  <si>
    <t>ROMERO MORA JOSE HILARIO</t>
  </si>
  <si>
    <t>ROMH630812HNTMRL03</t>
  </si>
  <si>
    <t>MAER590407MBSRSS06</t>
  </si>
  <si>
    <t>67786205939</t>
  </si>
  <si>
    <t>oaro640510hmcxds05</t>
  </si>
  <si>
    <t>Leticia Ramírez</t>
  </si>
  <si>
    <t>03967367370</t>
  </si>
  <si>
    <t>VIZJ651227HCLLPS09</t>
  </si>
  <si>
    <t>VEGA MOCTEZUMA VERONICA</t>
  </si>
  <si>
    <t>49947219082</t>
  </si>
  <si>
    <t>MARIO</t>
  </si>
  <si>
    <t>FEGM660310HSRLLR01</t>
  </si>
  <si>
    <t>CATB580413HTSNRR03</t>
  </si>
  <si>
    <t>FLOR DE MARIA GOMEZ PEREZ</t>
  </si>
  <si>
    <t>GOPF940211MCSMRL08</t>
  </si>
  <si>
    <t>SANCHEZ MORALES DORCAS</t>
  </si>
  <si>
    <t>83674011123</t>
  </si>
  <si>
    <t>VIMS721211MVZCXR16</t>
  </si>
  <si>
    <t>Eiim650612hclsbr02</t>
  </si>
  <si>
    <t>09987801173</t>
  </si>
  <si>
    <t>41685011649</t>
  </si>
  <si>
    <t>GAAR650415HDFRGF08</t>
  </si>
  <si>
    <t>BUVE620228HNLRLR08</t>
  </si>
  <si>
    <t>03806227751</t>
  </si>
  <si>
    <t>11785914547</t>
  </si>
  <si>
    <t xml:space="preserve">OPCIPRES </t>
  </si>
  <si>
    <t>multiva</t>
  </si>
  <si>
    <t>24816124622</t>
  </si>
  <si>
    <t>IMSS</t>
  </si>
  <si>
    <t>24846620250</t>
  </si>
  <si>
    <t>HANIA</t>
  </si>
  <si>
    <t>9297790653-3</t>
  </si>
  <si>
    <t>4974570937-5</t>
  </si>
  <si>
    <t>Ruaj671006hdfzrr00</t>
  </si>
  <si>
    <t>ROMA620622HNLSRN06</t>
  </si>
  <si>
    <t>DULCE</t>
  </si>
  <si>
    <t>SANDRA LUZ VILLALOBOS ANGEL</t>
  </si>
  <si>
    <t>VIAS770325MCSLNN06</t>
  </si>
  <si>
    <t>9688722366-5</t>
  </si>
  <si>
    <t>LULJ870819MSPGPS06</t>
  </si>
  <si>
    <t>RAMOS HERNANDEZ GUILLERMO</t>
  </si>
  <si>
    <t>RAHG610929HVZMRL06</t>
  </si>
  <si>
    <t>6781610405 - 2</t>
  </si>
  <si>
    <t>BIMA630211HNLRZC07</t>
  </si>
  <si>
    <t>ALVARADO TELLEZ EVA</t>
  </si>
  <si>
    <t>AATE640720MHGLLV01</t>
  </si>
  <si>
    <t>01806231443</t>
  </si>
  <si>
    <t>MEAJ611023HDFNLS02</t>
  </si>
  <si>
    <t>MAAV720429HGRRGC17</t>
  </si>
  <si>
    <t>21946204092</t>
  </si>
  <si>
    <t>33755810943</t>
  </si>
  <si>
    <t>ROMA720211HPLDRS06</t>
  </si>
  <si>
    <t>LALE630813MBCRYV15</t>
  </si>
  <si>
    <t>CEMA541102HDFRYL01</t>
  </si>
  <si>
    <t>MOMM630319MCLRZR06</t>
  </si>
  <si>
    <t>HEFJ580818HCLRLN08</t>
  </si>
  <si>
    <t>VARGAS CAMPOS MARTA</t>
  </si>
  <si>
    <t>VACM640723MMNRMR02</t>
  </si>
  <si>
    <t>Sacv650214hgrntlo3</t>
  </si>
  <si>
    <t>23856582053</t>
  </si>
  <si>
    <t>FACF640810HJCLHH04</t>
  </si>
  <si>
    <t>04866406194</t>
  </si>
  <si>
    <t>HURR911007HPLSVG00</t>
  </si>
  <si>
    <t>0474552656_8</t>
  </si>
  <si>
    <t>GORA571115HJCNMN07</t>
  </si>
  <si>
    <t>04755213800</t>
  </si>
  <si>
    <t>FIMUBAC</t>
  </si>
  <si>
    <t>HEOM070108MOCRSCA7</t>
  </si>
  <si>
    <t>GAEF760918HSRRSR09</t>
  </si>
  <si>
    <t>AIMA650903HMCVRL00</t>
  </si>
  <si>
    <t>Jesús Enrique Hernández Díaz</t>
  </si>
  <si>
    <t>Mónica Were# Peralta</t>
  </si>
  <si>
    <t>WEPM760827MBSRRN07</t>
  </si>
  <si>
    <t>SOCR611224HZSSSD02</t>
  </si>
  <si>
    <t>Sergio Osuna Acosta</t>
  </si>
  <si>
    <t>OUAS630226HSRSCR05</t>
  </si>
  <si>
    <t>GURJ611122HDFDDN01</t>
  </si>
  <si>
    <t>POCE600717HYNTMT04</t>
  </si>
  <si>
    <t>Aegf560410hdfltr03</t>
  </si>
  <si>
    <t>OUTR580607HDFLRB03</t>
  </si>
  <si>
    <t>JUANA GUADALUPE MARTINEZ GONZALEZ</t>
  </si>
  <si>
    <t>GACM681103HDGLSR04</t>
  </si>
  <si>
    <t>MAOM640603MHGRRR08</t>
  </si>
  <si>
    <t>MAIV610209MMNNBR05</t>
  </si>
  <si>
    <t>AIEC620113HJCRST01</t>
  </si>
  <si>
    <t>04806292316</t>
  </si>
  <si>
    <t>LUCIA DOMINGUEZ MERINO</t>
  </si>
  <si>
    <t>67834800095</t>
  </si>
  <si>
    <t>GUMG501228MDFTRDO9</t>
  </si>
  <si>
    <t>01603433861</t>
  </si>
  <si>
    <t>COCJ611203HVZBRR07</t>
  </si>
  <si>
    <t>KARINA</t>
  </si>
  <si>
    <t>VIGJ610327HSRLRS03</t>
  </si>
  <si>
    <t>Martin</t>
  </si>
  <si>
    <t>CEPM640613HMNRZRO5</t>
  </si>
  <si>
    <t>12775720969</t>
  </si>
  <si>
    <t>PRE15NA</t>
  </si>
  <si>
    <t>32866507831</t>
  </si>
  <si>
    <t>ATTENDO</t>
  </si>
  <si>
    <t>49906212094</t>
  </si>
  <si>
    <t>03816322279</t>
  </si>
  <si>
    <t>0678603196-0</t>
  </si>
  <si>
    <t>VETT651011MCLLRR09</t>
  </si>
  <si>
    <t>3282655970-3</t>
  </si>
  <si>
    <t>Gloria luz ch</t>
  </si>
  <si>
    <t>23705410688</t>
  </si>
  <si>
    <t>AAHT620617HJCLRR07</t>
  </si>
  <si>
    <t>4377600911-0</t>
  </si>
  <si>
    <t>Miii760613hgrrbs20</t>
  </si>
  <si>
    <t>CAAN500606HPLRLR07</t>
  </si>
  <si>
    <t>01705009577</t>
  </si>
  <si>
    <t>VARJ640207HCLRSM02</t>
  </si>
  <si>
    <t>MIRIAM</t>
  </si>
  <si>
    <t>AAGJ700627HMCNRR09</t>
  </si>
  <si>
    <t>BAFM600114HvzxNR09</t>
  </si>
  <si>
    <t>1169505209-9</t>
  </si>
  <si>
    <t>01796176962</t>
  </si>
  <si>
    <t>AARN721009MMCLJR03</t>
  </si>
  <si>
    <t>01927452910</t>
  </si>
  <si>
    <t>Alberto Llanas Castillo</t>
  </si>
  <si>
    <t>LAHF581129HCLLRD05</t>
  </si>
  <si>
    <t>HERM660210HDFRZG05</t>
  </si>
  <si>
    <t>EDNA</t>
  </si>
  <si>
    <t>COEC690121HCLRSS05</t>
  </si>
  <si>
    <t>TENORIO HERRERA MA SOLEDAD</t>
  </si>
  <si>
    <t>TEHS650806MZSNRL02</t>
  </si>
  <si>
    <t>ANTONIO DUARTE CRUZ</t>
  </si>
  <si>
    <t>DUCA500116HMNRRN03</t>
  </si>
  <si>
    <t>53745008259</t>
  </si>
  <si>
    <t>Celestino huerta muñoz</t>
  </si>
  <si>
    <t>HUMC430508HVZRXL08</t>
  </si>
  <si>
    <t>RITR470427HVZCLL03</t>
  </si>
  <si>
    <t>EDAD&gt;79</t>
  </si>
  <si>
    <t>CATR640927HSLSLF07</t>
  </si>
  <si>
    <t>65927264047</t>
  </si>
  <si>
    <t>ANASTACIO GUTIERREZ JACOBO</t>
  </si>
  <si>
    <t>GUJA590702HMNTCN04</t>
  </si>
  <si>
    <t>32775928859</t>
  </si>
  <si>
    <t>RILA660726MSRSJNO4</t>
  </si>
  <si>
    <t>fISOFO</t>
  </si>
  <si>
    <t>24845303593</t>
  </si>
  <si>
    <t>CAN GUTIERREZ CARLOS ARMANDO</t>
  </si>
  <si>
    <t>CAGC620620HCCNTR01</t>
  </si>
  <si>
    <t>MALV630204MTSNRN01</t>
  </si>
  <si>
    <t>GUEA890721MBCTSL02</t>
  </si>
  <si>
    <t>RIVJ701204HCLVLN06</t>
  </si>
  <si>
    <t>32887098351</t>
  </si>
  <si>
    <t>LULF580916HDFNNR09</t>
  </si>
  <si>
    <t>06745816345</t>
  </si>
  <si>
    <t>Horacio Vazqiez Perez</t>
  </si>
  <si>
    <t>VAPH620701HTCZRR03</t>
  </si>
  <si>
    <t>CACJ600708HDFHRR06</t>
  </si>
  <si>
    <t>23806104248</t>
  </si>
  <si>
    <t>ALVAREZ MIRELES MARIA FERNANDA</t>
  </si>
  <si>
    <t>AAMF811112MCLLRR00</t>
  </si>
  <si>
    <t>33957331466</t>
  </si>
  <si>
    <t>Catalina</t>
  </si>
  <si>
    <t>01594366971</t>
  </si>
  <si>
    <t>MARV460318HOCRMR02</t>
  </si>
  <si>
    <t>48138203988</t>
  </si>
  <si>
    <t>12875702541</t>
  </si>
  <si>
    <t>56886626383</t>
  </si>
  <si>
    <t>EADC611105HDFSLR05</t>
  </si>
  <si>
    <t>11916711176</t>
  </si>
  <si>
    <t>FOTH751029HTLLLG05</t>
  </si>
  <si>
    <t>Roberto Trujillo Garay</t>
  </si>
  <si>
    <t>TUGR580316HCHRRB09</t>
  </si>
  <si>
    <t>33955809935</t>
  </si>
  <si>
    <t>GIVA740906MSRLLL02</t>
  </si>
  <si>
    <t>Jacinto Jimenez</t>
  </si>
  <si>
    <t>33846450014</t>
  </si>
  <si>
    <t>CARMELA GONZALEZ AREVALO</t>
  </si>
  <si>
    <t>GOAC540723MDFNRR03</t>
  </si>
  <si>
    <t>06765657934</t>
  </si>
  <si>
    <t>MARIA DE LOURDES RAMOS LEMUS</t>
  </si>
  <si>
    <t>RALL480920MDFMMR07</t>
  </si>
  <si>
    <t>IAHE680701MVZSRS00</t>
  </si>
  <si>
    <t>Carlos Ramirez B</t>
  </si>
  <si>
    <t>RABC540317HDFMSR05</t>
  </si>
  <si>
    <t>16705214092</t>
  </si>
  <si>
    <t>HEGC641104HVZRTR05</t>
  </si>
  <si>
    <t>BAFL620204MDFTNR14</t>
  </si>
  <si>
    <t>06816241761</t>
  </si>
  <si>
    <t>32886825473</t>
  </si>
  <si>
    <t>SAOA570615HDFNBN01</t>
  </si>
  <si>
    <t xml:space="preserve">BANCREA </t>
  </si>
  <si>
    <t>82784701037</t>
  </si>
  <si>
    <t>MACC710530MTSLRL06</t>
  </si>
  <si>
    <t>MAMA670110HDGRRN02</t>
  </si>
  <si>
    <t>3284660509 8</t>
  </si>
  <si>
    <t>1179573503-1</t>
  </si>
  <si>
    <t>PROFUTURO GNP</t>
  </si>
  <si>
    <t>43866739501</t>
  </si>
  <si>
    <t>Gilberto Salazar Burgos</t>
  </si>
  <si>
    <t>JAVIER RAMIREZ HERNANDEZ</t>
  </si>
  <si>
    <t>RAHJ900416HSPMRV02</t>
  </si>
  <si>
    <t>MARIA ALEJANDRA ISLAS GUTIERREZ</t>
  </si>
  <si>
    <t>IAGA621029MDFSTL02</t>
  </si>
  <si>
    <t>GILBERTO HINOJOSA RODRIGUEZ</t>
  </si>
  <si>
    <t>HIRG611108HCMNDL06</t>
  </si>
  <si>
    <t>REGA650902MTSSTN02</t>
  </si>
  <si>
    <t>LOGT670307HVZPRM06</t>
  </si>
  <si>
    <t>CAMM870909HQTCRG04</t>
  </si>
  <si>
    <t>GIVF770525HDFJLR00</t>
  </si>
  <si>
    <t>MOGD841124HGTRTN08</t>
  </si>
  <si>
    <t>AUCC590307MJCHRLO7</t>
  </si>
  <si>
    <t>GUCJ810115HTLXRN04</t>
  </si>
  <si>
    <t>GUERRA AGUILERA LETICIA</t>
  </si>
  <si>
    <t>GUAL620919MGTRGT08</t>
  </si>
  <si>
    <t>Martín Ortega Torres</t>
  </si>
  <si>
    <t>31826610145</t>
  </si>
  <si>
    <t>RAPC730220HMCMRR03</t>
  </si>
  <si>
    <t>54846657051</t>
  </si>
  <si>
    <t>ROFR811103HCLMLB03</t>
  </si>
  <si>
    <t>AUBT730310HZSNRD09</t>
  </si>
  <si>
    <t>MANA600410MDFRVN04</t>
  </si>
  <si>
    <t>ALMEYDA VILLAVICENCIO ANGELICA SANDRA</t>
  </si>
  <si>
    <t>AEVA680616MMCLLN02</t>
  </si>
  <si>
    <t>VETJ630719HJCGPN06</t>
  </si>
  <si>
    <t>21936315288</t>
  </si>
  <si>
    <t>11765885972</t>
  </si>
  <si>
    <t>LACD591219HDFRJR06</t>
  </si>
  <si>
    <t>21755615768</t>
  </si>
  <si>
    <t>07885901525</t>
  </si>
  <si>
    <t>SÁNCHEZ RAMIREZ TOMÁS</t>
  </si>
  <si>
    <t>SART640115HCLNMM03</t>
  </si>
  <si>
    <t>CEDJ800704HJCDVN05</t>
  </si>
  <si>
    <t>CACR720409MCLHRS03</t>
  </si>
  <si>
    <t>VALJ650803HDFZRR06</t>
  </si>
  <si>
    <t>GOBM740914HMCNHN02</t>
  </si>
  <si>
    <t>RAMON</t>
  </si>
  <si>
    <t>MOBR620901HASRRM07</t>
  </si>
  <si>
    <t>AAGO580906MNTLRB05</t>
  </si>
  <si>
    <t>EIEE600927HOCNNZ04</t>
  </si>
  <si>
    <t>33935901232</t>
  </si>
  <si>
    <t>32907102308</t>
  </si>
  <si>
    <t>Javier mojardin</t>
  </si>
  <si>
    <t>VIJJ580501HOCLMN06</t>
  </si>
  <si>
    <t>RoRj700716HCHCBYNO3</t>
  </si>
  <si>
    <t>MAAG880919HDFNGL09</t>
  </si>
  <si>
    <t>AIAJ580207HJCVVQ00</t>
  </si>
  <si>
    <t>41745603732</t>
  </si>
  <si>
    <t>RALL620513HHGMNN01</t>
  </si>
  <si>
    <t>LOGA640713HNLPNN07</t>
  </si>
  <si>
    <t>Manj</t>
  </si>
  <si>
    <t>Manj520303hmncgs06</t>
  </si>
  <si>
    <t>JUANITA GOMEZ MONTES</t>
  </si>
  <si>
    <t>GOMJ510612MCSMNN08</t>
  </si>
  <si>
    <t>WIVR040420HNLNLBA7</t>
  </si>
  <si>
    <t>MAHD971127HMNLRG01</t>
  </si>
  <si>
    <t>9490O6923951</t>
  </si>
  <si>
    <t>SAGC600404MSRLLR08</t>
  </si>
  <si>
    <t>24766014205</t>
  </si>
  <si>
    <t>MOOH620323HDFRLC07</t>
  </si>
  <si>
    <t>DIAZ SIMENTAL PORFIRIO</t>
  </si>
  <si>
    <t>DISP631108HDGZMR03</t>
  </si>
  <si>
    <t>Feva640712msllll02</t>
  </si>
  <si>
    <t xml:space="preserve">FORTALEZA </t>
  </si>
  <si>
    <t>LARA SEGURA JOSE ANTONIO</t>
  </si>
  <si>
    <t>LASA801211HSPRGN05</t>
  </si>
  <si>
    <t>LOMR660320HDFPSB04</t>
  </si>
  <si>
    <t>06795813374</t>
  </si>
  <si>
    <t>LIDIA NIEVES RECENDEZ</t>
  </si>
  <si>
    <t>NIRL780615MQTVCD02</t>
  </si>
  <si>
    <t>1577590044-0</t>
  </si>
  <si>
    <t>NATM631111MJCVRR04</t>
  </si>
  <si>
    <t>LLAMAS ESQUIVEL ALFREDO</t>
  </si>
  <si>
    <t>LAEA660521HCMLSL06</t>
  </si>
  <si>
    <t>52886606533</t>
  </si>
  <si>
    <t>ESPINOSA PEREZ MIGUEL ANGEL</t>
  </si>
  <si>
    <t>EIPM650809HPLSRG09</t>
  </si>
  <si>
    <t>RAHM560805MGTMRD04</t>
  </si>
  <si>
    <t>MUTL650501MGTRRD00</t>
  </si>
  <si>
    <t>VITP530819HHGLRD03</t>
  </si>
  <si>
    <t>BANCRE</t>
  </si>
  <si>
    <t>SALVATIERRA CAMACHO JOSE MARIA</t>
  </si>
  <si>
    <t>SACM730815HBSLMR02</t>
  </si>
  <si>
    <t>Majb180183hcsrml06</t>
  </si>
  <si>
    <t>CARG730111MGTNVR04</t>
  </si>
  <si>
    <t>8490630456-7</t>
  </si>
  <si>
    <t>María agustina Ruiz Ramirez</t>
  </si>
  <si>
    <t>32553700876</t>
  </si>
  <si>
    <t>CYNTHIA VERONICA CAŔRILLO LEON</t>
  </si>
  <si>
    <t>25887061536</t>
  </si>
  <si>
    <t>FIMC800707MPLRRL01</t>
  </si>
  <si>
    <t>Yemj581206hdfprv08</t>
  </si>
  <si>
    <t>JENYFER ALONDRA HERNANDEZ GUERRA</t>
  </si>
  <si>
    <t>06836408101</t>
  </si>
  <si>
    <t>MORM730502MSRRDR08</t>
  </si>
  <si>
    <t>0390731812</t>
  </si>
  <si>
    <t>3292718019-3</t>
  </si>
  <si>
    <t>Juana Lerma Valenzuela</t>
  </si>
  <si>
    <t>LEVJ450622MSRRLN02</t>
  </si>
  <si>
    <t>MUDA700531MJCRZR08</t>
  </si>
  <si>
    <t>04886526534</t>
  </si>
  <si>
    <t>Victor Alberto Martínez López</t>
  </si>
  <si>
    <t>VIVIANO NORIOLA MARIA ESTEBAN</t>
  </si>
  <si>
    <t>VINE810811MMNVRS01</t>
  </si>
  <si>
    <t>GUTIERREZ JOHANA DEL ROSARIO</t>
  </si>
  <si>
    <t>CAGJ841113MCSHTH09</t>
  </si>
  <si>
    <t>33664812550</t>
  </si>
  <si>
    <t>04867114524</t>
  </si>
  <si>
    <t>84048213106</t>
  </si>
  <si>
    <t>2480620609</t>
  </si>
  <si>
    <t>BEPE710211HDFLXR04</t>
  </si>
  <si>
    <t>83796118293</t>
  </si>
  <si>
    <t>MAPM600425HHGRRR08</t>
  </si>
  <si>
    <t>Jose Guadalupe Hernández Mendoza</t>
  </si>
  <si>
    <t>Dima510401hnlzrg09</t>
  </si>
  <si>
    <t>XIAD881124MPLLLR05</t>
  </si>
  <si>
    <t>ROPA650601HBCDRN00</t>
  </si>
  <si>
    <t>39907432007</t>
  </si>
  <si>
    <t>GABRIELA</t>
  </si>
  <si>
    <t>PIRj900305HMCQMS07</t>
  </si>
  <si>
    <t>05159013134</t>
  </si>
  <si>
    <t>3193743271-9</t>
  </si>
  <si>
    <t>HEGA790511MTSRMD04</t>
  </si>
  <si>
    <t>MEDA611118HVZRLR02</t>
  </si>
  <si>
    <t>84816329688</t>
  </si>
  <si>
    <t>Joaquín Filiberto Verde Hernández</t>
  </si>
  <si>
    <t>VEHJ600822HVZRRQ00</t>
  </si>
  <si>
    <t>33816542451</t>
  </si>
  <si>
    <t>DORJ760613HOCMMR04</t>
  </si>
  <si>
    <t>JB</t>
  </si>
  <si>
    <t>65583700078</t>
  </si>
  <si>
    <t>AOJM660213MDFMRRO7</t>
  </si>
  <si>
    <t>19734917131</t>
  </si>
  <si>
    <t>José luis ramos</t>
  </si>
  <si>
    <t>RUIZ BAUTISTA ARACELI</t>
  </si>
  <si>
    <t>RUBA860210MNLZTR02</t>
  </si>
  <si>
    <t>04755833193</t>
  </si>
  <si>
    <t>JURF510702HDFRDR07</t>
  </si>
  <si>
    <t>12695120043</t>
  </si>
  <si>
    <t>HEMA620307HCLRCR00</t>
  </si>
  <si>
    <t>VIRJ630525HHGLML05</t>
  </si>
  <si>
    <t>ESCobar PLATA MARIA ELENA</t>
  </si>
  <si>
    <t>EOPE660423MDFSLL05</t>
  </si>
  <si>
    <t>01856646979</t>
  </si>
  <si>
    <t>SANCHEZ MONTECILLOS ANA</t>
  </si>
  <si>
    <t>SAMA590713MDFNNN02</t>
  </si>
  <si>
    <t>01785932706</t>
  </si>
  <si>
    <t>01735114207</t>
  </si>
  <si>
    <t>FOAA841205HSRNGN05</t>
  </si>
  <si>
    <t>AEME570109HQTNRG07</t>
  </si>
  <si>
    <t>PEXF530329MVZLXD06</t>
  </si>
  <si>
    <t>AUCM731111HTSBRN14</t>
  </si>
  <si>
    <t>31775805430</t>
  </si>
  <si>
    <t>1082640708-1</t>
  </si>
  <si>
    <t>6581650279-6</t>
  </si>
  <si>
    <t>7501844579.3</t>
  </si>
  <si>
    <t>GOHM840830HOCNRN04</t>
  </si>
  <si>
    <t>MIRH580609MDGLDR00</t>
  </si>
  <si>
    <t>11795938023</t>
  </si>
  <si>
    <t>0178619611-1</t>
  </si>
  <si>
    <t>MOHl830906MVZRRZ02</t>
  </si>
  <si>
    <t>CAVV000205HMNHLCA2</t>
  </si>
  <si>
    <t>03877010789</t>
  </si>
  <si>
    <t>HESD611224HVZRNG04</t>
  </si>
  <si>
    <t>HERL651228HTCRSS07</t>
  </si>
  <si>
    <t>ORTIZ GARCIA MARIA GUADALUPE HTA</t>
  </si>
  <si>
    <t>OIGG621115MJCRRD08</t>
  </si>
  <si>
    <t>01856511975</t>
  </si>
  <si>
    <t>José Pedro De la rosa Bañuelos</t>
  </si>
  <si>
    <t>ROBP410429HZSSXD09</t>
  </si>
  <si>
    <t>04876417108</t>
  </si>
  <si>
    <t>81806210951</t>
  </si>
  <si>
    <t>RASR650217HDFNNG06</t>
  </si>
  <si>
    <t>MEGS620101HJCDTL06</t>
  </si>
  <si>
    <t>JUAN CARLOS MARTÍNEZ ROJAS</t>
  </si>
  <si>
    <t>MARJ720512HCLRJN03</t>
  </si>
  <si>
    <t>LOME800831HVZPRD09</t>
  </si>
  <si>
    <t>Damián Madrid Beltrán</t>
  </si>
  <si>
    <t>10806215595</t>
  </si>
  <si>
    <t>SOMM681226HJCSNR03</t>
  </si>
  <si>
    <t>54886954376</t>
  </si>
  <si>
    <t>04745635898</t>
  </si>
  <si>
    <t>17836422141</t>
  </si>
  <si>
    <t>EIDJ781226HDFSRV03</t>
  </si>
  <si>
    <t>76977810745</t>
  </si>
  <si>
    <t>DELIA MARGARITA ARJONA MORA</t>
  </si>
  <si>
    <t>AOMD601109MVZRRL09</t>
  </si>
  <si>
    <t>67796023413</t>
  </si>
  <si>
    <t>GAMB870824HocRNN04</t>
  </si>
  <si>
    <t>OOCE699324MNLCNL05</t>
  </si>
  <si>
    <t>TOPM720624HCHRMR09</t>
  </si>
  <si>
    <t>ORTIZ DELGADILLO SENDY ANABEL</t>
  </si>
  <si>
    <t>RAMON AMILCAR MORALES RUIZ</t>
  </si>
  <si>
    <t>MORR500831HCSRZM00</t>
  </si>
  <si>
    <t>Andrés González loera</t>
  </si>
  <si>
    <t>GOLA691011HNTRNR06</t>
  </si>
  <si>
    <t>ANTONIO HERERA HERNANDEZ</t>
  </si>
  <si>
    <t>HEHA510613HZSRRN05</t>
  </si>
  <si>
    <t>Victor Arroyo Cervantes</t>
  </si>
  <si>
    <t>AOCV631223HTSRRC01</t>
  </si>
  <si>
    <t>32765814028</t>
  </si>
  <si>
    <t>AACC640918HMSYDP02</t>
  </si>
  <si>
    <t>AILA760730HCLRPL02</t>
  </si>
  <si>
    <t>GRISELDA ZUÑIGA MEDINA</t>
  </si>
  <si>
    <t>ZUMG600706MSLXR07</t>
  </si>
  <si>
    <t>217956101514</t>
  </si>
  <si>
    <t>Nusl710126mbcxrr03</t>
  </si>
  <si>
    <t>0191650654-4</t>
  </si>
  <si>
    <t>GOGJ850329HJCMRN03</t>
  </si>
  <si>
    <t>67816405525</t>
  </si>
  <si>
    <t>12967974804</t>
  </si>
  <si>
    <t>GUHB780813MGTTRL08</t>
  </si>
  <si>
    <t>GUARDADO MIGUEL ANGEL</t>
  </si>
  <si>
    <t>GUXM600812HDFRXG00</t>
  </si>
  <si>
    <t>07806010570</t>
  </si>
  <si>
    <t>ATEENDO</t>
  </si>
  <si>
    <t>RICARDO CASTILLO</t>
  </si>
  <si>
    <t>IACR600601HNTNSC01</t>
  </si>
  <si>
    <t>LOPEZ GUERRA FRANCISCO</t>
  </si>
  <si>
    <t>67805924833</t>
  </si>
  <si>
    <t>65927600133</t>
  </si>
  <si>
    <t>SAOL681010MMCNLZ04</t>
  </si>
  <si>
    <t>21846839096</t>
  </si>
  <si>
    <t>GUGG650104HNLRRS01</t>
  </si>
  <si>
    <t>01745653228</t>
  </si>
  <si>
    <t>LAMR710908HDFRND00</t>
  </si>
  <si>
    <t>EIRC610419HSPSCR00</t>
  </si>
  <si>
    <t>62947570024</t>
  </si>
  <si>
    <t>DXN EXPRESS</t>
  </si>
  <si>
    <t>0787650324-9</t>
  </si>
  <si>
    <t>FOMJ850713HMCLRN09</t>
  </si>
  <si>
    <t>Gogl680825mvzmns00</t>
  </si>
  <si>
    <t>GOEF570330HTSMSR04</t>
  </si>
  <si>
    <t>6579520598-1</t>
  </si>
  <si>
    <t>01684741125</t>
  </si>
  <si>
    <t>METV670507HJCNRC09</t>
  </si>
  <si>
    <t>04856750163</t>
  </si>
  <si>
    <t>VALJ650516HDFLNN02</t>
  </si>
  <si>
    <t>11755707574</t>
  </si>
  <si>
    <t>84765605252</t>
  </si>
  <si>
    <t>10846436912</t>
  </si>
  <si>
    <t>EIMJ681012MDFNNN04</t>
  </si>
  <si>
    <t>GULA741213HSPTPR05</t>
  </si>
  <si>
    <t>VATG470926MASLRD08</t>
  </si>
  <si>
    <t>ADELA</t>
  </si>
  <si>
    <t>Muxr640618mzsrxs04</t>
  </si>
  <si>
    <t>VEML640818MQTGDR02</t>
  </si>
  <si>
    <t>Oagj530903htsrrn03</t>
  </si>
  <si>
    <t>EIVM551227HVZSLR09</t>
  </si>
  <si>
    <t>JUÁN ANDRADE GUTIERREZ</t>
  </si>
  <si>
    <t>AAGJ600624HCMNTn07</t>
  </si>
  <si>
    <t>6272541939-4</t>
  </si>
  <si>
    <t>34897320718</t>
  </si>
  <si>
    <t>VAEH650526HCLLSV04</t>
  </si>
  <si>
    <t>TALH520113HSPPRR04</t>
  </si>
  <si>
    <t>JORGE ANTONIO MORENO ONGAY</t>
  </si>
  <si>
    <t>MOOJ491122HCCRRN02</t>
  </si>
  <si>
    <t>MUIT450815MMCRSR03</t>
  </si>
  <si>
    <t>03816326858</t>
  </si>
  <si>
    <t>RARG780531HPLMML07</t>
  </si>
  <si>
    <t>ROHH620225MVZDRR00</t>
  </si>
  <si>
    <t>67826210790</t>
  </si>
  <si>
    <t>SERGIO ORTIZ GUZMAN</t>
  </si>
  <si>
    <t>OICS261218HDFRZZ00</t>
  </si>
  <si>
    <t>01734412867</t>
  </si>
  <si>
    <t>62826307084</t>
  </si>
  <si>
    <t>00CL961022MPLRST04</t>
  </si>
  <si>
    <t>23846414987</t>
  </si>
  <si>
    <t>GUHM610531MCCTRG18</t>
  </si>
  <si>
    <t>FECT601109HBCRLD04</t>
  </si>
  <si>
    <t>217860111144</t>
  </si>
  <si>
    <t>82826003814</t>
  </si>
  <si>
    <t>24806135158</t>
  </si>
  <si>
    <t>MEMC640406HCHSLL06</t>
  </si>
  <si>
    <t>33806434339</t>
  </si>
  <si>
    <t>Andrés Muñoz Ruiz</t>
  </si>
  <si>
    <t>03806226860</t>
  </si>
  <si>
    <t>HEHV560518HSPRRN03</t>
  </si>
  <si>
    <t>41765603869</t>
  </si>
  <si>
    <t>israel ordaz</t>
  </si>
  <si>
    <t>01937407219</t>
  </si>
  <si>
    <t>AGUIRRE REYES ANGEL</t>
  </si>
  <si>
    <t>AURA350419HZSGYN02</t>
  </si>
  <si>
    <t>33663512136</t>
  </si>
  <si>
    <t>VAJA610511MDFLRS08</t>
  </si>
  <si>
    <t>01836709848</t>
  </si>
  <si>
    <t>PIGB630709MGRNMR01</t>
  </si>
  <si>
    <t>32946100511</t>
  </si>
  <si>
    <t>CAPG690122MVZSLD12</t>
  </si>
  <si>
    <t>33745315789</t>
  </si>
  <si>
    <t xml:space="preserve">BARACAF </t>
  </si>
  <si>
    <t>HEAF600810HDFRGR04</t>
  </si>
  <si>
    <t>45987712242</t>
  </si>
  <si>
    <t>SAUCEDA VALDEZ RAYMUNDO</t>
  </si>
  <si>
    <t>SAVR730523HSLCLY03</t>
  </si>
  <si>
    <t>23907332342</t>
  </si>
  <si>
    <t xml:space="preserve"> 11856611113</t>
  </si>
  <si>
    <t>GAGE640328HNLRRS04</t>
  </si>
  <si>
    <t>FESF580516MMCRNL11</t>
  </si>
  <si>
    <t xml:space="preserve">GFI APOYO </t>
  </si>
  <si>
    <t>AODM760217MNLLVR06</t>
  </si>
  <si>
    <t>51796406067</t>
  </si>
  <si>
    <t>4373572152-4</t>
  </si>
  <si>
    <t>02695202651</t>
  </si>
  <si>
    <t>ROSAS MUÑOZ YAZMIN ELIZABETH</t>
  </si>
  <si>
    <t>07947809799</t>
  </si>
  <si>
    <t>TOHI470415MCSVRR07</t>
  </si>
  <si>
    <t>AIBS620322MNLVCL08</t>
  </si>
  <si>
    <t>0185661763-2</t>
  </si>
  <si>
    <t>LIBERTAD</t>
  </si>
  <si>
    <t>CALS610514MDFHPL06</t>
  </si>
  <si>
    <t>VARM630530HGTRSN05</t>
  </si>
  <si>
    <t>AEMR640816HDFSNL05</t>
  </si>
  <si>
    <t>JULIO CESAR MATA GALLEGOS</t>
  </si>
  <si>
    <t>MAGJ820406HTSTLL00</t>
  </si>
  <si>
    <t>09998211503</t>
  </si>
  <si>
    <t>04866669759</t>
  </si>
  <si>
    <t>POCG440922HMNNRB02</t>
  </si>
  <si>
    <t>01664470919</t>
  </si>
  <si>
    <t>7882600823-3</t>
  </si>
  <si>
    <t>AAMM630615HBSMRD06</t>
  </si>
  <si>
    <t>NICOLASA LARA SALINAS</t>
  </si>
  <si>
    <t>LASN620910MTSRLC04</t>
  </si>
  <si>
    <t>CASC671123MDGHNR01</t>
  </si>
  <si>
    <t>MARIA DEL SOCORRO ROSALES</t>
  </si>
  <si>
    <t>ROLS620511MCLSPC05</t>
  </si>
  <si>
    <t>SERGIO ALEJANDRO BELTRAN GUILLINS</t>
  </si>
  <si>
    <t>BEGS890217HBSLLR09</t>
  </si>
  <si>
    <t>José Rueda Roman</t>
  </si>
  <si>
    <t>MARIBEL RODRIGUEZ EGUIA</t>
  </si>
  <si>
    <t>ROEM701220MNLDGR09</t>
  </si>
  <si>
    <t>OLGA OLIVIA DELGADO VALLEJO</t>
  </si>
  <si>
    <t>DEVO700727MMNLLL03</t>
  </si>
  <si>
    <t>CRISTOBAL MARTIN MOTA BUSTAMANTE</t>
  </si>
  <si>
    <t>MOBC640323HCHTSR05</t>
  </si>
  <si>
    <t>RAYMUNDO BARRERA CASTAÑO</t>
  </si>
  <si>
    <t>BACR640627HDFRSY07</t>
  </si>
  <si>
    <t>SoLs750304HTcBpL00</t>
  </si>
  <si>
    <t>6790637034-0</t>
  </si>
  <si>
    <t>VAEB600425MMCRSS07</t>
  </si>
  <si>
    <t>0679608004-9</t>
  </si>
  <si>
    <t>PURJ601015HCLNSS07</t>
  </si>
  <si>
    <t>2388600127-2</t>
  </si>
  <si>
    <t>ANTONIA GAMEZ CRUZ</t>
  </si>
  <si>
    <t>GACA600117MVZMRN05</t>
  </si>
  <si>
    <t>OUCF551010MSRLTR03</t>
  </si>
  <si>
    <t>FEAL640524MCMRNZ08</t>
  </si>
  <si>
    <t>CADM590528HDFMZN02</t>
  </si>
  <si>
    <t>07815909440</t>
  </si>
  <si>
    <t>GOGR590322MJCNTM01</t>
  </si>
  <si>
    <t>PEGJ580204HDFRMS09</t>
  </si>
  <si>
    <t>CAMPOS VALDIVIA MARGARITA</t>
  </si>
  <si>
    <t>03674913599</t>
  </si>
  <si>
    <t>OASL740306MZSWTZO4</t>
  </si>
  <si>
    <t>Hilda García rojo</t>
  </si>
  <si>
    <t>90876905382</t>
  </si>
  <si>
    <t>Oscar Mercado Carmona</t>
  </si>
  <si>
    <t>MECO600406HMCRRS06</t>
  </si>
  <si>
    <t>VIJL750728MVZLRT04</t>
  </si>
  <si>
    <t>45913673070</t>
  </si>
  <si>
    <t>JORGE LUIS MEZA FLORES</t>
  </si>
  <si>
    <t>MEFJ550422HSRZLR09</t>
  </si>
  <si>
    <t>COMR630305HQRNRF01</t>
  </si>
  <si>
    <t>06866308759</t>
  </si>
  <si>
    <t>LOBM600620HJCZRG00</t>
  </si>
  <si>
    <t>CLAUDIA ALBINA OCHOA LUNA</t>
  </si>
  <si>
    <t>55978400236</t>
  </si>
  <si>
    <t>14786101668</t>
  </si>
  <si>
    <t>CHIQUETE ENCSIO MARCO ANTONIO</t>
  </si>
  <si>
    <t>CIEM640411HSLHNR09</t>
  </si>
  <si>
    <t>BLANCA ESTELA VENEGAS MERCADO</t>
  </si>
  <si>
    <t>52876300642</t>
  </si>
  <si>
    <t>21936401351</t>
  </si>
  <si>
    <t>SIGI910207HDFRMV01</t>
  </si>
  <si>
    <t>FUAJ730222H VZNLM00</t>
  </si>
  <si>
    <t>CARINA TERESA GOMEZ GOMEZ</t>
  </si>
  <si>
    <t>GOGC070307MCSMMRA8</t>
  </si>
  <si>
    <t>MAGM640502HDFTRR06</t>
  </si>
  <si>
    <t>PECR680719MDFRRF02</t>
  </si>
  <si>
    <t>COMG631014MCLRRD09</t>
  </si>
  <si>
    <t>62826513681</t>
  </si>
  <si>
    <t>CASF601119HMCSLL03</t>
  </si>
  <si>
    <t>Felipe</t>
  </si>
  <si>
    <t>TETF600606HMCLLL09</t>
  </si>
  <si>
    <t>1979602354-7</t>
  </si>
  <si>
    <t>AOPR62030lMSRCLF01</t>
  </si>
  <si>
    <t>14088900080</t>
  </si>
  <si>
    <t>SECJ661015HVZGRS09</t>
  </si>
  <si>
    <t>PUBLISEG</t>
  </si>
  <si>
    <t>GOMH650917HBCDDR03</t>
  </si>
  <si>
    <t>04705107755</t>
  </si>
  <si>
    <t>01705024170</t>
  </si>
  <si>
    <t>JUAN JOSE GONZALEZ ALVARADO</t>
  </si>
  <si>
    <t>GOAJ591122HNLNLN03</t>
  </si>
  <si>
    <t>72 88723115 6</t>
  </si>
  <si>
    <t>96886517083</t>
  </si>
  <si>
    <t>LUCD691009HVZXNV00</t>
  </si>
  <si>
    <t>DIHA640486HDFZRL00</t>
  </si>
  <si>
    <t>02966000206</t>
  </si>
  <si>
    <t>04947631397</t>
  </si>
  <si>
    <t>GUADALUPE</t>
  </si>
  <si>
    <t>GATS611104MCLRRL00</t>
  </si>
  <si>
    <t>74907350743</t>
  </si>
  <si>
    <t xml:space="preserve">MULTIVA </t>
  </si>
  <si>
    <t>24826530776</t>
  </si>
  <si>
    <t>EUGE650610HNLSRR06</t>
  </si>
  <si>
    <t>NATJ630704HCSJRL01</t>
  </si>
  <si>
    <t>Sama630830mmcnnn07</t>
  </si>
  <si>
    <t>BABE711013HDFTHD02</t>
  </si>
  <si>
    <t>01755924717</t>
  </si>
  <si>
    <t>3992729046-8</t>
  </si>
  <si>
    <t>HESA650818MMCRLN08</t>
  </si>
  <si>
    <t>4281622559-5</t>
  </si>
  <si>
    <t>92965802488</t>
  </si>
  <si>
    <t>Catzin Alcala Darly Elide</t>
  </si>
  <si>
    <t>CAAD621221MYNTLR09</t>
  </si>
  <si>
    <t>AMELIA ARBALLO DELGADO</t>
  </si>
  <si>
    <t>AADA520916MDFRLM06</t>
  </si>
  <si>
    <t xml:space="preserve">ALICIA VENEGAS PEÑA </t>
  </si>
  <si>
    <t>VEPA720111MJCNXL01</t>
  </si>
  <si>
    <t>MONTE SOSA SOCORRO</t>
  </si>
  <si>
    <t>MOSS550830MCHNSC08</t>
  </si>
  <si>
    <t>Rupp600220hocznd03</t>
  </si>
  <si>
    <t>VICTOR RAMIREZ MENA</t>
  </si>
  <si>
    <t>RAMV840513HPLMNC06</t>
  </si>
  <si>
    <t>GABG720303HTSRRN01</t>
  </si>
  <si>
    <t>HELJ651218HCLRGS03</t>
  </si>
  <si>
    <t>DEYANIRA</t>
  </si>
  <si>
    <t>FRIAS GUTIERREZ SOLEDAD HTA</t>
  </si>
  <si>
    <t>FIGS511222MCHRTL03</t>
  </si>
  <si>
    <t>PAMA880926MMSRRN06</t>
  </si>
  <si>
    <t>IAHM611228HJCBRR09</t>
  </si>
  <si>
    <t>ADALID MORA GUTIERREZ</t>
  </si>
  <si>
    <t>MOGA710514MPLRTD08</t>
  </si>
  <si>
    <t>13:39:49 PM</t>
  </si>
  <si>
    <t>ARMANDO PEREZ GALINDO</t>
  </si>
  <si>
    <t>PEGA650827HNLRLR07</t>
  </si>
  <si>
    <t>13:42:49 PM</t>
  </si>
  <si>
    <t>Julio Cesar Pérez Hernández</t>
  </si>
  <si>
    <t>PEHJ820512HMNTRL03</t>
  </si>
  <si>
    <t>52987910305</t>
  </si>
  <si>
    <t>13:44:49 PM</t>
  </si>
  <si>
    <t>MARIA DEL ROSARIO SILVIA NIETO GONZALEZ</t>
  </si>
  <si>
    <t>01654415072</t>
  </si>
  <si>
    <t>MEAV570521MJCDMR03</t>
  </si>
  <si>
    <t>OORX581128MMNRBC00</t>
  </si>
  <si>
    <t>VAGI580624HCCLRS06</t>
  </si>
  <si>
    <t>Miraflores Camacho Arturo</t>
  </si>
  <si>
    <t>MICA591005HDFRMR03</t>
  </si>
  <si>
    <t>ANA</t>
  </si>
  <si>
    <t>HETA611001MDFRRN00</t>
  </si>
  <si>
    <t>AAVR551218HCSLRD07</t>
  </si>
  <si>
    <t>BAUTISTA GARCIA ROBERTO</t>
  </si>
  <si>
    <t>BAGR500513HOCTRB06</t>
  </si>
  <si>
    <t>PALS620301HZSDRL07</t>
  </si>
  <si>
    <t>JULV591223HDFRRC02</t>
  </si>
  <si>
    <t>GLORIA</t>
  </si>
  <si>
    <t>ROPE610103MJCMDS00</t>
  </si>
  <si>
    <t>Teresa</t>
  </si>
  <si>
    <t>05149896812</t>
  </si>
  <si>
    <t>JOSE LUIS PEÑA PERALES</t>
  </si>
  <si>
    <t>PEPL630916HTSXRS08</t>
  </si>
  <si>
    <t>AULD070510MCSGPLA5</t>
  </si>
  <si>
    <t>FAMJ590829HZSJTN01</t>
  </si>
  <si>
    <t>LOCJ621006HJCPBN00</t>
  </si>
  <si>
    <t>GURG810608MCLTDD07</t>
  </si>
  <si>
    <t>04735536551</t>
  </si>
  <si>
    <t>MERCADO HERNANDEZ SERGIO RAFAEL</t>
  </si>
  <si>
    <t>MEHS640706HDFRRRQ0</t>
  </si>
  <si>
    <t>75846312926</t>
  </si>
  <si>
    <t>Roberto Cervantes</t>
  </si>
  <si>
    <t>CEXR520617HJCRXB07</t>
  </si>
  <si>
    <t>OEGO630730MCLBNL05</t>
  </si>
  <si>
    <t>VAFJ570208MCHRRN01</t>
  </si>
  <si>
    <t>TECM640429MDFRSN07</t>
  </si>
  <si>
    <t>LOPEZ</t>
  </si>
  <si>
    <t>HINV</t>
  </si>
  <si>
    <t>PAAL630928MDFLLT07</t>
  </si>
  <si>
    <t>MAOJ630704HDFRRS14</t>
  </si>
  <si>
    <t>LIZAMA MARRUFO IGNACIO CANDELABRIO</t>
  </si>
  <si>
    <t>LIMI700201HYNZRG06</t>
  </si>
  <si>
    <t>MEGO910822HGTJNM09</t>
  </si>
  <si>
    <t>RAOS620706HZSMLR00</t>
  </si>
  <si>
    <t>SANTIAGO RAMOS ALBERTO</t>
  </si>
  <si>
    <t>67755611760</t>
  </si>
  <si>
    <t>MIUV840308MSRLRN00</t>
  </si>
  <si>
    <t>COPC420320HNLLNT08</t>
  </si>
  <si>
    <t>1690.73.</t>
  </si>
  <si>
    <t>MAAR671125HTCRRB08</t>
  </si>
  <si>
    <t>MUML781106HDGXJN03</t>
  </si>
  <si>
    <t>ORTIZ GARCIA ANGEL</t>
  </si>
  <si>
    <t>OIGA461002HCHRRN01</t>
  </si>
  <si>
    <t>33704617787</t>
  </si>
  <si>
    <t>67129021159</t>
  </si>
  <si>
    <t>Guga621116hcsttn09</t>
  </si>
  <si>
    <t>Rutilo Castillo</t>
  </si>
  <si>
    <t>CABM621107HOCLXR04</t>
  </si>
  <si>
    <t>01755966171</t>
  </si>
  <si>
    <t>AOCJ640215HMNRHR05</t>
  </si>
  <si>
    <t>GFI</t>
  </si>
  <si>
    <t>RIGN660430MASNNR02</t>
  </si>
  <si>
    <t>GOAL450925MDFNRL00</t>
  </si>
  <si>
    <t>NANG621112HOCNLR06</t>
  </si>
  <si>
    <t>14775907463</t>
  </si>
  <si>
    <t>HIGR630714HTCPRD07</t>
  </si>
  <si>
    <t>SABA640409HJCNCL04</t>
  </si>
  <si>
    <t>55846001026</t>
  </si>
  <si>
    <t>3092610167-3</t>
  </si>
  <si>
    <t>RORJ631115HDFDLQ00</t>
  </si>
  <si>
    <t>EALF630429HASSPR06</t>
  </si>
  <si>
    <t>QUYM820201HDFNBN03</t>
  </si>
  <si>
    <t>AASM650911HDFPNR06</t>
  </si>
  <si>
    <t>247 960 36481</t>
  </si>
  <si>
    <t>11674936866</t>
  </si>
  <si>
    <t>GIL TRUJILLO JUAN ANTONIO</t>
  </si>
  <si>
    <t>GITJ470214HPLLRN06</t>
  </si>
  <si>
    <t>0166478272 - 7</t>
  </si>
  <si>
    <t>GODL620709MDFNRT02</t>
  </si>
  <si>
    <t>TERESA LOPEZ LOPEZ</t>
  </si>
  <si>
    <t>Lolt551012mjcppr07</t>
  </si>
  <si>
    <t>PAMR601102HGTLRC04</t>
  </si>
  <si>
    <t>24846656726</t>
  </si>
  <si>
    <t>AACJ731012MTSRRS07</t>
  </si>
  <si>
    <t>MA. ISABEL PERUSQUIA MALDONADO</t>
  </si>
  <si>
    <t>Jose Caballulas Patiño</t>
  </si>
  <si>
    <t>41765103084</t>
  </si>
  <si>
    <t>67907071061</t>
  </si>
  <si>
    <t>65816370905</t>
  </si>
  <si>
    <t>GOCA510920HSPDSS00</t>
  </si>
  <si>
    <t>42826527824</t>
  </si>
  <si>
    <t>PALC590419HCCRPR12</t>
  </si>
  <si>
    <t>UIRJ490327HSCTBS09</t>
  </si>
  <si>
    <t>LUSB300463HCLCLR05</t>
  </si>
  <si>
    <t>2276550093-3</t>
  </si>
  <si>
    <t xml:space="preserve">ATTENDO </t>
  </si>
  <si>
    <t>VISM590121HPLLVR06</t>
  </si>
  <si>
    <t>5375572342-5</t>
  </si>
  <si>
    <t>PEGL621202HMCRRS00</t>
  </si>
  <si>
    <t>GIL SOTO JACINTA ADELA</t>
  </si>
  <si>
    <t>GISJ580807MMSLTC07</t>
  </si>
  <si>
    <t>MARIA DEL REFUGIO ESTRADA GONZALEZ</t>
  </si>
  <si>
    <t>RODRIGUEZ PÉREZ RAUL</t>
  </si>
  <si>
    <t>ROPR620616HGTDRL07</t>
  </si>
  <si>
    <t>VEVV620702HTSNZC04</t>
  </si>
  <si>
    <t>SAME580628HDFNNF05</t>
  </si>
  <si>
    <t>MORJ640929HCLRMN07</t>
  </si>
  <si>
    <t>3280641440-8</t>
  </si>
  <si>
    <t>2372 56 0517 6</t>
  </si>
  <si>
    <t>MERL491019HVZMMN04</t>
  </si>
  <si>
    <t>JIMENEZ JIMENEZ MARTHA</t>
  </si>
  <si>
    <t>JIJM590416MTCMMR03</t>
  </si>
  <si>
    <t>LANDIN ALVAREZ VICTOR HUGO</t>
  </si>
  <si>
    <t>LAAV601217HGTNLC08</t>
  </si>
  <si>
    <t>JUAN DE DIOS IBARRA GARCÍA</t>
  </si>
  <si>
    <t>IAGJ620309HSPBRN00</t>
  </si>
  <si>
    <t>GAER540401HNLRSD05</t>
  </si>
  <si>
    <t>1077-59-0767-7</t>
  </si>
  <si>
    <t>ROGT701008MDFLLR03</t>
  </si>
  <si>
    <t>4978580241-1</t>
  </si>
  <si>
    <t>REGULO ARISTEO VARGAS VALLEJO</t>
  </si>
  <si>
    <t>VAVR780330HVZRLG09</t>
  </si>
  <si>
    <t>6580631867-4</t>
  </si>
  <si>
    <t>23 80 62 1876 6</t>
  </si>
  <si>
    <t>LUMM731029MJCNSN02</t>
  </si>
  <si>
    <t>2090721793-7</t>
  </si>
  <si>
    <t>DIMA760421MNLZLL09</t>
  </si>
  <si>
    <t>43937632529</t>
  </si>
  <si>
    <t>VEDU620525HPLGNR03</t>
  </si>
  <si>
    <t>DIVF620814HDFZCR00</t>
  </si>
  <si>
    <t>PAULINO CERVERA SOSA</t>
  </si>
  <si>
    <t>CESP411231HYNRSL02</t>
  </si>
  <si>
    <t>HERJ710821HDFRDV00</t>
  </si>
  <si>
    <t>Alejandro Yañez Rivera</t>
  </si>
  <si>
    <t>COML621208HVZNRS06</t>
  </si>
  <si>
    <t>VÁSQUEZ GUTIERREZ JOSÉ INÉS</t>
  </si>
  <si>
    <t>21776005676</t>
  </si>
  <si>
    <t>01856815467</t>
  </si>
  <si>
    <t>JOSE ANGEL CUSTODIO ACOSTA</t>
  </si>
  <si>
    <t>CUAA821014HTCSCN01</t>
  </si>
  <si>
    <t>COOT550610HPLRRR08</t>
  </si>
  <si>
    <t>33906543534</t>
  </si>
  <si>
    <t>RICM821009HJCVVG00</t>
  </si>
  <si>
    <t>CODC570505MDFRVR01</t>
  </si>
  <si>
    <t>Cahr520923hvznrd08</t>
  </si>
  <si>
    <t>NELJ510125AAHVZMVV08</t>
  </si>
  <si>
    <t>HOMERO JAVIER ALVAREZ JUAREZ</t>
  </si>
  <si>
    <t>AAJH610627HNLLRM09</t>
  </si>
  <si>
    <t>Velo730504hdflcc01</t>
  </si>
  <si>
    <t>CEMR540624HDFRRT01</t>
  </si>
  <si>
    <t>LOPEZ CASAS EMILIANO</t>
  </si>
  <si>
    <t>ROSC591120HCLDNS07</t>
  </si>
  <si>
    <t>Florentino Sánchez Figueroa</t>
  </si>
  <si>
    <t>SAFF581224HMNNGL09</t>
  </si>
  <si>
    <t>5383580462 - 5</t>
  </si>
  <si>
    <t>Oepj590516hslrts03</t>
  </si>
  <si>
    <t>CACR961029MNTRRB08</t>
  </si>
  <si>
    <t>Sadc721114hdflmr03</t>
  </si>
  <si>
    <t>PETK810126MNTRRN06</t>
  </si>
  <si>
    <t>55048105237</t>
  </si>
  <si>
    <t>55 1231 0912</t>
  </si>
  <si>
    <t>RIGR651015HDFVNL06</t>
  </si>
  <si>
    <t>JULIO CESAR GARCIA MARTINEZ</t>
  </si>
  <si>
    <t>GAMJ730623HTSRRL00</t>
  </si>
  <si>
    <t>LILIANA GUTIERREZ FLORES</t>
  </si>
  <si>
    <t>GUFL750717MQTTLL05</t>
  </si>
  <si>
    <t>IRAM MARTIN DEL CAMPO GARCIA</t>
  </si>
  <si>
    <t>MAGI740901HCHRRR02</t>
  </si>
  <si>
    <t>VAGM680509MJCLTR04</t>
  </si>
  <si>
    <t>04856807849</t>
  </si>
  <si>
    <t>Aaoj921010hchdrs05</t>
  </si>
  <si>
    <t>BASS750902HMNRRL00</t>
  </si>
  <si>
    <t>5396756228-0</t>
  </si>
  <si>
    <t>MEJIA MEDINA MARTIN</t>
  </si>
  <si>
    <t>MEMM620910HDFJDR07</t>
  </si>
  <si>
    <t>FILBERTO GUERRERO RODRIGUEZ</t>
  </si>
  <si>
    <t>ROFG670822HCLDRL03</t>
  </si>
  <si>
    <t>GAMM620111HGTSSR07</t>
  </si>
  <si>
    <t>04836513582</t>
  </si>
  <si>
    <t>GOVJ630827HSLNLS05</t>
  </si>
  <si>
    <t>VIVEROS RODRIGUEZ JESUS ADRIAN</t>
  </si>
  <si>
    <t>65947507664</t>
  </si>
  <si>
    <t>SALA900103HGRNRN06</t>
  </si>
  <si>
    <t>MAGN630820HTSRMC08</t>
  </si>
  <si>
    <t>GUTE651230MCLRRG06</t>
  </si>
  <si>
    <t>AIMA610506HMSRLR04</t>
  </si>
  <si>
    <t>GUBR620507HSLTRL01</t>
  </si>
  <si>
    <t>PAMJ470701HCSRYS01</t>
  </si>
  <si>
    <t>JOSE DAVID VELAZQUEZ CORONA</t>
  </si>
  <si>
    <t>VECD571229HDFLRV03</t>
  </si>
  <si>
    <t>HORACIO HERNANDEZ HUERTA</t>
  </si>
  <si>
    <t>HEHH460429HDFRRR07</t>
  </si>
  <si>
    <t>33876694473</t>
  </si>
  <si>
    <t>GAMA GAMA CONRADO</t>
  </si>
  <si>
    <t>GAGC580102HJCMMN05</t>
  </si>
  <si>
    <t>Rafael Saucillo</t>
  </si>
  <si>
    <t>SAFR571024HDFCLF03</t>
  </si>
  <si>
    <t>01755796820</t>
  </si>
  <si>
    <t>OAAE750323MTCVLD06</t>
  </si>
  <si>
    <t>03796109498</t>
  </si>
  <si>
    <t>ADALBERTO BETANCOURT CHAVEZ</t>
  </si>
  <si>
    <t>BECA620811HTSTHD08</t>
  </si>
  <si>
    <t>VAOC640822HTLLLC05</t>
  </si>
  <si>
    <t>83877000436</t>
  </si>
  <si>
    <t>NARF600324HJCPMR07</t>
  </si>
  <si>
    <t>Torj650815HCSRML05</t>
  </si>
  <si>
    <t>HEVJ620928HTSRGN05</t>
  </si>
  <si>
    <t>Cadh620901hjclrg07</t>
  </si>
  <si>
    <t>cONSUBANCO</t>
  </si>
  <si>
    <t>OLMEDO HERNANDEZ JOSE ABEL LEOBARDO</t>
  </si>
  <si>
    <t>OEHA580406HPLLRB04</t>
  </si>
  <si>
    <t>ITZEL CARRANZA</t>
  </si>
  <si>
    <t>MASE630408MDFRNS05</t>
  </si>
  <si>
    <t>AAMR740418HHGLRC08</t>
  </si>
  <si>
    <t>HERNANDEZ SANDOVAL THELMA KRISTEN LUZZULEE</t>
  </si>
  <si>
    <t>HEST691018MCLRNH08</t>
  </si>
  <si>
    <t>AURELIA GUTIERREZ DIAZ</t>
  </si>
  <si>
    <t>55945000051</t>
  </si>
  <si>
    <t>43795940956</t>
  </si>
  <si>
    <t>01138994726</t>
  </si>
  <si>
    <t>Peeg550324hccckb01</t>
  </si>
  <si>
    <t>MELI561114HJCDPG05</t>
  </si>
  <si>
    <t>PAOLA</t>
  </si>
  <si>
    <t>21745617346</t>
  </si>
  <si>
    <t>HEJH610929HVZRMC00</t>
  </si>
  <si>
    <t>MEEj531223HJCDSS08</t>
  </si>
  <si>
    <t>23775902895</t>
  </si>
  <si>
    <t>UEIS640627HQRHSS04</t>
  </si>
  <si>
    <t>5581580376-6</t>
  </si>
  <si>
    <t>0177601519-8</t>
  </si>
  <si>
    <t>AACI680404HDFLBS07</t>
  </si>
  <si>
    <t>0680602753-5</t>
  </si>
  <si>
    <t>4300852212-0</t>
  </si>
  <si>
    <t>5364421315-8</t>
  </si>
  <si>
    <t>0480634476 0</t>
  </si>
  <si>
    <t>CEJR630421HNTRRB04</t>
  </si>
  <si>
    <t>DOMITILA CHAVEZ LOMBERA</t>
  </si>
  <si>
    <t>62876210980</t>
  </si>
  <si>
    <t>GORA570401MJCMYN05</t>
  </si>
  <si>
    <t>10-7557-1304-6</t>
  </si>
  <si>
    <t>GARCIA JUZAINO Jose Antonio</t>
  </si>
  <si>
    <t>GAJA591204HSRRZN01</t>
  </si>
  <si>
    <t>24875903387</t>
  </si>
  <si>
    <t>GARCÍA BAUDIL SALUT</t>
  </si>
  <si>
    <t>COCC570503MSTNNR09</t>
  </si>
  <si>
    <t>88856702597</t>
  </si>
  <si>
    <t>ROAA590823HSLMRG04</t>
  </si>
  <si>
    <t>VAGR610314HDFLTC04</t>
  </si>
  <si>
    <t>LUTJ710324MDFJRL03</t>
  </si>
  <si>
    <t>01755456207</t>
  </si>
  <si>
    <t>GICA540118HTCLRS07</t>
  </si>
  <si>
    <t>colj550723HSRRLS01</t>
  </si>
  <si>
    <t>24735506347</t>
  </si>
  <si>
    <t>Vevt690409M0CLLM00</t>
  </si>
  <si>
    <t>24896014883</t>
  </si>
  <si>
    <t>HERNANDEZ GONZALEZ JOSE GUMARO</t>
  </si>
  <si>
    <t>HEGG540720HTLRNM01</t>
  </si>
  <si>
    <t>Sahj831227hplnrn03</t>
  </si>
  <si>
    <t>HERNANDEZ MUÑIZ HUGO JESUS RAFAEL</t>
  </si>
  <si>
    <t>RANGEL NAVARRETE JORGE</t>
  </si>
  <si>
    <t>RANJ590128HDFNVR09</t>
  </si>
  <si>
    <t>33785826828</t>
  </si>
  <si>
    <t>65855901305</t>
  </si>
  <si>
    <t>4790769803-0</t>
  </si>
  <si>
    <t>LUCA640412HDFCND07</t>
  </si>
  <si>
    <t>Mapl 610810mnlrrr17</t>
  </si>
  <si>
    <t>MOJM710722HDFYMR05</t>
  </si>
  <si>
    <t>03877100507</t>
  </si>
  <si>
    <t>JIHG771125HVZMRB02</t>
  </si>
  <si>
    <t>2183550159-0</t>
  </si>
  <si>
    <t>GAGR640907MGRLMG01</t>
  </si>
  <si>
    <t>MELA530904HDFNNL09</t>
  </si>
  <si>
    <t>31856722421</t>
  </si>
  <si>
    <t>AUNC560202HGRGVN04</t>
  </si>
  <si>
    <t>32796247347</t>
  </si>
  <si>
    <t>CASC431216HSRNLR07</t>
  </si>
  <si>
    <t>01654334661</t>
  </si>
  <si>
    <t>VICTOR MANUEL</t>
  </si>
  <si>
    <t>COCV590819HCCRNCI9</t>
  </si>
  <si>
    <t>03187950112</t>
  </si>
  <si>
    <t>PERLA MARGARITA RODRIGUEZ FERRAZ</t>
  </si>
  <si>
    <t>ROFP560222MDFDRR05</t>
  </si>
  <si>
    <t>04986010066</t>
  </si>
  <si>
    <t>HEPJ650124HNLRLN03</t>
  </si>
  <si>
    <t>43826557746</t>
  </si>
  <si>
    <t>José Santos fuentes Peña</t>
  </si>
  <si>
    <t>BETHA ALICIA BRACAMONTES VAZQUEZ</t>
  </si>
  <si>
    <t>BAVB620615MJCRZR05</t>
  </si>
  <si>
    <t>47947649951</t>
  </si>
  <si>
    <t>EUFJ520914HDFNRN02</t>
  </si>
  <si>
    <t>MOME640308HCSLND06</t>
  </si>
  <si>
    <t>01765722812</t>
  </si>
  <si>
    <t>CARA630903HDFMMN03</t>
  </si>
  <si>
    <t>MEGA770913HGTNDR06</t>
  </si>
  <si>
    <t>CRISTINA RAMIREZ URIBE</t>
  </si>
  <si>
    <t>ALFREDO OSORIO RENDON</t>
  </si>
  <si>
    <t>OORA571208HDFSNL03</t>
  </si>
  <si>
    <t>TEVR610414MDFPLC06</t>
  </si>
  <si>
    <t>MOME611006HVZRNZ08</t>
  </si>
  <si>
    <t>RIVERA AYALA SERGIO MARCOS</t>
  </si>
  <si>
    <t>SOLA691105HMNLGL08</t>
  </si>
  <si>
    <t>4986570952 8</t>
  </si>
  <si>
    <t>0163457466-7</t>
  </si>
  <si>
    <t>Ooal530517 mbcsqr01</t>
  </si>
  <si>
    <t>RODARTE LIZARRAGA JESUS YAMINA</t>
  </si>
  <si>
    <t>2392753426 - 5</t>
  </si>
  <si>
    <t>06836303864</t>
  </si>
  <si>
    <t>Seferino</t>
  </si>
  <si>
    <t>24765806542</t>
  </si>
  <si>
    <t>ADRIAN GARCIA EVARISTO</t>
  </si>
  <si>
    <t>GAEA650121HDFRVD05</t>
  </si>
  <si>
    <t>88856407395</t>
  </si>
  <si>
    <t>ANSELMO SANCHEZ AGUILAR</t>
  </si>
  <si>
    <t>SAAA640217HCSNGN05</t>
  </si>
  <si>
    <t>AATM650524HVZLNN08</t>
  </si>
  <si>
    <t>CXJA491110MCSRMN05</t>
  </si>
  <si>
    <t>Eduardo León Rodríguez</t>
  </si>
  <si>
    <t>LERE791226HGTNDD09</t>
  </si>
  <si>
    <t>LOHL600621HSRPRS05</t>
  </si>
  <si>
    <t>COSNUPAGO</t>
  </si>
  <si>
    <t>6782503045 - 4</t>
  </si>
  <si>
    <t>PERH620725MPLRVL04</t>
  </si>
  <si>
    <t>01795860566</t>
  </si>
  <si>
    <t>COSH640325HDFNNM06</t>
  </si>
  <si>
    <t>SEMA740822MGTRRN03</t>
  </si>
  <si>
    <t>GILBERTO GONZALEZ CORONADO</t>
  </si>
  <si>
    <t>GOCG591116HCHNRL09</t>
  </si>
  <si>
    <t>33765914958</t>
  </si>
  <si>
    <t>41815914894</t>
  </si>
  <si>
    <t>BXCA590828HDFRRG08</t>
  </si>
  <si>
    <t>16755713340</t>
  </si>
  <si>
    <t>32796128471</t>
  </si>
  <si>
    <t>SEGOVIA QUIÑONES FERNANDO</t>
  </si>
  <si>
    <t>SEQF710511HZSGXR06</t>
  </si>
  <si>
    <t>33866417521</t>
  </si>
  <si>
    <t>AEHG740905MTCLRL08</t>
  </si>
  <si>
    <t>SIMON</t>
  </si>
  <si>
    <t>MAOS450218HMCRRM04</t>
  </si>
  <si>
    <t>06594500891</t>
  </si>
  <si>
    <t>92925601772</t>
  </si>
  <si>
    <t>IRMA NELLY FLORES PEREZ</t>
  </si>
  <si>
    <t>FOPI610125MNLLRR02 </t>
  </si>
  <si>
    <t>0480 6343770</t>
  </si>
  <si>
    <t>Raúl</t>
  </si>
  <si>
    <t>11925702380</t>
  </si>
  <si>
    <t>MEMA630108MMSRRP04</t>
  </si>
  <si>
    <t>JESUS FELIPE BOJORQUEZ BAEZ</t>
  </si>
  <si>
    <t>BOBJ461105HSRJZS01</t>
  </si>
  <si>
    <t>FRANCISCO COCON CANUL</t>
  </si>
  <si>
    <t>COCF770402HYNCNR14</t>
  </si>
  <si>
    <t>MARIA DE JESUS JAIME RIVERA</t>
  </si>
  <si>
    <t>JARJ790607MPLMVS02</t>
  </si>
  <si>
    <t>JUAN SUSANO ALVARADO VAZQUEZ</t>
  </si>
  <si>
    <t>AAVJ650524HVZLZN09</t>
  </si>
  <si>
    <t>Rocio Wilson</t>
  </si>
  <si>
    <t>2172531696-8</t>
  </si>
  <si>
    <t>0164473814-6</t>
  </si>
  <si>
    <t>TENORIO CRUZ NORA HILDA</t>
  </si>
  <si>
    <t>TECN560410MVZNRR06</t>
  </si>
  <si>
    <t>SOLF500707HHGTNR05</t>
  </si>
  <si>
    <t>5595771318-7</t>
  </si>
  <si>
    <t>María del Rosario De Aquino Hernández</t>
  </si>
  <si>
    <t>48-11-92-0461-7</t>
  </si>
  <si>
    <t>SOFM670915MSRTRRR01</t>
  </si>
  <si>
    <t>AEDA511013HCCBMN08</t>
  </si>
  <si>
    <t>LUIS FERNANDO ZÁVALA ROMERO</t>
  </si>
  <si>
    <t>ZARL620530HSPVMS04</t>
  </si>
  <si>
    <t>07/20226</t>
  </si>
  <si>
    <t>GUADALUPE DEL CARMEN VEGA SANTIAGO</t>
  </si>
  <si>
    <t>VESG640915HCSGND07</t>
  </si>
  <si>
    <t>7185-64-0911</t>
  </si>
  <si>
    <t>ROMC081278MDFSRN08</t>
  </si>
  <si>
    <t>04825840533</t>
  </si>
  <si>
    <t>GLORIA MARIA PEREZ CRUZ</t>
  </si>
  <si>
    <t>PECG040908MCSRRLA0</t>
  </si>
  <si>
    <t>BAFA601213HVZRLN08</t>
  </si>
  <si>
    <t>6794605036-5</t>
  </si>
  <si>
    <t>ZAPM510425HPLPRR04</t>
  </si>
  <si>
    <t>HELS621227HCLRPL05</t>
  </si>
  <si>
    <t>Filiberto Hernández</t>
  </si>
  <si>
    <t>HERF590822HDFRML02</t>
  </si>
  <si>
    <t>JUAN MANUEL ARREDONDO VELEZ</t>
  </si>
  <si>
    <t>AEVJ521225HZSRLN05</t>
  </si>
  <si>
    <t>ELISA LOPEZ HURTADO</t>
  </si>
  <si>
    <t>LOHE610614MQTPRL06</t>
  </si>
  <si>
    <t>VERDUZCO FIOR NORMA ALICIA</t>
  </si>
  <si>
    <t>3101843209*1</t>
  </si>
  <si>
    <t>0164352107.1</t>
  </si>
  <si>
    <t>06765862310</t>
  </si>
  <si>
    <t>Covs 550907HSRRLR00</t>
  </si>
  <si>
    <t>EUJF631002HTCGMR09</t>
  </si>
  <si>
    <t>AAVG641211HBCLGD06</t>
  </si>
  <si>
    <t>3276603295-0</t>
  </si>
  <si>
    <t>SIAJ621006HDFLDL04</t>
  </si>
  <si>
    <t>04896557115 </t>
  </si>
  <si>
    <t>HEXN260908MSPRXT09</t>
  </si>
  <si>
    <t>GABRIEL GUDIÑO PEREZ</t>
  </si>
  <si>
    <t>GUPG591122HJCDRB00</t>
  </si>
  <si>
    <t>SOHL050702HPLLRSA8</t>
  </si>
  <si>
    <t>FOGF650430HJCLRR09</t>
  </si>
  <si>
    <t>LAH1570626HGRRRN02</t>
  </si>
  <si>
    <t>AULR610710HVZGYB04</t>
  </si>
  <si>
    <t>CUTJ840920HHGRVN01</t>
  </si>
  <si>
    <t>dina700625hcszvn02</t>
  </si>
  <si>
    <t>71937001437</t>
  </si>
  <si>
    <t>Lopj530208Hntpdno5</t>
  </si>
  <si>
    <t>ZEVL580808HDFPLS05</t>
  </si>
  <si>
    <t>2590724746-1</t>
  </si>
  <si>
    <t>NACN640731MBCVMD05</t>
  </si>
  <si>
    <t>GARM621125HDFRNR03</t>
  </si>
  <si>
    <t>01785509538</t>
  </si>
  <si>
    <t>CORB610815MSPRML00</t>
  </si>
  <si>
    <t>49 88 61 0902 1</t>
  </si>
  <si>
    <t>MASF631203HDFRNR08</t>
  </si>
  <si>
    <t>coNSUPAGO</t>
  </si>
  <si>
    <t>06816239237</t>
  </si>
  <si>
    <t>JULIO CESAR HERNANDEZ MARIN</t>
  </si>
  <si>
    <t>HEMJ750410HVZRRL01</t>
  </si>
  <si>
    <t>01876940691</t>
  </si>
  <si>
    <t>Vijm650916hbcddb04</t>
  </si>
  <si>
    <t>ROLJ660508HNLDPN00</t>
  </si>
  <si>
    <t>03856626944</t>
  </si>
  <si>
    <t>Oorj631218hlslcvv04</t>
  </si>
  <si>
    <t>PEGM891126HCSRMR14</t>
  </si>
  <si>
    <t>JOSE LUIS HERNANDEZ GALVAN</t>
  </si>
  <si>
    <t>HEGL630304HLCRLS06</t>
  </si>
  <si>
    <t>BAZJ660617MGTRRS03</t>
  </si>
  <si>
    <t>Eduardo Javier Alvarez Mota</t>
  </si>
  <si>
    <t>AAME611013HTSLTD08</t>
  </si>
  <si>
    <t>4980560549-7</t>
  </si>
  <si>
    <t>Cauj600429Hsrsrv04</t>
  </si>
  <si>
    <t>Saam630902mjcnnr06</t>
  </si>
  <si>
    <t>0675577155-4</t>
  </si>
  <si>
    <t>MORF651003MNLRDL00</t>
  </si>
  <si>
    <t>Alejandro</t>
  </si>
  <si>
    <t>MOCR691118MGRRHN08</t>
  </si>
  <si>
    <t>Guillermo Duran Lorenzo</t>
  </si>
  <si>
    <t>7177500359_4</t>
  </si>
  <si>
    <t>8985682271-6</t>
  </si>
  <si>
    <t>José</t>
  </si>
  <si>
    <t>Andrés Ramos Lopez</t>
  </si>
  <si>
    <t>MOLL640907HVZRBM04</t>
  </si>
  <si>
    <t>OERE731226MBCRDS05</t>
  </si>
  <si>
    <t xml:space="preserve">PROFUTURO </t>
  </si>
  <si>
    <t>ROGR690330HSPMRC08</t>
  </si>
  <si>
    <t>43 8060 08272</t>
  </si>
  <si>
    <t>ESCALANTE ULLAO FRANCISCO ALBERTO</t>
  </si>
  <si>
    <t>EAUF601218HDFSLR07</t>
  </si>
  <si>
    <t>6581650616-9</t>
  </si>
  <si>
    <t>AAJD050517MGTVRNA9</t>
  </si>
  <si>
    <t>ZACC821123HTCCRR08</t>
  </si>
  <si>
    <t>SIBC680724MVZLTR00</t>
  </si>
  <si>
    <t>01704234260</t>
  </si>
  <si>
    <t>MOGJ590719HDFRTN07</t>
  </si>
  <si>
    <t xml:space="preserve">CONSUPAGO </t>
  </si>
  <si>
    <t>CAMJ620805HMNLLN08</t>
  </si>
  <si>
    <t>NALC831209HCSVNR04</t>
  </si>
  <si>
    <t>3182510031_1</t>
  </si>
  <si>
    <t>01845800836</t>
  </si>
  <si>
    <t>GUCE561014MCHRHL04</t>
  </si>
  <si>
    <t>SAMJ590223HJCNRS00</t>
  </si>
  <si>
    <t>PEAM630110MGRDDR03</t>
  </si>
  <si>
    <t>VEDR771021MZSLVS06</t>
  </si>
  <si>
    <t>SANC650218HDGRVR02</t>
  </si>
  <si>
    <t>2380520721-6</t>
  </si>
  <si>
    <t>ISABEL ELVIRA ROMERO SALGADO</t>
  </si>
  <si>
    <t>ROSI721220MSRMLS01</t>
  </si>
  <si>
    <t>EIBJ611219HDFSRV09</t>
  </si>
  <si>
    <t>Angel</t>
  </si>
  <si>
    <t>Togr550831hplbnm00</t>
  </si>
  <si>
    <t>ARUM630909HCLRNR00</t>
  </si>
  <si>
    <t>0219602552-8</t>
  </si>
  <si>
    <t>MOTA630108HVZRBP05</t>
  </si>
  <si>
    <t>BEMS660208MGTRNL08</t>
  </si>
  <si>
    <t>FOMS630801MVZLNS08</t>
  </si>
  <si>
    <t>EDELMIRA VALDES RODRIGUEZ</t>
  </si>
  <si>
    <t>VARE610207MCLLDD02</t>
  </si>
  <si>
    <t>CABC711002HYNSCR01</t>
  </si>
  <si>
    <t>DE JESUS VILLANUEVA DOROTEO</t>
  </si>
  <si>
    <t>JEVD430909HGRSLR09</t>
  </si>
  <si>
    <t>VAMN811015MVZLRN03</t>
  </si>
  <si>
    <t>RURA810909HDFZZN06</t>
  </si>
  <si>
    <t>MIVA550510HMCLLN06</t>
  </si>
  <si>
    <t>CADR670916HMCSZG09</t>
  </si>
  <si>
    <t>EIAR710522MPLSGC09</t>
  </si>
  <si>
    <t>Gohl641002hdfnrs03</t>
  </si>
  <si>
    <t>POFI570617HGRRGSOO</t>
  </si>
  <si>
    <t>ISAIAS MAYAHUA MAYAHUA</t>
  </si>
  <si>
    <t>MAMI080425HVZYYSA1</t>
  </si>
  <si>
    <t>HECTOR MANUEL PEREZ CUELLAR</t>
  </si>
  <si>
    <t>PECH510531HGTRLC02</t>
  </si>
  <si>
    <t>PuRJ601015HCLNSS07</t>
  </si>
  <si>
    <t>4960392708-5</t>
  </si>
  <si>
    <t>RORA640613HPLMDN09</t>
  </si>
  <si>
    <t>SADC810301MMNNZL03</t>
  </si>
  <si>
    <t>RAXJ801112HSPMXR09</t>
  </si>
  <si>
    <t>12998045152..</t>
  </si>
  <si>
    <t>Garn650621hgrlmh05</t>
  </si>
  <si>
    <t>JAVG640416HCHRRR01</t>
  </si>
  <si>
    <t>OICM620929HMCLSG01</t>
  </si>
  <si>
    <t>3297790991-3</t>
  </si>
  <si>
    <t>heaj640614hchrrs02</t>
  </si>
  <si>
    <t>PECE621027HYNCHR06</t>
  </si>
  <si>
    <t>LECE620510HSRLLD02</t>
  </si>
  <si>
    <t>GUOR630106HCLVNY04</t>
  </si>
  <si>
    <t>ROGS630906HDFDNTOO</t>
  </si>
  <si>
    <t>06705158936</t>
  </si>
  <si>
    <t>RURR630829MDFZSS09</t>
  </si>
  <si>
    <t>SOBR570919HMCTNG04</t>
  </si>
  <si>
    <t>Nancy Patricia Chávez Hernández</t>
  </si>
  <si>
    <t>VIFA640701HTSLLR03</t>
  </si>
  <si>
    <t>GUILLERMO TALAVERA SILVA</t>
  </si>
  <si>
    <t>TASM590502HVZLLL08</t>
  </si>
  <si>
    <t>67775921397</t>
  </si>
  <si>
    <t>Cefa580908hplrld04</t>
  </si>
  <si>
    <t>Ealc640316hdfsnr01</t>
  </si>
  <si>
    <t>2183657280-6</t>
  </si>
  <si>
    <t>3992630961-6</t>
  </si>
  <si>
    <t>FALR490113HDFRNF09</t>
  </si>
  <si>
    <t>Jorge ro</t>
  </si>
  <si>
    <t>6622 33 12 66</t>
  </si>
  <si>
    <t>Rocj771030hcldnr06</t>
  </si>
  <si>
    <t>CAAE610710HSLSTV04</t>
  </si>
  <si>
    <t>COBJ641211HSLRLR06</t>
  </si>
  <si>
    <t>TUFN380910HPLRLC09</t>
  </si>
  <si>
    <t>64856624321</t>
  </si>
  <si>
    <t>24776023813</t>
  </si>
  <si>
    <t>CACJ640217HCLMSR00</t>
  </si>
  <si>
    <t>0487644910-1</t>
  </si>
  <si>
    <t>32796236142</t>
  </si>
  <si>
    <t>CAVJ700621HPLMGR02</t>
  </si>
  <si>
    <t>4183621000-9</t>
  </si>
  <si>
    <t>1173559244</t>
  </si>
  <si>
    <t>Gors570817 hbcnmr00</t>
  </si>
  <si>
    <t>Bonifacio Lopez valdez</t>
  </si>
  <si>
    <t>1172526369-0</t>
  </si>
  <si>
    <t>Enrique Alberto Ordaz Ruiz</t>
  </si>
  <si>
    <t>OARE580702SCRZN06</t>
  </si>
  <si>
    <t>ALBA FURIAS JOSÉ JESÚS</t>
  </si>
  <si>
    <t>ALFRJUS620201HGTLS10</t>
  </si>
  <si>
    <t>2390752308. 3</t>
  </si>
  <si>
    <t>FOCS820509MGTNSL02</t>
  </si>
  <si>
    <t>DOMÍNGUEZ MARTÍNEZ JUAN CARLOS</t>
  </si>
  <si>
    <t>DOMJ650308HDGMRN06</t>
  </si>
  <si>
    <t>BARR650704 HDGLVFOI</t>
  </si>
  <si>
    <t>MARCELO DE JESUS ROMERO</t>
  </si>
  <si>
    <t>JERM011018HPLSMRA4</t>
  </si>
  <si>
    <t>NOE ABELINO LLANDEZ VASQUEZ</t>
  </si>
  <si>
    <t>LAVN661110HOCLSX04</t>
  </si>
  <si>
    <t>6285620498</t>
  </si>
  <si>
    <t>Moce650509hdflrd09</t>
  </si>
  <si>
    <t>9094773870-5</t>
  </si>
  <si>
    <t>SOPM631119MTSLLR07</t>
  </si>
  <si>
    <t>4382662988 3</t>
  </si>
  <si>
    <t>SALDAÑA SERRANO KARLA ISBEIDY</t>
  </si>
  <si>
    <t>SASK060310MGRLRRA6</t>
  </si>
  <si>
    <t>Palacio Estevez Jesús</t>
  </si>
  <si>
    <t>PAEJ640529HDFLSS06</t>
  </si>
  <si>
    <t>23028736256</t>
  </si>
  <si>
    <t>VARJ810103HCSZZS09</t>
  </si>
  <si>
    <t>Viml640303HDGLRS08</t>
  </si>
  <si>
    <t>BARACAF</t>
  </si>
  <si>
    <t>BAMA720801MNLRLN03</t>
  </si>
  <si>
    <t>8485660969-2</t>
  </si>
  <si>
    <t>0470521703-4</t>
  </si>
  <si>
    <t>MEME920826HMCNDS04</t>
  </si>
  <si>
    <t>REGJ700109HNLYNL04</t>
  </si>
  <si>
    <t>MACA581216HZSRRN07</t>
  </si>
  <si>
    <t>55 7451 5192</t>
  </si>
  <si>
    <t>6481570819-9</t>
  </si>
  <si>
    <t>VICTOR APOLONIO</t>
  </si>
  <si>
    <t>HERV610329HMCRSC03</t>
  </si>
  <si>
    <t>Dezj570423hmclmr14</t>
  </si>
  <si>
    <t>8882641887-8</t>
  </si>
  <si>
    <t>0176570429 9</t>
  </si>
  <si>
    <t>4980632120 1</t>
  </si>
  <si>
    <t>FOMR630822HDGLNG06</t>
  </si>
  <si>
    <t>ROSG592025MPLMLDO6</t>
  </si>
  <si>
    <t>5794762887-1</t>
  </si>
  <si>
    <t>NICJ811204HSPCRV05</t>
  </si>
  <si>
    <t>03816417053</t>
  </si>
  <si>
    <t>GOMJ620816HDFNLR08</t>
  </si>
  <si>
    <t>SOTO MILVIA</t>
  </si>
  <si>
    <t>21886745906</t>
  </si>
  <si>
    <t>06816213984</t>
  </si>
  <si>
    <t>2468461489. 4</t>
  </si>
  <si>
    <t>CISV630714HMSSLC09</t>
  </si>
  <si>
    <t>CAOA950520HMNSRL00</t>
  </si>
  <si>
    <t>LAML620613MSLLLC02</t>
  </si>
  <si>
    <t>SAZM560507HCLLMR03</t>
  </si>
  <si>
    <t>BABG630704HVZDLS08</t>
  </si>
  <si>
    <t>Catalina Gama</t>
  </si>
  <si>
    <t>GAVC590606MDFMLT02</t>
  </si>
  <si>
    <t>2476592503-7</t>
  </si>
  <si>
    <t>RARM570608MJMMR06</t>
  </si>
  <si>
    <t>SODA600422HCHLRB07</t>
  </si>
  <si>
    <t>FLORES MORALES JORGE</t>
  </si>
  <si>
    <t>FOMJ780917HVZLRR07</t>
  </si>
  <si>
    <t>0216788252 - 7</t>
  </si>
  <si>
    <t>GATJ780923HDFMRL07</t>
  </si>
  <si>
    <t>32 82 65 39 69 7</t>
  </si>
  <si>
    <t>1571550193-6</t>
  </si>
  <si>
    <t>SOSJ680408HCHLGR05</t>
  </si>
  <si>
    <t>CALH990131HMCRPR00</t>
  </si>
  <si>
    <t>SAPO610428HOCNCD09</t>
  </si>
  <si>
    <t>Fernando Moreno Díaz</t>
  </si>
  <si>
    <t>2480612141-4</t>
  </si>
  <si>
    <t>OEMG611202HMCRGN06</t>
  </si>
  <si>
    <t>ROTF640128HGTBLR06</t>
  </si>
  <si>
    <t>HICR980522MGRLRT00</t>
  </si>
  <si>
    <t>GAVE550908HHGMRD02</t>
  </si>
  <si>
    <t>Josafat Reyes Flores</t>
  </si>
  <si>
    <t>01796296026</t>
  </si>
  <si>
    <t>GOMB571223HJCNNC04</t>
  </si>
  <si>
    <t>HEME540923HTSRRL19</t>
  </si>
  <si>
    <t>LOBF691117HSPPLRO6</t>
  </si>
  <si>
    <t>LOLM611003MQTPNR04</t>
  </si>
  <si>
    <t>SATM620313MTCLRY08</t>
  </si>
  <si>
    <t>8494590079-7</t>
  </si>
  <si>
    <t>7869512068-0</t>
  </si>
  <si>
    <t>16836403408</t>
  </si>
  <si>
    <t>SAES610617MBCCSL09</t>
  </si>
  <si>
    <t>DARM620409HZSVMN04</t>
  </si>
  <si>
    <t>SANDOVAL BURGARA ROBERTO</t>
  </si>
  <si>
    <t>SABR740908HNTNRB04</t>
  </si>
  <si>
    <t>GOHF741004HSRNRR04</t>
  </si>
  <si>
    <t>FERNANDO HERRERA PLATA</t>
  </si>
  <si>
    <t>HEPF970912HMCRLR01</t>
  </si>
  <si>
    <t>OIXA570510HSPLXN09</t>
  </si>
  <si>
    <t>Perla Nidia de Monserrat Alvarado Mende</t>
  </si>
  <si>
    <t>42906701091</t>
  </si>
  <si>
    <t>6574510021_7</t>
  </si>
  <si>
    <t>SASZ640108HPLNLF07</t>
  </si>
  <si>
    <t>67775908436</t>
  </si>
  <si>
    <t>2161291030-3</t>
  </si>
  <si>
    <t>SEML610905HDFRYR01</t>
  </si>
  <si>
    <t>1583641594-1</t>
  </si>
  <si>
    <t>3197761207-1</t>
  </si>
  <si>
    <t>ROOJ690213MSLBLN00</t>
  </si>
  <si>
    <t>MECF650422HGTNSL06</t>
  </si>
  <si>
    <t>LORG650110HMCPSN02</t>
  </si>
  <si>
    <t>6390740383-4</t>
  </si>
  <si>
    <t>Mnsrmma560301 mooo</t>
  </si>
  <si>
    <t>42856512738</t>
  </si>
  <si>
    <t>01543826075</t>
  </si>
  <si>
    <t>RODRIGUEZ DOMINGUEZ TEOFILA</t>
  </si>
  <si>
    <t>RODT540323MZSDMF01</t>
  </si>
  <si>
    <t>Héctor</t>
  </si>
  <si>
    <t>VADO650418HDFRZS08</t>
  </si>
  <si>
    <t>J. Jesús Duran Guerra</t>
  </si>
  <si>
    <t>DUGJ680806HGTRRS01</t>
  </si>
  <si>
    <t>1286687883-3</t>
  </si>
  <si>
    <t>ZAPATA GONZÁLEZ LUIS ENRIQUE</t>
  </si>
  <si>
    <t>ZAZL8002011CHPR507</t>
  </si>
  <si>
    <t>COPM670929MDFRRR05</t>
  </si>
  <si>
    <t>20916720269</t>
  </si>
  <si>
    <t>4385690792-8</t>
  </si>
  <si>
    <t>MARÍA PATRICIA</t>
  </si>
  <si>
    <t>GULP711124MDGVZT02</t>
  </si>
  <si>
    <t>SAXJ690513HGTNXN02</t>
  </si>
  <si>
    <t>OOCA660510HGTRLN05</t>
  </si>
  <si>
    <t>SAGA610826HOCNRL00</t>
  </si>
  <si>
    <t>LEJJ701207MMCGSS05</t>
  </si>
  <si>
    <t>01856406010</t>
  </si>
  <si>
    <t>32 80 62 16 035</t>
  </si>
  <si>
    <t>50806000803</t>
  </si>
  <si>
    <t>06806304306</t>
  </si>
  <si>
    <t>HERG681209HDFRYL13</t>
  </si>
  <si>
    <t>CXCA660818HYNNHL07</t>
  </si>
  <si>
    <t>84856614403</t>
  </si>
  <si>
    <t>3587676957-7</t>
  </si>
  <si>
    <t>GUDH610330MGRLSR01</t>
  </si>
  <si>
    <t>GOTS581024HZSNRR07</t>
  </si>
  <si>
    <t>31935201181</t>
  </si>
  <si>
    <t>0367 51 1742 2</t>
  </si>
  <si>
    <t>0474511802</t>
  </si>
  <si>
    <t>MOHM691210MVZRRR00</t>
  </si>
  <si>
    <t>GIRA620610HSRRBL08</t>
  </si>
  <si>
    <t>GONZALEZ DE</t>
  </si>
  <si>
    <t>SACA550920HCLLSB02</t>
  </si>
  <si>
    <t>CUAH641120MVZRGR09</t>
  </si>
  <si>
    <t>6591655775-7</t>
  </si>
  <si>
    <t>PUGL6009122HYN R08</t>
  </si>
  <si>
    <t>GASR660516MMNSNQ01</t>
  </si>
  <si>
    <t>SADJ650602HSPNLN09</t>
  </si>
  <si>
    <t>EMILIO</t>
  </si>
  <si>
    <t>HESE500805HNTRCM08</t>
  </si>
  <si>
    <t>4390-6978-911</t>
  </si>
  <si>
    <t>CARLOS</t>
  </si>
  <si>
    <t>67866250375</t>
  </si>
  <si>
    <t>MAON531226HHGRRC03</t>
  </si>
  <si>
    <t>CUMB630721MMNRXR03</t>
  </si>
  <si>
    <t>RUCR560831HDFZRM07</t>
  </si>
  <si>
    <t>VICTOR ROMAN PRIEGO FALCON</t>
  </si>
  <si>
    <t>PIFV500728HTCRLC17</t>
  </si>
  <si>
    <t>04826646525</t>
  </si>
  <si>
    <t>BESU771007HMNRNV05</t>
  </si>
  <si>
    <t>FACE540224MDFRNV03</t>
  </si>
  <si>
    <t>VALV650708HNLLPN09</t>
  </si>
  <si>
    <t>GACJ590615MMNRHV05</t>
  </si>
  <si>
    <t>VXCA630907HDFRRR06</t>
  </si>
  <si>
    <t>41846513848</t>
  </si>
  <si>
    <t>24806279790</t>
  </si>
  <si>
    <t>53866504177</t>
  </si>
  <si>
    <t>31907316538</t>
  </si>
  <si>
    <t>LIOE700701MVZMCSO1</t>
  </si>
  <si>
    <t>49937015326</t>
  </si>
  <si>
    <t>32816489093</t>
  </si>
  <si>
    <t>048972346075</t>
  </si>
  <si>
    <t>11796179254</t>
  </si>
  <si>
    <t>Margarita Briones Mendez</t>
  </si>
  <si>
    <t>BIMM560518MTSRNR03</t>
  </si>
  <si>
    <t>02265617791</t>
  </si>
  <si>
    <t>11796269295</t>
  </si>
  <si>
    <t>32826504154</t>
  </si>
  <si>
    <t>SAJM620618HVZNTR09</t>
  </si>
  <si>
    <t>54776036367</t>
  </si>
  <si>
    <t>72835909408</t>
  </si>
  <si>
    <t>O6685123181011510</t>
  </si>
  <si>
    <t>PENZ530826HJCLRF02</t>
  </si>
  <si>
    <t>32877003569</t>
  </si>
  <si>
    <t>GASC640716MMCRLR01</t>
  </si>
  <si>
    <t>24846416592</t>
  </si>
  <si>
    <t>PEAF550703HDFRLR05</t>
  </si>
  <si>
    <t>LOBE581210MDFPRG06</t>
  </si>
  <si>
    <t>VICL630213HDFLRS08</t>
  </si>
  <si>
    <t>54786131034</t>
  </si>
  <si>
    <t>DIHA010411HGRZRLA1</t>
  </si>
  <si>
    <t>VAEJ650428HNLLSN07</t>
  </si>
  <si>
    <t>4380650905</t>
  </si>
  <si>
    <t>MOLM820903HVZNXS05</t>
  </si>
  <si>
    <t>43856624747</t>
  </si>
  <si>
    <t>Jaime Flores Meza</t>
  </si>
  <si>
    <t>43715512109</t>
  </si>
  <si>
    <t>43816620561</t>
  </si>
  <si>
    <t>43846425478</t>
  </si>
  <si>
    <t>43775515901</t>
  </si>
  <si>
    <t>RALD051115MVZMNMA8</t>
  </si>
  <si>
    <t>04058232358</t>
  </si>
  <si>
    <t>RAUL GUZMAN CARDONA</t>
  </si>
  <si>
    <t>GUCR531208HZSZRL01</t>
  </si>
  <si>
    <t>43816152664</t>
  </si>
  <si>
    <t>01685267377</t>
  </si>
  <si>
    <t>11917310085</t>
  </si>
  <si>
    <t>AOHM630922HSLSDR07</t>
  </si>
  <si>
    <t>23735900047</t>
  </si>
  <si>
    <t>ARTURO GUADALUPE LÓPEZ PÉREZ</t>
  </si>
  <si>
    <t>77684171855</t>
  </si>
  <si>
    <t>SALVADOR HERNANDO CLAUDIO</t>
  </si>
  <si>
    <t>67916925166</t>
  </si>
  <si>
    <t>ZAGV640521HDFRRC01</t>
  </si>
  <si>
    <t>FONF581004HDFLTR04</t>
  </si>
  <si>
    <t>MOTR570502HJCNRL04</t>
  </si>
  <si>
    <t>54805713945</t>
  </si>
  <si>
    <t>01715324628</t>
  </si>
  <si>
    <t>CEMH070412MDGRRRA7</t>
  </si>
  <si>
    <t>16856508847</t>
  </si>
  <si>
    <t>42806048940</t>
  </si>
  <si>
    <t>CHAVEZ RUIZ JAIME</t>
  </si>
  <si>
    <t>CARJ671117HJCHZM04</t>
  </si>
  <si>
    <t>25976703493</t>
  </si>
  <si>
    <t>VAGJ640626HMSRMS08</t>
  </si>
  <si>
    <t>82876401744</t>
  </si>
  <si>
    <t>JIAA630722MGRMRL03</t>
  </si>
  <si>
    <t>RONA621204HDFCVL05</t>
  </si>
  <si>
    <t>RESL780118HDFYNN01</t>
  </si>
  <si>
    <t>5303852737</t>
  </si>
  <si>
    <t>HECP870131MJCRSL01</t>
  </si>
  <si>
    <t>04058763238</t>
  </si>
  <si>
    <t>AECA680606MDFNRN09</t>
  </si>
  <si>
    <t>43745813774</t>
  </si>
  <si>
    <t>49907244476</t>
  </si>
  <si>
    <t>GOEH720729MCHNSLOO</t>
  </si>
  <si>
    <t>JESUS</t>
  </si>
  <si>
    <t>MECJ690602HNLNDS00</t>
  </si>
  <si>
    <t>43896996148</t>
  </si>
  <si>
    <t>LEUNAMAICRAGOTABOL</t>
  </si>
  <si>
    <t>24896622610</t>
  </si>
  <si>
    <t>88856304964</t>
  </si>
  <si>
    <t>GUML720211MJCTNR06</t>
  </si>
  <si>
    <t>07926400362</t>
  </si>
  <si>
    <t>Arturo Gamboa</t>
  </si>
  <si>
    <t>GAEA580901HDGMSR03</t>
  </si>
  <si>
    <t>32786123806</t>
  </si>
  <si>
    <t>EVARISTO BENITEZ LEON</t>
  </si>
  <si>
    <t>12876833885</t>
  </si>
  <si>
    <t>LOPM620527MDFPDR00</t>
  </si>
  <si>
    <t>ZAMORA ESTEVEZ ALEJANDRO</t>
  </si>
  <si>
    <t>ZAEA580423HDFMSL07</t>
  </si>
  <si>
    <t>BECERRIL CARMONA ARMANDO</t>
  </si>
  <si>
    <t>BECA640705HDFCRR01</t>
  </si>
  <si>
    <t>24876500547</t>
  </si>
  <si>
    <t>RUMP601115HJCVRB09</t>
  </si>
  <si>
    <t>11836416203</t>
  </si>
  <si>
    <t>43796249621</t>
  </si>
  <si>
    <t>MIGUEL ANGEL GONZALEZ BARRADAS</t>
  </si>
  <si>
    <t>GOBM620718HVZNRG01</t>
  </si>
  <si>
    <t>QURM530503HDFNDR00</t>
  </si>
  <si>
    <t>GAZP710315HCLRPD08</t>
  </si>
  <si>
    <t>25977902573</t>
  </si>
  <si>
    <t>DNX EXPRESS</t>
  </si>
  <si>
    <t>23755906083</t>
  </si>
  <si>
    <t>SAAA591122HDGLNN01</t>
  </si>
  <si>
    <t>43805931367</t>
  </si>
  <si>
    <t>04886610718</t>
  </si>
  <si>
    <t>01776000166</t>
  </si>
  <si>
    <t>GOLI770127HJCNPG00</t>
  </si>
  <si>
    <t>FAUSTINO CHINAS GONZALEZ</t>
  </si>
  <si>
    <t>CIGF511127HVZHNS08</t>
  </si>
  <si>
    <t>LEGO6311O7MJCNNFO1</t>
  </si>
  <si>
    <t>PENM040104MOCXCNA7</t>
  </si>
  <si>
    <t>47907141551</t>
  </si>
  <si>
    <t>SEGM610704HJCRRG03</t>
  </si>
  <si>
    <t>PIZG641118MPLRND04</t>
  </si>
  <si>
    <t>84826414140</t>
  </si>
  <si>
    <t>VISR000416HDFDNBA9</t>
  </si>
  <si>
    <t>SAGA030208HCSNTLA7</t>
  </si>
  <si>
    <t>IAOP640622HCHBNZ09</t>
  </si>
  <si>
    <t>David mejia curiel</t>
  </si>
  <si>
    <t>CALE850716</t>
  </si>
  <si>
    <t>CARM660216HBSMZR03</t>
  </si>
  <si>
    <t>CAPH640703HGRRNG07</t>
  </si>
  <si>
    <t>67906502488</t>
  </si>
  <si>
    <t>PARM521224HDFRMN04</t>
  </si>
  <si>
    <t>03816320174</t>
  </si>
  <si>
    <t>BALR620802HVZDGN06</t>
  </si>
  <si>
    <t>53955711121</t>
  </si>
  <si>
    <t>GAMR6300623MCLRNS09</t>
  </si>
  <si>
    <t>Susana Martínez Hernández</t>
  </si>
  <si>
    <t>4289 70 4932-8</t>
  </si>
  <si>
    <t>MAGG650522HTSRNL01</t>
  </si>
  <si>
    <t>4985650777-4</t>
  </si>
  <si>
    <t>LEONCIO PEREA</t>
  </si>
  <si>
    <t>Guadalupe</t>
  </si>
  <si>
    <t>8478590154-1</t>
  </si>
  <si>
    <t>09917462518</t>
  </si>
  <si>
    <t>JOSE ANTONIO ESQUEDA MARTINEZ</t>
  </si>
  <si>
    <t>EUMA580426HDFSRN04</t>
  </si>
  <si>
    <t>BANCREA, MULTIVA</t>
  </si>
  <si>
    <t>AAGP601012MDFLRL03</t>
  </si>
  <si>
    <t>CASC860722HPLZNR05</t>
  </si>
  <si>
    <t>CESAR DE BALLLOS GOMEZ</t>
  </si>
  <si>
    <t>5300272543</t>
  </si>
  <si>
    <t>NIVG610207MDFTZL02</t>
  </si>
  <si>
    <t>Ceballos Valencia Beatriz</t>
  </si>
  <si>
    <t>CEVB500812MVZBLT08</t>
  </si>
  <si>
    <t>65665015395</t>
  </si>
  <si>
    <t>MEGR610313HDFNMD04</t>
  </si>
  <si>
    <t>67068917789</t>
  </si>
  <si>
    <t>PERE540228MASRML09</t>
  </si>
  <si>
    <t>3389728326_4</t>
  </si>
  <si>
    <t>TOCJ720501MCHRSL09</t>
  </si>
  <si>
    <t>SUPI510430HDFRZG09</t>
  </si>
  <si>
    <t>TOCC960821MCHRSN05</t>
  </si>
  <si>
    <t>BESH520421HCHCNL09</t>
  </si>
  <si>
    <t>GANN900304MGRRVY05</t>
  </si>
  <si>
    <t>24856663012</t>
  </si>
  <si>
    <t>04806301752</t>
  </si>
  <si>
    <t>01755869037</t>
  </si>
  <si>
    <t>84816414936</t>
  </si>
  <si>
    <t>06796304241</t>
  </si>
  <si>
    <t>JOSE RODIMIRO LOPEZ</t>
  </si>
  <si>
    <t>LOSR610915HSLPDB00</t>
  </si>
  <si>
    <t>PETRA ALICIA GONZALEZ CORRAL</t>
  </si>
  <si>
    <t>33806506490</t>
  </si>
  <si>
    <t>Gustavo Alvaro Sandoval Alcantara</t>
  </si>
  <si>
    <t>SAAG501118HDFNLS00</t>
  </si>
  <si>
    <t>01785241538</t>
  </si>
  <si>
    <t>Leonardo Hernández batalla</t>
  </si>
  <si>
    <t>HEBL591229HGRRTN08</t>
  </si>
  <si>
    <t>01846636221</t>
  </si>
  <si>
    <t>01845904828</t>
  </si>
  <si>
    <t>JOSE MAURICIO</t>
  </si>
  <si>
    <t>NBLHMR600115HNYR02</t>
  </si>
  <si>
    <t>MAGF580118MOCNRL03</t>
  </si>
  <si>
    <t>TUYR410602HCLRXM02</t>
  </si>
  <si>
    <t>ROSJ761022HTSDNN00</t>
  </si>
  <si>
    <t>53695020437</t>
  </si>
  <si>
    <t>QUHM621029HCCJRG05</t>
  </si>
  <si>
    <t>TEAE621013HCHRGD08</t>
  </si>
  <si>
    <t>CODA610511HASRL09</t>
  </si>
  <si>
    <t>EUPO860220HCSSNS00</t>
  </si>
  <si>
    <t>2481653584,3</t>
  </si>
  <si>
    <t>2188620108-2</t>
  </si>
  <si>
    <t>QUPD941112HTCXRG09</t>
  </si>
  <si>
    <t>RURE560214HJCBVF06</t>
  </si>
  <si>
    <t>GACC530807HVZRRY07</t>
  </si>
  <si>
    <t>FOSOFO</t>
  </si>
  <si>
    <t>RACR591021HDFMSL00</t>
  </si>
  <si>
    <t>RAAA630420HMNMVR09</t>
  </si>
  <si>
    <t>OEEN611113HCHRRX00</t>
  </si>
  <si>
    <t>DIMEX, INBURSA</t>
  </si>
  <si>
    <t>COAD630517HSRTNV08</t>
  </si>
  <si>
    <t>BETL640725HMNDRS09</t>
  </si>
  <si>
    <t>Hernández Carmona Gabriela</t>
  </si>
  <si>
    <t>HECG760109MMCRRB09</t>
  </si>
  <si>
    <t>AEZA550524HSLRMN08</t>
  </si>
  <si>
    <t>23725507000</t>
  </si>
  <si>
    <t>AOCE041202HDGLRLA6</t>
  </si>
  <si>
    <t>SOLIS SALGADO BRENDA</t>
  </si>
  <si>
    <t>SOSB771231MDGLLR06</t>
  </si>
  <si>
    <t>Rolando</t>
  </si>
  <si>
    <t>ZAGR670719HCLMLL00</t>
  </si>
  <si>
    <t>TORA630709HDFRDN08</t>
  </si>
  <si>
    <t>NOE MUÑOZ SANCHEZ</t>
  </si>
  <si>
    <t>MUSN660804HDFXNX01</t>
  </si>
  <si>
    <t>LOME800426MVZPNR03</t>
  </si>
  <si>
    <t>LOSS650811MPLPLN05</t>
  </si>
  <si>
    <t>GANS770112HDFRTL01</t>
  </si>
  <si>
    <t>32816249059</t>
  </si>
  <si>
    <t>62806410031</t>
  </si>
  <si>
    <t>LERR980218HPLDMB02</t>
  </si>
  <si>
    <t>VALENTIN ALVARADO</t>
  </si>
  <si>
    <t>54805614739</t>
  </si>
  <si>
    <t>06796228234</t>
  </si>
  <si>
    <t>MUMW771221HSLRNL08</t>
  </si>
  <si>
    <t>JOSE JAVIER VEGA DE LA TORRE</t>
  </si>
  <si>
    <t>VETJ631202HMCCRV06</t>
  </si>
  <si>
    <t>64806148462</t>
  </si>
  <si>
    <t>DIRV710910MSLZDR01</t>
  </si>
  <si>
    <t>AAMR620216HJCVRB06</t>
  </si>
  <si>
    <t>CABN460802MVZSTM06</t>
  </si>
  <si>
    <t>HERF550402HGTRVR06</t>
  </si>
  <si>
    <t>BACO690921HDFTSS14</t>
  </si>
  <si>
    <t>BARQUIN NIEVES JOSE</t>
  </si>
  <si>
    <t>BANJ580319HCLRVS26</t>
  </si>
  <si>
    <t>SAOA650613HTCRLN05</t>
  </si>
  <si>
    <t>SIVC640716MTSLLR00</t>
  </si>
  <si>
    <t>HERNANDEZ SAUCEDO JUAN ANTONIO</t>
  </si>
  <si>
    <t>06856714685</t>
  </si>
  <si>
    <t>José Guadalupe Pérez Cruz</t>
  </si>
  <si>
    <t>PECG500302HSLRRD05</t>
  </si>
  <si>
    <t>81755801628</t>
  </si>
  <si>
    <t>Baja650121htcxmb00</t>
  </si>
  <si>
    <t>MARN650802HDFRYF04</t>
  </si>
  <si>
    <t>Silvia Virginia Montaño Ramirez</t>
  </si>
  <si>
    <t>MORS530626MDFNML04</t>
  </si>
  <si>
    <t>AURS800526MJCGSC06</t>
  </si>
  <si>
    <t>VIVM660620HVZLLR09</t>
  </si>
  <si>
    <t>ANDRE</t>
  </si>
  <si>
    <t>LUPG561129HASNDR06</t>
  </si>
  <si>
    <t>55825603925F1956pes</t>
  </si>
  <si>
    <t>MACJ671010HOCRSSO4</t>
  </si>
  <si>
    <t>ANGELICA MARTINEZ LOPEZ</t>
  </si>
  <si>
    <t>MALA760111MDFRPN02</t>
  </si>
  <si>
    <t>LEVM650116HSRNLR08</t>
  </si>
  <si>
    <t>JIPM820504HCSMXN08</t>
  </si>
  <si>
    <t>JESM741102HVZRNG09</t>
  </si>
  <si>
    <t>TOJJ730422HBCRMS07</t>
  </si>
  <si>
    <t>BANDA MARCOS</t>
  </si>
  <si>
    <t>BAXM660525HVZNXR05</t>
  </si>
  <si>
    <t>TOAA520517HOCLND02</t>
  </si>
  <si>
    <t>ROSF601002HJCBLR04</t>
  </si>
  <si>
    <t>ROHV640220HCLDRC02</t>
  </si>
  <si>
    <t>7581631283-1</t>
  </si>
  <si>
    <t>CASTRO VIERA JOSE MANUEL</t>
  </si>
  <si>
    <t>CAVM791007HCLSRN00</t>
  </si>
  <si>
    <t>BAMM650812HTSHRG00</t>
  </si>
  <si>
    <t>MERJ620327HSRRMN03</t>
  </si>
  <si>
    <t>GARCÍA MARTÍNEZ FRANCISCO DE ASIS</t>
  </si>
  <si>
    <t>EAXM610812MJCNXR05</t>
  </si>
  <si>
    <t>4993685751-2</t>
  </si>
  <si>
    <t>43816045066</t>
  </si>
  <si>
    <t>01835201904</t>
  </si>
  <si>
    <t>RUBM570527MDFZCG01</t>
  </si>
  <si>
    <t>VELOZ RUIZ JUANA INES</t>
  </si>
  <si>
    <t>VERJ720828MASLZN01</t>
  </si>
  <si>
    <t>JOSÉ GUADALUPE FLORES JIMÉNEZ</t>
  </si>
  <si>
    <t>FOJG601212HMSLMD09</t>
  </si>
  <si>
    <t>ROBERTO EDUARDO SÁNCHEZ GARCÍA</t>
  </si>
  <si>
    <t>SAGR491010HTLNRB05</t>
  </si>
  <si>
    <t>19744708777</t>
  </si>
  <si>
    <t>HUMA660113HYNXRN05</t>
  </si>
  <si>
    <t>AESG6202020MSLRDT02</t>
  </si>
  <si>
    <t>96925503052</t>
  </si>
  <si>
    <t>JOSE JUAN</t>
  </si>
  <si>
    <t>RAUJ680925HNLMRN09</t>
  </si>
  <si>
    <t>CARL580802HDFSMS12</t>
  </si>
  <si>
    <t>PEDE640426HNLRMR07</t>
  </si>
  <si>
    <t>GAFA581209HMCRRN00</t>
  </si>
  <si>
    <t>DAVID VÁSQUEZ GÓMEZ</t>
  </si>
  <si>
    <t>PÉREZ HERNÁNDEZ ARMANDO</t>
  </si>
  <si>
    <t>PEHA630115HVZRRR01</t>
  </si>
  <si>
    <t>CAAL631216MSLHNT06</t>
  </si>
  <si>
    <t>5178580070-0</t>
  </si>
  <si>
    <t>1085600841-1</t>
  </si>
  <si>
    <t>JUPG640120HGRSRL02</t>
  </si>
  <si>
    <t>437 659 3038 3</t>
  </si>
  <si>
    <t>TODN690824HPLRNX09</t>
  </si>
  <si>
    <t>TOAG691107HMNRGL03</t>
  </si>
  <si>
    <t>06806003726</t>
  </si>
  <si>
    <t>GUGL660810HGRDLR13</t>
  </si>
  <si>
    <t>MAOT611210MOCRRR04</t>
  </si>
  <si>
    <t>MOFE660608MGTNTD07</t>
  </si>
  <si>
    <t>01796235347</t>
  </si>
  <si>
    <t>CADC650916HMCMZR04</t>
  </si>
  <si>
    <t>ROXO620411HCHSXS09</t>
  </si>
  <si>
    <t>5490732841-0</t>
  </si>
  <si>
    <t>2188642672-1</t>
  </si>
  <si>
    <t>HUDR701010HBCZZM04</t>
  </si>
  <si>
    <t>1591591009-3</t>
  </si>
  <si>
    <t>RAMON ALBERTO RODRIGUEZ ZAMUDIO</t>
  </si>
  <si>
    <t>ROZR580527HSLDMM09</t>
  </si>
  <si>
    <t>23855802023</t>
  </si>
  <si>
    <t>0401640089-9</t>
  </si>
  <si>
    <t>Gabriel Castillo Mora</t>
  </si>
  <si>
    <t>06776027200</t>
  </si>
  <si>
    <t>0668-50-8663</t>
  </si>
  <si>
    <t>06685086636</t>
  </si>
  <si>
    <t>RUBEN MANZANO</t>
  </si>
  <si>
    <t>MARR660206HDFNDB01</t>
  </si>
  <si>
    <t>03210667568</t>
  </si>
  <si>
    <t>04068684135</t>
  </si>
  <si>
    <t>FEAS551106HDFRZL01</t>
  </si>
  <si>
    <t>VALDES ALVAREZ VERONICA</t>
  </si>
  <si>
    <t>PELS040206HCSRPBA4</t>
  </si>
  <si>
    <t>LOPEZ SOTELO ROSARIO</t>
  </si>
  <si>
    <t>LOSR731230HSLPTS00</t>
  </si>
  <si>
    <t>Conrado Cruz Santiz</t>
  </si>
  <si>
    <t>CUSC630292HCSRNN05</t>
  </si>
  <si>
    <t>VIGM631015HDFLNG00</t>
  </si>
  <si>
    <t>GOVJ550205HTCMZS09</t>
  </si>
  <si>
    <t>JUBILADO N.M.</t>
  </si>
  <si>
    <t>GIOVANNI</t>
  </si>
  <si>
    <t>GÓMEZ PÉREZ FRANCISCO</t>
  </si>
  <si>
    <t>GOPF640416HOCMRR03</t>
  </si>
  <si>
    <t>003/2027</t>
  </si>
  <si>
    <t>Javier</t>
  </si>
  <si>
    <t>43765829882</t>
  </si>
  <si>
    <t>GUMA650707HJCTRN02</t>
  </si>
  <si>
    <t>RODRIGO</t>
  </si>
  <si>
    <t>AUDR600712HMCGVD07</t>
  </si>
  <si>
    <t>16826010288</t>
  </si>
  <si>
    <t>LINO LANDERO GUADALUPE</t>
  </si>
  <si>
    <t>OEHU611202HMNJRB08</t>
  </si>
  <si>
    <t>2383651865 6</t>
  </si>
  <si>
    <t>ROSJ620723HCHJLV01</t>
  </si>
  <si>
    <t>33776201312</t>
  </si>
  <si>
    <t>HERNANDEZ TORRES MARGARITA</t>
  </si>
  <si>
    <t>HETM641017MGTRRR01</t>
  </si>
  <si>
    <t>FOJA610408HCLLRL02</t>
  </si>
  <si>
    <t>MAYTE</t>
  </si>
  <si>
    <t>LUHD610721HPLCRN00</t>
  </si>
  <si>
    <t>SATJ650122HTSLRS01</t>
  </si>
  <si>
    <t>VIMD670713HCLLNV03</t>
  </si>
  <si>
    <t>RUMM580211HMNBNG09</t>
  </si>
  <si>
    <t>YOMI620919MSRCNS07</t>
  </si>
  <si>
    <t>2381633448-8</t>
  </si>
  <si>
    <t>MANG620507MCHCXL07</t>
  </si>
  <si>
    <t>07826403730</t>
  </si>
  <si>
    <t>Julio Ricardo Hernández Gómez</t>
  </si>
  <si>
    <t>8491640679-0</t>
  </si>
  <si>
    <t>DANIELA</t>
  </si>
  <si>
    <t>GARCÍA GARCÍA VICTOR MANUEL</t>
  </si>
  <si>
    <t>GAGV810430HTCRRC01</t>
  </si>
  <si>
    <t>Varl 810723MJCZVR09</t>
  </si>
  <si>
    <t>2113938256_4</t>
  </si>
  <si>
    <t>AEDE900527HTCLMR05</t>
  </si>
  <si>
    <t>105-90-9480</t>
  </si>
  <si>
    <t>RIRV640728HCLVSC09</t>
  </si>
  <si>
    <t>Vale651020hmclnr04</t>
  </si>
  <si>
    <t xml:space="preserve">BANCREA, INBURSA </t>
  </si>
  <si>
    <t>65897025774</t>
  </si>
  <si>
    <t>JOSE LUIS OLIVA BLANCO</t>
  </si>
  <si>
    <t>OIBL640627HDFLLS05</t>
  </si>
  <si>
    <t>9095640054 - 4</t>
  </si>
  <si>
    <t>RICO RAMIREZ J. CARMEN</t>
  </si>
  <si>
    <t>RIRC471120HGTCRM02</t>
  </si>
  <si>
    <t>MEHT701003MDGDRR03</t>
  </si>
  <si>
    <t xml:space="preserve">22785401930 </t>
  </si>
  <si>
    <t>Bertha</t>
  </si>
  <si>
    <t>MOAB530209MVZRLR08</t>
  </si>
  <si>
    <t>05694900100</t>
  </si>
  <si>
    <t>SUSTAITA ARTEAGA MARTA ALIC</t>
  </si>
  <si>
    <t>SUAM540201MTSSRR07</t>
  </si>
  <si>
    <t>CURS601028HHGRMM01</t>
  </si>
  <si>
    <t>AEMO660217HVZRRN01</t>
  </si>
  <si>
    <t>LIDIA</t>
  </si>
  <si>
    <t>CELIS DELGADO ENRIQUE</t>
  </si>
  <si>
    <t>CEDE480303HVZLLN04</t>
  </si>
  <si>
    <t>65824819166</t>
  </si>
  <si>
    <t>04866936513</t>
  </si>
  <si>
    <t>AEMH720325MVZNRM04</t>
  </si>
  <si>
    <t>11674736936</t>
  </si>
  <si>
    <t>04109134231</t>
  </si>
  <si>
    <t>DAVS600806MDFVLN03</t>
  </si>
  <si>
    <t>MOCY030529MVZNRNA5</t>
  </si>
  <si>
    <t>DAVF640323HTFRLD00</t>
  </si>
  <si>
    <t>88826500972</t>
  </si>
  <si>
    <t>Goah641002hcsmrb07</t>
  </si>
  <si>
    <t>GABM580528MNLRRY05</t>
  </si>
  <si>
    <t>FOSJ600121HDFLTS04</t>
  </si>
  <si>
    <t>MEDA571230HPLNLR06</t>
  </si>
  <si>
    <t>Garj790422hplrds09</t>
  </si>
  <si>
    <t>RUGC711006MVZZML09</t>
  </si>
  <si>
    <t>04897226595</t>
  </si>
  <si>
    <t>LUNG800611HSRZXL04</t>
  </si>
  <si>
    <t>X</t>
  </si>
  <si>
    <t>CODC570513HDFRMS06</t>
  </si>
  <si>
    <t>ZUGJ541127HGRXLL03</t>
  </si>
  <si>
    <t>RAZJ530121HNTMPS08</t>
  </si>
  <si>
    <t>DIRECTODO</t>
  </si>
  <si>
    <t>Isidoro Barreto Reyes</t>
  </si>
  <si>
    <t>BARI601025HNLRYS03</t>
  </si>
  <si>
    <t>RACE640605MGTNNS06</t>
  </si>
  <si>
    <t>ZAOD630520HSLMRV06</t>
  </si>
  <si>
    <t>Rocha Palacios Roberto</t>
  </si>
  <si>
    <t>ROPR550518HCLCLB00</t>
  </si>
  <si>
    <t>EAGM540801HNLCZG08</t>
  </si>
  <si>
    <t>RIME710523HCCVYN04</t>
  </si>
  <si>
    <t>MOMS590316MDGRXN00</t>
  </si>
  <si>
    <t>COSA080124HTCRNBA1</t>
  </si>
  <si>
    <t>VADJ501107HDFLRR07</t>
  </si>
  <si>
    <t>FORTALEZA, MULTIVA</t>
  </si>
  <si>
    <t>Juan Manuel Quevedo gutierrez</t>
  </si>
  <si>
    <t>AUCA580512HSRGND06</t>
  </si>
  <si>
    <t>ROMJ610902HNLDNM04</t>
  </si>
  <si>
    <t>GAAA710808HOCRRL03</t>
  </si>
  <si>
    <t>AALE630604MVZLPL01</t>
  </si>
  <si>
    <t>SAMM890101HTSLNR06</t>
  </si>
  <si>
    <t>MAXT550412MJCNXR07</t>
  </si>
  <si>
    <t>GAZL611005MSRRMT02</t>
  </si>
  <si>
    <t>LOGA650923HCLPRR04</t>
  </si>
  <si>
    <t>AIEL810223HCSRSS04</t>
  </si>
  <si>
    <t>JAQUEZ DURAN MARIA CONCEPCION</t>
  </si>
  <si>
    <t>VAVT570307HTSLZM00</t>
  </si>
  <si>
    <t>MAHO620622HNLRRZ00</t>
  </si>
  <si>
    <t>LAMO620807HDFRRC09</t>
  </si>
  <si>
    <t>FIMUBAC, BANCREA</t>
  </si>
  <si>
    <t>SERNA MONTALVO CESAR</t>
  </si>
  <si>
    <t>SEMC600828HTSRNS05</t>
  </si>
  <si>
    <t>PETA660101HDFRRL00</t>
  </si>
  <si>
    <t>SANDOVAL FRANCISCO ALBERTO</t>
  </si>
  <si>
    <t>SAXF550730HCMNXR00</t>
  </si>
  <si>
    <t>RAAF770428HBCMMR09</t>
  </si>
  <si>
    <t>01624517940</t>
  </si>
  <si>
    <t>RERE521106HTSYDL07</t>
  </si>
  <si>
    <t>LORG980208HCSPBR03</t>
  </si>
  <si>
    <t>LOLT540427MCSPPR00</t>
  </si>
  <si>
    <t>RACH640306HCSMRR06</t>
  </si>
  <si>
    <t>04887271833</t>
  </si>
  <si>
    <t>MAHF620904HCSCRL03</t>
  </si>
  <si>
    <t>CACS740412HTCNLN17</t>
  </si>
  <si>
    <t>SAAM571119HTCNLV00</t>
  </si>
  <si>
    <t>EDWIN MEDINA ESPINOBARROS</t>
  </si>
  <si>
    <t>MEEE470725HQRDSD18</t>
  </si>
  <si>
    <t>FOLJ651006HSPLPS08</t>
  </si>
  <si>
    <t>MARTÍNEZ ASUNCIÓN LUIS MIGUEL</t>
  </si>
  <si>
    <t>MOHI990424HOCSRS07</t>
  </si>
  <si>
    <t>ROAN711211MSRBMR08</t>
  </si>
  <si>
    <t>MIVJ640624HSLRLN05</t>
  </si>
  <si>
    <t>03876831847</t>
  </si>
  <si>
    <t>AEAF780825HGTLLL02</t>
  </si>
  <si>
    <t>12957778389</t>
  </si>
  <si>
    <t>41907136349</t>
  </si>
  <si>
    <t>SOSA RIVERO SONIA GUADALUPE</t>
  </si>
  <si>
    <t>SORS710822MCCSVN09</t>
  </si>
  <si>
    <t>8188690723 - 7</t>
  </si>
  <si>
    <t>3385669224-0</t>
  </si>
  <si>
    <t>EUGR610107MSRSTY07</t>
  </si>
  <si>
    <t>GFI APOYO, EXITUS</t>
  </si>
  <si>
    <t>Jose Luis Chavez Gonzalez</t>
  </si>
  <si>
    <t>CAGL631109HDFHNS05</t>
  </si>
  <si>
    <t>LIMC581022MTSMRL05</t>
  </si>
  <si>
    <t>ATTENDO, DNX EXPRESS</t>
  </si>
  <si>
    <t>OPCIPRES, CONSUBANCO</t>
  </si>
  <si>
    <t>JULIO VICTORIANO SANTIAGO</t>
  </si>
  <si>
    <t>VISJ450619HVZCNL00</t>
  </si>
  <si>
    <t>AIOL610614HDFVRS04</t>
  </si>
  <si>
    <t>FOAJ621216HCHLLS04</t>
  </si>
  <si>
    <t>01776006254</t>
  </si>
  <si>
    <t>VICTOR MANUEL GARCÍA ROMERO</t>
  </si>
  <si>
    <t>GARV640404HZSRMCO2</t>
  </si>
  <si>
    <t>ROGF550205HDFQRL01</t>
  </si>
  <si>
    <t>Armando Servin Martinez</t>
  </si>
  <si>
    <t>SEMA611107HDFRRR02</t>
  </si>
  <si>
    <t>0680610481-3</t>
  </si>
  <si>
    <t>ZAMORA SALGADO JOSE LUIS</t>
  </si>
  <si>
    <t>ZASL651204HDFMLS06</t>
  </si>
  <si>
    <t>SAMF720615HMCNRR03</t>
  </si>
  <si>
    <t>CEMA580916MNTRDR04</t>
  </si>
  <si>
    <t>GOME650511MDFNNL05</t>
  </si>
  <si>
    <t>42936400096</t>
  </si>
  <si>
    <t>SACA551207HVZLRL08</t>
  </si>
  <si>
    <t>COTH561021HVZSZC04</t>
  </si>
  <si>
    <t>GOFW591219HPLNRL06</t>
  </si>
  <si>
    <t>AACA650328HCHMLS01</t>
  </si>
  <si>
    <t>SAAJ571219HCLNVQ907</t>
  </si>
  <si>
    <t>RAMIREZ GONZALEZ MARIA DE LA LUZ</t>
  </si>
  <si>
    <t>RAGL740620MMCMNZ07</t>
  </si>
  <si>
    <t>YESSENIA</t>
  </si>
  <si>
    <t>AIMA611127HDFVLR04</t>
  </si>
  <si>
    <t>RICG490106HDFXSB04</t>
  </si>
  <si>
    <t>24816020689</t>
  </si>
  <si>
    <t>06866601054</t>
  </si>
  <si>
    <t>DACJ540813HCLVSS03</t>
  </si>
  <si>
    <t>DNX EXPRES</t>
  </si>
  <si>
    <t>EuRJ610515HÇLSDM02</t>
  </si>
  <si>
    <t>AEC0841124HCHRHS23</t>
  </si>
  <si>
    <t>BOMV690524MDFRRR00</t>
  </si>
  <si>
    <t>90906933305</t>
  </si>
  <si>
    <t>HERRERA ESQUER EDGARDO</t>
  </si>
  <si>
    <t>HEEE811009HSRRSD02</t>
  </si>
  <si>
    <t>HEGC580323HJCRRR09</t>
  </si>
  <si>
    <t>01765881584</t>
  </si>
  <si>
    <t>OELM661223MDFTPR08</t>
  </si>
  <si>
    <t>RAAI720517HSLMRS00</t>
  </si>
  <si>
    <t>José Luis Esquivel Espinoza</t>
  </si>
  <si>
    <t>3591736128-5</t>
  </si>
  <si>
    <t>MAAR970514HOCRNB08</t>
  </si>
  <si>
    <t>PIHB611104HVZMRR01</t>
  </si>
  <si>
    <t>AAAN600915MDFRRR04</t>
  </si>
  <si>
    <t>FUCJ000312HPLNRVA8</t>
  </si>
  <si>
    <t>NOMBRE ASORIO HERNANDEZ</t>
  </si>
  <si>
    <t>COMM600805HDFBRR02</t>
  </si>
  <si>
    <t>MORALES SANCHEZ JOSE DE JESUS</t>
  </si>
  <si>
    <t>MOSJ720923HNLRSN08</t>
  </si>
  <si>
    <t>ALMA NEREIDA</t>
  </si>
  <si>
    <t>MEGA840310MSRDCL00</t>
  </si>
  <si>
    <t>24915923007</t>
  </si>
  <si>
    <t>01745835288</t>
  </si>
  <si>
    <t>FOMA780725MBSNCN00</t>
  </si>
  <si>
    <t>HIMG920427HPLLRL03</t>
  </si>
  <si>
    <t>07109202387</t>
  </si>
  <si>
    <t>CUCM951218HOCRRR09</t>
  </si>
  <si>
    <t>SASA740428HDFLNL01</t>
  </si>
  <si>
    <t>CELIS CRUZ JUANA</t>
  </si>
  <si>
    <t>CECJ510624MSRLRN01</t>
  </si>
  <si>
    <t>AARA671114HTSPDN07</t>
  </si>
  <si>
    <t>SAFS750408MSLRSN04</t>
  </si>
  <si>
    <t>IAPE650403MDFBDL03</t>
  </si>
  <si>
    <t>BOXI640402MSLJXS02</t>
  </si>
  <si>
    <t>MASL970922MMCCRT07</t>
  </si>
  <si>
    <t>INFANTE VENGAS MARIA LAURA</t>
  </si>
  <si>
    <t>IAVL520125MSPNNR01</t>
  </si>
  <si>
    <t>DIMEX, EXITUS</t>
  </si>
  <si>
    <t>CACG611127HYNBHN08</t>
  </si>
  <si>
    <t>GOST510601MCCMLR05</t>
  </si>
  <si>
    <t>Mary Isabel González Camacho</t>
  </si>
  <si>
    <t>RUIZ VAZQUEZ RAFAEL</t>
  </si>
  <si>
    <t>Alfredo Figueroa Hernández</t>
  </si>
  <si>
    <t>Gerardo</t>
  </si>
  <si>
    <t>DITG541003HJCZRR02</t>
  </si>
  <si>
    <t>EIRM530720HDFSZG04</t>
  </si>
  <si>
    <t>CUCM600620MVZRRR03</t>
  </si>
  <si>
    <t>BERTHA MORENO ALDAZABA</t>
  </si>
  <si>
    <t>HESJ621213HTCRNL03</t>
  </si>
  <si>
    <t>GFI APOYO, FISOFO</t>
  </si>
  <si>
    <t>04745003048</t>
  </si>
  <si>
    <t>VEAI630108MDFRLR05</t>
  </si>
  <si>
    <t>06816348244</t>
  </si>
  <si>
    <t>09927520735</t>
  </si>
  <si>
    <t>MESR541005HSLLCC09</t>
  </si>
  <si>
    <t>Baltazar Silva Pimentel</t>
  </si>
  <si>
    <t>SIPB661112HMNLML04</t>
  </si>
  <si>
    <t>04866674742</t>
  </si>
  <si>
    <t>ROCR441019HMCJYY06</t>
  </si>
  <si>
    <t>LOAJ601104HNLPGL09</t>
  </si>
  <si>
    <t>Rosendo Benavides Arredondo</t>
  </si>
  <si>
    <t>BEAR550814HNLNRS08</t>
  </si>
  <si>
    <t>ROSA650601HDFMNR00</t>
  </si>
  <si>
    <t>ISRAEL ARENAS REYES</t>
  </si>
  <si>
    <t>AERI810628HDFRYS07</t>
  </si>
  <si>
    <t>SEAR590123HPLDLY15</t>
  </si>
  <si>
    <t>GOEV810110MMCMSR05</t>
  </si>
  <si>
    <t>TOMA610708HCHRND04</t>
  </si>
  <si>
    <t>SANDRA BALDERAS</t>
  </si>
  <si>
    <t>BALS710707MCLLRN08</t>
  </si>
  <si>
    <t>ALVARADO VASQUEZ HERMILIA</t>
  </si>
  <si>
    <t>AAVH691105MCLLSR03</t>
  </si>
  <si>
    <t>PIRA721105MDFLSL05</t>
  </si>
  <si>
    <t>ELIZABETH</t>
  </si>
  <si>
    <t>PECS750410MYNCMM07</t>
  </si>
  <si>
    <t>32816461795</t>
  </si>
  <si>
    <t>MARG650324MVZRSB03</t>
  </si>
  <si>
    <t>01755724604</t>
  </si>
  <si>
    <t>hehj560119hcsrrs06</t>
  </si>
  <si>
    <t>06654527818</t>
  </si>
  <si>
    <t>HUCA590613HMCRSN08</t>
  </si>
  <si>
    <t>01795999398</t>
  </si>
  <si>
    <t>FORV830602MMCLSL06</t>
  </si>
  <si>
    <t>5480562994-3</t>
  </si>
  <si>
    <t>Mepc630123HtsnmN07</t>
  </si>
  <si>
    <t>LÓPEZ MEXÍAS JOSÉ LUIS</t>
  </si>
  <si>
    <t>LOML590102HSLPXS06</t>
  </si>
  <si>
    <t>LABP670629HDFGRB02</t>
  </si>
  <si>
    <t>65927536659</t>
  </si>
  <si>
    <t>MOCG620328HNLRRL04</t>
  </si>
  <si>
    <t>04806333979</t>
  </si>
  <si>
    <t>03674939792</t>
  </si>
  <si>
    <t>DEXP620715HSPLXR02</t>
  </si>
  <si>
    <t>CARM600708HVZHSR02</t>
  </si>
  <si>
    <t>NARM640328MDFVJR00</t>
  </si>
  <si>
    <t>VICHIS FABILA MARÍA GUADALUPE</t>
  </si>
  <si>
    <t>VIFG610609MDFLBD09</t>
  </si>
  <si>
    <t>BAGN580606HDFXNR04</t>
  </si>
  <si>
    <t>DIMEX, FIMUBAC</t>
  </si>
  <si>
    <t>03856807726</t>
  </si>
  <si>
    <t>GOTS620708HCLNRL07</t>
  </si>
  <si>
    <t>MORB660506HMNNDN01</t>
  </si>
  <si>
    <t>01896505623</t>
  </si>
  <si>
    <t>ZACN700401MQRPMN04</t>
  </si>
  <si>
    <t>BACS530501HQTRSL08</t>
  </si>
  <si>
    <t>Sérgio escalera sosa</t>
  </si>
  <si>
    <t>MARTÍNEZ ESPARZA MARISELA</t>
  </si>
  <si>
    <t>MAEM660112MCHRSR07</t>
  </si>
  <si>
    <t>SAPN650910HVZNRC00</t>
  </si>
  <si>
    <t>HELP730721MDFRNL05</t>
  </si>
  <si>
    <t>GAOA650820HDFLRR07</t>
  </si>
  <si>
    <t>Reynaldo Segura González</t>
  </si>
  <si>
    <t>BEATRIZ</t>
  </si>
  <si>
    <t>VEMJ720603MCHNRS06</t>
  </si>
  <si>
    <t>OOCN630904MDFCSM01</t>
  </si>
  <si>
    <t>MAVJ610904HDFLGN00</t>
  </si>
  <si>
    <t>55097601482</t>
  </si>
  <si>
    <t>OEZF850823MPLRML04</t>
  </si>
  <si>
    <t>CHAN CANCHE</t>
  </si>
  <si>
    <t>CACN550816HYHNNM08</t>
  </si>
  <si>
    <t>01815915812</t>
  </si>
  <si>
    <t>JOSÉ JAIME LIMÓN RÍOS</t>
  </si>
  <si>
    <t>LIRJ640405HNLMSM11</t>
  </si>
  <si>
    <t>JOSE FRANCISCO</t>
  </si>
  <si>
    <t>43735813362</t>
  </si>
  <si>
    <t>43936600253</t>
  </si>
  <si>
    <t>22-28-38-75-30</t>
  </si>
  <si>
    <t>MAFL680723HMCRNS14</t>
  </si>
  <si>
    <t>FUENTES SAN ROMÁN JUAN MANUEL</t>
  </si>
  <si>
    <t xml:space="preserve">FUSJ470221HMNNNN02 </t>
  </si>
  <si>
    <t>01764728562</t>
  </si>
  <si>
    <t>MARTINEZ ESTRADA EDELMIRA</t>
  </si>
  <si>
    <t>VICJ650906HDFLRS08</t>
  </si>
  <si>
    <t>Racm</t>
  </si>
  <si>
    <t>RACM760415HDFYNC09</t>
  </si>
  <si>
    <t>MAVL700318HNLGZS00</t>
  </si>
  <si>
    <t>CARRERA CASTILLO REFUGIO</t>
  </si>
  <si>
    <t>CACR591017HPLRSF05</t>
  </si>
  <si>
    <t>LOPEZ VEGA JOSE ANTONIO</t>
  </si>
  <si>
    <t>01826613869</t>
  </si>
  <si>
    <t>BERNABE MONTOYA VALENZUELA</t>
  </si>
  <si>
    <t>MOVB540611HSLNLR07</t>
  </si>
  <si>
    <t>23725407318</t>
  </si>
  <si>
    <t>RIHR631107HCSNRN09</t>
  </si>
  <si>
    <t>Guillermo</t>
  </si>
  <si>
    <t>GOGG670810HCONLL00</t>
  </si>
  <si>
    <t>VERF580402HDFNYR01</t>
  </si>
  <si>
    <t>54 69 52 10192</t>
  </si>
  <si>
    <t>GAGI730416HDFRRS05</t>
  </si>
  <si>
    <t>ACOSTA MARTINEZ MARIA ELENA</t>
  </si>
  <si>
    <t>AOME750810MSPCRL02</t>
  </si>
  <si>
    <t>39967545664</t>
  </si>
  <si>
    <t>ROIF481012HVZMBR04</t>
  </si>
  <si>
    <t>MAGJ470718HCLRNS02</t>
  </si>
  <si>
    <t>7872440165-4</t>
  </si>
  <si>
    <t>RUPA630227MSLZNN09</t>
  </si>
  <si>
    <t>María Guadalupe Astorga Galindo</t>
  </si>
  <si>
    <t>AOGG641117MGGSLD06</t>
  </si>
  <si>
    <t>3182641374-7</t>
  </si>
  <si>
    <t>GUADALUPE VALDEZ REYES</t>
  </si>
  <si>
    <t>VARG641206HTSLYD08</t>
  </si>
  <si>
    <t>49866416594</t>
  </si>
  <si>
    <t>32866884219</t>
  </si>
  <si>
    <t>06836316585</t>
  </si>
  <si>
    <t>SOAM680814MSRTRR08</t>
  </si>
  <si>
    <t>24986801587</t>
  </si>
  <si>
    <t>HEBJ640629HPLRLL01</t>
  </si>
  <si>
    <t>Manuel Bermúdez Cornejo</t>
  </si>
  <si>
    <t>YOLANDA POSADA SANCHEZ</t>
  </si>
  <si>
    <t>POSY510302MDGSNL01</t>
  </si>
  <si>
    <t>31745102116</t>
  </si>
  <si>
    <t>MAESTRA</t>
  </si>
  <si>
    <t>RNRVEG59030709M501</t>
  </si>
  <si>
    <t>Ramon Suarez Vega</t>
  </si>
  <si>
    <t>SUVR650525HDFRGM03</t>
  </si>
  <si>
    <t xml:space="preserve">EXITUS </t>
  </si>
  <si>
    <t>MOLINA TAVIS ABEL</t>
  </si>
  <si>
    <t>MOC14807719HSRLR832</t>
  </si>
  <si>
    <t>SASR681008MCHLLS04</t>
  </si>
  <si>
    <t>GUCE031204HDGZRDA0</t>
  </si>
  <si>
    <t>CEAJ641214HDFRLS07</t>
  </si>
  <si>
    <t>SAGP660418HVZNMB02</t>
  </si>
  <si>
    <t>COPE610611HDFRDD11</t>
  </si>
  <si>
    <t>MOGC641122MCHRMC00</t>
  </si>
  <si>
    <t>CIDT650408HCCHZM08</t>
  </si>
  <si>
    <t>JISR590417HVZMND07</t>
  </si>
  <si>
    <t>pe</t>
  </si>
  <si>
    <t>PATRICIA BERNAL GARCIA</t>
  </si>
  <si>
    <t>BEGP640511MCLRRT00</t>
  </si>
  <si>
    <t>POIS620910HDFNTR09</t>
  </si>
  <si>
    <t>MICG610503HMCRRL00</t>
  </si>
  <si>
    <t>43785726969</t>
  </si>
  <si>
    <t>CAPE570529MDFHRL04</t>
  </si>
  <si>
    <t>LOTL620812HNLPRS04</t>
  </si>
  <si>
    <t>06796074380</t>
  </si>
  <si>
    <t>LORENA</t>
  </si>
  <si>
    <t>PAGL740520MJCDTR06</t>
  </si>
  <si>
    <t>04917484976</t>
  </si>
  <si>
    <t>RODL650312HMNDRS06</t>
  </si>
  <si>
    <t>VAFA000404MMCRRNA1</t>
  </si>
  <si>
    <t>05210012554</t>
  </si>
  <si>
    <t>MAVR711208HCLRZB02</t>
  </si>
  <si>
    <t>CUML761021MPLRNR03</t>
  </si>
  <si>
    <t>RADI600706MMCMMS06</t>
  </si>
  <si>
    <t>0682643241</t>
  </si>
  <si>
    <t>TOGM620529HGRRMR05</t>
  </si>
  <si>
    <t>28887013440</t>
  </si>
  <si>
    <t>SAFA690421MCLNBL06</t>
  </si>
  <si>
    <t>GATA721114HTSLRR08</t>
  </si>
  <si>
    <t>CONSUBANCO, FIMUBAC</t>
  </si>
  <si>
    <t>GOPF490124HJCNDR04</t>
  </si>
  <si>
    <t>TOCT601207MSLRLR09</t>
  </si>
  <si>
    <t>GAMI730515HDFMRSO7</t>
  </si>
  <si>
    <t>Hugo Humberto Villa Villa</t>
  </si>
  <si>
    <t>Erasmo Sosa Cruz</t>
  </si>
  <si>
    <t>JAVIER CRUZ PEREZ</t>
  </si>
  <si>
    <t>CUPJ880208HCSRRV04</t>
  </si>
  <si>
    <t>BASL611228HNLLSS06</t>
  </si>
  <si>
    <t>ROSA650527HVZDNL12</t>
  </si>
  <si>
    <t>TAVAREZ MORALES SALVADOR</t>
  </si>
  <si>
    <t>TAMS600305HJCVRL05</t>
  </si>
  <si>
    <t>01654225638</t>
  </si>
  <si>
    <t>OORL620215HCHRDS04</t>
  </si>
  <si>
    <t>01765842255</t>
  </si>
  <si>
    <t>Víctor Guerrero</t>
  </si>
  <si>
    <t>CEVJ580610HDFRLR04</t>
  </si>
  <si>
    <t>0176586648</t>
  </si>
  <si>
    <t>04725523841</t>
  </si>
  <si>
    <t>MOM1840215HPLNNS08</t>
  </si>
  <si>
    <t>SASR470206HVXLNN05</t>
  </si>
  <si>
    <t>PEVL660712MVZRZS03</t>
  </si>
  <si>
    <t>54906107237</t>
  </si>
  <si>
    <t>POPS650415MCCTCN09</t>
  </si>
  <si>
    <t>04856308475</t>
  </si>
  <si>
    <t>AUCM610912HCSRRR07</t>
  </si>
  <si>
    <t>FASR991001MPLRRS09</t>
  </si>
  <si>
    <t>Loah581024</t>
  </si>
  <si>
    <t>89 99177537</t>
  </si>
  <si>
    <t>JISE980513HVZMND09</t>
  </si>
  <si>
    <t>NIAE630614MDFXGG06</t>
  </si>
  <si>
    <t>ANGELICA ESCOBAR GARCIA</t>
  </si>
  <si>
    <t>EOGA820915MMSSRN05</t>
  </si>
  <si>
    <t>02208268249</t>
  </si>
  <si>
    <t>CARJ480621HTSNY02</t>
  </si>
  <si>
    <t>01685287995</t>
  </si>
  <si>
    <t>SEAC641207MNLRLN01</t>
  </si>
  <si>
    <t>43916447733</t>
  </si>
  <si>
    <t>REHH890907HDFYRG08</t>
  </si>
  <si>
    <t>JILL570330MGTMNT07</t>
  </si>
  <si>
    <t>01755702071</t>
  </si>
  <si>
    <t>REBP020502HPLYLDA1</t>
  </si>
  <si>
    <t>Olivia Sánchez Solis</t>
  </si>
  <si>
    <t>SASO931208MPLNLL02</t>
  </si>
  <si>
    <t>JORGE CALDERON SANCHEZ</t>
  </si>
  <si>
    <t>CASJ521127HQRLNR09</t>
  </si>
  <si>
    <t>54846523030</t>
  </si>
  <si>
    <t>PUIG HERNÁNDEZ JORGE FRANCISCO</t>
  </si>
  <si>
    <t>PUHJ471209HNEGRR09</t>
  </si>
  <si>
    <t>VILLASANA GARCÍA TOMÁS</t>
  </si>
  <si>
    <t>VITZ731214HCLMRM02</t>
  </si>
  <si>
    <t>03219080960</t>
  </si>
  <si>
    <t>21866947993</t>
  </si>
  <si>
    <t>FORM010929HPLLYGA7</t>
  </si>
  <si>
    <t>SAML670614HASNRS00</t>
  </si>
  <si>
    <t>ZEMPOALTÉCATL JUÁREZ GABINO</t>
  </si>
  <si>
    <t>ZEJG630630HPLMRB02</t>
  </si>
  <si>
    <t>AEFC640428MGRSRR03</t>
  </si>
  <si>
    <t>RASA460124HSLMLL09</t>
  </si>
  <si>
    <t>PELE641923HVZRPN04</t>
  </si>
  <si>
    <t>MESA030205HPLNLLA0</t>
  </si>
  <si>
    <t>FOCO831010HMCRRS04</t>
  </si>
  <si>
    <t>21906207333</t>
  </si>
  <si>
    <t>Ernesto Jasso Cruz</t>
  </si>
  <si>
    <t>JACE561118HNLSRR09</t>
  </si>
  <si>
    <t>43715612701</t>
  </si>
  <si>
    <t>HERO761216MVZRML02</t>
  </si>
  <si>
    <t>Valentín</t>
  </si>
  <si>
    <t>VACL010207MNTLRSA8</t>
  </si>
  <si>
    <t>30906211682</t>
  </si>
  <si>
    <t>HESE870813HTLRNR06</t>
  </si>
  <si>
    <t>GOMR610721HMCNBR00</t>
  </si>
  <si>
    <t>49906350605</t>
  </si>
  <si>
    <t>84693610069</t>
  </si>
  <si>
    <t>MOVM570609MTSRLR01</t>
  </si>
  <si>
    <t>54846648761</t>
  </si>
  <si>
    <t>ALFREDO EDUARDO MENDEZ SANCHEZ</t>
  </si>
  <si>
    <t>MESA020112HVZNNLA1</t>
  </si>
  <si>
    <t>AIFD740415MGTVLN09</t>
  </si>
  <si>
    <t>MAGN821110HVZRRX02</t>
  </si>
  <si>
    <t>01765952542</t>
  </si>
  <si>
    <t>CÁRDENAS COLUNGA ROSA</t>
  </si>
  <si>
    <t>CACR791023MNLRLS04</t>
  </si>
  <si>
    <t>PROFUTURO, BANCREA</t>
  </si>
  <si>
    <t>SAGE590806HDFNTR07</t>
  </si>
  <si>
    <t>01786022259</t>
  </si>
  <si>
    <t>CAAP470820HSLSRR03</t>
  </si>
  <si>
    <t>237649020</t>
  </si>
  <si>
    <t>LOPEZ HERNANDEZ HECTOR</t>
  </si>
  <si>
    <t>LOHH621123HCHPRC00</t>
  </si>
  <si>
    <t>33866229041</t>
  </si>
  <si>
    <t>RICC700414MDFVHC09</t>
  </si>
  <si>
    <t>CUHR030417MGRRRSA4</t>
  </si>
  <si>
    <t>SOSA620707HPLTLL08</t>
  </si>
  <si>
    <t>MURJ571124HPLXMN03</t>
  </si>
  <si>
    <t>GOOS660910HCHNCR10</t>
  </si>
  <si>
    <t>01825101270</t>
  </si>
  <si>
    <t>49886802088</t>
  </si>
  <si>
    <t>CANC600726HSRHVR07</t>
  </si>
  <si>
    <t>DIRR660808HVZZMB03</t>
  </si>
  <si>
    <t>AOHA680606MTCCDR01</t>
  </si>
  <si>
    <t>GAML720103HMNMRS06</t>
  </si>
  <si>
    <t>5391723535</t>
  </si>
  <si>
    <t>54826349091</t>
  </si>
  <si>
    <t>RAHR970727HVZMRB06</t>
  </si>
  <si>
    <t>01644634485</t>
  </si>
  <si>
    <t>SAAL640508MCHPRL03</t>
  </si>
  <si>
    <t>01715318935</t>
  </si>
  <si>
    <t>YANE610111HDFXLS07</t>
  </si>
  <si>
    <t>N/A</t>
  </si>
  <si>
    <t>SALR021223HVZNPFA5</t>
  </si>
  <si>
    <t>ROSA640323HJCSLN02</t>
  </si>
  <si>
    <t>IAGL611201MNLBNR01</t>
  </si>
  <si>
    <t>1173535469-5</t>
  </si>
  <si>
    <t>CAVJ610915HCHRLS03</t>
  </si>
  <si>
    <t>SACR660308HBCNBB02</t>
  </si>
  <si>
    <t>PEREZ CERDA ROSALBA</t>
  </si>
  <si>
    <t>PECR620328MMNRRS00</t>
  </si>
  <si>
    <t>EXPRESS</t>
  </si>
  <si>
    <t>12796111339</t>
  </si>
  <si>
    <t>CEFM961010HPLNLR03</t>
  </si>
  <si>
    <t>49845513073</t>
  </si>
  <si>
    <t>MAFL620802MDFRLZ04</t>
  </si>
  <si>
    <t>CONSUBANCO, INBURSA</t>
  </si>
  <si>
    <t>Leonardo fregoso Hernández</t>
  </si>
  <si>
    <t>HEIA861009MPLRSL02</t>
  </si>
  <si>
    <t>CEGH590217HGTRRL00</t>
  </si>
  <si>
    <t>75825905229</t>
  </si>
  <si>
    <t>GASJ621208HDFRGS09</t>
  </si>
  <si>
    <t>VERR710529HJCRYM04</t>
  </si>
  <si>
    <t>JACOBSON MEZA MAURI</t>
  </si>
  <si>
    <t>JAMM020610HJCCZR83</t>
  </si>
  <si>
    <t>1294681907</t>
  </si>
  <si>
    <t>78836406575</t>
  </si>
  <si>
    <t>MAMA621031HTCRRB08</t>
  </si>
  <si>
    <t>ROPE680715HDFBMN06</t>
  </si>
  <si>
    <t>FOCJ640926HDFLRM09</t>
  </si>
  <si>
    <t>42816476123</t>
  </si>
  <si>
    <t>67836555531</t>
  </si>
  <si>
    <t>62907341705</t>
  </si>
  <si>
    <t>VIAG860114HPLLLD09</t>
  </si>
  <si>
    <t>48071600026</t>
  </si>
  <si>
    <t>HURR700102HVZSVB00</t>
  </si>
  <si>
    <t>SEBL450806HPLRZ04</t>
  </si>
  <si>
    <t>23846716415</t>
  </si>
  <si>
    <t>24917370132</t>
  </si>
  <si>
    <t>24956125124</t>
  </si>
  <si>
    <t>41907338150</t>
  </si>
  <si>
    <t>LESA020531MMNVTNA3</t>
  </si>
  <si>
    <t>GOHA600419MPLNRL02</t>
  </si>
  <si>
    <t>DAMM640102HJCVLR09</t>
  </si>
  <si>
    <t>Gabriel dominguez torres</t>
  </si>
  <si>
    <t>67866780082</t>
  </si>
  <si>
    <t>81786004770</t>
  </si>
  <si>
    <t>49825923763</t>
  </si>
  <si>
    <t>Raymundo Monsivais Alvarez</t>
  </si>
  <si>
    <t>43745838235</t>
  </si>
  <si>
    <t>JUAN MANUEL RODRIGUEZ GARCIA</t>
  </si>
  <si>
    <t>ROGJ030819HGTDRNA8</t>
  </si>
  <si>
    <t>17200371858</t>
  </si>
  <si>
    <t>84786002448</t>
  </si>
  <si>
    <t>MONSIVAIS DIAZ JUAN JOSE</t>
  </si>
  <si>
    <t>MODJ620918HCLNZN01</t>
  </si>
  <si>
    <t>IAMP710416HSRBCB10</t>
  </si>
  <si>
    <t>MABW630617HYNRRL15</t>
  </si>
  <si>
    <t>FRANCISCO JAVIER LUNA NAVARRO</t>
  </si>
  <si>
    <t>LUNF000109HGTNVRA5</t>
  </si>
  <si>
    <t>OERJ610228HNLBBV00</t>
  </si>
  <si>
    <t>TARA670111HMCPBL08</t>
  </si>
  <si>
    <t>AAGM850818HMNLZG02</t>
  </si>
  <si>
    <t>GOHA080514MCSMRLA1</t>
  </si>
  <si>
    <t>SAFM021022HGTLLRA1</t>
  </si>
  <si>
    <t>FOSP641205MDFLNT02</t>
  </si>
  <si>
    <t>BANCREA, DIMEX</t>
  </si>
  <si>
    <t>GOBA631009HTSNCL09</t>
  </si>
  <si>
    <t>BOCL070315MTCRSBA4</t>
  </si>
  <si>
    <t>LORG670601HDGPRC04</t>
  </si>
  <si>
    <t>TOLENTINO MANRIQUE SANTIAGO</t>
  </si>
  <si>
    <t>TOMS810823HHGLNN01</t>
  </si>
  <si>
    <t>PUAM730414HCCLRR05</t>
  </si>
  <si>
    <t>FASA620829HDFRTD01</t>
  </si>
  <si>
    <t>ROVF621019HMCDLL07</t>
  </si>
  <si>
    <t>EESP651106HVZSNB04</t>
  </si>
  <si>
    <t>LOMR060507MMNPNBA6</t>
  </si>
  <si>
    <t>16886607668</t>
  </si>
  <si>
    <t>MACG641014HDFRHR09</t>
  </si>
  <si>
    <t>LOGJ510308MMCPRN05</t>
  </si>
  <si>
    <t>BALDAZO MARTINEZ TERESA DE JESUS</t>
  </si>
  <si>
    <t>BAMT651015MNNZRS01</t>
  </si>
  <si>
    <t>ZECS780627HJCPLN02</t>
  </si>
  <si>
    <t>21866639012</t>
  </si>
  <si>
    <t>PEGJ650227HVZRRN02</t>
  </si>
  <si>
    <t>65816500485</t>
  </si>
  <si>
    <t>OERO800606HJCRMS01</t>
  </si>
  <si>
    <t>GORE650721MVZMMV04</t>
  </si>
  <si>
    <t>32755729228</t>
  </si>
  <si>
    <t>DXN</t>
  </si>
  <si>
    <t>BEMD061218MVZDRNA1</t>
  </si>
  <si>
    <t>01765554389</t>
  </si>
  <si>
    <t>03816516979</t>
  </si>
  <si>
    <t>FANA700119MMCRVN03</t>
  </si>
  <si>
    <t>TORRES ROMERO EVA</t>
  </si>
  <si>
    <t>TORE551202MDFRMV09</t>
  </si>
  <si>
    <t>11735542687</t>
  </si>
  <si>
    <t>MALI780725MGRNML02</t>
  </si>
  <si>
    <t>HISA781022HGTNCN02</t>
  </si>
  <si>
    <t>TAMJ080413HMCRTSA9</t>
  </si>
  <si>
    <t>GUAF550503HTSTLR05</t>
  </si>
  <si>
    <t>GACJ640405HNLLSR02</t>
  </si>
  <si>
    <t>JESÚS OLIVERA GONZALEZ</t>
  </si>
  <si>
    <t>OIGJ910601HGRLNS09</t>
  </si>
  <si>
    <t>MARL590317HMCRDS07</t>
  </si>
  <si>
    <t>8289652578</t>
  </si>
  <si>
    <t>GUERRERO SALAZAR MOISES</t>
  </si>
  <si>
    <t>GUSM830925HVZRLS09</t>
  </si>
  <si>
    <t>35856704248</t>
  </si>
  <si>
    <t>CUIDAHTEMOC AVILA ALANIZ</t>
  </si>
  <si>
    <t>AIAC710501HBCVLH09</t>
  </si>
  <si>
    <t>MA. ESTELA RAMIREZ BALDERAS</t>
  </si>
  <si>
    <t xml:space="preserve">	RABE550517MCLMLS00</t>
  </si>
  <si>
    <t>08159521593</t>
  </si>
  <si>
    <t>GUTIERREZ CANSINO DULCE MARIA</t>
  </si>
  <si>
    <t>GUCD470324MVZTNL01</t>
  </si>
  <si>
    <t>IRMA CONCEPCION MORALES GORDILLO</t>
  </si>
  <si>
    <t>MOGI620618MPLRRR05</t>
  </si>
  <si>
    <t>Maria Cristina Guzmán</t>
  </si>
  <si>
    <t>3288657689-4</t>
  </si>
  <si>
    <t>DESY990810MMNLRS06</t>
  </si>
  <si>
    <t>MAURICIO GOMEZ COELLO</t>
  </si>
  <si>
    <t>GOCM920304HCSMLR02</t>
  </si>
  <si>
    <t>01785865229</t>
  </si>
  <si>
    <t>PIAO660117HDFRRS09</t>
  </si>
  <si>
    <t>LOPEZ ASPETITIA</t>
  </si>
  <si>
    <t>LOAE600208HGTPSD06</t>
  </si>
  <si>
    <t>65806255249</t>
  </si>
  <si>
    <t>CAMM640615HPLNRD05</t>
  </si>
  <si>
    <t>Roberto Carlos Martínez Rincón</t>
  </si>
  <si>
    <t>MARR760726HTSRNB04</t>
  </si>
  <si>
    <t>ROFM610109MMSBND02</t>
  </si>
  <si>
    <t>DILJ981027HCSZPL03</t>
  </si>
  <si>
    <t>MACJ630515MGTRRS07</t>
  </si>
  <si>
    <t>22826408951</t>
  </si>
  <si>
    <t>03967906524</t>
  </si>
  <si>
    <t>SANTANA RUIZ MARCOS</t>
  </si>
  <si>
    <t>SARM600425HQTNZR09</t>
  </si>
  <si>
    <t>14786002072</t>
  </si>
  <si>
    <t>LUGIO</t>
  </si>
  <si>
    <t xml:space="preserve">SCOTIABANK </t>
  </si>
  <si>
    <t>HEMM621006HDFRRR05</t>
  </si>
  <si>
    <t>AUAM670130HVZGGR03</t>
  </si>
  <si>
    <t>MA. GUADALUPE ACHA MORALES</t>
  </si>
  <si>
    <t>AAMG651214MMNCRD00</t>
  </si>
  <si>
    <t>MARL541112MDFZJC09</t>
  </si>
  <si>
    <t>78846616411</t>
  </si>
  <si>
    <t>GUPF650301HJCZRL07</t>
  </si>
  <si>
    <t>AUCR921026HMCGFB08</t>
  </si>
  <si>
    <t>Marcelino Guerrero Panduro</t>
  </si>
  <si>
    <t>GUPM640602HJCNRN02</t>
  </si>
  <si>
    <t>GOHJ660411HPLMRL06</t>
  </si>
  <si>
    <t>AEML800205MMCCNZ04</t>
  </si>
  <si>
    <t>FABIOLA</t>
  </si>
  <si>
    <t>GAAV030919MGRRLRA9</t>
  </si>
  <si>
    <t>VEVC061021MOCLLLA0</t>
  </si>
  <si>
    <t>PESN880701HCSXLC09</t>
  </si>
  <si>
    <t>08158887524</t>
  </si>
  <si>
    <t>0182510093</t>
  </si>
  <si>
    <t>AUAJ070627HNTQQNA9</t>
  </si>
  <si>
    <t>GACA540705HMCRRN03</t>
  </si>
  <si>
    <t>HERNÁNDEZ AGUILAR ROMANA</t>
  </si>
  <si>
    <t>HEAR720228MCSRGM04</t>
  </si>
  <si>
    <t>GIGR080306HCSRLMA5</t>
  </si>
  <si>
    <t>GOSJ640227MHGMMN09</t>
  </si>
  <si>
    <t>PADRON SOLER JACOB</t>
  </si>
  <si>
    <t>PASJ790731HTCDLC09</t>
  </si>
  <si>
    <t>SICR630831MDFLLM08</t>
  </si>
  <si>
    <t>CEME611122HDFJGD01</t>
  </si>
  <si>
    <t>Jose</t>
  </si>
  <si>
    <t>CARLOS SANTIAGO</t>
  </si>
  <si>
    <t>83765801465</t>
  </si>
  <si>
    <t>BAHI750731HTSLRG06</t>
  </si>
  <si>
    <t>EXITUS, DIMEX</t>
  </si>
  <si>
    <t>Rovc601028hcldlro2</t>
  </si>
  <si>
    <t>MICJ900818HMCLRN07</t>
  </si>
  <si>
    <t>CAMERINO ELIZALDE GONZALEZ</t>
  </si>
  <si>
    <t>EIGC791231HMCLNM03</t>
  </si>
  <si>
    <t>01785640788</t>
  </si>
  <si>
    <t>CALUCH CALTILIN</t>
  </si>
  <si>
    <t>CACE480129MYNCTL08</t>
  </si>
  <si>
    <t>Caav920301mynmcr09</t>
  </si>
  <si>
    <t>06856400574</t>
  </si>
  <si>
    <t>GOGJ460816HMCNYQ02</t>
  </si>
  <si>
    <t>LUIS ENRIQUE URIAS</t>
  </si>
  <si>
    <t>AAUL740513HSHRMS01</t>
  </si>
  <si>
    <t>24907411292</t>
  </si>
  <si>
    <t>AUAM580602HDFGRR02</t>
  </si>
  <si>
    <t>01765899685</t>
  </si>
  <si>
    <t>FIPE760512MGTRRL06</t>
  </si>
  <si>
    <t>SAGJ640922HDFLTN03</t>
  </si>
  <si>
    <t>AUFL730417HSLGLS08</t>
  </si>
  <si>
    <t>OIHI641126HCLLRS09</t>
  </si>
  <si>
    <t>LUZ</t>
  </si>
  <si>
    <t>JANAI ONOFRE LORENZO</t>
  </si>
  <si>
    <t>OOLJ071216MGRNRNA3</t>
  </si>
  <si>
    <t>COTM710602HJCRJR03</t>
  </si>
  <si>
    <t xml:space="preserve"> </t>
  </si>
  <si>
    <t>Luis Antonio gonzalez sosa</t>
  </si>
  <si>
    <t>JAEL</t>
  </si>
  <si>
    <t>01765101439</t>
  </si>
  <si>
    <t>49907256595</t>
  </si>
  <si>
    <t>LOJD660202MSLPMN04</t>
  </si>
  <si>
    <t>Serafin Romero Ventura</t>
  </si>
  <si>
    <t>ROVS030302HPLMNRA4</t>
  </si>
  <si>
    <t>FIOI650408HVZGCS08</t>
  </si>
  <si>
    <t>75866206289</t>
  </si>
  <si>
    <t>HEHI980417MCSRRV05</t>
  </si>
  <si>
    <t>CUGW640304HYNHNL02</t>
  </si>
  <si>
    <t>0186692899</t>
  </si>
  <si>
    <t>CAZN801011MSPRPR07</t>
  </si>
  <si>
    <t>SANCHEZ LIMA JULIO ARNUFLO</t>
  </si>
  <si>
    <t>SALJ580816HSRNML08</t>
  </si>
  <si>
    <t xml:space="preserve">GABRIELA </t>
  </si>
  <si>
    <t>VAOJ570217HVZSSN07</t>
  </si>
  <si>
    <t>MUMJ920709HQTXRN04</t>
  </si>
  <si>
    <t>JILS530910HSLMQL07</t>
  </si>
  <si>
    <t>VIRG030119MOCLMNA4</t>
  </si>
  <si>
    <t>LOVM980928HMNPCR04</t>
  </si>
  <si>
    <t>33755415156</t>
  </si>
  <si>
    <t>CERVANTES LINARES CAROLINA</t>
  </si>
  <si>
    <t>CELC540218MMNRNR00</t>
  </si>
  <si>
    <t>BOPG760601HYNTCB00</t>
  </si>
  <si>
    <t>IUME611112MQTTRL09</t>
  </si>
  <si>
    <t>MAEJ050505HCSRNSA7</t>
  </si>
  <si>
    <t>10190598093</t>
  </si>
  <si>
    <t>FECO750910HMCRLC01</t>
  </si>
  <si>
    <t>96977517877</t>
  </si>
  <si>
    <t>22745600340</t>
  </si>
  <si>
    <t>NOFS650627MBCRRC05</t>
  </si>
  <si>
    <t>64806329468</t>
  </si>
  <si>
    <t>HELV580711MOCRPC07</t>
  </si>
  <si>
    <t>MURC630718MCLXYR13</t>
  </si>
  <si>
    <t>MA. DEL ROSARIO CAMACHO CONSTANTE</t>
  </si>
  <si>
    <t>CACR590330MCLMNS07</t>
  </si>
  <si>
    <t>GOGB940719HGTNLN04</t>
  </si>
  <si>
    <t>15866101569</t>
  </si>
  <si>
    <t>HONDAL</t>
  </si>
  <si>
    <t>J. JESUS CRUZ GODINEZ</t>
  </si>
  <si>
    <t>CUGJ530216HJCRDS01</t>
  </si>
  <si>
    <t>Cesar</t>
  </si>
  <si>
    <t>41973938038</t>
  </si>
  <si>
    <t>24785100181</t>
  </si>
  <si>
    <t>LUIS</t>
  </si>
  <si>
    <t>CIFM340409HVZNRR02</t>
  </si>
  <si>
    <t>01553401256</t>
  </si>
  <si>
    <t>EDAD&gt;90</t>
  </si>
  <si>
    <t>EIJM870206HCSSML07</t>
  </si>
  <si>
    <t>CISD630405MHGSLL04</t>
  </si>
  <si>
    <t>04907191086</t>
  </si>
  <si>
    <t>SITG691023MDFLRB04</t>
  </si>
  <si>
    <t>GOGL720125HJCNZA09</t>
  </si>
  <si>
    <t>AlHM660605HJCVRN07</t>
  </si>
  <si>
    <t>CAGJ620917HCSLTR08</t>
  </si>
  <si>
    <t>ROBERTO MARTÍNEZ</t>
  </si>
  <si>
    <t>MAAR590131HMNRDB04</t>
  </si>
  <si>
    <t>CAFL020714HDGMNCA9</t>
  </si>
  <si>
    <t>Luis Manuel Ojeda chin</t>
  </si>
  <si>
    <t>06735327253</t>
  </si>
  <si>
    <t>GAAB770709MVZRLL07</t>
  </si>
  <si>
    <t>65716007417</t>
  </si>
  <si>
    <t>VEAA580109HCHLVN06</t>
  </si>
  <si>
    <t>MERA540815HGRMR00</t>
  </si>
  <si>
    <t>NASR550430MDFVLS05</t>
  </si>
  <si>
    <t>558349931</t>
  </si>
  <si>
    <t>HEHF001117MCSRRLA4</t>
  </si>
  <si>
    <t>24927527051</t>
  </si>
  <si>
    <t>MEBA630825HDFDRR06</t>
  </si>
  <si>
    <t>0679562921</t>
  </si>
  <si>
    <t>31796003635</t>
  </si>
  <si>
    <t>Bautista Rodríguez Jesús Rafael</t>
  </si>
  <si>
    <t>BARJ000725HVZTD2A2</t>
  </si>
  <si>
    <t>GAOA640502HHGLST01</t>
  </si>
  <si>
    <t>MAMR600817HCHTRC07</t>
  </si>
  <si>
    <t>33816008487</t>
  </si>
  <si>
    <t>MEHM580912HVZRRR01</t>
  </si>
  <si>
    <t>15138913932</t>
  </si>
  <si>
    <t>GARL620709HJCRBS09</t>
  </si>
  <si>
    <t>ABIGAIL</t>
  </si>
  <si>
    <t>21945300339</t>
  </si>
  <si>
    <t>OISO660627MYNRGT01</t>
  </si>
  <si>
    <t>MEHA590812HCLDRN09</t>
  </si>
  <si>
    <t>43765806922</t>
  </si>
  <si>
    <t>CAAC600307HNTSRR14</t>
  </si>
  <si>
    <t>Juan Martín Valenzuela Rodríguez</t>
  </si>
  <si>
    <t>VARJ720624HSRLDN02</t>
  </si>
  <si>
    <t>24927289322</t>
  </si>
  <si>
    <t>01816333197</t>
  </si>
  <si>
    <t>11675067943</t>
  </si>
  <si>
    <t>ACUÑA QUINTERO JUAN</t>
  </si>
  <si>
    <t>AUQJ640131HDFCNN02</t>
  </si>
  <si>
    <t>17866443090</t>
  </si>
  <si>
    <t>HERA641023HVZRDG07</t>
  </si>
  <si>
    <t>01907306607</t>
  </si>
  <si>
    <t>HEMJ080908MHGRRSA4</t>
  </si>
  <si>
    <t>CAPJ850316HGRSBS07</t>
  </si>
  <si>
    <t>DOVM921028HDFMLR08</t>
  </si>
  <si>
    <t>DORA ELIA SALAZAR LEIJA</t>
  </si>
  <si>
    <t>SALD580505MTSLJR08</t>
  </si>
  <si>
    <t>NAMR490829HPLVNM00</t>
  </si>
  <si>
    <t>DIRECTODO, CONSUBANCO, EXITUS</t>
  </si>
  <si>
    <t>MAFM560929HVZRRG00</t>
  </si>
  <si>
    <t>TOCS620928HVZRRL06</t>
  </si>
  <si>
    <t>65806334614</t>
  </si>
  <si>
    <t>AEMG580413HVZNRR08</t>
  </si>
  <si>
    <t>78755902653</t>
  </si>
  <si>
    <t>55 79620802</t>
  </si>
  <si>
    <t>SACL620802MNTNSN08</t>
  </si>
  <si>
    <t>55796208084</t>
  </si>
  <si>
    <t>NIVJ070314MVZCLHA2</t>
  </si>
  <si>
    <t>23119256602</t>
  </si>
  <si>
    <t>CARMEN MARTINEZ CRUZ</t>
  </si>
  <si>
    <t>MACC680206MOCRRR09</t>
  </si>
  <si>
    <t>MOHG660407HDFNRB01</t>
  </si>
  <si>
    <t>ROSENDO HERNANDEZ RAMIREZ</t>
  </si>
  <si>
    <t>HERR521112HPLRMS02</t>
  </si>
  <si>
    <t>GUEJ670614HDFRSL03</t>
  </si>
  <si>
    <t>LOSI590316HPLPNS06</t>
  </si>
  <si>
    <t>GOHG580301HDGNRR05</t>
  </si>
  <si>
    <t>jose Fernando Caballero may</t>
  </si>
  <si>
    <t>CAMF550814HYNBYR00</t>
  </si>
  <si>
    <t>32806200484</t>
  </si>
  <si>
    <t>23795804394</t>
  </si>
  <si>
    <t>CALZADA GARCIA ROGELIO</t>
  </si>
  <si>
    <t>CAGR630901HDGLRG09</t>
  </si>
  <si>
    <t>32816328218</t>
  </si>
  <si>
    <t>10806229943</t>
  </si>
  <si>
    <t>01754706040</t>
  </si>
  <si>
    <t xml:space="preserve">HANIA </t>
  </si>
  <si>
    <t>NAVC570806HDFVLR06</t>
  </si>
  <si>
    <t xml:space="preserve">MERA540815HGRNMR00  </t>
  </si>
  <si>
    <t>Ramón Martinez Melchor</t>
  </si>
  <si>
    <t>GOLE611201HHGNNL00</t>
  </si>
  <si>
    <t>82988108302</t>
  </si>
  <si>
    <t>EAAM660418HDFSLN13</t>
  </si>
  <si>
    <t>HEGJ810718HDGRRN07</t>
  </si>
  <si>
    <t>MENDOZA FLORES JUAN MANUEL</t>
  </si>
  <si>
    <t>MEFJ520624HJCLNLB00</t>
  </si>
  <si>
    <t>01695258929</t>
  </si>
  <si>
    <t>Romeo</t>
  </si>
  <si>
    <t>Saúl Montoya garcia</t>
  </si>
  <si>
    <t>04856695251</t>
  </si>
  <si>
    <t>BURC740416HDFNZR09</t>
  </si>
  <si>
    <t>Martin Mendoza Jauregui</t>
  </si>
  <si>
    <t>GAVD070526HPLRLGA9</t>
  </si>
  <si>
    <t>20876700376</t>
  </si>
  <si>
    <t>34786101286</t>
  </si>
  <si>
    <t>CEMS580504MSPDRC06</t>
  </si>
  <si>
    <t>CASF630819HVZSTR08</t>
  </si>
  <si>
    <t>MOCG531126MCHLHL03</t>
  </si>
  <si>
    <t>AAMC830503HHGLRR03</t>
  </si>
  <si>
    <t>JAAG760418MSPSRL01</t>
  </si>
  <si>
    <t>06664503114</t>
  </si>
  <si>
    <t>31947921735</t>
  </si>
  <si>
    <t>09007732051</t>
  </si>
  <si>
    <t>CABRERA LUJAN FRANCISCO GERARDO</t>
  </si>
  <si>
    <t>CALF781004HCLBJR02</t>
  </si>
  <si>
    <t>ROCC660503MDGDRR01</t>
  </si>
  <si>
    <t>ALFREDO VEGA CASARES</t>
  </si>
  <si>
    <t>JOSE ODILON HERNANDEZ CAMPOS</t>
  </si>
  <si>
    <t>01715328652</t>
  </si>
  <si>
    <t>06685020056</t>
  </si>
  <si>
    <t>HEGB060817HOCRRRA7</t>
  </si>
  <si>
    <t>22846403487</t>
  </si>
  <si>
    <t>Pablo Torres Gallardo</t>
  </si>
  <si>
    <t>TOGP620718HGTRLB05</t>
  </si>
  <si>
    <t>Margarita Chavez Gurrola</t>
  </si>
  <si>
    <t>CAGM670222MDGHRR09</t>
  </si>
  <si>
    <t>VEAJ651029HCLLRN07</t>
  </si>
  <si>
    <t>41886802351</t>
  </si>
  <si>
    <t>ORDOÑEZ JIMENEZ LORENZO</t>
  </si>
  <si>
    <t>84754100901</t>
  </si>
  <si>
    <t>01048204869</t>
  </si>
  <si>
    <t>RASE660227HNLMLD09</t>
  </si>
  <si>
    <t>RIAJ680415MTCCNL05</t>
  </si>
  <si>
    <t>EIBG930704HGRMND01</t>
  </si>
  <si>
    <t>pera631209hmcxjmr06</t>
  </si>
  <si>
    <t>24785925595</t>
  </si>
  <si>
    <t>JIJG980524HTCMMR07</t>
  </si>
  <si>
    <t>06695246808</t>
  </si>
  <si>
    <t>RUMA490807HJCZRL07</t>
  </si>
  <si>
    <t>Dario Rdz Lara</t>
  </si>
  <si>
    <t>43816509830</t>
  </si>
  <si>
    <t>GALB030720HPLRSLA2</t>
  </si>
  <si>
    <t>24806006458</t>
  </si>
  <si>
    <t>10836635416</t>
  </si>
  <si>
    <t>GOAM940922HMCNLR07</t>
  </si>
  <si>
    <t>22886800410</t>
  </si>
  <si>
    <t>90998139076</t>
  </si>
  <si>
    <t>31674311639</t>
  </si>
  <si>
    <t>Gosj650821hdfnlm00</t>
  </si>
  <si>
    <t>23755627181</t>
  </si>
  <si>
    <t>DEEM080104MMCMSDA6</t>
  </si>
  <si>
    <t>11705299787</t>
  </si>
  <si>
    <t>DIHJ720310HDFZRQ06</t>
  </si>
  <si>
    <t>06785725299</t>
  </si>
  <si>
    <t>RABS061205HMNMTRA6</t>
  </si>
  <si>
    <t>65795602567</t>
  </si>
  <si>
    <t>GARCIA COR JOEL SAUL</t>
  </si>
  <si>
    <t>43806325783</t>
  </si>
  <si>
    <t>ARTURO SALAS DE LA CRUZ</t>
  </si>
  <si>
    <t>SACA660216HNLlRR04</t>
  </si>
  <si>
    <t>HEGA640407HSPRNG02</t>
  </si>
  <si>
    <t>01836200525</t>
  </si>
  <si>
    <t>01745042943</t>
  </si>
  <si>
    <t>MAMV610406HCHCRC07</t>
  </si>
  <si>
    <t>54846131370</t>
  </si>
  <si>
    <t>ETIQUETA REAL EN KOMMO</t>
  </si>
  <si>
    <t>ANA VILLEGAS CIERRES</t>
  </si>
  <si>
    <t>ANDRE TREVIÑO CIERRES</t>
  </si>
  <si>
    <t>CAROLINA RAMIREZ CIERRES</t>
  </si>
  <si>
    <t>DANIELLY RODRIGUEZ CIERRES</t>
  </si>
  <si>
    <t>DULCE FRANCO CIERRES</t>
  </si>
  <si>
    <t>EDNA RODRIGUEZ CIERRES</t>
  </si>
  <si>
    <t>FERNANDA CASTILLO CIERRES</t>
  </si>
  <si>
    <t>GABRIELA SANCHEZ CIERRES</t>
  </si>
  <si>
    <t>GRLORIA ORTIZ CIERRES</t>
  </si>
  <si>
    <t>HANIA GARCIA CIERRES</t>
  </si>
  <si>
    <t>HECTOR RODRIGUEZ CIERRES</t>
  </si>
  <si>
    <t>IRASEMA GUTIERREZ CIERRES</t>
  </si>
  <si>
    <t>CARRANZA SARDINA CIERRES</t>
  </si>
  <si>
    <t>ITZELH GONZALEZ CIERRES</t>
  </si>
  <si>
    <t>KARINA MATA CIERRES</t>
  </si>
  <si>
    <t>MAGALI HERNANDEZ CIERRES</t>
  </si>
  <si>
    <t>MARISOL HERNANDEZ CIERRES</t>
  </si>
  <si>
    <t>MIRIAM GOMEZ CIERRES</t>
  </si>
  <si>
    <t>PAOLA RODRIGUEZ CIERRES</t>
  </si>
  <si>
    <t xml:space="preserve">HECTOR </t>
  </si>
  <si>
    <t>Fecha asignacion</t>
  </si>
  <si>
    <t>Recuento de ESTATUS</t>
  </si>
  <si>
    <t>Asignado</t>
  </si>
  <si>
    <t>Total general</t>
  </si>
  <si>
    <t>LEAD</t>
  </si>
  <si>
    <t>TELEFONO</t>
  </si>
  <si>
    <t>Monto compra</t>
  </si>
  <si>
    <t>CONSUBANCO, OPCIPRES</t>
  </si>
  <si>
    <t>DOMEX</t>
  </si>
  <si>
    <t>FORTALEZA, BANCREA</t>
  </si>
  <si>
    <t>BANCREA, PUBLISEG</t>
  </si>
  <si>
    <t>SCOTIABANK</t>
  </si>
  <si>
    <t xml:space="preserve">LIDIA </t>
  </si>
  <si>
    <t>BANCREA, CONSUPAGO</t>
  </si>
  <si>
    <t xml:space="preserve">EXITUS, BANCREA </t>
  </si>
  <si>
    <t>GFI APOYO, CONSUBANCO</t>
  </si>
  <si>
    <t>KATE</t>
  </si>
  <si>
    <t xml:space="preserve">KARINA </t>
  </si>
  <si>
    <t>FFORTALEZA</t>
  </si>
  <si>
    <t>FIMUBAC, INBURSA</t>
  </si>
  <si>
    <t>NEGOCIO DUPLICADO</t>
  </si>
  <si>
    <t>P.V.</t>
  </si>
  <si>
    <t>HORARIOS</t>
  </si>
  <si>
    <t>ASESOR</t>
  </si>
  <si>
    <t>ASIGNACION</t>
  </si>
  <si>
    <t>ATENCION</t>
  </si>
  <si>
    <t>PANTALLA</t>
  </si>
  <si>
    <t>PANTALLAS</t>
  </si>
  <si>
    <t>Irasema</t>
  </si>
  <si>
    <t>Miriam</t>
  </si>
  <si>
    <t>Dulce</t>
  </si>
  <si>
    <t>Fernanda</t>
  </si>
  <si>
    <t>Itzelh</t>
  </si>
  <si>
    <t>Adela</t>
  </si>
  <si>
    <t>Gabriela</t>
  </si>
  <si>
    <t>*</t>
  </si>
  <si>
    <t>Melanie</t>
  </si>
  <si>
    <t>Itzel Carranza</t>
  </si>
  <si>
    <t>Hector</t>
  </si>
  <si>
    <t>Ana</t>
  </si>
  <si>
    <t>Edna</t>
  </si>
  <si>
    <t>Carolina</t>
  </si>
  <si>
    <t>Marisol</t>
  </si>
  <si>
    <t>Danielly</t>
  </si>
  <si>
    <t>Gloria</t>
  </si>
  <si>
    <t>Hania</t>
  </si>
  <si>
    <t>Litzy</t>
  </si>
  <si>
    <t>Karina</t>
  </si>
  <si>
    <t>Paola</t>
  </si>
  <si>
    <t>Magali</t>
  </si>
  <si>
    <t>Deyanira</t>
  </si>
  <si>
    <t>Detalles de Recuento de ESTATUS - Asignado: KARINA, Fecha asignacion: 9/1/2026 (+)</t>
  </si>
  <si>
    <t>Detalles de Recuento de ESTATUS - Asignado: HECTOR , Fecha asignacion: 9/1/2026 (+)</t>
  </si>
  <si>
    <t>FECHA</t>
  </si>
  <si>
    <t>REPORTE SEMANAL</t>
  </si>
  <si>
    <t>CREDITO NUEVO/COMPRA MAYOR</t>
  </si>
  <si>
    <t>CREDITO NUEVO/COMPRA MENOR</t>
  </si>
  <si>
    <t>OTROS</t>
  </si>
  <si>
    <t>TOTAL</t>
  </si>
  <si>
    <t>TOTAL MENSAJES CAMPAÑA</t>
  </si>
  <si>
    <t>OTROS COMPRENDE:</t>
  </si>
  <si>
    <t>CLIENTES</t>
  </si>
  <si>
    <t>BEATRIZ DLC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</si>
</sst>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dd/mm/yyyy;@"/>
    <numFmt numFmtId="166" formatCode="_([$$-409]* #,##0.0_);_([$$-409]* \(#,##0.0\);_([$$-409]* &quot;-&quot;?_);_(@_)"/>
  </numFmts>
  <fonts count="30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b/>
      <sz val="12"/>
      <color rgb="FF121212"/>
      <name val="Anthropic Sans"/>
      <charset val="1"/>
    </font>
    <font>
      <sz val="10"/>
      <color theme="1"/>
      <name val="Arial"/>
      <charset val="1"/>
    </font>
    <font>
      <sz val="10"/>
      <name val="Arial"/>
    </font>
    <font>
      <sz val="11"/>
      <color rgb="FF000000"/>
      <name val="Calibri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0"/>
      <color theme="1"/>
      <name val="Aptos Narrow"/>
      <family val="2"/>
      <scheme val="minor"/>
    </font>
    <font>
      <sz val="11"/>
      <color rgb="FF242424"/>
      <name val="Consolas"/>
      <charset val="1"/>
    </font>
    <font>
      <b/>
      <sz val="10"/>
      <color theme="0"/>
      <name val="Arial"/>
      <charset val="1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</font>
    <font>
      <sz val="10"/>
      <color rgb="FF000000"/>
      <name val="Aptos Narrow"/>
      <family val="2"/>
      <scheme val="minor"/>
    </font>
    <font>
      <sz val="10"/>
      <color rgb="FF000000"/>
      <name val="Arial"/>
      <charset val="1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</font>
    <font>
      <sz val="11"/>
      <color rgb="FF000000"/>
      <name val="Aptos Narrow"/>
      <charset val="1"/>
    </font>
    <font>
      <b/>
      <sz val="11"/>
      <color rgb="FF000000"/>
      <name val="Calibri"/>
    </font>
    <font>
      <sz val="10"/>
      <color rgb="FF000000"/>
      <name val="Arial"/>
      <family val="2"/>
      <charset val="1"/>
    </font>
    <font>
      <sz val="11"/>
      <color rgb="FF363B44"/>
      <name val="Arial"/>
    </font>
    <font>
      <sz val="11"/>
      <color rgb="FF363B44"/>
      <name val="PT Sans"/>
      <charset val="1"/>
    </font>
    <font>
      <b/>
      <sz val="11"/>
      <color rgb="FFFF0000"/>
      <name val="Aptos Narrow"/>
      <family val="2"/>
      <scheme val="minor"/>
    </font>
    <font>
      <b/>
      <sz val="11"/>
      <color rgb="FF363B44"/>
      <name val="PT Sans"/>
      <charset val="1"/>
    </font>
    <font>
      <sz val="11"/>
      <color rgb="FF000000"/>
      <name val="Calibri"/>
      <family val="2"/>
      <scheme val="minor"/>
    </font>
    <font>
      <sz val="10"/>
      <color rgb="FFFF0000"/>
      <name val="Arial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theme="1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theme="1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46">
    <xf numFmtId="0" fontId="0" fillId="0" borderId="0" xfId="0"/>
    <xf numFmtId="49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0" applyNumberFormat="1"/>
    <xf numFmtId="8" fontId="4" fillId="0" borderId="0" xfId="0" applyNumberFormat="1" applyFont="1"/>
    <xf numFmtId="0" fontId="5" fillId="0" borderId="0" xfId="0" applyFont="1"/>
    <xf numFmtId="17" fontId="0" fillId="0" borderId="0" xfId="0" applyNumberFormat="1"/>
    <xf numFmtId="0" fontId="1" fillId="0" borderId="8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1" fontId="1" fillId="0" borderId="2" xfId="0" applyNumberFormat="1" applyFont="1" applyBorder="1" applyAlignment="1">
      <alignment readingOrder="1"/>
    </xf>
    <xf numFmtId="0" fontId="2" fillId="0" borderId="2" xfId="0" applyFont="1" applyBorder="1" applyAlignment="1">
      <alignment readingOrder="1"/>
    </xf>
    <xf numFmtId="49" fontId="1" fillId="0" borderId="2" xfId="0" applyNumberFormat="1" applyFont="1" applyBorder="1" applyAlignment="1">
      <alignment horizontal="right" readingOrder="1"/>
    </xf>
    <xf numFmtId="0" fontId="3" fillId="0" borderId="9" xfId="0" applyFont="1" applyBorder="1" applyAlignment="1">
      <alignment readingOrder="1"/>
    </xf>
    <xf numFmtId="14" fontId="3" fillId="0" borderId="3" xfId="0" applyNumberFormat="1" applyFont="1" applyBorder="1" applyAlignment="1">
      <alignment readingOrder="1"/>
    </xf>
    <xf numFmtId="21" fontId="3" fillId="0" borderId="3" xfId="0" applyNumberFormat="1" applyFont="1" applyBorder="1" applyAlignment="1">
      <alignment readingOrder="1"/>
    </xf>
    <xf numFmtId="0" fontId="3" fillId="0" borderId="3" xfId="0" applyFont="1" applyBorder="1" applyAlignment="1">
      <alignment readingOrder="1"/>
    </xf>
    <xf numFmtId="1" fontId="3" fillId="0" borderId="3" xfId="0" applyNumberFormat="1" applyFont="1" applyBorder="1" applyAlignment="1">
      <alignment readingOrder="1"/>
    </xf>
    <xf numFmtId="49" fontId="3" fillId="0" borderId="3" xfId="0" applyNumberFormat="1" applyFont="1" applyBorder="1" applyAlignment="1">
      <alignment horizontal="right" readingOrder="1"/>
    </xf>
    <xf numFmtId="0" fontId="3" fillId="0" borderId="4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14" fontId="3" fillId="0" borderId="5" xfId="0" applyNumberFormat="1" applyFont="1" applyBorder="1" applyAlignment="1">
      <alignment readingOrder="1"/>
    </xf>
    <xf numFmtId="21" fontId="3" fillId="0" borderId="5" xfId="0" applyNumberFormat="1" applyFont="1" applyBorder="1" applyAlignment="1">
      <alignment readingOrder="1"/>
    </xf>
    <xf numFmtId="0" fontId="3" fillId="0" borderId="5" xfId="0" applyFont="1" applyBorder="1" applyAlignment="1">
      <alignment readingOrder="1"/>
    </xf>
    <xf numFmtId="1" fontId="3" fillId="0" borderId="5" xfId="0" applyNumberFormat="1" applyFont="1" applyBorder="1" applyAlignment="1">
      <alignment readingOrder="1"/>
    </xf>
    <xf numFmtId="49" fontId="3" fillId="0" borderId="5" xfId="0" applyNumberFormat="1" applyFont="1" applyBorder="1" applyAlignment="1">
      <alignment horizontal="right" readingOrder="1"/>
    </xf>
    <xf numFmtId="0" fontId="3" fillId="0" borderId="6" xfId="0" applyFont="1" applyBorder="1" applyAlignment="1">
      <alignment readingOrder="1"/>
    </xf>
    <xf numFmtId="0" fontId="6" fillId="2" borderId="7" xfId="0" applyFont="1" applyFill="1" applyBorder="1"/>
    <xf numFmtId="164" fontId="6" fillId="2" borderId="7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/>
    <xf numFmtId="14" fontId="6" fillId="2" borderId="7" xfId="0" applyNumberFormat="1" applyFont="1" applyFill="1" applyBorder="1" applyAlignment="1">
      <alignment horizontal="right" vertical="center"/>
    </xf>
    <xf numFmtId="0" fontId="3" fillId="0" borderId="11" xfId="0" applyFont="1" applyBorder="1" applyAlignment="1">
      <alignment readingOrder="1"/>
    </xf>
    <xf numFmtId="14" fontId="3" fillId="0" borderId="12" xfId="0" applyNumberFormat="1" applyFont="1" applyBorder="1" applyAlignment="1">
      <alignment readingOrder="1"/>
    </xf>
    <xf numFmtId="21" fontId="3" fillId="0" borderId="12" xfId="0" applyNumberFormat="1" applyFont="1" applyBorder="1" applyAlignment="1">
      <alignment readingOrder="1"/>
    </xf>
    <xf numFmtId="0" fontId="3" fillId="0" borderId="12" xfId="0" applyFont="1" applyBorder="1" applyAlignment="1">
      <alignment readingOrder="1"/>
    </xf>
    <xf numFmtId="1" fontId="3" fillId="0" borderId="12" xfId="0" applyNumberFormat="1" applyFont="1" applyBorder="1" applyAlignment="1">
      <alignment readingOrder="1"/>
    </xf>
    <xf numFmtId="49" fontId="3" fillId="0" borderId="12" xfId="0" applyNumberFormat="1" applyFont="1" applyBorder="1" applyAlignment="1">
      <alignment horizontal="right" readingOrder="1"/>
    </xf>
    <xf numFmtId="0" fontId="3" fillId="0" borderId="13" xfId="0" applyFont="1" applyBorder="1" applyAlignment="1">
      <alignment readingOrder="1"/>
    </xf>
    <xf numFmtId="164" fontId="0" fillId="0" borderId="0" xfId="0" applyNumberFormat="1" applyAlignment="1">
      <alignment horizontal="center" vertical="center"/>
    </xf>
    <xf numFmtId="164" fontId="0" fillId="3" borderId="0" xfId="0" applyNumberFormat="1" applyFill="1"/>
    <xf numFmtId="164" fontId="0" fillId="0" borderId="14" xfId="0" applyNumberFormat="1" applyBorder="1"/>
    <xf numFmtId="164" fontId="0" fillId="0" borderId="15" xfId="0" applyNumberFormat="1" applyBorder="1"/>
    <xf numFmtId="0" fontId="0" fillId="0" borderId="1" xfId="0" applyBorder="1"/>
    <xf numFmtId="0" fontId="7" fillId="0" borderId="1" xfId="0" applyFont="1" applyBorder="1"/>
    <xf numFmtId="0" fontId="7" fillId="0" borderId="0" xfId="0" applyFont="1"/>
    <xf numFmtId="0" fontId="7" fillId="4" borderId="0" xfId="0" applyFont="1" applyFill="1"/>
    <xf numFmtId="0" fontId="0" fillId="4" borderId="0" xfId="0" applyFill="1"/>
    <xf numFmtId="0" fontId="8" fillId="5" borderId="1" xfId="0" applyFont="1" applyFill="1" applyBorder="1" applyAlignment="1">
      <alignment horizontal="center" vertical="center" wrapText="1"/>
    </xf>
    <xf numFmtId="14" fontId="0" fillId="0" borderId="0" xfId="0" applyNumberFormat="1"/>
    <xf numFmtId="165" fontId="0" fillId="0" borderId="0" xfId="0" applyNumberFormat="1"/>
    <xf numFmtId="165" fontId="9" fillId="0" borderId="0" xfId="0" applyNumberFormat="1" applyFont="1"/>
    <xf numFmtId="165" fontId="0" fillId="6" borderId="0" xfId="0" applyNumberFormat="1" applyFill="1"/>
    <xf numFmtId="20" fontId="0" fillId="0" borderId="0" xfId="0" applyNumberFormat="1"/>
    <xf numFmtId="21" fontId="3" fillId="0" borderId="0" xfId="0" applyNumberFormat="1" applyFont="1"/>
    <xf numFmtId="164" fontId="0" fillId="7" borderId="0" xfId="0" applyNumberFormat="1" applyFill="1"/>
    <xf numFmtId="0" fontId="3" fillId="7" borderId="9" xfId="0" applyFont="1" applyFill="1" applyBorder="1" applyAlignment="1">
      <alignment readingOrder="1"/>
    </xf>
    <xf numFmtId="165" fontId="0" fillId="0" borderId="16" xfId="0" applyNumberFormat="1" applyBorder="1"/>
    <xf numFmtId="0" fontId="9" fillId="0" borderId="0" xfId="0" applyFont="1"/>
    <xf numFmtId="0" fontId="0" fillId="7" borderId="0" xfId="0" applyFill="1"/>
    <xf numFmtId="20" fontId="0" fillId="7" borderId="0" xfId="0" applyNumberFormat="1" applyFill="1"/>
    <xf numFmtId="0" fontId="10" fillId="0" borderId="0" xfId="0" applyFont="1"/>
    <xf numFmtId="164" fontId="6" fillId="2" borderId="0" xfId="0" applyNumberFormat="1" applyFont="1" applyFill="1"/>
    <xf numFmtId="0" fontId="11" fillId="8" borderId="1" xfId="0" applyFont="1" applyFill="1" applyBorder="1" applyAlignment="1">
      <alignment readingOrder="1"/>
    </xf>
    <xf numFmtId="0" fontId="11" fillId="8" borderId="2" xfId="0" applyFont="1" applyFill="1" applyBorder="1" applyAlignment="1">
      <alignment readingOrder="1"/>
    </xf>
    <xf numFmtId="1" fontId="11" fillId="8" borderId="2" xfId="0" applyNumberFormat="1" applyFont="1" applyFill="1" applyBorder="1" applyAlignment="1">
      <alignment readingOrder="1"/>
    </xf>
    <xf numFmtId="0" fontId="2" fillId="8" borderId="2" xfId="0" applyFont="1" applyFill="1" applyBorder="1" applyAlignment="1">
      <alignment readingOrder="1"/>
    </xf>
    <xf numFmtId="49" fontId="11" fillId="8" borderId="2" xfId="0" applyNumberFormat="1" applyFont="1" applyFill="1" applyBorder="1" applyAlignment="1">
      <alignment horizontal="right" readingOrder="1"/>
    </xf>
    <xf numFmtId="0" fontId="12" fillId="8" borderId="16" xfId="0" applyFont="1" applyFill="1" applyBorder="1"/>
    <xf numFmtId="165" fontId="12" fillId="8" borderId="16" xfId="0" applyNumberFormat="1" applyFont="1" applyFill="1" applyBorder="1"/>
    <xf numFmtId="0" fontId="3" fillId="0" borderId="17" xfId="0" applyFont="1" applyBorder="1" applyAlignment="1">
      <alignment readingOrder="1"/>
    </xf>
    <xf numFmtId="0" fontId="0" fillId="0" borderId="16" xfId="0" applyBorder="1"/>
    <xf numFmtId="164" fontId="0" fillId="0" borderId="16" xfId="0" applyNumberFormat="1" applyBorder="1"/>
    <xf numFmtId="17" fontId="0" fillId="0" borderId="16" xfId="0" applyNumberFormat="1" applyBorder="1"/>
    <xf numFmtId="0" fontId="3" fillId="0" borderId="18" xfId="0" applyFont="1" applyBorder="1" applyAlignment="1">
      <alignment readingOrder="1"/>
    </xf>
    <xf numFmtId="164" fontId="0" fillId="7" borderId="16" xfId="0" applyNumberFormat="1" applyFill="1" applyBorder="1"/>
    <xf numFmtId="0" fontId="0" fillId="0" borderId="19" xfId="0" applyBorder="1"/>
    <xf numFmtId="164" fontId="0" fillId="0" borderId="19" xfId="0" applyNumberFormat="1" applyBorder="1"/>
    <xf numFmtId="17" fontId="0" fillId="0" borderId="19" xfId="0" applyNumberFormat="1" applyBorder="1"/>
    <xf numFmtId="165" fontId="0" fillId="0" borderId="19" xfId="0" applyNumberFormat="1" applyBorder="1"/>
    <xf numFmtId="0" fontId="3" fillId="0" borderId="20" xfId="0" applyFont="1" applyBorder="1" applyAlignment="1">
      <alignment readingOrder="1"/>
    </xf>
    <xf numFmtId="14" fontId="3" fillId="0" borderId="21" xfId="0" applyNumberFormat="1" applyFont="1" applyBorder="1" applyAlignment="1">
      <alignment readingOrder="1"/>
    </xf>
    <xf numFmtId="21" fontId="3" fillId="0" borderId="21" xfId="0" applyNumberFormat="1" applyFont="1" applyBorder="1" applyAlignment="1">
      <alignment readingOrder="1"/>
    </xf>
    <xf numFmtId="0" fontId="3" fillId="0" borderId="21" xfId="0" applyFont="1" applyBorder="1" applyAlignment="1">
      <alignment readingOrder="1"/>
    </xf>
    <xf numFmtId="1" fontId="3" fillId="0" borderId="21" xfId="0" applyNumberFormat="1" applyFont="1" applyBorder="1" applyAlignment="1">
      <alignment readingOrder="1"/>
    </xf>
    <xf numFmtId="49" fontId="3" fillId="0" borderId="21" xfId="0" applyNumberFormat="1" applyFont="1" applyBorder="1" applyAlignment="1">
      <alignment horizontal="right" readingOrder="1"/>
    </xf>
    <xf numFmtId="0" fontId="3" fillId="0" borderId="22" xfId="0" applyFont="1" applyBorder="1" applyAlignment="1">
      <alignment readingOrder="1"/>
    </xf>
    <xf numFmtId="0" fontId="0" fillId="6" borderId="0" xfId="0" applyFill="1"/>
    <xf numFmtId="0" fontId="3" fillId="9" borderId="13" xfId="0" applyFont="1" applyFill="1" applyBorder="1" applyAlignment="1">
      <alignment readingOrder="1"/>
    </xf>
    <xf numFmtId="49" fontId="3" fillId="10" borderId="3" xfId="0" applyNumberFormat="1" applyFont="1" applyFill="1" applyBorder="1" applyAlignment="1">
      <alignment horizontal="right" readingOrder="1"/>
    </xf>
    <xf numFmtId="0" fontId="3" fillId="10" borderId="3" xfId="0" applyFont="1" applyFill="1" applyBorder="1" applyAlignment="1">
      <alignment readingOrder="1"/>
    </xf>
    <xf numFmtId="0" fontId="3" fillId="10" borderId="4" xfId="0" applyFont="1" applyFill="1" applyBorder="1" applyAlignment="1">
      <alignment readingOrder="1"/>
    </xf>
    <xf numFmtId="0" fontId="0" fillId="10" borderId="0" xfId="0" applyFill="1"/>
    <xf numFmtId="164" fontId="0" fillId="10" borderId="0" xfId="0" applyNumberFormat="1" applyFill="1"/>
    <xf numFmtId="0" fontId="0" fillId="10" borderId="16" xfId="0" applyFill="1" applyBorder="1"/>
    <xf numFmtId="164" fontId="0" fillId="10" borderId="16" xfId="0" applyNumberFormat="1" applyFill="1" applyBorder="1"/>
    <xf numFmtId="8" fontId="10" fillId="0" borderId="0" xfId="0" applyNumberFormat="1" applyFont="1"/>
    <xf numFmtId="0" fontId="7" fillId="0" borderId="0" xfId="0" applyFont="1" applyAlignment="1">
      <alignment horizontal="center"/>
    </xf>
    <xf numFmtId="165" fontId="14" fillId="0" borderId="0" xfId="0" applyNumberFormat="1" applyFont="1"/>
    <xf numFmtId="0" fontId="3" fillId="0" borderId="0" xfId="0" applyFont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4" xfId="0" applyFont="1" applyBorder="1" applyAlignment="1">
      <alignment readingOrder="1"/>
    </xf>
    <xf numFmtId="14" fontId="3" fillId="0" borderId="24" xfId="0" applyNumberFormat="1" applyFont="1" applyBorder="1" applyAlignment="1">
      <alignment readingOrder="1"/>
    </xf>
    <xf numFmtId="21" fontId="3" fillId="0" borderId="24" xfId="0" applyNumberFormat="1" applyFont="1" applyBorder="1" applyAlignment="1">
      <alignment readingOrder="1"/>
    </xf>
    <xf numFmtId="0" fontId="3" fillId="0" borderId="25" xfId="0" applyFont="1" applyBorder="1" applyAlignment="1">
      <alignment readingOrder="1"/>
    </xf>
    <xf numFmtId="0" fontId="15" fillId="0" borderId="0" xfId="0" applyFont="1"/>
    <xf numFmtId="0" fontId="3" fillId="0" borderId="26" xfId="0" applyFont="1" applyBorder="1" applyAlignment="1">
      <alignment readingOrder="1"/>
    </xf>
    <xf numFmtId="49" fontId="3" fillId="0" borderId="11" xfId="0" applyNumberFormat="1" applyFont="1" applyBorder="1" applyAlignment="1">
      <alignment horizontal="right" readingOrder="1"/>
    </xf>
    <xf numFmtId="0" fontId="3" fillId="0" borderId="27" xfId="0" applyFont="1" applyBorder="1" applyAlignment="1">
      <alignment readingOrder="1"/>
    </xf>
    <xf numFmtId="49" fontId="3" fillId="0" borderId="9" xfId="0" applyNumberFormat="1" applyFont="1" applyBorder="1" applyAlignment="1">
      <alignment horizontal="right" readingOrder="1"/>
    </xf>
    <xf numFmtId="0" fontId="3" fillId="0" borderId="28" xfId="0" applyFont="1" applyBorder="1" applyAlignment="1">
      <alignment readingOrder="1"/>
    </xf>
    <xf numFmtId="0" fontId="3" fillId="0" borderId="11" xfId="0" applyFont="1" applyBorder="1" applyAlignment="1">
      <alignment wrapText="1" readingOrder="1"/>
    </xf>
    <xf numFmtId="0" fontId="15" fillId="0" borderId="3" xfId="0" applyFont="1" applyBorder="1" applyAlignment="1">
      <alignment readingOrder="1"/>
    </xf>
    <xf numFmtId="8" fontId="5" fillId="0" borderId="0" xfId="0" applyNumberFormat="1" applyFont="1"/>
    <xf numFmtId="0" fontId="15" fillId="0" borderId="16" xfId="0" applyFont="1" applyBorder="1"/>
    <xf numFmtId="8" fontId="5" fillId="0" borderId="16" xfId="0" applyNumberFormat="1" applyFont="1" applyBorder="1"/>
    <xf numFmtId="0" fontId="16" fillId="0" borderId="0" xfId="0" applyFont="1"/>
    <xf numFmtId="0" fontId="0" fillId="11" borderId="0" xfId="0" applyFill="1"/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14" fontId="3" fillId="0" borderId="30" xfId="0" applyNumberFormat="1" applyFont="1" applyBorder="1" applyAlignment="1">
      <alignment readingOrder="1"/>
    </xf>
    <xf numFmtId="21" fontId="3" fillId="0" borderId="30" xfId="0" applyNumberFormat="1" applyFont="1" applyBorder="1" applyAlignment="1">
      <alignment readingOrder="1"/>
    </xf>
    <xf numFmtId="0" fontId="3" fillId="0" borderId="2" xfId="0" applyFont="1" applyBorder="1" applyAlignment="1">
      <alignment readingOrder="1"/>
    </xf>
    <xf numFmtId="164" fontId="0" fillId="9" borderId="0" xfId="0" applyNumberFormat="1" applyFill="1"/>
    <xf numFmtId="164" fontId="0" fillId="9" borderId="16" xfId="0" applyNumberFormat="1" applyFill="1" applyBorder="1"/>
    <xf numFmtId="0" fontId="3" fillId="0" borderId="0" xfId="0" applyFont="1"/>
    <xf numFmtId="164" fontId="0" fillId="0" borderId="0" xfId="0" applyNumberFormat="1" applyAlignment="1">
      <alignment vertical="top"/>
    </xf>
    <xf numFmtId="8" fontId="17" fillId="0" borderId="0" xfId="0" applyNumberFormat="1" applyFont="1"/>
    <xf numFmtId="0" fontId="18" fillId="0" borderId="0" xfId="0" applyFont="1"/>
    <xf numFmtId="0" fontId="19" fillId="0" borderId="0" xfId="0" applyFont="1"/>
    <xf numFmtId="0" fontId="0" fillId="0" borderId="0" xfId="0" pivotButton="1"/>
    <xf numFmtId="0" fontId="0" fillId="12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1" xfId="0" applyNumberFormat="1" applyBorder="1" applyAlignment="1">
      <alignment horizontal="center"/>
    </xf>
    <xf numFmtId="49" fontId="0" fillId="0" borderId="31" xfId="0" applyNumberFormat="1" applyBorder="1" applyAlignment="1">
      <alignment horizontal="left"/>
    </xf>
    <xf numFmtId="164" fontId="5" fillId="0" borderId="31" xfId="0" applyNumberFormat="1" applyFont="1" applyBorder="1" applyAlignment="1">
      <alignment horizontal="center" vertical="center"/>
    </xf>
    <xf numFmtId="164" fontId="5" fillId="0" borderId="31" xfId="0" applyNumberFormat="1" applyFont="1" applyBorder="1"/>
    <xf numFmtId="166" fontId="4" fillId="0" borderId="7" xfId="0" applyNumberFormat="1" applyFont="1" applyBorder="1"/>
    <xf numFmtId="8" fontId="5" fillId="0" borderId="7" xfId="0" applyNumberFormat="1" applyFont="1" applyBorder="1"/>
    <xf numFmtId="14" fontId="5" fillId="0" borderId="31" xfId="0" applyNumberFormat="1" applyFont="1" applyBorder="1" applyAlignment="1">
      <alignment horizontal="right" vertical="center"/>
    </xf>
    <xf numFmtId="49" fontId="0" fillId="0" borderId="31" xfId="0" applyNumberFormat="1" applyBorder="1"/>
    <xf numFmtId="164" fontId="0" fillId="0" borderId="31" xfId="0" applyNumberFormat="1" applyBorder="1"/>
    <xf numFmtId="14" fontId="0" fillId="0" borderId="31" xfId="0" applyNumberFormat="1" applyBorder="1" applyAlignment="1">
      <alignment horizontal="center"/>
    </xf>
    <xf numFmtId="49" fontId="5" fillId="0" borderId="31" xfId="0" applyNumberFormat="1" applyFont="1" applyBorder="1" applyAlignment="1">
      <alignment horizontal="left"/>
    </xf>
    <xf numFmtId="8" fontId="5" fillId="0" borderId="31" xfId="0" applyNumberFormat="1" applyFont="1" applyBorder="1"/>
    <xf numFmtId="14" fontId="0" fillId="0" borderId="16" xfId="0" applyNumberFormat="1" applyBorder="1"/>
    <xf numFmtId="14" fontId="0" fillId="0" borderId="19" xfId="0" applyNumberFormat="1" applyBorder="1"/>
    <xf numFmtId="0" fontId="13" fillId="0" borderId="31" xfId="0" applyFont="1" applyBorder="1" applyAlignment="1">
      <alignment horizontal="center" vertical="center"/>
    </xf>
    <xf numFmtId="1" fontId="13" fillId="0" borderId="31" xfId="0" applyNumberFormat="1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164" fontId="8" fillId="0" borderId="7" xfId="0" applyNumberFormat="1" applyFont="1" applyBorder="1" applyAlignment="1">
      <alignment horizontal="center" vertical="center"/>
    </xf>
    <xf numFmtId="164" fontId="8" fillId="0" borderId="7" xfId="0" applyNumberFormat="1" applyFont="1" applyBorder="1"/>
    <xf numFmtId="8" fontId="8" fillId="0" borderId="7" xfId="0" applyNumberFormat="1" applyFont="1" applyBorder="1"/>
    <xf numFmtId="0" fontId="20" fillId="0" borderId="7" xfId="0" applyFont="1" applyBorder="1"/>
    <xf numFmtId="14" fontId="8" fillId="0" borderId="7" xfId="0" applyNumberFormat="1" applyFont="1" applyBorder="1" applyAlignment="1">
      <alignment horizontal="right" vertical="center"/>
    </xf>
    <xf numFmtId="0" fontId="8" fillId="0" borderId="7" xfId="0" applyFont="1" applyBorder="1"/>
    <xf numFmtId="164" fontId="8" fillId="0" borderId="31" xfId="0" applyNumberFormat="1" applyFont="1" applyBorder="1"/>
    <xf numFmtId="0" fontId="13" fillId="0" borderId="31" xfId="0" applyFont="1" applyBorder="1"/>
    <xf numFmtId="14" fontId="13" fillId="0" borderId="31" xfId="0" applyNumberFormat="1" applyFont="1" applyBorder="1" applyAlignment="1">
      <alignment horizontal="center"/>
    </xf>
    <xf numFmtId="49" fontId="0" fillId="0" borderId="33" xfId="0" applyNumberFormat="1" applyBorder="1" applyAlignment="1">
      <alignment horizontal="left"/>
    </xf>
    <xf numFmtId="49" fontId="0" fillId="0" borderId="32" xfId="0" applyNumberFormat="1" applyBorder="1" applyAlignment="1">
      <alignment horizontal="left"/>
    </xf>
    <xf numFmtId="164" fontId="0" fillId="0" borderId="33" xfId="0" applyNumberFormat="1" applyBorder="1"/>
    <xf numFmtId="164" fontId="0" fillId="0" borderId="34" xfId="0" applyNumberFormat="1" applyBorder="1"/>
    <xf numFmtId="164" fontId="0" fillId="0" borderId="32" xfId="0" applyNumberFormat="1" applyBorder="1"/>
    <xf numFmtId="164" fontId="0" fillId="0" borderId="35" xfId="0" applyNumberFormat="1" applyBorder="1"/>
    <xf numFmtId="14" fontId="0" fillId="0" borderId="33" xfId="0" applyNumberFormat="1" applyBorder="1" applyAlignment="1">
      <alignment horizontal="right" vertical="center"/>
    </xf>
    <xf numFmtId="49" fontId="0" fillId="0" borderId="33" xfId="0" applyNumberFormat="1" applyBorder="1"/>
    <xf numFmtId="14" fontId="0" fillId="0" borderId="32" xfId="0" applyNumberFormat="1" applyBorder="1" applyAlignment="1">
      <alignment horizontal="right" vertical="center"/>
    </xf>
    <xf numFmtId="49" fontId="0" fillId="0" borderId="32" xfId="0" applyNumberFormat="1" applyBorder="1"/>
    <xf numFmtId="14" fontId="0" fillId="0" borderId="33" xfId="0" applyNumberFormat="1" applyBorder="1" applyAlignment="1">
      <alignment horizontal="center"/>
    </xf>
    <xf numFmtId="14" fontId="0" fillId="0" borderId="32" xfId="0" applyNumberFormat="1" applyBorder="1" applyAlignment="1">
      <alignment horizontal="center"/>
    </xf>
    <xf numFmtId="0" fontId="3" fillId="0" borderId="16" xfId="0" applyFont="1" applyBorder="1"/>
    <xf numFmtId="8" fontId="17" fillId="0" borderId="16" xfId="0" applyNumberFormat="1" applyFont="1" applyBorder="1"/>
    <xf numFmtId="8" fontId="5" fillId="0" borderId="19" xfId="0" applyNumberFormat="1" applyFont="1" applyBorder="1"/>
    <xf numFmtId="0" fontId="0" fillId="0" borderId="0" xfId="0" applyAlignment="1">
      <alignment horizontal="right"/>
    </xf>
    <xf numFmtId="0" fontId="3" fillId="0" borderId="36" xfId="0" applyFont="1" applyBorder="1" applyAlignment="1">
      <alignment readingOrder="1"/>
    </xf>
    <xf numFmtId="21" fontId="3" fillId="0" borderId="13" xfId="0" applyNumberFormat="1" applyFont="1" applyBorder="1" applyAlignment="1">
      <alignment readingOrder="1"/>
    </xf>
    <xf numFmtId="164" fontId="3" fillId="0" borderId="37" xfId="0" applyNumberFormat="1" applyFont="1" applyBorder="1" applyAlignment="1">
      <alignment readingOrder="1"/>
    </xf>
    <xf numFmtId="0" fontId="0" fillId="0" borderId="16" xfId="0" applyBorder="1" applyAlignment="1">
      <alignment readingOrder="1"/>
    </xf>
    <xf numFmtId="164" fontId="0" fillId="0" borderId="16" xfId="0" applyNumberFormat="1" applyBorder="1" applyAlignment="1">
      <alignment readingOrder="1"/>
    </xf>
    <xf numFmtId="49" fontId="3" fillId="0" borderId="3" xfId="0" applyNumberFormat="1" applyFont="1" applyBorder="1" applyAlignment="1">
      <alignment readingOrder="1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right" readingOrder="1"/>
    </xf>
    <xf numFmtId="2" fontId="0" fillId="0" borderId="0" xfId="0" applyNumberFormat="1"/>
    <xf numFmtId="49" fontId="3" fillId="0" borderId="12" xfId="0" applyNumberFormat="1" applyFont="1" applyBorder="1" applyAlignment="1">
      <alignment readingOrder="1"/>
    </xf>
    <xf numFmtId="0" fontId="21" fillId="0" borderId="0" xfId="0" applyFont="1"/>
    <xf numFmtId="164" fontId="5" fillId="0" borderId="0" xfId="0" applyNumberFormat="1" applyFont="1"/>
    <xf numFmtId="164" fontId="6" fillId="2" borderId="16" xfId="0" applyNumberFormat="1" applyFont="1" applyFill="1" applyBorder="1"/>
    <xf numFmtId="49" fontId="3" fillId="0" borderId="16" xfId="0" applyNumberFormat="1" applyFont="1" applyBorder="1" applyAlignment="1">
      <alignment horizontal="right" readingOrder="1"/>
    </xf>
    <xf numFmtId="0" fontId="21" fillId="0" borderId="16" xfId="0" applyFont="1" applyBorder="1"/>
    <xf numFmtId="0" fontId="0" fillId="0" borderId="38" xfId="0" applyBorder="1"/>
    <xf numFmtId="14" fontId="0" fillId="0" borderId="0" xfId="0" applyNumberFormat="1" applyAlignment="1">
      <alignment horizontal="left"/>
    </xf>
    <xf numFmtId="0" fontId="3" fillId="9" borderId="9" xfId="0" applyFont="1" applyFill="1" applyBorder="1" applyAlignment="1">
      <alignment readingOrder="1"/>
    </xf>
    <xf numFmtId="0" fontId="3" fillId="9" borderId="3" xfId="0" applyFont="1" applyFill="1" applyBorder="1" applyAlignment="1">
      <alignment readingOrder="1"/>
    </xf>
    <xf numFmtId="1" fontId="3" fillId="0" borderId="0" xfId="0" applyNumberFormat="1" applyFont="1" applyAlignment="1">
      <alignment readingOrder="1"/>
    </xf>
    <xf numFmtId="0" fontId="3" fillId="0" borderId="39" xfId="0" applyFont="1" applyBorder="1" applyAlignment="1">
      <alignment readingOrder="1"/>
    </xf>
    <xf numFmtId="14" fontId="3" fillId="0" borderId="40" xfId="0" applyNumberFormat="1" applyFont="1" applyBorder="1" applyAlignment="1">
      <alignment readingOrder="1"/>
    </xf>
    <xf numFmtId="21" fontId="3" fillId="0" borderId="41" xfId="0" applyNumberFormat="1" applyFont="1" applyBorder="1" applyAlignment="1">
      <alignment readingOrder="1"/>
    </xf>
    <xf numFmtId="14" fontId="3" fillId="0" borderId="0" xfId="0" applyNumberFormat="1" applyFont="1" applyAlignment="1">
      <alignment readingOrder="1"/>
    </xf>
    <xf numFmtId="21" fontId="3" fillId="0" borderId="0" xfId="0" applyNumberFormat="1" applyFont="1" applyAlignment="1">
      <alignment readingOrder="1"/>
    </xf>
    <xf numFmtId="49" fontId="0" fillId="12" borderId="31" xfId="0" applyNumberFormat="1" applyFill="1" applyBorder="1"/>
    <xf numFmtId="0" fontId="22" fillId="0" borderId="0" xfId="0" applyFont="1"/>
    <xf numFmtId="18" fontId="0" fillId="0" borderId="0" xfId="0" applyNumberFormat="1"/>
    <xf numFmtId="0" fontId="23" fillId="0" borderId="0" xfId="0" applyFont="1"/>
    <xf numFmtId="164" fontId="24" fillId="0" borderId="0" xfId="0" applyNumberFormat="1" applyFont="1"/>
    <xf numFmtId="0" fontId="25" fillId="0" borderId="0" xfId="0" applyFont="1"/>
    <xf numFmtId="0" fontId="3" fillId="0" borderId="40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8" fontId="5" fillId="0" borderId="42" xfId="0" applyNumberFormat="1" applyFont="1" applyBorder="1"/>
    <xf numFmtId="164" fontId="3" fillId="0" borderId="0" xfId="0" applyNumberFormat="1" applyFont="1" applyAlignment="1">
      <alignment readingOrder="1"/>
    </xf>
    <xf numFmtId="165" fontId="3" fillId="0" borderId="0" xfId="0" applyNumberFormat="1" applyFont="1" applyAlignment="1">
      <alignment readingOrder="1"/>
    </xf>
    <xf numFmtId="49" fontId="1" fillId="0" borderId="3" xfId="0" applyNumberFormat="1" applyFont="1" applyBorder="1" applyAlignment="1">
      <alignment horizontal="right" readingOrder="1"/>
    </xf>
    <xf numFmtId="0" fontId="3" fillId="0" borderId="43" xfId="0" applyFont="1" applyBorder="1" applyAlignment="1">
      <alignment readingOrder="1"/>
    </xf>
    <xf numFmtId="49" fontId="3" fillId="3" borderId="6" xfId="0" applyNumberFormat="1" applyFont="1" applyFill="1" applyBorder="1" applyAlignment="1">
      <alignment readingOrder="1"/>
    </xf>
    <xf numFmtId="1" fontId="3" fillId="0" borderId="24" xfId="0" applyNumberFormat="1" applyFont="1" applyBorder="1" applyAlignment="1">
      <alignment readingOrder="1"/>
    </xf>
    <xf numFmtId="49" fontId="0" fillId="0" borderId="16" xfId="0" applyNumberFormat="1" applyBorder="1" applyAlignment="1">
      <alignment horizontal="left"/>
    </xf>
    <xf numFmtId="164" fontId="0" fillId="0" borderId="16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right" vertical="center"/>
    </xf>
    <xf numFmtId="49" fontId="0" fillId="0" borderId="16" xfId="0" applyNumberFormat="1" applyBorder="1" applyAlignment="1">
      <alignment horizontal="right" vertical="center"/>
    </xf>
    <xf numFmtId="1" fontId="26" fillId="0" borderId="32" xfId="0" applyNumberFormat="1" applyFont="1" applyBorder="1" applyAlignment="1">
      <alignment horizontal="center"/>
    </xf>
    <xf numFmtId="0" fontId="1" fillId="0" borderId="3" xfId="0" applyFont="1" applyBorder="1" applyAlignment="1">
      <alignment readingOrder="1"/>
    </xf>
    <xf numFmtId="0" fontId="27" fillId="0" borderId="3" xfId="0" applyFont="1" applyBorder="1" applyAlignment="1">
      <alignment readingOrder="1"/>
    </xf>
    <xf numFmtId="0" fontId="3" fillId="7" borderId="11" xfId="0" applyFont="1" applyFill="1" applyBorder="1" applyAlignment="1">
      <alignment readingOrder="1"/>
    </xf>
    <xf numFmtId="164" fontId="29" fillId="0" borderId="0" xfId="0" applyNumberFormat="1" applyFont="1"/>
    <xf numFmtId="165" fontId="29" fillId="0" borderId="0" xfId="0" applyNumberFormat="1" applyFont="1"/>
    <xf numFmtId="0" fontId="28" fillId="0" borderId="0" xfId="0" applyFont="1"/>
    <xf numFmtId="165" fontId="0" fillId="13" borderId="0" xfId="0" applyNumberFormat="1" applyFill="1"/>
    <xf numFmtId="49" fontId="1" fillId="0" borderId="12" xfId="0" applyNumberFormat="1" applyFont="1" applyBorder="1" applyAlignment="1">
      <alignment horizontal="right" readingOrder="1"/>
    </xf>
    <xf numFmtId="0" fontId="3" fillId="0" borderId="11" xfId="0" applyFont="1" applyFill="1" applyBorder="1" applyAlignment="1">
      <alignment readingOrder="1"/>
    </xf>
    <xf numFmtId="14" fontId="3" fillId="0" borderId="12" xfId="0" applyNumberFormat="1" applyFont="1" applyFill="1" applyBorder="1" applyAlignment="1">
      <alignment readingOrder="1"/>
    </xf>
    <xf numFmtId="21" fontId="3" fillId="0" borderId="12" xfId="0" applyNumberFormat="1" applyFont="1" applyFill="1" applyBorder="1" applyAlignment="1">
      <alignment readingOrder="1"/>
    </xf>
    <xf numFmtId="0" fontId="3" fillId="0" borderId="12" xfId="0" applyFont="1" applyFill="1" applyBorder="1" applyAlignment="1">
      <alignment readingOrder="1"/>
    </xf>
    <xf numFmtId="1" fontId="3" fillId="0" borderId="12" xfId="0" applyNumberFormat="1" applyFont="1" applyFill="1" applyBorder="1" applyAlignment="1">
      <alignment readingOrder="1"/>
    </xf>
    <xf numFmtId="49" fontId="3" fillId="0" borderId="12" xfId="0" applyNumberFormat="1" applyFont="1" applyFill="1" applyBorder="1" applyAlignment="1">
      <alignment horizontal="right" readingOrder="1"/>
    </xf>
    <xf numFmtId="0" fontId="3" fillId="0" borderId="13" xfId="0" applyFont="1" applyFill="1" applyBorder="1" applyAlignment="1">
      <alignment readingOrder="1"/>
    </xf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0" fontId="0" fillId="0" borderId="0" xfId="0" applyNumberFormat="1" applyBorder="1"/>
    <xf numFmtId="8" fontId="17" fillId="0" borderId="0" xfId="0" applyNumberFormat="1" applyFont="1" applyFill="1" applyBorder="1" applyAlignment="1"/>
    <xf numFmtId="17" fontId="0" fillId="0" borderId="0" xfId="0" applyNumberFormat="1" applyBorder="1"/>
    <xf numFmtId="0" fontId="3" fillId="0" borderId="18" xfId="0" applyFont="1" applyFill="1" applyBorder="1" applyAlignment="1">
      <alignment readingOrder="1"/>
    </xf>
    <xf numFmtId="0" fontId="0" fillId="0" borderId="0" xfId="0" applyFill="1"/>
    <xf numFmtId="0" fontId="0" fillId="0" borderId="16" xfId="0" applyFont="1" applyFill="1" applyBorder="1"/>
    <xf numFmtId="164" fontId="0" fillId="0" borderId="16" xfId="0" applyNumberFormat="1" applyFont="1" applyFill="1" applyBorder="1"/>
    <xf numFmtId="14" fontId="0" fillId="0" borderId="16" xfId="0" applyNumberFormat="1" applyFont="1" applyFill="1" applyBorder="1"/>
    <xf numFmtId="17" fontId="0" fillId="0" borderId="16" xfId="0" applyNumberFormat="1" applyFont="1" applyFill="1" applyBorder="1"/>
  </cellXfs>
  <cellStyles count="1">
    <cellStyle name="Normal" xfId="0" builtinId="0"/>
  </cellStyles>
  <dxfs count="1074"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  <border diagonalUp="0" diagonalDown="0">
        <left/>
        <right/>
        <top style="thin">
          <color theme="1"/>
        </top>
        <bottom/>
        <vertical/>
        <horizontal/>
      </border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</dxf>
    <dxf>
      <fill>
        <patternFill patternType="none"/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FF5CFA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5CFA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FF5CFA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numFmt numFmtId="2" formatCode="0.00"/>
    </dxf>
    <dxf>
      <numFmt numFmtId="165" formatCode="dd/mm/yyyy;@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30" formatCode="@"/>
      <fill>
        <patternFill patternType="none"/>
      </fill>
      <alignment horizontal="right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26" formatCode="h:mm:ss"/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9" formatCode="m/d/yyyy"/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none"/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000000"/>
        </left>
      </border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66675</xdr:rowOff>
    </xdr:from>
    <xdr:to>
      <xdr:col>16</xdr:col>
      <xdr:colOff>76200</xdr:colOff>
      <xdr:row>16</xdr:row>
      <xdr:rowOff>47625</xdr:rowOff>
    </xdr:to>
    <xdr:pic>
      <xdr:nvPicPr>
        <xdr:cNvPr id="9" name="Imagen 1">
          <a:extLst>
            <a:ext uri="{FF2B5EF4-FFF2-40B4-BE49-F238E27FC236}">
              <a16:creationId xmlns:a16="http://schemas.microsoft.com/office/drawing/2014/main" id="{3B0206FA-9902-F320-EB02-6DE17DA8F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7075" y="66675"/>
          <a:ext cx="8067675" cy="30289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596856828706" createdVersion="8" refreshedVersion="8" minRefreshableVersion="3" recordCount="1137" xr:uid="{CB6CECBD-1F29-427E-A100-7FC51B1CE065}">
  <cacheSource type="worksheet">
    <worksheetSource ref="A1:L1048576" sheet="ASIGNACIONES"/>
  </cacheSource>
  <cacheFields count="12">
    <cacheField name="LEAD" numFmtId="0">
      <sharedItems containsString="0" containsBlank="1" containsNumber="1" containsInteger="1" minValue="19289310" maxValue="24932104"/>
    </cacheField>
    <cacheField name="TELEFONO" numFmtId="0">
      <sharedItems containsString="0" containsBlank="1" containsNumber="1" containsInteger="1" minValue="24169488" maxValue="5219999554448"/>
    </cacheField>
    <cacheField name="ESTATUS" numFmtId="0">
      <sharedItems containsBlank="1" count="6">
        <s v="NUEVO MENOR"/>
        <s v="NUEVO MAYOR"/>
        <s v="COMPRA MAYOR"/>
        <s v="RESTRINGIDA"/>
        <s v="COMPRA MENOR"/>
        <m/>
      </sharedItems>
    </cacheField>
    <cacheField name=" INFORMEDEPAGO " numFmtId="0">
      <sharedItems containsString="0" containsBlank="1" containsNumber="1" minValue="4172.53" maxValue="96277.41"/>
    </cacheField>
    <cacheField name="DESCUENTOS" numFmtId="0">
      <sharedItems containsString="0" containsBlank="1" containsNumber="1" minValue="0" maxValue="19849.46"/>
    </cacheField>
    <cacheField name="$0.30 " numFmtId="0">
      <sharedItems containsString="0" containsBlank="1" containsNumber="1" minValue="0" maxValue="28883.223000000002"/>
    </cacheField>
    <cacheField name="CAPACIDAD" numFmtId="0">
      <sharedItems containsString="0" containsBlank="1" containsNumber="1" minValue="-999.98200000000043" maxValue="20480.097000000002"/>
    </cacheField>
    <cacheField name="VENCIMIENTO" numFmtId="0">
      <sharedItems containsDate="1" containsBlank="1" containsMixedTypes="1" minDate="2022-01-01T00:00:00" maxDate="1900-01-07T16:51:04"/>
    </cacheField>
    <cacheField name="FINANCIERA " numFmtId="0">
      <sharedItems containsBlank="1"/>
    </cacheField>
    <cacheField name="Monto compra" numFmtId="0">
      <sharedItems containsString="0" containsBlank="1" containsNumber="1" minValue="300" maxValue="19849.46"/>
    </cacheField>
    <cacheField name="Asignado" numFmtId="0">
      <sharedItems containsBlank="1" count="43">
        <s v="HECTOR"/>
        <s v="MELANIE"/>
        <s v="ITZEL CARRANZA"/>
        <s v="ANA"/>
        <s v="PAOLA"/>
        <s v="DANIELLY"/>
        <s v="HANIA"/>
        <s v="MAGALI"/>
        <s v="MIRIAM"/>
        <s v="GLORIA"/>
        <s v="CAROLINA"/>
        <s v="GABRIELA"/>
        <s v="IRASEMA"/>
        <s v="FERNANDA"/>
        <s v="MARISOL"/>
        <s v="EDNA"/>
        <s v="DULCE"/>
        <s v="KARINA"/>
        <s v="ITZELH"/>
        <s v="ANDRE"/>
        <s v="LIDIA"/>
        <s v="MAYTE"/>
        <s v="DANIELA"/>
        <s v="YESSENIA"/>
        <s v="BEATRIZ"/>
        <s v="LIDIA "/>
        <s v="GUADALUPE"/>
        <s v="LUZ"/>
        <s v="KATE"/>
        <s v="JAEL"/>
        <s v="GABRIELA "/>
        <s v="LUIS"/>
        <s v="KARINA "/>
        <s v="ABIGAIL"/>
        <m/>
        <s v="HANIA " u="1"/>
        <s v="CLAUDIA" u="1"/>
        <s v="JAEL RUIZ" u="1"/>
        <s v="LUIS DAVILA" u="1"/>
        <s v="ITZELH GONZALEZ" u="1"/>
        <s v="YESENIA" u="1"/>
        <s v="ANDRE " u="1"/>
        <s v="HECTOR " u="1"/>
      </sharedItems>
    </cacheField>
    <cacheField name="Fecha asignacion" numFmtId="0">
      <sharedItems containsNonDate="0" containsDate="1" containsString="0" containsBlank="1" minDate="2026-08-19T00:00:00" maxDate="2026-09-30T00:00:00" count="35">
        <d v="2026-08-19T00:00:00"/>
        <d v="2026-08-20T00:00:00"/>
        <d v="2026-08-21T00:00:00"/>
        <d v="2026-08-22T00:00:00"/>
        <d v="2026-08-24T00:00:00"/>
        <d v="2026-08-26T00:00:00"/>
        <d v="2026-08-27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7T00:00:00"/>
        <d v="2026-09-18T00:00:00"/>
        <d v="2026-09-19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7">
  <r>
    <n v="23726144"/>
    <n v="5219541548449"/>
    <x v="0"/>
    <n v="15280.15"/>
    <n v="4046.08"/>
    <n v="4584.0450000000001"/>
    <n v="537.96500000000015"/>
    <m/>
    <m/>
    <m/>
    <x v="0"/>
    <x v="0"/>
  </r>
  <r>
    <n v="23756661"/>
    <n v="5214776735685"/>
    <x v="1"/>
    <n v="9290.75"/>
    <m/>
    <n v="2787.2249999999999"/>
    <n v="2787.2249999999999"/>
    <m/>
    <m/>
    <m/>
    <x v="1"/>
    <x v="0"/>
  </r>
  <r>
    <n v="23706370"/>
    <n v="6444470845"/>
    <x v="1"/>
    <n v="9760.32"/>
    <m/>
    <n v="2928.096"/>
    <n v="2928.096"/>
    <m/>
    <m/>
    <m/>
    <x v="2"/>
    <x v="0"/>
  </r>
  <r>
    <n v="23761287"/>
    <n v="8124440400"/>
    <x v="2"/>
    <n v="8592.73"/>
    <n v="2385.73"/>
    <n v="2577.819"/>
    <n v="192.08899999999994"/>
    <d v="2026-08-01T00:00:00"/>
    <m/>
    <m/>
    <x v="1"/>
    <x v="0"/>
  </r>
  <r>
    <n v="23762769"/>
    <n v="5212221625726"/>
    <x v="1"/>
    <n v="21036.47"/>
    <n v="1533.09"/>
    <n v="6310.9409999999998"/>
    <n v="4777.8509999999997"/>
    <d v="2027-03-01T00:00:00"/>
    <m/>
    <m/>
    <x v="3"/>
    <x v="0"/>
  </r>
  <r>
    <n v="23742131"/>
    <n v="5216145090575"/>
    <x v="1"/>
    <n v="7700.2000000000116"/>
    <m/>
    <n v="2310.0600000000036"/>
    <n v="2310.0600000000036"/>
    <m/>
    <m/>
    <m/>
    <x v="4"/>
    <x v="0"/>
  </r>
  <r>
    <n v="23757641"/>
    <n v="5212225682011"/>
    <x v="1"/>
    <n v="9760.32"/>
    <m/>
    <n v="2928.096"/>
    <n v="2928.096"/>
    <m/>
    <m/>
    <m/>
    <x v="2"/>
    <x v="0"/>
  </r>
  <r>
    <n v="23766780"/>
    <n v="2721532069"/>
    <x v="0"/>
    <n v="5617.63"/>
    <n v="1000"/>
    <n v="1685.289"/>
    <n v="444.65000000000055"/>
    <d v="2027-12-01T00:00:00"/>
    <m/>
    <m/>
    <x v="0"/>
    <x v="0"/>
  </r>
  <r>
    <n v="23763509"/>
    <n v="5213312837635"/>
    <x v="3"/>
    <n v="4172.53"/>
    <n v="375"/>
    <n v="1251.7589999999998"/>
    <n v="-375"/>
    <d v="2026-07-01T00:00:00"/>
    <s v="CONSUBANCO"/>
    <m/>
    <x v="5"/>
    <x v="0"/>
  </r>
  <r>
    <n v="23770102"/>
    <n v="5213320114300"/>
    <x v="1"/>
    <n v="13720.49"/>
    <m/>
    <n v="4116.1469999999999"/>
    <n v="4116.1469999999999"/>
    <m/>
    <m/>
    <m/>
    <x v="5"/>
    <x v="0"/>
  </r>
  <r>
    <n v="23769606"/>
    <n v="3122727690"/>
    <x v="4"/>
    <n v="4813.6899999999996"/>
    <n v="592.94000000000005"/>
    <n v="1444.1069999999997"/>
    <n v="47.769999999999982"/>
    <d v="2026-06-01T00:00:00"/>
    <m/>
    <m/>
    <x v="0"/>
    <x v="0"/>
  </r>
  <r>
    <n v="23772894"/>
    <n v="5217441786998"/>
    <x v="3"/>
    <n v="10266.120000000001"/>
    <n v="2516.6799999999998"/>
    <n v="3079.8360000000002"/>
    <n v="563.1560000000004"/>
    <d v="2024-08-01T00:00:00"/>
    <s v="FISOFO"/>
    <n v="2516.6799999999998"/>
    <x v="5"/>
    <x v="0"/>
  </r>
  <r>
    <n v="23760627"/>
    <n v="3312602707"/>
    <x v="0"/>
    <n v="4938.1899999999996"/>
    <m/>
    <n v="1481.4569999999999"/>
    <n v="765.21"/>
    <m/>
    <m/>
    <m/>
    <x v="6"/>
    <x v="0"/>
  </r>
  <r>
    <n v="23737786"/>
    <m/>
    <x v="0"/>
    <n v="6279.1299999999992"/>
    <n v="818.69"/>
    <n v="1883.7389999999996"/>
    <n v="1065.0489999999995"/>
    <d v="2027-11-01T00:00:00"/>
    <s v="INBURSA"/>
    <n v="818.69"/>
    <x v="6"/>
    <x v="0"/>
  </r>
  <r>
    <n v="23737964"/>
    <m/>
    <x v="1"/>
    <n v="10636.54"/>
    <m/>
    <n v="3190.962"/>
    <n v="3190.962"/>
    <m/>
    <m/>
    <m/>
    <x v="7"/>
    <x v="0"/>
  </r>
  <r>
    <n v="23738744"/>
    <m/>
    <x v="1"/>
    <n v="8179.32"/>
    <m/>
    <n v="2453.7959999999998"/>
    <n v="2453.7959999999998"/>
    <m/>
    <m/>
    <m/>
    <x v="1"/>
    <x v="0"/>
  </r>
  <r>
    <n v="23739672"/>
    <m/>
    <x v="1"/>
    <n v="16623.22"/>
    <m/>
    <n v="4986.9660000000003"/>
    <n v="4986.9660000000003"/>
    <m/>
    <m/>
    <m/>
    <x v="8"/>
    <x v="0"/>
  </r>
  <r>
    <n v="23740390"/>
    <m/>
    <x v="1"/>
    <n v="9760.32"/>
    <m/>
    <n v="2928.096"/>
    <n v="2928.096"/>
    <m/>
    <m/>
    <m/>
    <x v="3"/>
    <x v="0"/>
  </r>
  <r>
    <n v="23740420"/>
    <m/>
    <x v="1"/>
    <n v="7920.51"/>
    <m/>
    <n v="2376.1529999999998"/>
    <n v="2376.1529999999998"/>
    <m/>
    <m/>
    <m/>
    <x v="2"/>
    <x v="0"/>
  </r>
  <r>
    <n v="23741302"/>
    <m/>
    <x v="1"/>
    <n v="5869.14"/>
    <m/>
    <n v="1760.742"/>
    <n v="1696.1600000000008"/>
    <m/>
    <m/>
    <m/>
    <x v="9"/>
    <x v="0"/>
  </r>
  <r>
    <n v="23744477"/>
    <m/>
    <x v="1"/>
    <n v="5427.74"/>
    <m/>
    <n v="1628.3219999999999"/>
    <n v="1254.7600000000002"/>
    <m/>
    <m/>
    <m/>
    <x v="9"/>
    <x v="0"/>
  </r>
  <r>
    <n v="23750439"/>
    <m/>
    <x v="0"/>
    <n v="4990.99"/>
    <m/>
    <n v="1497.2969999999998"/>
    <n v="818.01000000000022"/>
    <m/>
    <m/>
    <m/>
    <x v="0"/>
    <x v="0"/>
  </r>
  <r>
    <n v="23758273"/>
    <m/>
    <x v="2"/>
    <n v="7640.52"/>
    <n v="1876.19"/>
    <n v="2292.1559999999999"/>
    <n v="415.96599999999989"/>
    <d v="2024-11-01T00:00:00"/>
    <s v="BANCREA"/>
    <n v="1876.19"/>
    <x v="4"/>
    <x v="0"/>
  </r>
  <r>
    <n v="23759367"/>
    <m/>
    <x v="1"/>
    <n v="11029.03"/>
    <m/>
    <n v="3308.7090000000003"/>
    <n v="3308.7090000000003"/>
    <m/>
    <m/>
    <m/>
    <x v="7"/>
    <x v="0"/>
  </r>
  <r>
    <n v="23759203"/>
    <m/>
    <x v="1"/>
    <n v="9760.32"/>
    <m/>
    <n v="2928.096"/>
    <n v="2928.096"/>
    <m/>
    <m/>
    <m/>
    <x v="3"/>
    <x v="0"/>
  </r>
  <r>
    <n v="23762117"/>
    <m/>
    <x v="1"/>
    <n v="10636.54"/>
    <m/>
    <n v="3190.962"/>
    <n v="3190.962"/>
    <m/>
    <m/>
    <m/>
    <x v="8"/>
    <x v="0"/>
  </r>
  <r>
    <n v="23762755"/>
    <m/>
    <x v="2"/>
    <n v="7116.73"/>
    <n v="1885.98"/>
    <n v="2135.0189999999998"/>
    <n v="249.03899999999976"/>
    <d v="2025-02-01T00:00:00"/>
    <s v="DIMEX "/>
    <n v="1885.98"/>
    <x v="10"/>
    <x v="0"/>
  </r>
  <r>
    <n v="23763013"/>
    <m/>
    <x v="0"/>
    <n v="5264.19"/>
    <m/>
    <n v="1579.2569999999998"/>
    <n v="1091.21"/>
    <m/>
    <m/>
    <m/>
    <x v="6"/>
    <x v="0"/>
  </r>
  <r>
    <n v="23763727"/>
    <m/>
    <x v="2"/>
    <n v="32694.080000000002"/>
    <n v="8776.16"/>
    <n v="9808.2240000000002"/>
    <n v="1032.0640000000003"/>
    <d v="2026-07-01T00:00:00"/>
    <s v="MULTIVA "/>
    <n v="8776.16"/>
    <x v="8"/>
    <x v="0"/>
  </r>
  <r>
    <n v="23763821"/>
    <m/>
    <x v="1"/>
    <n v="7920.51"/>
    <m/>
    <n v="2376.1529999999998"/>
    <n v="2376.1529999999998"/>
    <m/>
    <m/>
    <m/>
    <x v="4"/>
    <x v="0"/>
  </r>
  <r>
    <n v="23764709"/>
    <m/>
    <x v="1"/>
    <n v="34782.28"/>
    <m/>
    <n v="10434.683999999999"/>
    <n v="10434.683999999999"/>
    <m/>
    <m/>
    <m/>
    <x v="11"/>
    <x v="0"/>
  </r>
  <r>
    <n v="23766332"/>
    <m/>
    <x v="1"/>
    <n v="21696.27"/>
    <m/>
    <n v="6508.8810000000003"/>
    <n v="6508.8810000000003"/>
    <m/>
    <m/>
    <m/>
    <x v="12"/>
    <x v="0"/>
  </r>
  <r>
    <n v="23766172"/>
    <m/>
    <x v="1"/>
    <n v="9081.52"/>
    <n v="848"/>
    <n v="2724.4560000000001"/>
    <n v="1876.4560000000001"/>
    <m/>
    <m/>
    <m/>
    <x v="10"/>
    <x v="0"/>
  </r>
  <r>
    <n v="23767716"/>
    <m/>
    <x v="1"/>
    <n v="15829.2"/>
    <m/>
    <n v="4748.76"/>
    <n v="4748.76"/>
    <m/>
    <m/>
    <m/>
    <x v="12"/>
    <x v="0"/>
  </r>
  <r>
    <n v="23770750"/>
    <m/>
    <x v="0"/>
    <n v="9760.32"/>
    <n v="2291.11"/>
    <n v="2928.096"/>
    <n v="636.98599999999988"/>
    <d v="2027-06-01T00:00:00"/>
    <s v="PROFUTURO"/>
    <n v="2291.11"/>
    <x v="6"/>
    <x v="0"/>
  </r>
  <r>
    <n v="23772642"/>
    <m/>
    <x v="1"/>
    <n v="11344.78"/>
    <m/>
    <n v="3403.4340000000002"/>
    <n v="3403.4340000000002"/>
    <m/>
    <m/>
    <m/>
    <x v="12"/>
    <x v="0"/>
  </r>
  <r>
    <n v="23772650"/>
    <m/>
    <x v="1"/>
    <n v="23704.43"/>
    <m/>
    <n v="7111.3289999999997"/>
    <n v="7111.3289999999997"/>
    <m/>
    <m/>
    <m/>
    <x v="5"/>
    <x v="0"/>
  </r>
  <r>
    <n v="23772790"/>
    <m/>
    <x v="1"/>
    <n v="10636.54"/>
    <m/>
    <n v="3190.962"/>
    <n v="3190.962"/>
    <m/>
    <m/>
    <m/>
    <x v="7"/>
    <x v="0"/>
  </r>
  <r>
    <n v="23774854"/>
    <m/>
    <x v="1"/>
    <n v="6262.86"/>
    <m/>
    <n v="1878.8579999999997"/>
    <n v="1878.8579999999997"/>
    <m/>
    <m/>
    <m/>
    <x v="10"/>
    <x v="0"/>
  </r>
  <r>
    <n v="23773976"/>
    <m/>
    <x v="2"/>
    <n v="7920.51"/>
    <n v="2198.9699999999998"/>
    <n v="2376.1529999999998"/>
    <n v="177.18299999999999"/>
    <d v="2026-05-01T00:00:00"/>
    <s v="INBURSA"/>
    <n v="2198.9699999999998"/>
    <x v="13"/>
    <x v="0"/>
  </r>
  <r>
    <n v="23698706"/>
    <m/>
    <x v="0"/>
    <n v="15982.23"/>
    <n v="3917.65"/>
    <n v="4794.6689999999999"/>
    <n v="877.01899999999978"/>
    <d v="2026-09-01T00:00:00"/>
    <s v="MULTIVA"/>
    <n v="3917.65"/>
    <x v="6"/>
    <x v="0"/>
  </r>
  <r>
    <n v="23173018"/>
    <m/>
    <x v="1"/>
    <m/>
    <m/>
    <n v="6120.63"/>
    <n v="6120.63"/>
    <m/>
    <m/>
    <m/>
    <x v="12"/>
    <x v="0"/>
  </r>
  <r>
    <n v="23776350"/>
    <m/>
    <x v="2"/>
    <n v="6262.86"/>
    <n v="1651.84"/>
    <n v="1878.8579999999997"/>
    <n v="227.0179999999998"/>
    <d v="2025-09-01T00:00:00"/>
    <s v="INBURSA"/>
    <n v="1651.84"/>
    <x v="9"/>
    <x v="0"/>
  </r>
  <r>
    <n v="23776894"/>
    <m/>
    <x v="0"/>
    <n v="5348.64"/>
    <m/>
    <n v="1604.5920000000001"/>
    <n v="1175.6600000000008"/>
    <m/>
    <m/>
    <m/>
    <x v="0"/>
    <x v="0"/>
  </r>
  <r>
    <n v="23774524"/>
    <n v="5213141504450"/>
    <x v="1"/>
    <n v="7128.48"/>
    <m/>
    <n v="2138.5439999999999"/>
    <n v="2138.5439999999999"/>
    <m/>
    <m/>
    <m/>
    <x v="14"/>
    <x v="0"/>
  </r>
  <r>
    <n v="23756631"/>
    <n v="5216146108218"/>
    <x v="2"/>
    <n v="7116.73"/>
    <n v="1298.8399999999999"/>
    <n v="2135.0189999999998"/>
    <n v="836.17899999999986"/>
    <n v="45748"/>
    <s v="DIMEX"/>
    <n v="1298.8399999999999"/>
    <x v="15"/>
    <x v="0"/>
  </r>
  <r>
    <n v="23777564"/>
    <m/>
    <x v="1"/>
    <n v="50977.74"/>
    <m/>
    <n v="15293.321999999998"/>
    <n v="15293.321999999998"/>
    <m/>
    <m/>
    <m/>
    <x v="11"/>
    <x v="0"/>
  </r>
  <r>
    <n v="23777900"/>
    <m/>
    <x v="0"/>
    <n v="48524.57"/>
    <n v="13998.01"/>
    <n v="14557.370999999999"/>
    <n v="559.36099999999897"/>
    <d v="2027-07-01T00:00:00"/>
    <s v="CONSUBANCO"/>
    <n v="13998.01"/>
    <x v="16"/>
    <x v="0"/>
  </r>
  <r>
    <n v="23766352"/>
    <n v="8120062139"/>
    <x v="1"/>
    <n v="10810.94"/>
    <n v="486"/>
    <n v="3243.2820000000002"/>
    <n v="2757.2820000000002"/>
    <m/>
    <m/>
    <m/>
    <x v="1"/>
    <x v="1"/>
  </r>
  <r>
    <n v="23775160"/>
    <n v="5519838341"/>
    <x v="1"/>
    <n v="9408.02"/>
    <m/>
    <n v="2822.4059999999999"/>
    <n v="2822.4059999999999"/>
    <m/>
    <m/>
    <m/>
    <x v="2"/>
    <x v="1"/>
  </r>
  <r>
    <n v="23778924"/>
    <m/>
    <x v="1"/>
    <n v="15324.13"/>
    <m/>
    <n v="4597.2389999999996"/>
    <n v="4597.2389999999996"/>
    <m/>
    <m/>
    <m/>
    <x v="8"/>
    <x v="1"/>
  </r>
  <r>
    <n v="23782672"/>
    <m/>
    <x v="1"/>
    <n v="7128.48"/>
    <m/>
    <n v="2138.5439999999999"/>
    <n v="2138.5439999999999"/>
    <m/>
    <m/>
    <m/>
    <x v="13"/>
    <x v="1"/>
  </r>
  <r>
    <n v="23793734"/>
    <m/>
    <x v="1"/>
    <n v="5654.65"/>
    <m/>
    <n v="1696.3949999999998"/>
    <n v="1481.67"/>
    <m/>
    <m/>
    <m/>
    <x v="4"/>
    <x v="1"/>
  </r>
  <r>
    <n v="23794024"/>
    <m/>
    <x v="0"/>
    <n v="4855.6899999999996"/>
    <m/>
    <n v="1456.7069999999999"/>
    <n v="682.71"/>
    <m/>
    <m/>
    <m/>
    <x v="6"/>
    <x v="1"/>
  </r>
  <r>
    <n v="23795654"/>
    <m/>
    <x v="0"/>
    <n v="5130.33"/>
    <m/>
    <n v="1539.0989999999999"/>
    <n v="957.35000000000036"/>
    <m/>
    <m/>
    <m/>
    <x v="6"/>
    <x v="1"/>
  </r>
  <r>
    <n v="23767886"/>
    <m/>
    <x v="4"/>
    <n v="32756.19"/>
    <n v="9476.2000000000007"/>
    <n v="9826.857"/>
    <n v="350.65699999999924"/>
    <d v="2026-07-01T00:00:00"/>
    <s v="BANCREA"/>
    <n v="405.2"/>
    <x v="6"/>
    <x v="1"/>
  </r>
  <r>
    <n v="23064204"/>
    <n v="7225720606"/>
    <x v="1"/>
    <n v="10951.74"/>
    <m/>
    <n v="3285.5219999999999"/>
    <n v="3285.5219999999999"/>
    <m/>
    <m/>
    <m/>
    <x v="6"/>
    <x v="1"/>
  </r>
  <r>
    <n v="23798624"/>
    <n v="5214871162058"/>
    <x v="1"/>
    <n v="5760.79"/>
    <m/>
    <n v="1728.2369999999999"/>
    <n v="1587.8100000000004"/>
    <m/>
    <m/>
    <m/>
    <x v="15"/>
    <x v="1"/>
  </r>
  <r>
    <n v="23694574"/>
    <n v="5215513904730"/>
    <x v="1"/>
    <n v="25806.09"/>
    <m/>
    <n v="7741.8269999999993"/>
    <n v="7741.8269999999993"/>
    <m/>
    <m/>
    <m/>
    <x v="11"/>
    <x v="1"/>
  </r>
  <r>
    <n v="23729930"/>
    <n v="5216673885168"/>
    <x v="4"/>
    <n v="5055.87"/>
    <n v="1234.26"/>
    <n v="1516.761"/>
    <n v="-351.36999999999966"/>
    <n v="46082"/>
    <s v="EXITUS"/>
    <n v="374.89"/>
    <x v="0"/>
    <x v="1"/>
  </r>
  <r>
    <n v="23795136"/>
    <n v="5216562872773"/>
    <x v="1"/>
    <n v="7920.51"/>
    <m/>
    <n v="2376.1529999999998"/>
    <n v="2376.1529999999998"/>
    <m/>
    <m/>
    <m/>
    <x v="4"/>
    <x v="1"/>
  </r>
  <r>
    <n v="23795674"/>
    <n v="5219985720990"/>
    <x v="1"/>
    <n v="25398.43"/>
    <m/>
    <n v="7619.5289999999995"/>
    <n v="7619.5289999999995"/>
    <m/>
    <m/>
    <m/>
    <x v="11"/>
    <x v="1"/>
  </r>
  <r>
    <n v="23802368"/>
    <m/>
    <x v="0"/>
    <n v="9081.52"/>
    <n v="2349.9699999999998"/>
    <n v="2724.4560000000001"/>
    <n v="374.48600000000033"/>
    <d v="2027-09-01T00:00:00"/>
    <s v="DIMEX "/>
    <n v="2349.9699999999998"/>
    <x v="0"/>
    <x v="1"/>
  </r>
  <r>
    <n v="23798552"/>
    <m/>
    <x v="0"/>
    <n v="5070.78"/>
    <m/>
    <n v="1521.2339999999999"/>
    <n v="897.80000000000018"/>
    <m/>
    <m/>
    <m/>
    <x v="16"/>
    <x v="1"/>
  </r>
  <r>
    <n v="23804924"/>
    <m/>
    <x v="0"/>
    <n v="5617.64"/>
    <n v="555.19000000000005"/>
    <n v="1685.2920000000001"/>
    <n v="889.47000000000071"/>
    <d v="2026-10-01T00:00:00"/>
    <s v="INBURSA"/>
    <n v="555.19000000000005"/>
    <x v="16"/>
    <x v="1"/>
  </r>
  <r>
    <n v="23799212"/>
    <n v="8110693461"/>
    <x v="1"/>
    <n v="12454"/>
    <m/>
    <n v="3736.2"/>
    <n v="3736.2"/>
    <m/>
    <m/>
    <m/>
    <x v="3"/>
    <x v="1"/>
  </r>
  <r>
    <n v="23807678"/>
    <m/>
    <x v="0"/>
    <n v="9760.32"/>
    <n v="2240.69"/>
    <n v="2928.096"/>
    <n v="687.40599999999995"/>
    <d v="2027-10-01T00:00:00"/>
    <s v="DIMEX "/>
    <n v="2240.69"/>
    <x v="0"/>
    <x v="1"/>
  </r>
  <r>
    <n v="23808074"/>
    <m/>
    <x v="1"/>
    <n v="9760.32"/>
    <m/>
    <n v="2928.096"/>
    <n v="2928.096"/>
    <m/>
    <m/>
    <m/>
    <x v="17"/>
    <x v="1"/>
  </r>
  <r>
    <n v="23803036"/>
    <n v="5215545386691"/>
    <x v="1"/>
    <n v="10636.54"/>
    <m/>
    <n v="3190.962"/>
    <n v="3190.962"/>
    <m/>
    <m/>
    <m/>
    <x v="3"/>
    <x v="1"/>
  </r>
  <r>
    <n v="23773002"/>
    <n v="8994499174"/>
    <x v="1"/>
    <n v="5983.25"/>
    <m/>
    <n v="1794.9749999999999"/>
    <n v="1794.9749999999999"/>
    <m/>
    <m/>
    <m/>
    <x v="15"/>
    <x v="1"/>
  </r>
  <r>
    <n v="22903402"/>
    <n v="5217717412056"/>
    <x v="1"/>
    <n v="28690.84"/>
    <n v="6156.82"/>
    <n v="8607.2520000000004"/>
    <n v="2450.4320000000007"/>
    <n v="46600"/>
    <s v="PROFUTURO"/>
    <n v="3762.83"/>
    <x v="9"/>
    <x v="1"/>
  </r>
  <r>
    <n v="23809056"/>
    <n v="8443562001"/>
    <x v="1"/>
    <n v="10229.02"/>
    <m/>
    <n v="3068.7060000000001"/>
    <n v="3068.7060000000001"/>
    <m/>
    <m/>
    <m/>
    <x v="3"/>
    <x v="1"/>
  </r>
  <r>
    <n v="23811054"/>
    <m/>
    <x v="1"/>
    <n v="10636.54"/>
    <m/>
    <n v="3190.962"/>
    <n v="3190.962"/>
    <m/>
    <m/>
    <m/>
    <x v="11"/>
    <x v="1"/>
  </r>
  <r>
    <n v="23807862"/>
    <n v="5216566753842"/>
    <x v="1"/>
    <n v="16470.3"/>
    <n v="1794"/>
    <n v="4941.0899999999992"/>
    <n v="3147.0899999999992"/>
    <n v="46478"/>
    <s v="DIMEX"/>
    <n v="1794"/>
    <x v="11"/>
    <x v="1"/>
  </r>
  <r>
    <n v="23808822"/>
    <n v="5216568157139"/>
    <x v="2"/>
    <n v="9081.52"/>
    <n v="2521.35"/>
    <n v="2724.4560000000001"/>
    <n v="203.10600000000022"/>
    <n v="46204"/>
    <s v="DIMEX"/>
    <n v="2521.35"/>
    <x v="18"/>
    <x v="1"/>
  </r>
  <r>
    <n v="23812146"/>
    <m/>
    <x v="4"/>
    <n v="5121.1899999999996"/>
    <n v="877.51"/>
    <n v="1536.3569999999997"/>
    <n v="70.700000000000045"/>
    <d v="2026-08-01T00:00:00"/>
    <s v="MULTIVA"/>
    <n v="877.51"/>
    <x v="16"/>
    <x v="1"/>
  </r>
  <r>
    <n v="23812978"/>
    <m/>
    <x v="1"/>
    <n v="10636.54"/>
    <m/>
    <n v="3190.962"/>
    <n v="3190.962"/>
    <m/>
    <m/>
    <m/>
    <x v="17"/>
    <x v="2"/>
  </r>
  <r>
    <n v="23813726"/>
    <m/>
    <x v="1"/>
    <n v="24372.71"/>
    <n v="848"/>
    <n v="7311.8129999999992"/>
    <n v="6463.8129999999992"/>
    <m/>
    <m/>
    <m/>
    <x v="3"/>
    <x v="2"/>
  </r>
  <r>
    <n v="23814640"/>
    <m/>
    <x v="4"/>
    <n v="4332.32"/>
    <n v="472.72"/>
    <n v="1299.6959999999999"/>
    <n v="-313.37999999999988"/>
    <d v="2025-01-01T00:00:00"/>
    <s v="EXITUS"/>
    <n v="472.72"/>
    <x v="6"/>
    <x v="2"/>
  </r>
  <r>
    <n v="23737228"/>
    <n v="5218442806796"/>
    <x v="1"/>
    <n v="9277.0499999999993"/>
    <m/>
    <n v="2783.1149999999998"/>
    <n v="2783.1149999999998"/>
    <m/>
    <m/>
    <m/>
    <x v="2"/>
    <x v="2"/>
  </r>
  <r>
    <n v="23774532"/>
    <n v="5214772736540"/>
    <x v="1"/>
    <n v="10636.54"/>
    <m/>
    <n v="3190.962"/>
    <n v="3190.962"/>
    <m/>
    <m/>
    <m/>
    <x v="3"/>
    <x v="2"/>
  </r>
  <r>
    <n v="23662598"/>
    <n v="5219371543936"/>
    <x v="4"/>
    <n v="5617.63"/>
    <n v="1178.06"/>
    <n v="1685.289"/>
    <n v="266.5900000000006"/>
    <n v="45474"/>
    <s v="BANCREA"/>
    <n v="1178.06"/>
    <x v="6"/>
    <x v="2"/>
  </r>
  <r>
    <n v="23819870"/>
    <n v="5218180158985"/>
    <x v="3"/>
    <n v="7116.73"/>
    <n v="1750.44"/>
    <n v="2135.0189999999998"/>
    <n v="384.57899999999972"/>
    <n v="45627"/>
    <s v="FISOFO"/>
    <n v="1750.44"/>
    <x v="5"/>
    <x v="2"/>
  </r>
  <r>
    <n v="23813562"/>
    <n v="5216682470717"/>
    <x v="1"/>
    <n v="5636.59"/>
    <m/>
    <n v="1690.9770000000001"/>
    <n v="1463.6100000000006"/>
    <m/>
    <m/>
    <m/>
    <x v="15"/>
    <x v="2"/>
  </r>
  <r>
    <n v="23673046"/>
    <n v="5216692740045"/>
    <x v="0"/>
    <n v="4813.6899999999996"/>
    <m/>
    <n v="1444.1069999999997"/>
    <n v="640.71"/>
    <m/>
    <m/>
    <m/>
    <x v="0"/>
    <x v="3"/>
  </r>
  <r>
    <n v="23812196"/>
    <n v="5212281205645"/>
    <x v="1"/>
    <n v="20215.53"/>
    <m/>
    <n v="6064.6589999999997"/>
    <n v="6064.6589999999997"/>
    <m/>
    <m/>
    <m/>
    <x v="8"/>
    <x v="4"/>
  </r>
  <r>
    <n v="23927594"/>
    <m/>
    <x v="1"/>
    <n v="6770.59"/>
    <m/>
    <n v="2031.1769999999999"/>
    <n v="2031.1769999999999"/>
    <m/>
    <m/>
    <m/>
    <x v="8"/>
    <x v="5"/>
  </r>
  <r>
    <n v="24013392"/>
    <m/>
    <x v="0"/>
    <n v="5324.51"/>
    <m/>
    <n v="1597.3530000000001"/>
    <n v="1151.5300000000007"/>
    <m/>
    <m/>
    <m/>
    <x v="6"/>
    <x v="5"/>
  </r>
  <r>
    <n v="24021264"/>
    <m/>
    <x v="1"/>
    <n v="9081.52"/>
    <m/>
    <n v="2724.4560000000001"/>
    <n v="2724.4560000000001"/>
    <m/>
    <m/>
    <m/>
    <x v="3"/>
    <x v="5"/>
  </r>
  <r>
    <n v="23486806"/>
    <m/>
    <x v="3"/>
    <n v="9940.11"/>
    <n v="2851.21"/>
    <n v="2982.0329999999999"/>
    <n v="130.82299999999987"/>
    <d v="2025-07-01T00:00:00"/>
    <s v="FISOFO"/>
    <n v="701.9"/>
    <x v="5"/>
    <x v="6"/>
  </r>
  <r>
    <n v="24117438"/>
    <n v="5212283666861"/>
    <x v="1"/>
    <n v="37235.910000000003"/>
    <m/>
    <n v="11170.773000000001"/>
    <n v="11170.773000000001"/>
    <m/>
    <m/>
    <m/>
    <x v="8"/>
    <x v="7"/>
  </r>
  <r>
    <n v="24113202"/>
    <m/>
    <x v="1"/>
    <n v="24131.13"/>
    <m/>
    <n v="7239.3389999999999"/>
    <n v="7239.3389999999999"/>
    <m/>
    <m/>
    <m/>
    <x v="12"/>
    <x v="7"/>
  </r>
  <r>
    <n v="24111990"/>
    <m/>
    <x v="0"/>
    <n v="11992.23"/>
    <n v="2615.17"/>
    <n v="3597.6689999999999"/>
    <n v="982.4989999999998"/>
    <d v="2027-08-01T00:00:00"/>
    <s v="DIMEX "/>
    <n v="2615.17"/>
    <x v="0"/>
    <x v="7"/>
  </r>
  <r>
    <n v="24117982"/>
    <m/>
    <x v="1"/>
    <n v="8181.55"/>
    <m/>
    <n v="2454.4650000000001"/>
    <n v="2454.4650000000001"/>
    <m/>
    <m/>
    <m/>
    <x v="3"/>
    <x v="7"/>
  </r>
  <r>
    <n v="24117978"/>
    <m/>
    <x v="2"/>
    <n v="7116.73"/>
    <n v="2135"/>
    <n v="2135.0189999999998"/>
    <n v="1.8999999999778083E-2"/>
    <s v="07/20226"/>
    <s v="GFI APOYO"/>
    <n v="1817"/>
    <x v="9"/>
    <x v="7"/>
  </r>
  <r>
    <n v="24123874"/>
    <m/>
    <x v="1"/>
    <n v="11398.64"/>
    <m/>
    <n v="3419.5919999999996"/>
    <n v="3419.5919999999996"/>
    <m/>
    <m/>
    <m/>
    <x v="5"/>
    <x v="7"/>
  </r>
  <r>
    <n v="24125462"/>
    <m/>
    <x v="1"/>
    <n v="10636.54"/>
    <m/>
    <n v="3190.962"/>
    <n v="3190.962"/>
    <m/>
    <m/>
    <m/>
    <x v="8"/>
    <x v="7"/>
  </r>
  <r>
    <n v="24125120"/>
    <m/>
    <x v="1"/>
    <n v="9760.32"/>
    <m/>
    <n v="2928.096"/>
    <n v="2928.096"/>
    <m/>
    <m/>
    <m/>
    <x v="5"/>
    <x v="7"/>
  </r>
  <r>
    <n v="24126148"/>
    <m/>
    <x v="2"/>
    <n v="5617.63"/>
    <n v="1334.29"/>
    <n v="1685.289"/>
    <n v="110.36000000000058"/>
    <d v="2026-09-01T00:00:00"/>
    <s v="INBURSA"/>
    <n v="1334.29"/>
    <x v="10"/>
    <x v="7"/>
  </r>
  <r>
    <n v="24126504"/>
    <m/>
    <x v="2"/>
    <n v="12588.16"/>
    <n v="3159.28"/>
    <n v="3776.4479999999999"/>
    <n v="617.16799999999967"/>
    <d v="2023-05-01T00:00:00"/>
    <s v="DIMEX "/>
    <n v="1893.28"/>
    <x v="15"/>
    <x v="7"/>
  </r>
  <r>
    <n v="24126060"/>
    <m/>
    <x v="4"/>
    <n v="4813.6899999999996"/>
    <n v="746.39"/>
    <n v="1444.1069999999997"/>
    <n v="-105.67999999999995"/>
    <d v="2024-03-01T00:00:00"/>
    <s v="EXITUS"/>
    <n v="746.39"/>
    <x v="6"/>
    <x v="7"/>
  </r>
  <r>
    <n v="24128120"/>
    <m/>
    <x v="4"/>
    <n v="44021.63"/>
    <n v="12736.51"/>
    <n v="13206.489"/>
    <n v="469.97899999999936"/>
    <d v="2026-03-01T00:00:00"/>
    <s v="BANCREA"/>
    <n v="540.05999999999995"/>
    <x v="0"/>
    <x v="7"/>
  </r>
  <r>
    <n v="23551540"/>
    <m/>
    <x v="0"/>
    <n v="6262.86"/>
    <n v="993.52"/>
    <n v="1878.8579999999997"/>
    <n v="885.33799999999974"/>
    <d v="2026-12-01T00:00:00"/>
    <s v="BANCREA"/>
    <n v="720.33"/>
    <x v="6"/>
    <x v="7"/>
  </r>
  <r>
    <n v="24114178"/>
    <n v="5219994215990"/>
    <x v="2"/>
    <n v="7921.51"/>
    <n v="2188.77"/>
    <n v="2376.453"/>
    <n v="187.68299999999999"/>
    <n v="46143"/>
    <s v="DIMEX"/>
    <n v="2188.77"/>
    <x v="14"/>
    <x v="7"/>
  </r>
  <r>
    <n v="24115106"/>
    <n v="5218112056285"/>
    <x v="1"/>
    <n v="10636.54"/>
    <m/>
    <n v="3190.962"/>
    <n v="3190.962"/>
    <m/>
    <m/>
    <m/>
    <x v="12"/>
    <x v="7"/>
  </r>
  <r>
    <n v="24132154"/>
    <m/>
    <x v="1"/>
    <n v="7920.51"/>
    <m/>
    <n v="2376.1529999999998"/>
    <n v="2376.1529999999998"/>
    <m/>
    <m/>
    <m/>
    <x v="4"/>
    <x v="7"/>
  </r>
  <r>
    <n v="24120922"/>
    <n v="5217221642447"/>
    <x v="1"/>
    <n v="10636.54"/>
    <m/>
    <n v="3190.962"/>
    <n v="3190.962"/>
    <m/>
    <m/>
    <m/>
    <x v="17"/>
    <x v="7"/>
  </r>
  <r>
    <n v="24118172"/>
    <n v="5217444734971"/>
    <x v="1"/>
    <n v="5642.22"/>
    <m/>
    <n v="1692.6659999999999"/>
    <n v="1469.2400000000007"/>
    <m/>
    <m/>
    <m/>
    <x v="9"/>
    <x v="7"/>
  </r>
  <r>
    <n v="24112100"/>
    <n v="5212462966441"/>
    <x v="0"/>
    <n v="4931.3599999999997"/>
    <m/>
    <n v="1479.4079999999999"/>
    <n v="758.38000000000011"/>
    <m/>
    <m/>
    <m/>
    <x v="0"/>
    <x v="7"/>
  </r>
  <r>
    <n v="24134834"/>
    <m/>
    <x v="1"/>
    <n v="9760.32"/>
    <m/>
    <n v="2928.096"/>
    <n v="2928.096"/>
    <m/>
    <m/>
    <m/>
    <x v="14"/>
    <x v="7"/>
  </r>
  <r>
    <n v="24135332"/>
    <m/>
    <x v="1"/>
    <n v="10093.08"/>
    <m/>
    <n v="3027.924"/>
    <n v="3027.924"/>
    <m/>
    <m/>
    <m/>
    <x v="8"/>
    <x v="7"/>
  </r>
  <r>
    <n v="24136138"/>
    <m/>
    <x v="1"/>
    <n v="7116.73"/>
    <m/>
    <n v="2135.0189999999998"/>
    <n v="2135.0189999999998"/>
    <m/>
    <m/>
    <m/>
    <x v="4"/>
    <x v="7"/>
  </r>
  <r>
    <n v="24123358"/>
    <n v="5219871058155"/>
    <x v="1"/>
    <n v="19872.09"/>
    <m/>
    <n v="5961.6269999999995"/>
    <n v="5961.6269999999995"/>
    <m/>
    <m/>
    <m/>
    <x v="17"/>
    <x v="7"/>
  </r>
  <r>
    <n v="24118148"/>
    <n v="5212292254903"/>
    <x v="2"/>
    <n v="13805.41"/>
    <n v="3832.87"/>
    <n v="4141.6229999999996"/>
    <n v="308.7529999999997"/>
    <n v="46266"/>
    <s v="BANCREA"/>
    <n v="3832.87"/>
    <x v="12"/>
    <x v="7"/>
  </r>
  <r>
    <n v="24117474"/>
    <n v="5216142705588"/>
    <x v="1"/>
    <n v="26742.560000000001"/>
    <n v="4057.65"/>
    <n v="8022.768"/>
    <n v="3965.1179999999999"/>
    <n v="46419"/>
    <s v="PROFUTURO "/>
    <n v="4057.65"/>
    <x v="3"/>
    <x v="7"/>
  </r>
  <r>
    <n v="24129398"/>
    <m/>
    <x v="2"/>
    <n v="9081.52"/>
    <n v="2722.76"/>
    <n v="2724.4560000000001"/>
    <n v="1.6959999999999127"/>
    <d v="2026-07-01T00:00:00"/>
    <s v="PROFUTURO"/>
    <n v="2521.35"/>
    <x v="14"/>
    <x v="7"/>
  </r>
  <r>
    <n v="24137096"/>
    <m/>
    <x v="4"/>
    <n v="7116.73"/>
    <n v="1197.79"/>
    <n v="2135.0189999999998"/>
    <n v="937.22899999999981"/>
    <d v="2026-04-01T00:00:00"/>
    <s v="PROFUTURO"/>
    <n v="1197.79"/>
    <x v="0"/>
    <x v="7"/>
  </r>
  <r>
    <n v="24131178"/>
    <n v="5218671988164"/>
    <x v="1"/>
    <n v="11029.03"/>
    <m/>
    <n v="3308.7090000000003"/>
    <n v="3308.7090000000003"/>
    <m/>
    <m/>
    <m/>
    <x v="17"/>
    <x v="7"/>
  </r>
  <r>
    <n v="24127866"/>
    <n v="5218342687555"/>
    <x v="4"/>
    <n v="4813.1000000000004"/>
    <n v="565.59"/>
    <n v="1443.93"/>
    <n v="74.530000000000769"/>
    <n v="45931"/>
    <s v="FORTALEZA"/>
    <n v="565.59"/>
    <x v="6"/>
    <x v="7"/>
  </r>
  <r>
    <n v="24140548"/>
    <m/>
    <x v="1"/>
    <n v="22578.66"/>
    <n v="2799.95"/>
    <n v="6773.598"/>
    <n v="3973.6480000000001"/>
    <d v="2027-05-01T00:00:00"/>
    <s v="INBURSA"/>
    <n v="2799.95"/>
    <x v="8"/>
    <x v="8"/>
  </r>
  <r>
    <n v="24140376"/>
    <m/>
    <x v="2"/>
    <n v="13520.47"/>
    <n v="3908.67"/>
    <n v="4056.1409999999996"/>
    <n v="147.47099999999955"/>
    <d v="2025-08-01T00:00:00"/>
    <s v="FORTALEZA"/>
    <n v="3021.31"/>
    <x v="3"/>
    <x v="8"/>
  </r>
  <r>
    <n v="24142594"/>
    <m/>
    <x v="1"/>
    <n v="10171.24"/>
    <m/>
    <n v="3051.3719999999998"/>
    <n v="3051.3719999999998"/>
    <m/>
    <m/>
    <m/>
    <x v="12"/>
    <x v="8"/>
  </r>
  <r>
    <n v="24142600"/>
    <m/>
    <x v="2"/>
    <n v="21559.83"/>
    <n v="6465.08"/>
    <n v="6467.9490000000005"/>
    <n v="2.8690000000005966"/>
    <d v="2026-01-01T00:00:00"/>
    <s v="BANCREA"/>
    <n v="5569.87"/>
    <x v="5"/>
    <x v="8"/>
  </r>
  <r>
    <n v="24143832"/>
    <m/>
    <x v="1"/>
    <n v="9760.32"/>
    <m/>
    <n v="2928.096"/>
    <n v="2928.096"/>
    <m/>
    <m/>
    <m/>
    <x v="14"/>
    <x v="8"/>
  </r>
  <r>
    <n v="24154706"/>
    <m/>
    <x v="1"/>
    <n v="10636.54"/>
    <m/>
    <n v="3190.962"/>
    <n v="3190.962"/>
    <m/>
    <m/>
    <m/>
    <x v="18"/>
    <x v="8"/>
  </r>
  <r>
    <n v="24155064"/>
    <m/>
    <x v="1"/>
    <n v="38440.160000000003"/>
    <m/>
    <n v="11532.048000000001"/>
    <n v="11532.048000000001"/>
    <m/>
    <m/>
    <m/>
    <x v="8"/>
    <x v="8"/>
  </r>
  <r>
    <n v="24155260"/>
    <m/>
    <x v="2"/>
    <n v="11545.07"/>
    <n v="3205.32"/>
    <n v="3463.5209999999997"/>
    <n v="258.20099999999957"/>
    <d v="2026-09-01T00:00:00"/>
    <s v="INBURSA"/>
    <n v="3205.32"/>
    <x v="12"/>
    <x v="8"/>
  </r>
  <r>
    <n v="24153432"/>
    <n v="5218441100397"/>
    <x v="1"/>
    <n v="29895.68"/>
    <m/>
    <n v="8968.7039999999997"/>
    <n v="8968.7039999999997"/>
    <m/>
    <m/>
    <m/>
    <x v="18"/>
    <x v="8"/>
  </r>
  <r>
    <n v="24155744"/>
    <m/>
    <x v="1"/>
    <n v="52406.17"/>
    <m/>
    <n v="15721.850999999999"/>
    <n v="15721.850999999999"/>
    <m/>
    <m/>
    <m/>
    <x v="8"/>
    <x v="8"/>
  </r>
  <r>
    <n v="24130534"/>
    <n v="5219992333696"/>
    <x v="1"/>
    <n v="31212.5"/>
    <m/>
    <n v="9363.75"/>
    <n v="9363.75"/>
    <m/>
    <m/>
    <m/>
    <x v="12"/>
    <x v="8"/>
  </r>
  <r>
    <n v="24150794"/>
    <n v="5215562550018"/>
    <x v="3"/>
    <n v="12155.49"/>
    <n v="3216.2"/>
    <n v="3646.6469999999999"/>
    <n v="430.44700000000012"/>
    <n v="45748"/>
    <s v="CONSUBANCO"/>
    <n v="3216.2"/>
    <x v="5"/>
    <x v="8"/>
  </r>
  <r>
    <n v="23637202"/>
    <n v="4524803866"/>
    <x v="0"/>
    <n v="4785.93"/>
    <m/>
    <n v="1435.779"/>
    <n v="612.95000000000073"/>
    <m/>
    <m/>
    <m/>
    <x v="0"/>
    <x v="8"/>
  </r>
  <r>
    <n v="24156958"/>
    <m/>
    <x v="1"/>
    <n v="10636.54"/>
    <m/>
    <n v="3190.962"/>
    <n v="3190.962"/>
    <m/>
    <m/>
    <m/>
    <x v="3"/>
    <x v="8"/>
  </r>
  <r>
    <n v="24156688"/>
    <m/>
    <x v="0"/>
    <n v="5046.1899999999996"/>
    <m/>
    <n v="1513.8569999999997"/>
    <n v="873.21"/>
    <m/>
    <m/>
    <m/>
    <x v="6"/>
    <x v="8"/>
  </r>
  <r>
    <n v="24156542"/>
    <m/>
    <x v="1"/>
    <n v="25322.740000000005"/>
    <m/>
    <n v="7596.822000000001"/>
    <n v="7596.822000000001"/>
    <m/>
    <m/>
    <m/>
    <x v="18"/>
    <x v="8"/>
  </r>
  <r>
    <n v="24158638"/>
    <m/>
    <x v="0"/>
    <n v="31962.39"/>
    <n v="8873.1200000000008"/>
    <n v="9588.7169999999987"/>
    <n v="715.59699999999793"/>
    <d v="2027-02-01T00:00:00"/>
    <s v="MULTIVA"/>
    <n v="8873.1200000000008"/>
    <x v="6"/>
    <x v="8"/>
  </r>
  <r>
    <n v="24159388"/>
    <m/>
    <x v="1"/>
    <n v="40832.199999999997"/>
    <m/>
    <n v="12249.659999999998"/>
    <n v="12249.659999999998"/>
    <m/>
    <m/>
    <m/>
    <x v="12"/>
    <x v="8"/>
  </r>
  <r>
    <n v="24161368"/>
    <m/>
    <x v="1"/>
    <n v="11029.03"/>
    <m/>
    <n v="3308.7090000000003"/>
    <n v="3308.7090000000003"/>
    <m/>
    <m/>
    <m/>
    <x v="17"/>
    <x v="8"/>
  </r>
  <r>
    <n v="24161588"/>
    <m/>
    <x v="1"/>
    <n v="30669.119999999999"/>
    <n v="3034.58"/>
    <n v="9200.735999999999"/>
    <n v="6166.155999999999"/>
    <d v="2027-08-01T00:00:00"/>
    <s v="MULTIVA"/>
    <n v="3034.58"/>
    <x v="17"/>
    <x v="8"/>
  </r>
  <r>
    <n v="24143942"/>
    <n v="5218332936862"/>
    <x v="2"/>
    <n v="18405.73"/>
    <n v="5317.06"/>
    <n v="5521.7190000000001"/>
    <n v="204.65899999999965"/>
    <n v="46054"/>
    <s v="INBURSA"/>
    <n v="4612.8100000000004"/>
    <x v="3"/>
    <x v="8"/>
  </r>
  <r>
    <n v="24155416"/>
    <n v="7713397243"/>
    <x v="1"/>
    <n v="5617.63"/>
    <m/>
    <n v="1685.289"/>
    <n v="1444.6500000000005"/>
    <m/>
    <m/>
    <m/>
    <x v="9"/>
    <x v="8"/>
  </r>
  <r>
    <n v="24150934"/>
    <n v="5215512866419"/>
    <x v="0"/>
    <n v="5060.93"/>
    <m/>
    <n v="1518.279"/>
    <n v="887.95000000000073"/>
    <m/>
    <m/>
    <m/>
    <x v="0"/>
    <x v="8"/>
  </r>
  <r>
    <n v="24143988"/>
    <n v="5216641204200"/>
    <x v="1"/>
    <n v="39970.82"/>
    <m/>
    <n v="11991.245999999999"/>
    <n v="11991.245999999999"/>
    <m/>
    <m/>
    <m/>
    <x v="18"/>
    <x v="8"/>
  </r>
  <r>
    <n v="24153144"/>
    <n v="5216183290969"/>
    <x v="1"/>
    <n v="10636.54"/>
    <m/>
    <n v="3190.962"/>
    <n v="3190.962"/>
    <m/>
    <m/>
    <m/>
    <x v="3"/>
    <x v="8"/>
  </r>
  <r>
    <n v="24156254"/>
    <n v="8110393719"/>
    <x v="0"/>
    <n v="19103.169999999998"/>
    <n v="5303.27"/>
    <n v="5730.9509999999991"/>
    <n v="427.68099999999868"/>
    <n v="46327"/>
    <s v="MULTIVA"/>
    <n v="5303.27"/>
    <x v="0"/>
    <x v="8"/>
  </r>
  <r>
    <n v="24133218"/>
    <n v="5216122046141"/>
    <x v="1"/>
    <n v="9760.320000000007"/>
    <m/>
    <n v="2928.0960000000018"/>
    <n v="2928.0960000000018"/>
    <m/>
    <m/>
    <m/>
    <x v="4"/>
    <x v="8"/>
  </r>
  <r>
    <n v="24167800"/>
    <n v="7551027655"/>
    <x v="1"/>
    <n v="22537.38"/>
    <m/>
    <n v="6761.2139999999999"/>
    <n v="6761.2139999999999"/>
    <m/>
    <m/>
    <m/>
    <x v="8"/>
    <x v="8"/>
  </r>
  <r>
    <n v="24162118"/>
    <n v="5212431089626"/>
    <x v="1"/>
    <n v="10636.54"/>
    <m/>
    <n v="3190.962"/>
    <n v="3190.962"/>
    <m/>
    <m/>
    <m/>
    <x v="5"/>
    <x v="8"/>
  </r>
  <r>
    <n v="24171110"/>
    <m/>
    <x v="1"/>
    <n v="10483.799999999999"/>
    <n v="848"/>
    <n v="3145.14"/>
    <n v="2297.14"/>
    <m/>
    <m/>
    <m/>
    <x v="14"/>
    <x v="8"/>
  </r>
  <r>
    <n v="24157472"/>
    <n v="6462266843"/>
    <x v="0"/>
    <n v="42004.43"/>
    <n v="12138.33"/>
    <n v="12601.329"/>
    <n v="462.9989999999998"/>
    <n v="46600"/>
    <s v="MULTIVA"/>
    <n v="12138.33"/>
    <x v="0"/>
    <x v="8"/>
  </r>
  <r>
    <n v="24171284"/>
    <m/>
    <x v="0"/>
    <n v="9760.32"/>
    <n v="2386.9"/>
    <n v="2928.096"/>
    <n v="541.19599999999991"/>
    <d v="2028-07-01T00:00:00"/>
    <s v="DIMEX "/>
    <n v="803.54"/>
    <x v="0"/>
    <x v="8"/>
  </r>
  <r>
    <n v="24172054"/>
    <m/>
    <x v="1"/>
    <n v="9760.32"/>
    <n v="879"/>
    <n v="2928.096"/>
    <n v="2049.096"/>
    <m/>
    <m/>
    <m/>
    <x v="14"/>
    <x v="8"/>
  </r>
  <r>
    <n v="24172624"/>
    <m/>
    <x v="1"/>
    <n v="21040.93"/>
    <n v="1639.52"/>
    <n v="6312.2789999999995"/>
    <n v="4672.759"/>
    <d v="2028-07-01T00:00:00"/>
    <s v="FIMUBAC"/>
    <n v="692.75"/>
    <x v="17"/>
    <x v="8"/>
  </r>
  <r>
    <n v="24174022"/>
    <m/>
    <x v="4"/>
    <n v="4998.54"/>
    <n v="511.34"/>
    <n v="1499.5619999999999"/>
    <n v="314.22000000000043"/>
    <d v="2024-04-01T00:00:00"/>
    <s v="DIMEX "/>
    <n v="511.34"/>
    <x v="6"/>
    <x v="8"/>
  </r>
  <r>
    <n v="24174378"/>
    <m/>
    <x v="2"/>
    <n v="13159.31"/>
    <n v="2851.99"/>
    <n v="3947.7929999999997"/>
    <n v="1095.8029999999999"/>
    <d v="2025-03-01T00:00:00"/>
    <s v="EXITUS"/>
    <n v="2851.99"/>
    <x v="3"/>
    <x v="8"/>
  </r>
  <r>
    <n v="24174234"/>
    <m/>
    <x v="1"/>
    <n v="50623"/>
    <m/>
    <n v="15186.9"/>
    <n v="15186.9"/>
    <m/>
    <m/>
    <m/>
    <x v="18"/>
    <x v="8"/>
  </r>
  <r>
    <n v="24175106"/>
    <m/>
    <x v="1"/>
    <n v="7073.35"/>
    <m/>
    <n v="2122.0050000000001"/>
    <n v="2122.0050000000001"/>
    <m/>
    <m/>
    <m/>
    <x v="13"/>
    <x v="8"/>
  </r>
  <r>
    <n v="24175518"/>
    <m/>
    <x v="1"/>
    <n v="23364.799999999999"/>
    <m/>
    <n v="7009.44"/>
    <n v="7009.44"/>
    <m/>
    <m/>
    <m/>
    <x v="12"/>
    <x v="8"/>
  </r>
  <r>
    <n v="24172910"/>
    <m/>
    <x v="1"/>
    <n v="10636.54"/>
    <m/>
    <n v="3190.962"/>
    <n v="3190.962"/>
    <m/>
    <m/>
    <m/>
    <x v="5"/>
    <x v="8"/>
  </r>
  <r>
    <n v="24176370"/>
    <m/>
    <x v="1"/>
    <n v="7920.51"/>
    <n v="879"/>
    <n v="2376.1529999999998"/>
    <n v="1497.1529999999998"/>
    <m/>
    <m/>
    <m/>
    <x v="9"/>
    <x v="9"/>
  </r>
  <r>
    <n v="24176428"/>
    <m/>
    <x v="1"/>
    <n v="50522.01"/>
    <m/>
    <n v="15156.602999999999"/>
    <n v="15156.602999999999"/>
    <m/>
    <m/>
    <m/>
    <x v="8"/>
    <x v="9"/>
  </r>
  <r>
    <n v="24177220"/>
    <m/>
    <x v="1"/>
    <n v="9582.4700000000012"/>
    <m/>
    <n v="2874.7410000000004"/>
    <n v="2874.7410000000004"/>
    <m/>
    <m/>
    <m/>
    <x v="4"/>
    <x v="9"/>
  </r>
  <r>
    <n v="24176270"/>
    <m/>
    <x v="3"/>
    <n v="7920.5810000000001"/>
    <n v="2081.7199999999998"/>
    <n v="2376.1743000000001"/>
    <n v="294.45430000000033"/>
    <d v="2026-01-01T00:00:00"/>
    <s v="FISOFO"/>
    <n v="2081.7199999999998"/>
    <x v="5"/>
    <x v="9"/>
  </r>
  <r>
    <n v="24179252"/>
    <m/>
    <x v="3"/>
    <n v="6460.14"/>
    <n v="786.39"/>
    <n v="1938.0419999999999"/>
    <n v="1151.652"/>
    <d v="2025-06-01T00:00:00"/>
    <s v="CONSUBANCO"/>
    <n v="786.39"/>
    <x v="5"/>
    <x v="9"/>
  </r>
  <r>
    <n v="24186924"/>
    <m/>
    <x v="4"/>
    <n v="28001.73"/>
    <n v="8397.98"/>
    <n v="8400.5190000000002"/>
    <n v="2.5390000000006694"/>
    <d v="2026-05-01T00:00:00"/>
    <s v="BANCREA"/>
    <n v="360"/>
    <x v="0"/>
    <x v="9"/>
  </r>
  <r>
    <n v="24186106"/>
    <m/>
    <x v="1"/>
    <n v="9760.32"/>
    <n v="879"/>
    <n v="2928.096"/>
    <n v="2049.096"/>
    <m/>
    <m/>
    <m/>
    <x v="15"/>
    <x v="9"/>
  </r>
  <r>
    <n v="24151366"/>
    <n v="5214442855532"/>
    <x v="1"/>
    <n v="8173.36"/>
    <m/>
    <n v="2452.0079999999998"/>
    <n v="2452.0079999999998"/>
    <m/>
    <m/>
    <m/>
    <x v="3"/>
    <x v="9"/>
  </r>
  <r>
    <n v="23261044"/>
    <n v="5219889679408"/>
    <x v="3"/>
    <n v="9504.7000000000007"/>
    <n v="2622.91"/>
    <n v="2851.4100000000003"/>
    <n v="228.50000000000045"/>
    <n v="46266"/>
    <s v="FISOFO"/>
    <n v="2622.91"/>
    <x v="5"/>
    <x v="9"/>
  </r>
  <r>
    <n v="24179372"/>
    <n v="5216643034108"/>
    <x v="4"/>
    <n v="5121.62"/>
    <n v="761.39"/>
    <n v="1536.4859999999999"/>
    <n v="187.25000000000034"/>
    <n v="45536"/>
    <s v="FORTALEZA"/>
    <n v="761.39"/>
    <x v="6"/>
    <x v="9"/>
  </r>
  <r>
    <n v="24174758"/>
    <n v="5215623571098"/>
    <x v="1"/>
    <n v="20668.52"/>
    <m/>
    <n v="6200.5559999999996"/>
    <n v="6200.5559999999996"/>
    <m/>
    <m/>
    <m/>
    <x v="12"/>
    <x v="9"/>
  </r>
  <r>
    <n v="24135746"/>
    <n v="3113965877"/>
    <x v="1"/>
    <n v="6443.71"/>
    <m/>
    <n v="1933.1129999999998"/>
    <n v="1933.1129999999998"/>
    <m/>
    <m/>
    <m/>
    <x v="10"/>
    <x v="9"/>
  </r>
  <r>
    <n v="24189214"/>
    <n v="5214443485459"/>
    <x v="1"/>
    <n v="12234.97"/>
    <m/>
    <n v="3670.4909999999995"/>
    <n v="3670.4909999999995"/>
    <m/>
    <m/>
    <m/>
    <x v="18"/>
    <x v="9"/>
  </r>
  <r>
    <n v="24179126"/>
    <m/>
    <x v="2"/>
    <n v="9081.52"/>
    <n v="2518.2800000000002"/>
    <n v="2724.4560000000001"/>
    <n v="206.17599999999993"/>
    <d v="2026-08-01T00:00:00"/>
    <s v="INBURSA"/>
    <n v="2518.2800000000002"/>
    <x v="13"/>
    <x v="9"/>
  </r>
  <r>
    <n v="24175378"/>
    <n v="7294799449"/>
    <x v="0"/>
    <n v="24667.47"/>
    <n v="6724.99"/>
    <n v="7400.241"/>
    <n v="675.2510000000002"/>
    <n v="46296"/>
    <s v="INBURSA"/>
    <n v="6223.63"/>
    <x v="0"/>
    <x v="9"/>
  </r>
  <r>
    <n v="24194642"/>
    <m/>
    <x v="1"/>
    <n v="7116.73"/>
    <m/>
    <n v="2135.0189999999998"/>
    <n v="2135.0189999999998"/>
    <m/>
    <m/>
    <m/>
    <x v="4"/>
    <x v="9"/>
  </r>
  <r>
    <n v="24179344"/>
    <n v="5214778801259"/>
    <x v="1"/>
    <n v="9760.32"/>
    <n v="879"/>
    <n v="2928.096"/>
    <n v="2049.096"/>
    <m/>
    <m/>
    <m/>
    <x v="4"/>
    <x v="9"/>
  </r>
  <r>
    <n v="24187756"/>
    <n v="6145150396"/>
    <x v="2"/>
    <n v="60231.26"/>
    <n v="14306.98"/>
    <n v="18069.378000000001"/>
    <n v="3762.398000000001"/>
    <n v="46235"/>
    <s v="MULTIVA"/>
    <n v="14306.98"/>
    <x v="7"/>
    <x v="9"/>
  </r>
  <r>
    <n v="24189738"/>
    <n v="5213123193951"/>
    <x v="1"/>
    <n v="48451.72"/>
    <m/>
    <n v="14535.516"/>
    <n v="14535.516"/>
    <m/>
    <m/>
    <m/>
    <x v="8"/>
    <x v="9"/>
  </r>
  <r>
    <n v="24195644"/>
    <m/>
    <x v="2"/>
    <n v="7116.73"/>
    <n v="1887"/>
    <n v="2135.0189999999998"/>
    <n v="248.01899999999978"/>
    <n v="45931"/>
    <s v="MULTIVA "/>
    <n v="1887"/>
    <x v="13"/>
    <x v="9"/>
  </r>
  <r>
    <n v="24177214"/>
    <n v="5217821062062"/>
    <x v="0"/>
    <n v="7116.73"/>
    <n v="1637.96"/>
    <n v="2135.0189999999998"/>
    <n v="497.05899999999974"/>
    <n v="46508"/>
    <s v="INBURSA"/>
    <n v="1637.96"/>
    <x v="6"/>
    <x v="9"/>
  </r>
  <r>
    <n v="24167074"/>
    <n v="8445917860"/>
    <x v="0"/>
    <n v="5803.64"/>
    <n v="614.97"/>
    <n v="1741.0920000000001"/>
    <n v="1015.6900000000007"/>
    <n v="45536"/>
    <s v="BANCREA"/>
    <n v="614.97"/>
    <x v="0"/>
    <x v="9"/>
  </r>
  <r>
    <n v="24174738"/>
    <n v="5215574797916"/>
    <x v="2"/>
    <n v="7920.51"/>
    <n v="2196.71"/>
    <n v="2376.1529999999998"/>
    <n v="179.44299999999976"/>
    <n v="46143"/>
    <s v="PROFUTURO"/>
    <n v="2196.71"/>
    <x v="7"/>
    <x v="9"/>
  </r>
  <r>
    <n v="24199408"/>
    <m/>
    <x v="4"/>
    <n v="6269.7"/>
    <n v="1813.01"/>
    <n v="1880.9099999999999"/>
    <n v="67.899999999999864"/>
    <d v="2025-04-01T00:00:00"/>
    <s v="DIMEX"/>
    <n v="355.85"/>
    <x v="6"/>
    <x v="9"/>
  </r>
  <r>
    <n v="24199760"/>
    <m/>
    <x v="1"/>
    <n v="9612.19"/>
    <m/>
    <n v="2883.6570000000002"/>
    <n v="2883.6570000000002"/>
    <m/>
    <m/>
    <m/>
    <x v="17"/>
    <x v="9"/>
  </r>
  <r>
    <n v="24199870"/>
    <m/>
    <x v="3"/>
    <n v="10247.51"/>
    <n v="2964"/>
    <n v="3074.2530000000002"/>
    <n v="110.25300000000016"/>
    <d v="2026-07-01T00:00:00"/>
    <s v="CONSUBANCO"/>
    <n v="2232.8000000000002"/>
    <x v="5"/>
    <x v="9"/>
  </r>
  <r>
    <n v="24200274"/>
    <m/>
    <x v="3"/>
    <n v="7116.73"/>
    <n v="516.91999999999996"/>
    <n v="2135.0189999999998"/>
    <n v="1618.0989999999997"/>
    <d v="2025-04-01T00:00:00"/>
    <s v="CONSUBANCO"/>
    <n v="516.91999999999996"/>
    <x v="5"/>
    <x v="9"/>
  </r>
  <r>
    <n v="24200472"/>
    <m/>
    <x v="1"/>
    <n v="10636.54"/>
    <m/>
    <n v="3190.962"/>
    <n v="3190.962"/>
    <m/>
    <m/>
    <m/>
    <x v="12"/>
    <x v="9"/>
  </r>
  <r>
    <n v="24169488"/>
    <n v="24169488"/>
    <x v="3"/>
    <n v="20147.39"/>
    <n v="5585.07"/>
    <n v="6044.2169999999996"/>
    <n v="459.14699999999993"/>
    <n v="46266"/>
    <s v="CONSUBANCO, OPCIPRES"/>
    <n v="5585.07"/>
    <x v="5"/>
    <x v="9"/>
  </r>
  <r>
    <n v="24200638"/>
    <m/>
    <x v="0"/>
    <n v="4813.6899999999996"/>
    <m/>
    <n v="1444.1069999999997"/>
    <n v="640.71"/>
    <m/>
    <m/>
    <m/>
    <x v="0"/>
    <x v="9"/>
  </r>
  <r>
    <n v="24199942"/>
    <n v="6221226147"/>
    <x v="1"/>
    <n v="7920.51"/>
    <m/>
    <n v="2376.1529999999998"/>
    <n v="2376.1529999999998"/>
    <m/>
    <m/>
    <m/>
    <x v="3"/>
    <x v="9"/>
  </r>
  <r>
    <n v="24197900"/>
    <n v="5219993342589"/>
    <x v="1"/>
    <n v="7920.51"/>
    <n v="848"/>
    <n v="2376.1529999999998"/>
    <n v="1528.1529999999998"/>
    <m/>
    <m/>
    <m/>
    <x v="9"/>
    <x v="9"/>
  </r>
  <r>
    <n v="24201574"/>
    <m/>
    <x v="1"/>
    <n v="10636.540000000005"/>
    <m/>
    <n v="3190.9620000000014"/>
    <n v="3190.9620000000014"/>
    <m/>
    <m/>
    <m/>
    <x v="18"/>
    <x v="9"/>
  </r>
  <r>
    <n v="24201552"/>
    <m/>
    <x v="2"/>
    <n v="13266.31"/>
    <n v="3461.12"/>
    <n v="3979.8929999999996"/>
    <n v="518.77299999999968"/>
    <d v="2026-02-01T00:00:00"/>
    <s v="PROFUTURO"/>
    <n v="2353.61"/>
    <x v="10"/>
    <x v="9"/>
  </r>
  <r>
    <n v="24202298"/>
    <m/>
    <x v="1"/>
    <n v="23694.92"/>
    <n v="2013.3"/>
    <n v="7108.4759999999997"/>
    <n v="5095.1759999999995"/>
    <d v="2028-07-01T00:00:00"/>
    <s v="INBURSA"/>
    <n v="2013.83"/>
    <x v="17"/>
    <x v="9"/>
  </r>
  <r>
    <n v="24202672"/>
    <m/>
    <x v="2"/>
    <n v="5661.66"/>
    <n v="1372.94"/>
    <n v="1698.4979999999998"/>
    <n v="115.74000000000024"/>
    <d v="2026-08-01T00:00:00"/>
    <s v="PROFUTURO "/>
    <n v="1372.94"/>
    <x v="15"/>
    <x v="9"/>
  </r>
  <r>
    <n v="24201862"/>
    <n v="5216562000884"/>
    <x v="1"/>
    <n v="41608.58"/>
    <m/>
    <n v="12482.574000000001"/>
    <n v="12482.574000000001"/>
    <m/>
    <m/>
    <m/>
    <x v="8"/>
    <x v="9"/>
  </r>
  <r>
    <n v="24202032"/>
    <n v="5213511017007"/>
    <x v="1"/>
    <n v="32632.39"/>
    <m/>
    <n v="9789.7169999999987"/>
    <n v="9789.7169999999987"/>
    <m/>
    <m/>
    <m/>
    <x v="12"/>
    <x v="9"/>
  </r>
  <r>
    <n v="24203114"/>
    <m/>
    <x v="1"/>
    <n v="9760.32"/>
    <n v="879"/>
    <n v="2928.096"/>
    <n v="2049.096"/>
    <m/>
    <m/>
    <m/>
    <x v="9"/>
    <x v="9"/>
  </r>
  <r>
    <n v="24203302"/>
    <m/>
    <x v="1"/>
    <n v="9081.52"/>
    <m/>
    <n v="2724.4560000000001"/>
    <n v="2724.4560000000001"/>
    <m/>
    <m/>
    <m/>
    <x v="3"/>
    <x v="9"/>
  </r>
  <r>
    <n v="24203902"/>
    <m/>
    <x v="2"/>
    <n v="11813.87"/>
    <n v="1955.8"/>
    <n v="3544.1610000000001"/>
    <n v="1588.3610000000001"/>
    <d v="2026-05-01T00:00:00"/>
    <s v="GFI APOYO"/>
    <n v="1955.8"/>
    <x v="15"/>
    <x v="9"/>
  </r>
  <r>
    <n v="24203454"/>
    <m/>
    <x v="1"/>
    <n v="41541.58"/>
    <n v="1315.26"/>
    <n v="12462.474"/>
    <n v="11147.214"/>
    <d v="2026-07-01T00:00:00"/>
    <s v="MULTIVA"/>
    <n v="1315.26"/>
    <x v="18"/>
    <x v="9"/>
  </r>
  <r>
    <n v="24203936"/>
    <m/>
    <x v="1"/>
    <n v="9081.52"/>
    <m/>
    <n v="2724.4560000000001"/>
    <n v="2724.4560000000001"/>
    <m/>
    <m/>
    <m/>
    <x v="3"/>
    <x v="9"/>
  </r>
  <r>
    <n v="24204370"/>
    <m/>
    <x v="3"/>
    <n v="28020.9"/>
    <n v="7374.36"/>
    <n v="8406.27"/>
    <n v="1031.9100000000008"/>
    <d v="2026-02-01T00:00:00"/>
    <s v="CONSUBANCO"/>
    <n v="8406.27"/>
    <x v="5"/>
    <x v="10"/>
  </r>
  <r>
    <n v="24205238"/>
    <m/>
    <x v="3"/>
    <n v="6390.8"/>
    <n v="1917.17"/>
    <n v="1917.24"/>
    <n v="6.9999999999936335E-2"/>
    <d v="2025-03-01T00:00:00"/>
    <s v="CONSUBANCO"/>
    <n v="1408.17"/>
    <x v="16"/>
    <x v="10"/>
  </r>
  <r>
    <n v="24205382"/>
    <m/>
    <x v="1"/>
    <n v="11029.03"/>
    <m/>
    <n v="3308.7090000000003"/>
    <n v="3308.7090000000003"/>
    <m/>
    <m/>
    <m/>
    <x v="18"/>
    <x v="10"/>
  </r>
  <r>
    <n v="24205474"/>
    <m/>
    <x v="3"/>
    <n v="5629.77"/>
    <n v="1348.18"/>
    <n v="1688.931"/>
    <n v="108.61000000000081"/>
    <d v="2026-08-01T00:00:00"/>
    <s v="FISOFO"/>
    <n v="1688.93"/>
    <x v="16"/>
    <x v="10"/>
  </r>
  <r>
    <n v="24207464"/>
    <m/>
    <x v="1"/>
    <n v="5918.41"/>
    <m/>
    <n v="1775.5229999999999"/>
    <n v="1745.4300000000003"/>
    <m/>
    <m/>
    <m/>
    <x v="9"/>
    <x v="10"/>
  </r>
  <r>
    <n v="24213502"/>
    <m/>
    <x v="0"/>
    <n v="9760.32"/>
    <n v="1974.6"/>
    <n v="2928.096"/>
    <n v="953.49600000000009"/>
    <d v="2027-08-01T00:00:00"/>
    <s v="INBURSA"/>
    <n v="1513.78"/>
    <x v="0"/>
    <x v="10"/>
  </r>
  <r>
    <n v="24215910"/>
    <m/>
    <x v="2"/>
    <n v="7128.48"/>
    <n v="1977.07"/>
    <n v="2138.5439999999999"/>
    <n v="161.47399999999993"/>
    <d v="2026-02-01T00:00:00"/>
    <s v="EXITUS"/>
    <n v="1977.07"/>
    <x v="10"/>
    <x v="10"/>
  </r>
  <r>
    <n v="24216578"/>
    <m/>
    <x v="1"/>
    <n v="7320.67"/>
    <m/>
    <n v="2196.201"/>
    <n v="2196.201"/>
    <m/>
    <m/>
    <m/>
    <x v="4"/>
    <x v="10"/>
  </r>
  <r>
    <n v="24209764"/>
    <n v="8184707021"/>
    <x v="2"/>
    <n v="6116.76"/>
    <n v="1696.24"/>
    <n v="1835.028"/>
    <n v="138.78800000000001"/>
    <n v="46266"/>
    <s v="INBURSA"/>
    <n v="1696.24"/>
    <x v="15"/>
    <x v="10"/>
  </r>
  <r>
    <n v="24215758"/>
    <n v="5217293087206"/>
    <x v="1"/>
    <n v="9081.52"/>
    <n v="1499.56"/>
    <n v="2724.4560000000001"/>
    <n v="1224.8960000000002"/>
    <n v="46631"/>
    <s v="PROFUTURO"/>
    <n v="1499.56"/>
    <x v="9"/>
    <x v="10"/>
  </r>
  <r>
    <n v="24218364"/>
    <m/>
    <x v="1"/>
    <n v="47411.35"/>
    <m/>
    <n v="14223.404999999999"/>
    <n v="14223.404999999999"/>
    <m/>
    <m/>
    <m/>
    <x v="12"/>
    <x v="10"/>
  </r>
  <r>
    <n v="24217770"/>
    <m/>
    <x v="1"/>
    <n v="9760.32"/>
    <m/>
    <n v="2928.096"/>
    <n v="2928.096"/>
    <m/>
    <m/>
    <m/>
    <x v="3"/>
    <x v="10"/>
  </r>
  <r>
    <n v="24217048"/>
    <n v="5215580401192"/>
    <x v="0"/>
    <n v="43945.88"/>
    <n v="12698.78"/>
    <n v="13183.763999999999"/>
    <n v="484.98399999999856"/>
    <n v="46419"/>
    <s v="INBURSA"/>
    <n v="12698.78"/>
    <x v="6"/>
    <x v="10"/>
  </r>
  <r>
    <n v="24219458"/>
    <m/>
    <x v="1"/>
    <n v="23492.45"/>
    <m/>
    <n v="7047.7349999999997"/>
    <n v="7047.7349999999997"/>
    <m/>
    <m/>
    <m/>
    <x v="8"/>
    <x v="10"/>
  </r>
  <r>
    <n v="24220162"/>
    <m/>
    <x v="1"/>
    <n v="6890.27"/>
    <n v="848"/>
    <n v="2067.0810000000001"/>
    <n v="1219.0810000000001"/>
    <m/>
    <m/>
    <m/>
    <x v="17"/>
    <x v="10"/>
  </r>
  <r>
    <n v="24219430"/>
    <m/>
    <x v="1"/>
    <n v="10636.54"/>
    <n v="879"/>
    <n v="3190.962"/>
    <n v="2311.962"/>
    <m/>
    <m/>
    <m/>
    <x v="4"/>
    <x v="10"/>
  </r>
  <r>
    <n v="24156074"/>
    <n v="4439378925"/>
    <x v="1"/>
    <n v="7116.73"/>
    <m/>
    <n v="2135.0189999999998"/>
    <n v="2135.0189999999998"/>
    <m/>
    <m/>
    <m/>
    <x v="4"/>
    <x v="10"/>
  </r>
  <r>
    <n v="24220278"/>
    <m/>
    <x v="3"/>
    <n v="8059.64"/>
    <n v="1977.45"/>
    <n v="2417.8919999999998"/>
    <n v="440.44199999999978"/>
    <d v="2024-12-01T00:00:00"/>
    <s v="CONSUBANCO"/>
    <n v="1977.45"/>
    <x v="16"/>
    <x v="10"/>
  </r>
  <r>
    <n v="24218744"/>
    <m/>
    <x v="1"/>
    <n v="9081.52"/>
    <m/>
    <n v="2724.4560000000001"/>
    <n v="2724.4560000000001"/>
    <m/>
    <m/>
    <m/>
    <x v="8"/>
    <x v="10"/>
  </r>
  <r>
    <n v="24220100"/>
    <m/>
    <x v="1"/>
    <n v="11029.03"/>
    <m/>
    <n v="3308.7090000000003"/>
    <n v="3308.7090000000003"/>
    <m/>
    <m/>
    <m/>
    <x v="18"/>
    <x v="10"/>
  </r>
  <r>
    <n v="24218814"/>
    <m/>
    <x v="4"/>
    <n v="5467.47"/>
    <n v="1197"/>
    <n v="1640.241"/>
    <n v="97.490000000000691"/>
    <d v="2026-08-01T00:00:00"/>
    <s v="BARACAF"/>
    <n v="1197"/>
    <x v="0"/>
    <x v="10"/>
  </r>
  <r>
    <n v="24220508"/>
    <m/>
    <x v="1"/>
    <n v="14151.18"/>
    <m/>
    <n v="4245.3540000000003"/>
    <n v="4245.3540000000003"/>
    <m/>
    <m/>
    <m/>
    <x v="12"/>
    <x v="10"/>
  </r>
  <r>
    <n v="24156734"/>
    <n v="4495466909"/>
    <x v="1"/>
    <n v="10636.54"/>
    <m/>
    <n v="3190.962"/>
    <n v="3190.962"/>
    <m/>
    <m/>
    <m/>
    <x v="3"/>
    <x v="10"/>
  </r>
  <r>
    <n v="24194094"/>
    <n v="5217293488555"/>
    <x v="1"/>
    <n v="7144.18"/>
    <m/>
    <n v="2143.2539999999999"/>
    <n v="2143.2539999999999"/>
    <m/>
    <m/>
    <m/>
    <x v="4"/>
    <x v="10"/>
  </r>
  <r>
    <n v="24221258"/>
    <m/>
    <x v="2"/>
    <n v="9081.52"/>
    <n v="2520.37"/>
    <n v="2724.4560000000001"/>
    <n v="204.08600000000024"/>
    <d v="2026-07-01T00:00:00"/>
    <s v="EXITUS"/>
    <n v="2520.37"/>
    <x v="3"/>
    <x v="10"/>
  </r>
  <r>
    <n v="24221396"/>
    <m/>
    <x v="0"/>
    <n v="8539.89"/>
    <n v="1723.89"/>
    <n v="2561.9669999999996"/>
    <n v="838.07699999999954"/>
    <d v="2028-07-01T00:00:00"/>
    <s v="CONSUBANCO"/>
    <n v="1723.89"/>
    <x v="6"/>
    <x v="10"/>
  </r>
  <r>
    <n v="24221740"/>
    <m/>
    <x v="1"/>
    <n v="7920.51"/>
    <m/>
    <n v="2376.1529999999998"/>
    <n v="2376.1529999999998"/>
    <m/>
    <m/>
    <m/>
    <x v="10"/>
    <x v="10"/>
  </r>
  <r>
    <n v="24221968"/>
    <m/>
    <x v="2"/>
    <n v="6411.47"/>
    <n v="1776.98"/>
    <n v="1923.441"/>
    <n v="146.46100000000001"/>
    <d v="2026-09-01T00:00:00"/>
    <s v="PROFUTURO "/>
    <n v="1776.98"/>
    <x v="15"/>
    <x v="10"/>
  </r>
  <r>
    <n v="23617548"/>
    <n v="5214774091654"/>
    <x v="1"/>
    <n v="10171.24"/>
    <m/>
    <n v="3051.3719999999998"/>
    <n v="3051.3719999999998"/>
    <m/>
    <m/>
    <m/>
    <x v="8"/>
    <x v="10"/>
  </r>
  <r>
    <n v="24207466"/>
    <n v="5217773012399"/>
    <x v="1"/>
    <n v="7640.52"/>
    <n v="848"/>
    <n v="2292.1559999999999"/>
    <n v="1444.1559999999999"/>
    <m/>
    <m/>
    <m/>
    <x v="17"/>
    <x v="10"/>
  </r>
  <r>
    <n v="24222262"/>
    <m/>
    <x v="1"/>
    <n v="7913.78"/>
    <m/>
    <n v="2374.134"/>
    <n v="2374.134"/>
    <m/>
    <m/>
    <m/>
    <x v="9"/>
    <x v="10"/>
  </r>
  <r>
    <n v="24222542"/>
    <m/>
    <x v="1"/>
    <n v="10636.54"/>
    <m/>
    <n v="3190.962"/>
    <n v="3190.962"/>
    <m/>
    <m/>
    <m/>
    <x v="18"/>
    <x v="10"/>
  </r>
  <r>
    <n v="24204480"/>
    <n v="6672088433"/>
    <x v="1"/>
    <n v="10636.54"/>
    <m/>
    <n v="3190.962"/>
    <n v="3190.962"/>
    <m/>
    <m/>
    <m/>
    <x v="18"/>
    <x v="10"/>
  </r>
  <r>
    <n v="24223596"/>
    <m/>
    <x v="1"/>
    <n v="12084.32"/>
    <m/>
    <n v="3625.2959999999998"/>
    <n v="3625.2959999999998"/>
    <m/>
    <m/>
    <m/>
    <x v="12"/>
    <x v="10"/>
  </r>
  <r>
    <n v="24223410"/>
    <m/>
    <x v="0"/>
    <n v="5017.5"/>
    <n v="439.62"/>
    <n v="1505.25"/>
    <n v="404.90000000000043"/>
    <d v="2028-08-01T00:00:00"/>
    <s v="FORTALEZA"/>
    <n v="439.62"/>
    <x v="6"/>
    <x v="10"/>
  </r>
  <r>
    <n v="24224150"/>
    <m/>
    <x v="0"/>
    <n v="28845.23"/>
    <n v="8341.84"/>
    <n v="8653.5689999999995"/>
    <n v="311.72899999999936"/>
    <d v="2027-11-01T00:00:00"/>
    <s v="LIBERTAD"/>
    <n v="8341.84"/>
    <x v="6"/>
    <x v="10"/>
  </r>
  <r>
    <n v="24224344"/>
    <m/>
    <x v="3"/>
    <n v="12564.26"/>
    <n v="3323.97"/>
    <n v="3769.2779999999998"/>
    <n v="445.30799999999999"/>
    <d v="2025-07-01T00:00:00"/>
    <s v="CONSUBANCO"/>
    <n v="3323.97"/>
    <x v="16"/>
    <x v="10"/>
  </r>
  <r>
    <n v="24206450"/>
    <n v="4771327985"/>
    <x v="1"/>
    <n v="37113.620000000003"/>
    <n v="6190.84"/>
    <n v="11134.086000000001"/>
    <n v="4943.246000000001"/>
    <n v="46935"/>
    <s v="CONSUBANCO"/>
    <m/>
    <x v="8"/>
    <x v="10"/>
  </r>
  <r>
    <n v="24226154"/>
    <m/>
    <x v="1"/>
    <n v="10636.54"/>
    <m/>
    <n v="3190.962"/>
    <n v="3190.962"/>
    <m/>
    <m/>
    <m/>
    <x v="12"/>
    <x v="10"/>
  </r>
  <r>
    <n v="24226360"/>
    <m/>
    <x v="1"/>
    <n v="6947.65"/>
    <m/>
    <n v="2084.2949999999996"/>
    <n v="2084.2949999999996"/>
    <m/>
    <m/>
    <m/>
    <x v="10"/>
    <x v="10"/>
  </r>
  <r>
    <n v="24226318"/>
    <m/>
    <x v="4"/>
    <n v="7116.7"/>
    <n v="1320.58"/>
    <n v="2135.0099999999998"/>
    <n v="814.42999999999984"/>
    <d v="2026-05-01T00:00:00"/>
    <s v="BANCREA"/>
    <n v="880.27"/>
    <x v="0"/>
    <x v="10"/>
  </r>
  <r>
    <n v="24207116"/>
    <n v="5219626990257"/>
    <x v="1"/>
    <n v="11556.65"/>
    <m/>
    <n v="3466.9949999999999"/>
    <n v="3466.9949999999999"/>
    <m/>
    <m/>
    <m/>
    <x v="3"/>
    <x v="10"/>
  </r>
  <r>
    <n v="24203946"/>
    <n v="5217441794727"/>
    <x v="1"/>
    <n v="20631.71"/>
    <m/>
    <n v="6189.5129999999999"/>
    <n v="6189.5129999999999"/>
    <m/>
    <m/>
    <m/>
    <x v="18"/>
    <x v="10"/>
  </r>
  <r>
    <n v="24227018"/>
    <n v="4611268683"/>
    <x v="1"/>
    <n v="10611.5"/>
    <m/>
    <n v="3183.45"/>
    <n v="3183.45"/>
    <m/>
    <m/>
    <m/>
    <x v="12"/>
    <x v="10"/>
  </r>
  <r>
    <n v="24227606"/>
    <n v="5217821183727"/>
    <x v="0"/>
    <n v="4813.6899999999996"/>
    <m/>
    <n v="1444.1069999999997"/>
    <n v="640.71"/>
    <m/>
    <m/>
    <m/>
    <x v="0"/>
    <x v="10"/>
  </r>
  <r>
    <n v="24226576"/>
    <n v="5218113875060"/>
    <x v="2"/>
    <n v="27772.47"/>
    <n v="8032.26"/>
    <n v="8331.741"/>
    <n v="299.48099999999977"/>
    <n v="46266"/>
    <s v="MULTIVA"/>
    <n v="2093.4699999999998"/>
    <x v="15"/>
    <x v="10"/>
  </r>
  <r>
    <n v="24200218"/>
    <n v="8180918862"/>
    <x v="0"/>
    <n v="41653.39"/>
    <n v="11584.38"/>
    <n v="12496.017"/>
    <n v="911.63700000000063"/>
    <n v="46388"/>
    <s v="FORTALEZA"/>
    <n v="1212.72"/>
    <x v="6"/>
    <x v="10"/>
  </r>
  <r>
    <n v="24220810"/>
    <n v="5212292683184"/>
    <x v="0"/>
    <n v="4655.9799999999996"/>
    <m/>
    <n v="1396.7939999999999"/>
    <n v="483"/>
    <m/>
    <m/>
    <m/>
    <x v="0"/>
    <x v="10"/>
  </r>
  <r>
    <n v="24158100"/>
    <n v="5518459927"/>
    <x v="1"/>
    <n v="15349.3"/>
    <m/>
    <n v="4604.79"/>
    <n v="4604.79"/>
    <m/>
    <m/>
    <m/>
    <x v="8"/>
    <x v="10"/>
  </r>
  <r>
    <n v="24228128"/>
    <n v="5218991198526"/>
    <x v="1"/>
    <n v="14761.91"/>
    <m/>
    <n v="4428.5729999999994"/>
    <n v="4428.5729999999994"/>
    <m/>
    <m/>
    <m/>
    <x v="18"/>
    <x v="10"/>
  </r>
  <r>
    <n v="24229380"/>
    <m/>
    <x v="1"/>
    <n v="8539.89"/>
    <m/>
    <n v="2561.9669999999996"/>
    <n v="2561.9669999999996"/>
    <m/>
    <m/>
    <m/>
    <x v="12"/>
    <x v="10"/>
  </r>
  <r>
    <n v="24227570"/>
    <n v="5217531714304"/>
    <x v="1"/>
    <n v="10636.54"/>
    <m/>
    <n v="3190.962"/>
    <n v="3190.962"/>
    <m/>
    <m/>
    <m/>
    <x v="8"/>
    <x v="10"/>
  </r>
  <r>
    <n v="24223350"/>
    <n v="5218342451655"/>
    <x v="4"/>
    <n v="8867.99"/>
    <n v="2565.4299999999998"/>
    <n v="2660.3969999999999"/>
    <n v="94.967000000000098"/>
    <n v="46113"/>
    <s v="BARACAF"/>
    <n v="375.35"/>
    <x v="0"/>
    <x v="11"/>
  </r>
  <r>
    <n v="24242012"/>
    <m/>
    <x v="4"/>
    <n v="8270.24"/>
    <n v="2392.7800000000002"/>
    <n v="2481.0719999999997"/>
    <n v="88.291999999999462"/>
    <d v="2025-10-01T00:00:00"/>
    <s v="FORTALEZA"/>
    <n v="576.47"/>
    <x v="6"/>
    <x v="11"/>
  </r>
  <r>
    <n v="24243554"/>
    <m/>
    <x v="3"/>
    <n v="6262.86"/>
    <n v="1651.41"/>
    <n v="1878.8579999999997"/>
    <n v="227.44799999999964"/>
    <d v="2025-05-01T00:00:00"/>
    <s v="CONSUBANCO"/>
    <n v="1651.41"/>
    <x v="16"/>
    <x v="11"/>
  </r>
  <r>
    <n v="24214946"/>
    <n v="2214102702"/>
    <x v="0"/>
    <n v="5055.87"/>
    <m/>
    <n v="1516.761"/>
    <n v="882.89000000000033"/>
    <m/>
    <m/>
    <m/>
    <x v="0"/>
    <x v="11"/>
  </r>
  <r>
    <n v="24241430"/>
    <m/>
    <x v="1"/>
    <n v="6262.86"/>
    <m/>
    <n v="1878.8579999999997"/>
    <n v="1878.8579999999997"/>
    <m/>
    <m/>
    <m/>
    <x v="17"/>
    <x v="11"/>
  </r>
  <r>
    <n v="24243982"/>
    <m/>
    <x v="1"/>
    <n v="6270"/>
    <m/>
    <n v="1881"/>
    <n v="1881"/>
    <m/>
    <m/>
    <m/>
    <x v="10"/>
    <x v="11"/>
  </r>
  <r>
    <n v="23125936"/>
    <n v="5214561276585"/>
    <x v="1"/>
    <n v="7920.51"/>
    <m/>
    <n v="2376.1529999999998"/>
    <n v="2376.1529999999998"/>
    <m/>
    <m/>
    <m/>
    <x v="4"/>
    <x v="11"/>
  </r>
  <r>
    <n v="24229996"/>
    <m/>
    <x v="1"/>
    <n v="38631.31"/>
    <m/>
    <n v="11589.392999999998"/>
    <n v="11589.392999999998"/>
    <m/>
    <m/>
    <m/>
    <x v="3"/>
    <x v="11"/>
  </r>
  <r>
    <n v="24230346"/>
    <n v="5218140070510"/>
    <x v="2"/>
    <n v="9081.52"/>
    <n v="2521.35"/>
    <n v="2724.4560000000001"/>
    <n v="203.10600000000022"/>
    <n v="46204"/>
    <s v="DIMEX"/>
    <n v="2521.35"/>
    <x v="13"/>
    <x v="11"/>
  </r>
  <r>
    <n v="24245026"/>
    <m/>
    <x v="1"/>
    <n v="9081.52"/>
    <m/>
    <n v="2724.4560000000001"/>
    <n v="2724.4560000000001"/>
    <m/>
    <m/>
    <m/>
    <x v="2"/>
    <x v="11"/>
  </r>
  <r>
    <n v="24245628"/>
    <m/>
    <x v="1"/>
    <n v="15275.98"/>
    <m/>
    <n v="4582.7939999999999"/>
    <n v="4582.7939999999999"/>
    <m/>
    <m/>
    <m/>
    <x v="9"/>
    <x v="11"/>
  </r>
  <r>
    <n v="24244176"/>
    <n v="5218123546867"/>
    <x v="1"/>
    <n v="53488.78"/>
    <n v="9330.6299999999992"/>
    <n v="16046.633999999998"/>
    <n v="6716.003999999999"/>
    <n v="46266"/>
    <s v="DIMEX"/>
    <n v="2151.67"/>
    <x v="5"/>
    <x v="11"/>
  </r>
  <r>
    <n v="24244458"/>
    <n v="5217711597802"/>
    <x v="1"/>
    <n v="9081.52"/>
    <m/>
    <n v="2724.4560000000001"/>
    <n v="2724.4560000000001"/>
    <m/>
    <m/>
    <m/>
    <x v="4"/>
    <x v="11"/>
  </r>
  <r>
    <n v="24206152"/>
    <n v="6562784920"/>
    <x v="3"/>
    <n v="7130.14"/>
    <n v="1889.44"/>
    <n v="2139.0419999999999"/>
    <n v="249.60199999999986"/>
    <n v="45748"/>
    <s v="CONSUBANCO"/>
    <n v="1889.44"/>
    <x v="16"/>
    <x v="11"/>
  </r>
  <r>
    <n v="24246328"/>
    <m/>
    <x v="1"/>
    <n v="10636.54"/>
    <m/>
    <n v="3190.962"/>
    <n v="3190.962"/>
    <m/>
    <m/>
    <m/>
    <x v="9"/>
    <x v="11"/>
  </r>
  <r>
    <n v="24243322"/>
    <n v="5214921605973"/>
    <x v="1"/>
    <n v="9760.32"/>
    <n v="848"/>
    <n v="2928.096"/>
    <n v="2080.096"/>
    <m/>
    <m/>
    <m/>
    <x v="2"/>
    <x v="11"/>
  </r>
  <r>
    <n v="24245006"/>
    <n v="5219992633274"/>
    <x v="0"/>
    <n v="6597.97"/>
    <n v="879"/>
    <n v="1979.3910000000001"/>
    <n v="1100.3910000000001"/>
    <m/>
    <m/>
    <m/>
    <x v="6"/>
    <x v="11"/>
  </r>
  <r>
    <n v="24226786"/>
    <n v="2462621079"/>
    <x v="2"/>
    <n v="15296.62"/>
    <n v="4233.8500000000004"/>
    <n v="4588.9859999999999"/>
    <n v="355.13599999999951"/>
    <n v="46266"/>
    <s v="PROFUTURO "/>
    <n v="3136.92"/>
    <x v="7"/>
    <x v="11"/>
  </r>
  <r>
    <n v="24246764"/>
    <m/>
    <x v="0"/>
    <n v="5877.47"/>
    <n v="550.1"/>
    <n v="1763.241"/>
    <n v="1154.3900000000008"/>
    <d v="2028-07-01T00:00:00"/>
    <s v="CONSUPAGO"/>
    <n v="366.19"/>
    <x v="0"/>
    <x v="11"/>
  </r>
  <r>
    <n v="24176964"/>
    <n v="5215568856619"/>
    <x v="3"/>
    <n v="19894.73"/>
    <n v="5587.79"/>
    <n v="5968.4189999999999"/>
    <n v="380.62899999999991"/>
    <n v="45689"/>
    <s v="BANCREA"/>
    <n v="985"/>
    <x v="16"/>
    <x v="11"/>
  </r>
  <r>
    <n v="24225990"/>
    <n v="5216141724550"/>
    <x v="1"/>
    <n v="10636.54"/>
    <m/>
    <n v="3190.962"/>
    <n v="3190.962"/>
    <m/>
    <m/>
    <m/>
    <x v="3"/>
    <x v="11"/>
  </r>
  <r>
    <n v="24249094"/>
    <m/>
    <x v="1"/>
    <n v="6411.47"/>
    <m/>
    <n v="1923.441"/>
    <n v="1923.441"/>
    <m/>
    <m/>
    <m/>
    <x v="10"/>
    <x v="11"/>
  </r>
  <r>
    <n v="24249652"/>
    <m/>
    <x v="0"/>
    <n v="5661.69"/>
    <n v="848"/>
    <n v="1698.5069999999998"/>
    <n v="640.71"/>
    <m/>
    <m/>
    <m/>
    <x v="6"/>
    <x v="11"/>
  </r>
  <r>
    <n v="24244374"/>
    <n v="5214443030485"/>
    <x v="0"/>
    <n v="35760.720000000001"/>
    <n v="9897.2900000000009"/>
    <n v="10728.216"/>
    <n v="830.92599999999948"/>
    <n v="46388"/>
    <s v="INBURSA"/>
    <n v="9897.2900000000009"/>
    <x v="6"/>
    <x v="11"/>
  </r>
  <r>
    <n v="24249284"/>
    <n v="5212223303622"/>
    <x v="3"/>
    <n v="48861.279999999999"/>
    <n v="14648.88"/>
    <n v="14658.384"/>
    <n v="9.5040000000008149"/>
    <n v="46266"/>
    <s v="CONSUPAGO"/>
    <n v="11137.34"/>
    <x v="5"/>
    <x v="11"/>
  </r>
  <r>
    <n v="24249576"/>
    <n v="5214434847427"/>
    <x v="1"/>
    <n v="15040.24"/>
    <m/>
    <n v="4512.0720000000001"/>
    <n v="4512.0720000000001"/>
    <m/>
    <m/>
    <m/>
    <x v="9"/>
    <x v="11"/>
  </r>
  <r>
    <n v="24234396"/>
    <n v="5215536432694"/>
    <x v="1"/>
    <n v="10636.54"/>
    <m/>
    <n v="3190.962"/>
    <n v="3190.962"/>
    <m/>
    <m/>
    <m/>
    <x v="9"/>
    <x v="11"/>
  </r>
  <r>
    <n v="24244968"/>
    <n v="5216444611461"/>
    <x v="1"/>
    <n v="10636.54"/>
    <n v="1838.87"/>
    <n v="3190.962"/>
    <n v="1352.0920000000001"/>
    <n v="46905"/>
    <s v="PROFUTURO "/>
    <n v="1838.87"/>
    <x v="15"/>
    <x v="11"/>
  </r>
  <r>
    <n v="24247884"/>
    <n v="8715016732"/>
    <x v="1"/>
    <n v="9760.32"/>
    <m/>
    <n v="2928.096"/>
    <n v="2928.096"/>
    <m/>
    <m/>
    <m/>
    <x v="4"/>
    <x v="11"/>
  </r>
  <r>
    <n v="24252242"/>
    <m/>
    <x v="1"/>
    <n v="7135.6"/>
    <n v="732.38"/>
    <n v="2140.6799999999998"/>
    <n v="1408.2999999999997"/>
    <d v="2028-07-01T00:00:00"/>
    <s v="CONSUPAGO"/>
    <n v="732.38"/>
    <x v="17"/>
    <x v="11"/>
  </r>
  <r>
    <n v="24252674"/>
    <m/>
    <x v="1"/>
    <n v="25665.59"/>
    <m/>
    <n v="7699.6769999999997"/>
    <n v="7699.6769999999997"/>
    <m/>
    <m/>
    <m/>
    <x v="5"/>
    <x v="11"/>
  </r>
  <r>
    <n v="24252178"/>
    <m/>
    <x v="1"/>
    <n v="5617.63"/>
    <m/>
    <n v="1685.289"/>
    <n v="1444.6500000000005"/>
    <m/>
    <m/>
    <m/>
    <x v="15"/>
    <x v="11"/>
  </r>
  <r>
    <n v="24188300"/>
    <n v="9994168549"/>
    <x v="0"/>
    <n v="57164.22"/>
    <n v="16537.990000000002"/>
    <n v="17149.266"/>
    <n v="611.27599999999802"/>
    <n v="46661"/>
    <s v="PROFUTURO "/>
    <n v="16537.990000000002"/>
    <x v="6"/>
    <x v="11"/>
  </r>
  <r>
    <n v="24241280"/>
    <n v="5217822088561"/>
    <x v="2"/>
    <n v="7920.51"/>
    <n v="2047.45"/>
    <n v="2376.1999999999998"/>
    <n v="328.7"/>
    <d v="2026-07-01T00:00:00"/>
    <s v="INBURSA"/>
    <n v="2047.45"/>
    <x v="13"/>
    <x v="11"/>
  </r>
  <r>
    <n v="23572932"/>
    <n v="5213171120099"/>
    <x v="1"/>
    <n v="17504.68"/>
    <m/>
    <n v="5251.4039999999995"/>
    <n v="5251.4039999999995"/>
    <m/>
    <m/>
    <m/>
    <x v="3"/>
    <x v="11"/>
  </r>
  <r>
    <n v="24241450"/>
    <n v="5213323949104"/>
    <x v="1"/>
    <n v="7116.73"/>
    <n v="879"/>
    <n v="2135.0189999999998"/>
    <n v="1256.0189999999998"/>
    <m/>
    <m/>
    <m/>
    <x v="10"/>
    <x v="11"/>
  </r>
  <r>
    <n v="24229610"/>
    <n v="5215523227383"/>
    <x v="2"/>
    <n v="23587.89"/>
    <n v="6548.63"/>
    <n v="7076.3669999999993"/>
    <n v="527.73699999999917"/>
    <n v="46174"/>
    <s v="MULTIVA"/>
    <n v="6548.63"/>
    <x v="7"/>
    <x v="11"/>
  </r>
  <r>
    <n v="24233618"/>
    <n v="5215527702203"/>
    <x v="1"/>
    <n v="40117.99"/>
    <m/>
    <n v="12035.396999999999"/>
    <n v="12035.396999999999"/>
    <m/>
    <m/>
    <m/>
    <x v="5"/>
    <x v="11"/>
  </r>
  <r>
    <n v="24250102"/>
    <n v="5213421078956"/>
    <x v="1"/>
    <n v="10636.54"/>
    <m/>
    <n v="3190.962"/>
    <n v="3190.962"/>
    <m/>
    <m/>
    <m/>
    <x v="3"/>
    <x v="11"/>
  </r>
  <r>
    <n v="24254140"/>
    <m/>
    <x v="1"/>
    <n v="10636.54"/>
    <m/>
    <n v="3190.962"/>
    <n v="3190.962"/>
    <m/>
    <m/>
    <m/>
    <x v="5"/>
    <x v="11"/>
  </r>
  <r>
    <n v="24243294"/>
    <n v="5217331258213"/>
    <x v="1"/>
    <n v="7920.51"/>
    <m/>
    <n v="2376.1529999999998"/>
    <n v="2376.1529999999998"/>
    <m/>
    <m/>
    <m/>
    <x v="15"/>
    <x v="11"/>
  </r>
  <r>
    <n v="24258116"/>
    <m/>
    <x v="1"/>
    <n v="29639.040000000001"/>
    <n v="2423.7600000000002"/>
    <n v="8891.7119999999995"/>
    <n v="6467.9519999999993"/>
    <d v="2028-07-01T00:00:00"/>
    <s v="INBURSA"/>
    <n v="2423.7600000000002"/>
    <x v="3"/>
    <x v="12"/>
  </r>
  <r>
    <n v="24258262"/>
    <m/>
    <x v="0"/>
    <n v="9760.32"/>
    <n v="1770.78"/>
    <n v="2928.096"/>
    <n v="1157.316"/>
    <d v="2028-07-01T00:00:00"/>
    <s v="MULTIVA"/>
    <n v="1770.78"/>
    <x v="0"/>
    <x v="12"/>
  </r>
  <r>
    <n v="24256640"/>
    <m/>
    <x v="1"/>
    <n v="6239.68"/>
    <m/>
    <n v="1871.904"/>
    <n v="1871.904"/>
    <m/>
    <m/>
    <m/>
    <x v="15"/>
    <x v="12"/>
  </r>
  <r>
    <n v="24257216"/>
    <m/>
    <x v="1"/>
    <n v="5465.89"/>
    <m/>
    <n v="1639.7670000000001"/>
    <n v="1292.9100000000008"/>
    <m/>
    <m/>
    <m/>
    <x v="15"/>
    <x v="12"/>
  </r>
  <r>
    <n v="24254260"/>
    <n v="5214443320591"/>
    <x v="1"/>
    <n v="9760.32"/>
    <m/>
    <n v="2928.096"/>
    <n v="2928.096"/>
    <m/>
    <m/>
    <m/>
    <x v="4"/>
    <x v="12"/>
  </r>
  <r>
    <n v="24258602"/>
    <m/>
    <x v="1"/>
    <n v="9081.52"/>
    <m/>
    <n v="2724.4560000000001"/>
    <n v="2724.4560000000001"/>
    <m/>
    <m/>
    <m/>
    <x v="4"/>
    <x v="12"/>
  </r>
  <r>
    <n v="24260666"/>
    <m/>
    <x v="1"/>
    <n v="36400.269999999997"/>
    <n v="4903.18"/>
    <n v="10920.080999999998"/>
    <n v="6016.900999999998"/>
    <d v="2028-07-01T00:00:00"/>
    <s v="DIMEX"/>
    <n v="2196.36"/>
    <x v="5"/>
    <x v="12"/>
  </r>
  <r>
    <n v="24261294"/>
    <m/>
    <x v="1"/>
    <n v="9582.4699999999939"/>
    <m/>
    <n v="2874.7409999999982"/>
    <n v="2874.7409999999982"/>
    <m/>
    <m/>
    <m/>
    <x v="4"/>
    <x v="12"/>
  </r>
  <r>
    <n v="24262890"/>
    <m/>
    <x v="0"/>
    <n v="8173.37"/>
    <n v="1717"/>
    <n v="2452.011"/>
    <n v="735.01099999999997"/>
    <d v="2028-07-01T00:00:00"/>
    <s v="CONSUPAGO"/>
    <n v="801.52"/>
    <x v="0"/>
    <x v="12"/>
  </r>
  <r>
    <n v="24254602"/>
    <m/>
    <x v="3"/>
    <n v="32952.33"/>
    <n v="9884.7000000000007"/>
    <n v="9885.6990000000005"/>
    <n v="0.99899999999979627"/>
    <d v="2026-09-01T00:00:00"/>
    <s v="CONSUPAGO"/>
    <n v="9148.7000000000007"/>
    <x v="5"/>
    <x v="12"/>
  </r>
  <r>
    <n v="24259300"/>
    <m/>
    <x v="2"/>
    <n v="37148.46"/>
    <n v="11142.19"/>
    <n v="11144.537999999999"/>
    <n v="2.3479999999981374"/>
    <d v="2026-04-01T00:00:00"/>
    <s v="ATTENDO"/>
    <n v="3003.08"/>
    <x v="13"/>
    <x v="12"/>
  </r>
  <r>
    <n v="24255814"/>
    <n v="5218124236801"/>
    <x v="1"/>
    <n v="10636.54"/>
    <m/>
    <n v="3190.962"/>
    <n v="3190.962"/>
    <m/>
    <m/>
    <m/>
    <x v="5"/>
    <x v="12"/>
  </r>
  <r>
    <n v="24263250"/>
    <m/>
    <x v="1"/>
    <n v="8181.55"/>
    <n v="879"/>
    <n v="2454.4650000000001"/>
    <n v="1575.4650000000001"/>
    <m/>
    <m/>
    <m/>
    <x v="2"/>
    <x v="12"/>
  </r>
  <r>
    <n v="24230042"/>
    <n v="5215525390194"/>
    <x v="1"/>
    <n v="11029.03"/>
    <m/>
    <n v="3308.7090000000003"/>
    <n v="3308.7090000000003"/>
    <m/>
    <m/>
    <n v="2380.7600000000002"/>
    <x v="3"/>
    <x v="12"/>
  </r>
  <r>
    <n v="24264788"/>
    <m/>
    <x v="1"/>
    <n v="9572.89"/>
    <m/>
    <n v="2871.8669999999997"/>
    <n v="2871.8669999999997"/>
    <m/>
    <m/>
    <m/>
    <x v="5"/>
    <x v="12"/>
  </r>
  <r>
    <n v="19289310"/>
    <n v="5213340952437"/>
    <x v="0"/>
    <n v="9081.5300000000007"/>
    <n v="2380.7600000000002"/>
    <n v="2724.4590000000003"/>
    <n v="343.69900000000007"/>
    <n v="46784"/>
    <s v="INBURSA"/>
    <m/>
    <x v="0"/>
    <x v="12"/>
  </r>
  <r>
    <n v="24259562"/>
    <n v="5215545064181"/>
    <x v="0"/>
    <n v="25970.240000000002"/>
    <n v="6950.85"/>
    <n v="7791.0720000000001"/>
    <n v="840.22199999999975"/>
    <n v="46327"/>
    <s v="BANCREA"/>
    <n v="6950.85"/>
    <x v="0"/>
    <x v="12"/>
  </r>
  <r>
    <n v="24258488"/>
    <n v="6641842705"/>
    <x v="3"/>
    <n v="5608.61"/>
    <n v="1379.06"/>
    <n v="1682.5829999999999"/>
    <n v="56.570000000000164"/>
    <n v="45352"/>
    <s v="CONSUBANCO"/>
    <n v="1379.06"/>
    <x v="5"/>
    <x v="12"/>
  </r>
  <r>
    <n v="24251922"/>
    <n v="5212222082900"/>
    <x v="3"/>
    <n v="41038.49"/>
    <m/>
    <n v="12311.546999999999"/>
    <n v="12311.546999999999"/>
    <m/>
    <m/>
    <m/>
    <x v="16"/>
    <x v="12"/>
  </r>
  <r>
    <n v="24266146"/>
    <m/>
    <x v="3"/>
    <n v="5639.15"/>
    <n v="1350.94"/>
    <n v="1691.7449999999999"/>
    <n v="115.23000000000002"/>
    <d v="2026-04-01T00:00:00"/>
    <s v="CONSUBANCO"/>
    <n v="1350.94"/>
    <x v="5"/>
    <x v="12"/>
  </r>
  <r>
    <n v="24266054"/>
    <m/>
    <x v="1"/>
    <n v="11029.03"/>
    <m/>
    <n v="3308.7090000000003"/>
    <n v="3308.7090000000003"/>
    <m/>
    <m/>
    <m/>
    <x v="3"/>
    <x v="12"/>
  </r>
  <r>
    <n v="24265796"/>
    <m/>
    <x v="2"/>
    <n v="7101.73"/>
    <n v="1887.32"/>
    <n v="2130.5189999999998"/>
    <n v="243.19899999999984"/>
    <d v="2025-03-01T00:00:00"/>
    <s v="PUBLISEG"/>
    <n v="1887.32"/>
    <x v="13"/>
    <x v="12"/>
  </r>
  <r>
    <n v="24262416"/>
    <n v="5213921597416"/>
    <x v="0"/>
    <n v="6411.47"/>
    <n v="1288.28"/>
    <n v="1923.441"/>
    <n v="635.16100000000006"/>
    <n v="46508"/>
    <s v="INBURSA"/>
    <n v="1288.28"/>
    <x v="0"/>
    <x v="12"/>
  </r>
  <r>
    <n v="24257186"/>
    <n v="5212294367273"/>
    <x v="3"/>
    <n v="6262.86"/>
    <n v="1811.2"/>
    <n v="1878.8579999999997"/>
    <n v="67.657999999999674"/>
    <n v="45261"/>
    <s v="FISOFO"/>
    <n v="1426.26"/>
    <x v="5"/>
    <x v="13"/>
  </r>
  <r>
    <n v="24267112"/>
    <n v="4922232774"/>
    <x v="4"/>
    <n v="17975.75"/>
    <n v="5391.73"/>
    <n v="5392.7249999999995"/>
    <n v="0.99499999999989086"/>
    <n v="46266"/>
    <s v="EXITUS"/>
    <n v="1181.45"/>
    <x v="6"/>
    <x v="13"/>
  </r>
  <r>
    <n v="24272816"/>
    <n v="5212291631407"/>
    <x v="0"/>
    <n v="4661.47"/>
    <m/>
    <n v="1398.441"/>
    <n v="488.49000000000069"/>
    <m/>
    <m/>
    <m/>
    <x v="0"/>
    <x v="13"/>
  </r>
  <r>
    <n v="24282484"/>
    <n v="8331470411"/>
    <x v="0"/>
    <n v="6056.98"/>
    <n v="879"/>
    <n v="1817.0939999999998"/>
    <n v="938.09399999999982"/>
    <m/>
    <m/>
    <m/>
    <x v="6"/>
    <x v="13"/>
  </r>
  <r>
    <n v="24248096"/>
    <n v="5216151141600"/>
    <x v="0"/>
    <n v="6664.74"/>
    <n v="879"/>
    <n v="1999.4219999999998"/>
    <n v="1120.4219999999998"/>
    <m/>
    <m/>
    <m/>
    <x v="6"/>
    <x v="13"/>
  </r>
  <r>
    <n v="24264720"/>
    <n v="5219989328276"/>
    <x v="4"/>
    <n v="9081.52"/>
    <n v="2504.6999999999998"/>
    <n v="2724.4560000000001"/>
    <n v="219.75600000000031"/>
    <n v="46235"/>
    <s v="DIMEX"/>
    <n v="742.22"/>
    <x v="0"/>
    <x v="13"/>
  </r>
  <r>
    <n v="24274398"/>
    <n v="9931010266"/>
    <x v="3"/>
    <n v="6262.86"/>
    <n v="1810.47"/>
    <n v="1878.8579999999997"/>
    <n v="68.387999999999693"/>
    <n v="45200"/>
    <s v="CONSUBANCO"/>
    <n v="1414.49"/>
    <x v="5"/>
    <x v="13"/>
  </r>
  <r>
    <n v="24258240"/>
    <n v="5216444616096"/>
    <x v="1"/>
    <n v="60491.66"/>
    <m/>
    <n v="18147.498"/>
    <n v="18147.498"/>
    <m/>
    <m/>
    <m/>
    <x v="18"/>
    <x v="13"/>
  </r>
  <r>
    <n v="24254170"/>
    <n v="5219611777400"/>
    <x v="2"/>
    <n v="10841.91"/>
    <n v="2876"/>
    <n v="3252.5729999999999"/>
    <n v="376.57299999999987"/>
    <n v="45809"/>
    <s v="PROFUTURO"/>
    <n v="2876"/>
    <x v="13"/>
    <x v="13"/>
  </r>
  <r>
    <n v="24269314"/>
    <n v="5218442891043"/>
    <x v="1"/>
    <n v="26539.88"/>
    <m/>
    <n v="7961.9639999999999"/>
    <n v="7961.9639999999999"/>
    <m/>
    <m/>
    <m/>
    <x v="12"/>
    <x v="13"/>
  </r>
  <r>
    <n v="24233252"/>
    <n v="5639772395"/>
    <x v="2"/>
    <n v="8186.09"/>
    <n v="1498.74"/>
    <n v="2455.8269999999998"/>
    <n v="957.08699999999976"/>
    <n v="46143"/>
    <s v="INBURSA"/>
    <n v="1498.74"/>
    <x v="13"/>
    <x v="13"/>
  </r>
  <r>
    <n v="24268034"/>
    <n v="5213122988767"/>
    <x v="2"/>
    <n v="16760.2"/>
    <n v="4848.95"/>
    <n v="5028.0600000000004"/>
    <n v="179.11000000000058"/>
    <n v="46235"/>
    <s v="EXITUS"/>
    <n v="4110.96"/>
    <x v="7"/>
    <x v="13"/>
  </r>
  <r>
    <n v="24265438"/>
    <n v="5218661641656"/>
    <x v="2"/>
    <n v="40834.019999999997"/>
    <n v="11814.26"/>
    <n v="12250.205999999998"/>
    <n v="435.94599999999809"/>
    <n v="46174"/>
    <s v="DIMEX"/>
    <n v="5845.91"/>
    <x v="7"/>
    <x v="13"/>
  </r>
  <r>
    <n v="24266598"/>
    <n v="5212225933844"/>
    <x v="1"/>
    <n v="7920.51"/>
    <m/>
    <n v="2376.1529999999998"/>
    <n v="2376.1529999999998"/>
    <m/>
    <m/>
    <m/>
    <x v="4"/>
    <x v="13"/>
  </r>
  <r>
    <n v="24268170"/>
    <n v="5214622356721"/>
    <x v="1"/>
    <n v="9081.52"/>
    <n v="706.77"/>
    <n v="2724.4560000000001"/>
    <n v="2017.6860000000001"/>
    <n v="46600"/>
    <s v="FISOFO"/>
    <n v="706.77"/>
    <x v="9"/>
    <x v="13"/>
  </r>
  <r>
    <n v="24245024"/>
    <n v="5216623728731"/>
    <x v="1"/>
    <n v="7363.4"/>
    <m/>
    <n v="2209.02"/>
    <n v="2209.02"/>
    <m/>
    <m/>
    <m/>
    <x v="4"/>
    <x v="13"/>
  </r>
  <r>
    <n v="24268952"/>
    <m/>
    <x v="1"/>
    <n v="7597.46"/>
    <m/>
    <n v="2279.2379999999998"/>
    <n v="2279.2379999999998"/>
    <m/>
    <m/>
    <m/>
    <x v="2"/>
    <x v="13"/>
  </r>
  <r>
    <n v="24275844"/>
    <m/>
    <x v="1"/>
    <n v="10636.54"/>
    <n v="879"/>
    <n v="3190.962"/>
    <n v="2311.962"/>
    <m/>
    <m/>
    <m/>
    <x v="2"/>
    <x v="13"/>
  </r>
  <r>
    <n v="24280638"/>
    <m/>
    <x v="1"/>
    <n v="7920.63"/>
    <m/>
    <n v="2376.1889999999999"/>
    <n v="2376.1889999999999"/>
    <m/>
    <m/>
    <m/>
    <x v="2"/>
    <x v="13"/>
  </r>
  <r>
    <n v="24283262"/>
    <m/>
    <x v="1"/>
    <n v="25807.16"/>
    <m/>
    <n v="7742.1479999999992"/>
    <n v="7742.1479999999992"/>
    <m/>
    <m/>
    <m/>
    <x v="8"/>
    <x v="13"/>
  </r>
  <r>
    <n v="24274016"/>
    <m/>
    <x v="1"/>
    <n v="9081.52"/>
    <n v="848"/>
    <n v="2724.4560000000001"/>
    <n v="1876.4560000000001"/>
    <m/>
    <m/>
    <m/>
    <x v="15"/>
    <x v="13"/>
  </r>
  <r>
    <n v="24282824"/>
    <m/>
    <x v="1"/>
    <n v="21019.78"/>
    <n v="4643.13"/>
    <n v="6305.9339999999993"/>
    <n v="1662.8039999999992"/>
    <d v="2028-07-01T00:00:00"/>
    <s v="CONSUBANCO"/>
    <n v="4643.13"/>
    <x v="10"/>
    <x v="13"/>
  </r>
  <r>
    <n v="24284172"/>
    <m/>
    <x v="1"/>
    <n v="8788.19"/>
    <n v="879"/>
    <n v="2636.4569999999999"/>
    <n v="1757.4569999999999"/>
    <m/>
    <m/>
    <m/>
    <x v="17"/>
    <x v="13"/>
  </r>
  <r>
    <n v="24281378"/>
    <n v="5219372710570"/>
    <x v="1"/>
    <n v="10636.54"/>
    <m/>
    <n v="3190.962"/>
    <n v="3190.962"/>
    <m/>
    <m/>
    <m/>
    <x v="3"/>
    <x v="13"/>
  </r>
  <r>
    <n v="24272850"/>
    <n v="3515007659"/>
    <x v="0"/>
    <n v="5617.63"/>
    <n v="1088.49"/>
    <n v="1685.289"/>
    <n v="356.16000000000054"/>
    <n v="46997"/>
    <s v="FISOFO"/>
    <n v="827.49"/>
    <x v="0"/>
    <x v="13"/>
  </r>
  <r>
    <n v="24278828"/>
    <n v="4811443281"/>
    <x v="0"/>
    <n v="24266.61"/>
    <n v="6455.03"/>
    <n v="7279.9830000000002"/>
    <n v="824.95300000000043"/>
    <n v="46813"/>
    <s v="INBURSA"/>
    <n v="2154.4499999999998"/>
    <x v="0"/>
    <x v="13"/>
  </r>
  <r>
    <n v="24282944"/>
    <n v="7298240074"/>
    <x v="1"/>
    <n v="11029.03"/>
    <m/>
    <n v="3308.7090000000003"/>
    <n v="3308.7090000000003"/>
    <m/>
    <m/>
    <m/>
    <x v="3"/>
    <x v="13"/>
  </r>
  <r>
    <n v="24277636"/>
    <m/>
    <x v="1"/>
    <n v="22230.63"/>
    <m/>
    <n v="6669.1890000000003"/>
    <n v="6669.1890000000003"/>
    <m/>
    <m/>
    <m/>
    <x v="18"/>
    <x v="13"/>
  </r>
  <r>
    <n v="24287738"/>
    <m/>
    <x v="1"/>
    <n v="47739.26"/>
    <n v="2999.97"/>
    <n v="14321.778"/>
    <n v="11321.808000000001"/>
    <d v="2027-11-01T00:00:00"/>
    <s v="MULTIVA"/>
    <n v="2999.97"/>
    <x v="8"/>
    <x v="13"/>
  </r>
  <r>
    <n v="24289240"/>
    <m/>
    <x v="1"/>
    <n v="58005.68"/>
    <m/>
    <n v="17401.703999999998"/>
    <n v="17401.703999999998"/>
    <m/>
    <m/>
    <m/>
    <x v="18"/>
    <x v="13"/>
  </r>
  <r>
    <n v="24272720"/>
    <n v="6221141654"/>
    <x v="2"/>
    <n v="9081.52"/>
    <n v="2353.61"/>
    <n v="2724.4560000000001"/>
    <n v="370.846"/>
    <n v="46266"/>
    <s v="PROFUTURO"/>
    <n v="2353.61"/>
    <x v="13"/>
    <x v="13"/>
  </r>
  <r>
    <n v="24289506"/>
    <m/>
    <x v="1"/>
    <n v="36647.69"/>
    <m/>
    <n v="10994.307000000001"/>
    <n v="10994.307000000001"/>
    <m/>
    <m/>
    <m/>
    <x v="12"/>
    <x v="13"/>
  </r>
  <r>
    <n v="24288538"/>
    <n v="3111171997"/>
    <x v="2"/>
    <n v="39093.629999999997"/>
    <n v="11728.09"/>
    <n v="11728.088999999998"/>
    <n v="-1.0000000020227162E-3"/>
    <n v="46204"/>
    <s v="DIMEX"/>
    <n v="5649.35"/>
    <x v="7"/>
    <x v="13"/>
  </r>
  <r>
    <n v="24267950"/>
    <m/>
    <x v="1"/>
    <n v="10636.54"/>
    <m/>
    <n v="3190.962"/>
    <n v="3190.962"/>
    <m/>
    <m/>
    <m/>
    <x v="5"/>
    <x v="13"/>
  </r>
  <r>
    <n v="24269062"/>
    <m/>
    <x v="1"/>
    <n v="24845.55"/>
    <n v="1103.32"/>
    <n v="7453.6649999999991"/>
    <n v="6350.3449999999993"/>
    <m/>
    <m/>
    <m/>
    <x v="5"/>
    <x v="13"/>
  </r>
  <r>
    <n v="24269246"/>
    <m/>
    <x v="1"/>
    <n v="9760.32"/>
    <m/>
    <n v="2928.096"/>
    <n v="2928.096"/>
    <m/>
    <m/>
    <m/>
    <x v="4"/>
    <x v="13"/>
  </r>
  <r>
    <n v="24272188"/>
    <m/>
    <x v="1"/>
    <n v="16278.07"/>
    <m/>
    <n v="4883.4209999999994"/>
    <n v="4883.4209999999994"/>
    <m/>
    <m/>
    <m/>
    <x v="3"/>
    <x v="13"/>
  </r>
  <r>
    <n v="24296944"/>
    <m/>
    <x v="1"/>
    <n v="35583.480000000003"/>
    <m/>
    <n v="10675.044"/>
    <n v="10675.044"/>
    <m/>
    <m/>
    <m/>
    <x v="10"/>
    <x v="13"/>
  </r>
  <r>
    <n v="24272950"/>
    <m/>
    <x v="1"/>
    <n v="5617.63"/>
    <m/>
    <n v="1685.289"/>
    <n v="1444.6500000000005"/>
    <m/>
    <m/>
    <m/>
    <x v="15"/>
    <x v="13"/>
  </r>
  <r>
    <n v="24271060"/>
    <m/>
    <x v="3"/>
    <n v="42778.79"/>
    <n v="12342.89"/>
    <n v="12833.637000000001"/>
    <n v="490.74700000000121"/>
    <d v="2026-06-01T00:00:00"/>
    <s v="OPCIPRES"/>
    <n v="4631.09"/>
    <x v="16"/>
    <x v="13"/>
  </r>
  <r>
    <n v="24295476"/>
    <n v="5218781558704"/>
    <x v="3"/>
    <n v="8539.89"/>
    <n v="2261.88"/>
    <n v="2561.9669999999996"/>
    <n v="300.08699999999953"/>
    <n v="45717"/>
    <s v="FISOFO"/>
    <n v="1781.49"/>
    <x v="16"/>
    <x v="13"/>
  </r>
  <r>
    <n v="24269122"/>
    <m/>
    <x v="0"/>
    <n v="23776.66"/>
    <n v="6029.44"/>
    <n v="7132.9979999999996"/>
    <n v="1103.558"/>
    <d v="2027-06-01T00:00:00"/>
    <s v="PROFUTURO"/>
    <n v="6029.44"/>
    <x v="6"/>
    <x v="13"/>
  </r>
  <r>
    <n v="24272308"/>
    <m/>
    <x v="1"/>
    <n v="8173.35"/>
    <m/>
    <n v="2452.0050000000001"/>
    <n v="2452.0050000000001"/>
    <m/>
    <m/>
    <m/>
    <x v="8"/>
    <x v="13"/>
  </r>
  <r>
    <n v="24278232"/>
    <m/>
    <x v="2"/>
    <n v="9081.52"/>
    <n v="2626.77"/>
    <n v="2724.4560000000001"/>
    <n v="97.686000000000149"/>
    <d v="2026-06-01T00:00:00"/>
    <s v="INBURSA"/>
    <n v="1993.77"/>
    <x v="13"/>
    <x v="13"/>
  </r>
  <r>
    <n v="24282280"/>
    <m/>
    <x v="1"/>
    <n v="10636.54"/>
    <m/>
    <n v="3190.962"/>
    <n v="3190.962"/>
    <m/>
    <m/>
    <m/>
    <x v="9"/>
    <x v="13"/>
  </r>
  <r>
    <n v="24283124"/>
    <n v="5213312940712"/>
    <x v="1"/>
    <n v="10636.54"/>
    <m/>
    <n v="3190.962"/>
    <n v="3190.962"/>
    <m/>
    <m/>
    <m/>
    <x v="17"/>
    <x v="13"/>
  </r>
  <r>
    <n v="24297060"/>
    <m/>
    <x v="1"/>
    <n v="7128.48"/>
    <m/>
    <n v="2138.5439999999999"/>
    <n v="2138.5439999999999"/>
    <m/>
    <m/>
    <m/>
    <x v="12"/>
    <x v="13"/>
  </r>
  <r>
    <n v="24292442"/>
    <n v="5217551067335"/>
    <x v="1"/>
    <n v="9760.32"/>
    <m/>
    <n v="2928.096"/>
    <n v="2928.096"/>
    <m/>
    <m/>
    <m/>
    <x v="10"/>
    <x v="13"/>
  </r>
  <r>
    <n v="24282324"/>
    <m/>
    <x v="1"/>
    <n v="9760.32"/>
    <m/>
    <n v="2928.096"/>
    <n v="2928.096"/>
    <m/>
    <m/>
    <m/>
    <x v="9"/>
    <x v="13"/>
  </r>
  <r>
    <n v="24287164"/>
    <m/>
    <x v="1"/>
    <n v="9760.32"/>
    <m/>
    <n v="2928.096"/>
    <n v="2928.096"/>
    <m/>
    <m/>
    <m/>
    <x v="17"/>
    <x v="13"/>
  </r>
  <r>
    <n v="24298230"/>
    <m/>
    <x v="1"/>
    <n v="14461.55"/>
    <n v="2819.44"/>
    <n v="4338.4649999999992"/>
    <n v="1519.0249999999992"/>
    <d v="2027-11-01T00:00:00"/>
    <s v="INBURSA"/>
    <n v="2819.44"/>
    <x v="15"/>
    <x v="13"/>
  </r>
  <r>
    <n v="24281402"/>
    <m/>
    <x v="2"/>
    <n v="9081.52"/>
    <n v="2521.33"/>
    <n v="2724.4560000000001"/>
    <n v="203.1260000000002"/>
    <d v="2026-06-01T00:00:00"/>
    <s v="DIMEX"/>
    <n v="2521.33"/>
    <x v="7"/>
    <x v="13"/>
  </r>
  <r>
    <n v="24282620"/>
    <m/>
    <x v="3"/>
    <n v="6408.47"/>
    <n v="1685.94"/>
    <n v="1922.5409999999999"/>
    <n v="236.60099999999989"/>
    <d v="2026-08-01T00:00:00"/>
    <s v="FISOFO"/>
    <n v="1685.94"/>
    <x v="16"/>
    <x v="13"/>
  </r>
  <r>
    <n v="24283404"/>
    <n v="6678726796"/>
    <x v="4"/>
    <n v="6556.41"/>
    <n v="2097.29"/>
    <n v="1966.9229999999998"/>
    <n v="-130.36700000000019"/>
    <n v="46266"/>
    <s v="INBURSA"/>
    <n v="680"/>
    <x v="6"/>
    <x v="13"/>
  </r>
  <r>
    <n v="24277158"/>
    <m/>
    <x v="4"/>
    <n v="9045.33"/>
    <n v="2694.7999999999997"/>
    <n v="2713.5989999999997"/>
    <n v="18.798999999999978"/>
    <d v="2025-01-01T00:00:00"/>
    <s v="FORTALEZA"/>
    <n v="553.74"/>
    <x v="0"/>
    <x v="13"/>
  </r>
  <r>
    <n v="24295676"/>
    <m/>
    <x v="1"/>
    <n v="9760.32"/>
    <n v="848"/>
    <n v="2928.096"/>
    <n v="2080.096"/>
    <m/>
    <m/>
    <m/>
    <x v="5"/>
    <x v="13"/>
  </r>
  <r>
    <n v="24298262"/>
    <m/>
    <x v="1"/>
    <n v="11823.68"/>
    <n v="1838.41"/>
    <n v="3547.1039999999998"/>
    <n v="1708.6939999999997"/>
    <d v="2028-05-01T00:00:00"/>
    <s v="DIMEX"/>
    <n v="1838.41"/>
    <x v="15"/>
    <x v="13"/>
  </r>
  <r>
    <n v="24298708"/>
    <m/>
    <x v="1"/>
    <n v="10774.86"/>
    <m/>
    <n v="3232.4580000000001"/>
    <n v="3232.4580000000001"/>
    <m/>
    <m/>
    <m/>
    <x v="17"/>
    <x v="13"/>
  </r>
  <r>
    <n v="24297940"/>
    <m/>
    <x v="1"/>
    <n v="9760.32"/>
    <m/>
    <n v="2928.096"/>
    <n v="2928.096"/>
    <m/>
    <m/>
    <m/>
    <x v="8"/>
    <x v="13"/>
  </r>
  <r>
    <n v="24278724"/>
    <m/>
    <x v="0"/>
    <n v="4890.79"/>
    <m/>
    <n v="1467.2369999999999"/>
    <n v="717.8100000000004"/>
    <m/>
    <m/>
    <m/>
    <x v="0"/>
    <x v="13"/>
  </r>
  <r>
    <n v="24288566"/>
    <m/>
    <x v="0"/>
    <n v="9770.32"/>
    <n v="2077.4"/>
    <n v="2931.096"/>
    <n v="853.69599999999991"/>
    <d v="2028-06-01T00:00:00"/>
    <s v="DIMEX"/>
    <n v="2077.4"/>
    <x v="0"/>
    <x v="13"/>
  </r>
  <r>
    <n v="24254398"/>
    <n v="5215545889699"/>
    <x v="0"/>
    <n v="40143.839999999997"/>
    <n v="11605.36"/>
    <n v="12043.151999999998"/>
    <n v="437.79199999999764"/>
    <n v="46661"/>
    <s v="OPCIPRES"/>
    <n v="11605.36"/>
    <x v="0"/>
    <x v="13"/>
  </r>
  <r>
    <n v="24274632"/>
    <n v="5215568781978"/>
    <x v="0"/>
    <n v="4813.6899999999996"/>
    <m/>
    <n v="1444.1069999999997"/>
    <n v="640.71"/>
    <m/>
    <m/>
    <m/>
    <x v="6"/>
    <x v="13"/>
  </r>
  <r>
    <n v="24297332"/>
    <n v="4492907341"/>
    <x v="0"/>
    <n v="9760.32"/>
    <n v="1794.15"/>
    <n v="2928.096"/>
    <n v="1133.9459999999999"/>
    <n v="46844"/>
    <s v="DOMEX"/>
    <n v="1794.15"/>
    <x v="6"/>
    <x v="13"/>
  </r>
  <r>
    <n v="24297932"/>
    <m/>
    <x v="0"/>
    <n v="9760.32"/>
    <n v="2335.4299999999998"/>
    <n v="2928.096"/>
    <n v="592.66600000000017"/>
    <d v="2027-10-01T00:00:00"/>
    <s v="CONSUPAGO"/>
    <n v="2335.4299999999998"/>
    <x v="6"/>
    <x v="13"/>
  </r>
  <r>
    <n v="24298904"/>
    <m/>
    <x v="1"/>
    <n v="10637.470000000001"/>
    <m/>
    <n v="3191.2410000000004"/>
    <n v="3191.2410000000004"/>
    <m/>
    <m/>
    <m/>
    <x v="9"/>
    <x v="13"/>
  </r>
  <r>
    <n v="24298214"/>
    <m/>
    <x v="1"/>
    <n v="9698.31"/>
    <m/>
    <n v="2909.4929999999999"/>
    <n v="2909.4929999999999"/>
    <m/>
    <m/>
    <m/>
    <x v="5"/>
    <x v="13"/>
  </r>
  <r>
    <n v="24268036"/>
    <m/>
    <x v="2"/>
    <n v="12275.37"/>
    <n v="3403.6"/>
    <n v="3682.6110000000003"/>
    <n v="279.01100000000042"/>
    <d v="2026-09-01T00:00:00"/>
    <s v="BANCREA"/>
    <n v="3403.6"/>
    <x v="3"/>
    <x v="13"/>
  </r>
  <r>
    <n v="24281532"/>
    <m/>
    <x v="2"/>
    <n v="13488.3"/>
    <n v="3744.82"/>
    <n v="4046.49"/>
    <n v="301.66999999999962"/>
    <d v="2026-09-01T00:00:00"/>
    <s v="INBURSA"/>
    <n v="3744.82"/>
    <x v="7"/>
    <x v="13"/>
  </r>
  <r>
    <n v="24286150"/>
    <m/>
    <x v="2"/>
    <n v="27256.22"/>
    <n v="8159.53"/>
    <n v="8176.866"/>
    <n v="17.33600000000024"/>
    <d v="2026-06-01T00:00:00"/>
    <s v="INBURSA"/>
    <n v="3735.1"/>
    <x v="13"/>
    <x v="13"/>
  </r>
  <r>
    <n v="24297288"/>
    <n v="2292258905"/>
    <x v="1"/>
    <n v="10636.36"/>
    <m/>
    <n v="3190.9079999999999"/>
    <n v="3190.9079999999999"/>
    <m/>
    <m/>
    <m/>
    <x v="10"/>
    <x v="13"/>
  </r>
  <r>
    <n v="24287632"/>
    <n v="5215534164563"/>
    <x v="1"/>
    <n v="35969.39"/>
    <m/>
    <n v="10790.816999999999"/>
    <n v="10790.816999999999"/>
    <m/>
    <m/>
    <m/>
    <x v="4"/>
    <x v="13"/>
  </r>
  <r>
    <n v="24258382"/>
    <n v="5582870035"/>
    <x v="1"/>
    <n v="6508.25"/>
    <m/>
    <n v="1952.4749999999999"/>
    <n v="1952.4749999999999"/>
    <m/>
    <m/>
    <m/>
    <x v="12"/>
    <x v="13"/>
  </r>
  <r>
    <n v="24298046"/>
    <m/>
    <x v="2"/>
    <n v="17759.02"/>
    <n v="3980"/>
    <n v="5327.7060000000001"/>
    <n v="1347.7060000000001"/>
    <d v="2024-11-01T00:00:00"/>
    <s v="FORTALEZA"/>
    <n v="3980"/>
    <x v="11"/>
    <x v="13"/>
  </r>
  <r>
    <n v="24299076"/>
    <m/>
    <x v="2"/>
    <n v="7920.51"/>
    <n v="2197.7199999999998"/>
    <n v="2376.1529999999998"/>
    <n v="178.43299999999999"/>
    <d v="2026-05-01T00:00:00"/>
    <s v="DIMEX"/>
    <n v="2197.7199999999998"/>
    <x v="11"/>
    <x v="13"/>
  </r>
  <r>
    <n v="24295750"/>
    <n v="5218715208206"/>
    <x v="1"/>
    <n v="5617.63"/>
    <m/>
    <n v="1685.289"/>
    <n v="1444.6500000000005"/>
    <m/>
    <m/>
    <m/>
    <x v="15"/>
    <x v="13"/>
  </r>
  <r>
    <n v="24300612"/>
    <m/>
    <x v="1"/>
    <n v="23430.43"/>
    <n v="5381.35"/>
    <n v="7029.1289999999999"/>
    <n v="1647.7789999999995"/>
    <d v="2028-02-01T00:00:00"/>
    <s v="INBURSA"/>
    <n v="3770.29"/>
    <x v="9"/>
    <x v="13"/>
  </r>
  <r>
    <n v="24289344"/>
    <n v="5215527709409"/>
    <x v="0"/>
    <n v="6262.86"/>
    <n v="879"/>
    <n v="1878.8579999999997"/>
    <n v="999.85799999999972"/>
    <m/>
    <m/>
    <m/>
    <x v="0"/>
    <x v="13"/>
  </r>
  <r>
    <n v="24282456"/>
    <n v="4794138593"/>
    <x v="3"/>
    <n v="13124.95"/>
    <m/>
    <n v="3937.4850000000001"/>
    <n v="3937.4850000000001"/>
    <m/>
    <m/>
    <m/>
    <x v="16"/>
    <x v="13"/>
  </r>
  <r>
    <n v="24301858"/>
    <m/>
    <x v="1"/>
    <n v="5983.28"/>
    <m/>
    <n v="1794.9839999999999"/>
    <n v="1794.9839999999999"/>
    <m/>
    <m/>
    <m/>
    <x v="17"/>
    <x v="13"/>
  </r>
  <r>
    <n v="24302290"/>
    <m/>
    <x v="2"/>
    <n v="5617.63"/>
    <n v="1335.17"/>
    <n v="1685.289"/>
    <n v="109.48000000000047"/>
    <d v="2026-09-01T00:00:00"/>
    <s v="BANCREA, MULTIVA"/>
    <n v="1335.17"/>
    <x v="11"/>
    <x v="13"/>
  </r>
  <r>
    <n v="24288606"/>
    <n v="5216151599764"/>
    <x v="1"/>
    <n v="96277.41"/>
    <n v="13700.2"/>
    <n v="28883.223000000002"/>
    <n v="15183.023000000001"/>
    <n v="46023"/>
    <s v="CONSUPAGO"/>
    <n v="13700.2"/>
    <x v="5"/>
    <x v="13"/>
  </r>
  <r>
    <n v="24299364"/>
    <n v="5218122055931"/>
    <x v="1"/>
    <n v="10636.54"/>
    <m/>
    <n v="3190.962"/>
    <n v="3190.962"/>
    <m/>
    <m/>
    <m/>
    <x v="12"/>
    <x v="13"/>
  </r>
  <r>
    <n v="24303142"/>
    <m/>
    <x v="1"/>
    <n v="18639.330000000002"/>
    <n v="3677.75"/>
    <n v="5591.799"/>
    <n v="1914.049"/>
    <d v="2028-08-01T00:00:00"/>
    <s v="FISOFO"/>
    <n v="3677.75"/>
    <x v="4"/>
    <x v="13"/>
  </r>
  <r>
    <n v="24300162"/>
    <n v="24300162"/>
    <x v="0"/>
    <n v="29304.58"/>
    <n v="8128.52"/>
    <n v="8791.3739999999998"/>
    <n v="662.85399999999936"/>
    <n v="46296"/>
    <s v="OPCIPRES"/>
    <n v="8128.52"/>
    <x v="6"/>
    <x v="13"/>
  </r>
  <r>
    <n v="24303826"/>
    <m/>
    <x v="1"/>
    <n v="13749.48"/>
    <n v="0"/>
    <n v="4124.8440000000001"/>
    <n v="4124.8440000000001"/>
    <m/>
    <m/>
    <m/>
    <x v="10"/>
    <x v="13"/>
  </r>
  <r>
    <n v="24303482"/>
    <m/>
    <x v="0"/>
    <n v="16939.939999999999"/>
    <n v="4683.43"/>
    <n v="5081.9819999999991"/>
    <n v="398.55199999999877"/>
    <d v="2025-02-01T00:00:00"/>
    <s v="GFI APOYO"/>
    <n v="327.81"/>
    <x v="0"/>
    <x v="13"/>
  </r>
  <r>
    <n v="24293446"/>
    <n v="5215515049507"/>
    <x v="1"/>
    <n v="37107.230000000003"/>
    <n v="879"/>
    <n v="11132.169"/>
    <n v="10253.169"/>
    <m/>
    <m/>
    <m/>
    <x v="11"/>
    <x v="13"/>
  </r>
  <r>
    <n v="24292658"/>
    <n v="8124006060"/>
    <x v="2"/>
    <n v="9081.52"/>
    <n v="2516.75"/>
    <n v="2724.4560000000001"/>
    <n v="207.70600000000013"/>
    <n v="46204"/>
    <s v="DIMEX"/>
    <n v="2516.75"/>
    <x v="11"/>
    <x v="13"/>
  </r>
  <r>
    <n v="24302184"/>
    <n v="5216871299700"/>
    <x v="1"/>
    <n v="7128.48"/>
    <m/>
    <n v="2138.5439999999999"/>
    <n v="2138.5439999999999"/>
    <m/>
    <m/>
    <m/>
    <x v="11"/>
    <x v="13"/>
  </r>
  <r>
    <n v="24302618"/>
    <n v="5214271277825"/>
    <x v="1"/>
    <n v="10636.54"/>
    <m/>
    <n v="3190.962"/>
    <n v="3190.962"/>
    <m/>
    <m/>
    <m/>
    <x v="11"/>
    <x v="13"/>
  </r>
  <r>
    <n v="24289718"/>
    <n v="7777877917"/>
    <x v="0"/>
    <n v="12541.61"/>
    <n v="3084.9"/>
    <n v="3762.4830000000002"/>
    <n v="677.58300000000008"/>
    <n v="46508"/>
    <s v="FISOFO"/>
    <n v="607.34"/>
    <x v="6"/>
    <x v="13"/>
  </r>
  <r>
    <n v="24284696"/>
    <n v="3114454831"/>
    <x v="0"/>
    <n v="11029.03"/>
    <n v="2410.62"/>
    <n v="3308.7090000000003"/>
    <n v="898.0890000000004"/>
    <n v="46966"/>
    <s v="DIMEX"/>
    <n v="2410.62"/>
    <x v="6"/>
    <x v="13"/>
  </r>
  <r>
    <n v="24314542"/>
    <n v="5213141658160"/>
    <x v="0"/>
    <n v="4820.03"/>
    <m/>
    <n v="1446.0089999999998"/>
    <n v="647.05000000000018"/>
    <m/>
    <m/>
    <m/>
    <x v="0"/>
    <x v="14"/>
  </r>
  <r>
    <n v="24302978"/>
    <n v="5216677914857"/>
    <x v="3"/>
    <n v="18141.43"/>
    <n v="4809.04"/>
    <n v="5442.4290000000001"/>
    <n v="633.38900000000012"/>
    <n v="46054"/>
    <s v="OPCIPRES"/>
    <n v="4809.04"/>
    <x v="16"/>
    <x v="14"/>
  </r>
  <r>
    <n v="24302664"/>
    <n v="8714689811"/>
    <x v="1"/>
    <n v="10636.54"/>
    <m/>
    <n v="3190.962"/>
    <n v="3190.962"/>
    <m/>
    <m/>
    <m/>
    <x v="18"/>
    <x v="14"/>
  </r>
  <r>
    <n v="24303880"/>
    <n v="5219911337021"/>
    <x v="3"/>
    <n v="11128.02"/>
    <m/>
    <n v="3338.4059999999999"/>
    <n v="3338.4059999999999"/>
    <m/>
    <m/>
    <m/>
    <x v="5"/>
    <x v="14"/>
  </r>
  <r>
    <n v="24305440"/>
    <m/>
    <x v="1"/>
    <n v="53697"/>
    <m/>
    <n v="16109.099999999999"/>
    <n v="16109.099999999999"/>
    <m/>
    <m/>
    <m/>
    <x v="3"/>
    <x v="14"/>
  </r>
  <r>
    <n v="24317888"/>
    <m/>
    <x v="1"/>
    <n v="9081.52"/>
    <m/>
    <n v="2724.4560000000001"/>
    <n v="2724.4560000000001"/>
    <m/>
    <m/>
    <m/>
    <x v="2"/>
    <x v="14"/>
  </r>
  <r>
    <n v="24318028"/>
    <m/>
    <x v="4"/>
    <n v="7181.69"/>
    <n v="1184.0899999999999"/>
    <n v="2154.5069999999996"/>
    <n v="970.41699999999969"/>
    <d v="2025-02-01T00:00:00"/>
    <s v="DIMEX"/>
    <n v="1184.0899999999999"/>
    <x v="6"/>
    <x v="14"/>
  </r>
  <r>
    <n v="24306106"/>
    <n v="5591007340"/>
    <x v="2"/>
    <n v="30327.4"/>
    <n v="8076.3"/>
    <n v="9098.2199999999993"/>
    <n v="1021.9199999999992"/>
    <n v="45689"/>
    <s v="DIMEX"/>
    <n v="8076.3"/>
    <x v="7"/>
    <x v="14"/>
  </r>
  <r>
    <n v="24318714"/>
    <m/>
    <x v="1"/>
    <n v="23467.57"/>
    <n v="5682.2"/>
    <n v="7040.2709999999997"/>
    <n v="1358.0709999999999"/>
    <d v="2027-07-01T00:00:00"/>
    <s v="DXN EXPRESS"/>
    <n v="5682.2"/>
    <x v="10"/>
    <x v="14"/>
  </r>
  <r>
    <n v="24319542"/>
    <m/>
    <x v="1"/>
    <n v="10636.54"/>
    <m/>
    <n v="3190.962"/>
    <n v="3190.962"/>
    <m/>
    <m/>
    <m/>
    <x v="9"/>
    <x v="14"/>
  </r>
  <r>
    <n v="24282658"/>
    <n v="8781353824"/>
    <x v="1"/>
    <n v="11029.03"/>
    <n v="879"/>
    <n v="3308.7090000000003"/>
    <n v="2429.7090000000003"/>
    <m/>
    <m/>
    <m/>
    <x v="17"/>
    <x v="14"/>
  </r>
  <r>
    <n v="24319842"/>
    <m/>
    <x v="1"/>
    <n v="10636.54"/>
    <m/>
    <n v="3190.962"/>
    <n v="3190.962"/>
    <m/>
    <m/>
    <m/>
    <x v="4"/>
    <x v="14"/>
  </r>
  <r>
    <n v="24285520"/>
    <n v="5219513046786"/>
    <x v="4"/>
    <n v="5055.87"/>
    <n v="1063.3499999999999"/>
    <n v="1516.761"/>
    <n v="-180.45999999999958"/>
    <n v="45474"/>
    <s v="FORTALEZA, BANCREA"/>
    <n v="1063.3499999999999"/>
    <x v="0"/>
    <x v="14"/>
  </r>
  <r>
    <n v="24306348"/>
    <n v="5217771352346"/>
    <x v="0"/>
    <n v="58238.879999999997"/>
    <n v="16831.599999999999"/>
    <n v="17471.663999999997"/>
    <n v="640.06399999999849"/>
    <n v="46447"/>
    <s v="CONSUPAGO"/>
    <n v="678.73"/>
    <x v="6"/>
    <x v="14"/>
  </r>
  <r>
    <n v="24305176"/>
    <n v="5215654791021"/>
    <x v="1"/>
    <n v="10636.54"/>
    <m/>
    <n v="3190.962"/>
    <n v="3190.962"/>
    <m/>
    <m/>
    <m/>
    <x v="8"/>
    <x v="14"/>
  </r>
  <r>
    <n v="24307352"/>
    <n v="5215613021491"/>
    <x v="1"/>
    <n v="9098.57"/>
    <m/>
    <n v="2729.5709999999999"/>
    <n v="2729.5709999999999"/>
    <m/>
    <m/>
    <m/>
    <x v="12"/>
    <x v="14"/>
  </r>
  <r>
    <n v="24320502"/>
    <m/>
    <x v="2"/>
    <n v="7116.73"/>
    <n v="1975.86"/>
    <n v="2135.0189999999998"/>
    <n v="159.15899999999988"/>
    <d v="2026-09-01T00:00:00"/>
    <s v="EXITUS"/>
    <n v="1975.86"/>
    <x v="7"/>
    <x v="14"/>
  </r>
  <r>
    <n v="24298956"/>
    <n v="5212292417134"/>
    <x v="1"/>
    <n v="10636.54"/>
    <m/>
    <n v="3190.962"/>
    <n v="3190.962"/>
    <m/>
    <m/>
    <m/>
    <x v="18"/>
    <x v="14"/>
  </r>
  <r>
    <n v="24321750"/>
    <m/>
    <x v="3"/>
    <n v="9760.32"/>
    <m/>
    <n v="2928.096"/>
    <n v="2928.096"/>
    <m/>
    <m/>
    <m/>
    <x v="16"/>
    <x v="14"/>
  </r>
  <r>
    <n v="24322298"/>
    <m/>
    <x v="1"/>
    <n v="29868.55"/>
    <m/>
    <n v="8960.5649999999987"/>
    <n v="8960.5649999999987"/>
    <m/>
    <m/>
    <m/>
    <x v="2"/>
    <x v="14"/>
  </r>
  <r>
    <n v="24286836"/>
    <n v="5216121573006"/>
    <x v="1"/>
    <n v="9738.67"/>
    <m/>
    <n v="2921.6010000000001"/>
    <n v="2921.6010000000001"/>
    <m/>
    <m/>
    <m/>
    <x v="3"/>
    <x v="14"/>
  </r>
  <r>
    <n v="24322936"/>
    <m/>
    <x v="1"/>
    <n v="7081.07"/>
    <m/>
    <n v="2124.3209999999999"/>
    <n v="2124.3209999999999"/>
    <m/>
    <m/>
    <m/>
    <x v="8"/>
    <x v="14"/>
  </r>
  <r>
    <n v="24323500"/>
    <m/>
    <x v="1"/>
    <n v="9081.52"/>
    <m/>
    <n v="2724.4560000000001"/>
    <n v="2724.4560000000001"/>
    <m/>
    <m/>
    <m/>
    <x v="18"/>
    <x v="14"/>
  </r>
  <r>
    <n v="24324112"/>
    <m/>
    <x v="0"/>
    <n v="52695.35"/>
    <n v="15225.05"/>
    <n v="15808.605"/>
    <n v="583.55500000000029"/>
    <d v="2026-10-01T00:00:00"/>
    <s v="INBURSA"/>
    <n v="2263.69"/>
    <x v="6"/>
    <x v="14"/>
  </r>
  <r>
    <n v="24324444"/>
    <m/>
    <x v="1"/>
    <n v="10636.54"/>
    <m/>
    <n v="3190.962"/>
    <n v="3190.962"/>
    <m/>
    <m/>
    <m/>
    <x v="12"/>
    <x v="14"/>
  </r>
  <r>
    <n v="24324782"/>
    <m/>
    <x v="0"/>
    <n v="40840.44"/>
    <n v="11816.12"/>
    <n v="12252.132"/>
    <n v="436.01199999999881"/>
    <d v="2027-06-01T00:00:00"/>
    <s v="FOSOFO"/>
    <n v="11816.12"/>
    <x v="0"/>
    <x v="14"/>
  </r>
  <r>
    <n v="24324806"/>
    <m/>
    <x v="1"/>
    <n v="10608.32"/>
    <n v="848"/>
    <n v="3182.4959999999996"/>
    <n v="2334.4959999999996"/>
    <m/>
    <m/>
    <m/>
    <x v="4"/>
    <x v="14"/>
  </r>
  <r>
    <n v="24325462"/>
    <m/>
    <x v="1"/>
    <n v="10636.54"/>
    <m/>
    <n v="3190.962"/>
    <n v="3190.962"/>
    <m/>
    <m/>
    <m/>
    <x v="8"/>
    <x v="14"/>
  </r>
  <r>
    <n v="24325720"/>
    <m/>
    <x v="2"/>
    <n v="7116.73"/>
    <n v="1975.23"/>
    <n v="2135.0189999999998"/>
    <n v="159.78899999999976"/>
    <d v="2026-09-01T00:00:00"/>
    <s v="DIMEX, INBURSA"/>
    <n v="1975.23"/>
    <x v="7"/>
    <x v="14"/>
  </r>
  <r>
    <n v="24323240"/>
    <n v="5218115567613"/>
    <x v="0"/>
    <n v="9081.52"/>
    <n v="2053.5700000000002"/>
    <n v="2724.4560000000001"/>
    <n v="670.88599999999997"/>
    <n v="46388"/>
    <s v="MULTIVA"/>
    <n v="980"/>
    <x v="0"/>
    <x v="14"/>
  </r>
  <r>
    <n v="24324380"/>
    <n v="5562321757"/>
    <x v="2"/>
    <n v="9081.52"/>
    <n v="2510.52"/>
    <n v="2724.4560000000001"/>
    <n v="213.93600000000015"/>
    <n v="46174"/>
    <s v="PROFUTURO"/>
    <n v="2510.52"/>
    <x v="6"/>
    <x v="14"/>
  </r>
  <r>
    <n v="24326352"/>
    <m/>
    <x v="2"/>
    <n v="9081.52"/>
    <n v="2521.3200000000002"/>
    <n v="2724.4560000000001"/>
    <n v="203.13599999999997"/>
    <d v="2026-09-01T00:00:00"/>
    <s v="INBURSA"/>
    <n v="2521.3200000000002"/>
    <x v="6"/>
    <x v="14"/>
  </r>
  <r>
    <n v="24326798"/>
    <m/>
    <x v="1"/>
    <n v="10538.93"/>
    <m/>
    <n v="3161.6790000000001"/>
    <n v="3161.6790000000001"/>
    <m/>
    <m/>
    <m/>
    <x v="10"/>
    <x v="14"/>
  </r>
  <r>
    <n v="24326804"/>
    <m/>
    <x v="1"/>
    <n v="28738.55"/>
    <m/>
    <n v="8621.5649999999987"/>
    <n v="8621.5649999999987"/>
    <m/>
    <m/>
    <m/>
    <x v="17"/>
    <x v="14"/>
  </r>
  <r>
    <n v="24326482"/>
    <n v="7773635757"/>
    <x v="1"/>
    <n v="13022.67"/>
    <n v="848"/>
    <n v="3906.8009999999999"/>
    <n v="3058.8009999999999"/>
    <m/>
    <m/>
    <m/>
    <x v="9"/>
    <x v="14"/>
  </r>
  <r>
    <n v="24327638"/>
    <m/>
    <x v="4"/>
    <n v="27719.35"/>
    <n v="8306.81"/>
    <n v="8315.8049999999985"/>
    <n v="8.9949999999989814"/>
    <d v="2026-07-01T00:00:00"/>
    <s v="BANCREA"/>
    <n v="624.30999999999995"/>
    <x v="0"/>
    <x v="14"/>
  </r>
  <r>
    <n v="24327170"/>
    <n v="6731183381"/>
    <x v="1"/>
    <n v="34118.07"/>
    <n v="8819.91"/>
    <n v="10235.421"/>
    <n v="1415.5110000000004"/>
    <n v="46235"/>
    <s v="MULTIVA"/>
    <n v="8819.91"/>
    <x v="9"/>
    <x v="14"/>
  </r>
  <r>
    <n v="24314556"/>
    <n v="5212227875193"/>
    <x v="2"/>
    <n v="5617.63"/>
    <n v="1336"/>
    <n v="1685.289"/>
    <n v="108.65000000000055"/>
    <n v="46235"/>
    <s v="MULTIVA"/>
    <n v="1336"/>
    <x v="8"/>
    <x v="14"/>
  </r>
  <r>
    <n v="24328132"/>
    <m/>
    <x v="2"/>
    <n v="7920.51"/>
    <n v="1384.71"/>
    <n v="2376.1529999999998"/>
    <n v="991.44299999999976"/>
    <d v="2026-06-01T00:00:00"/>
    <s v="PROFUTURO"/>
    <n v="1384.71"/>
    <x v="8"/>
    <x v="14"/>
  </r>
  <r>
    <n v="24325512"/>
    <n v="5218121553212"/>
    <x v="1"/>
    <n v="10636.54"/>
    <n v="0"/>
    <n v="3190.962"/>
    <n v="3190.962"/>
    <m/>
    <m/>
    <m/>
    <x v="3"/>
    <x v="14"/>
  </r>
  <r>
    <n v="24328094"/>
    <m/>
    <x v="1"/>
    <n v="9760.32"/>
    <m/>
    <n v="2928.096"/>
    <n v="2928.096"/>
    <m/>
    <m/>
    <m/>
    <x v="9"/>
    <x v="14"/>
  </r>
  <r>
    <n v="24328262"/>
    <n v="5219992334759"/>
    <x v="1"/>
    <n v="40466.639999999999"/>
    <m/>
    <n v="12139.992"/>
    <n v="12139.992"/>
    <m/>
    <m/>
    <m/>
    <x v="2"/>
    <x v="15"/>
  </r>
  <r>
    <n v="24332524"/>
    <n v="3321896844"/>
    <x v="1"/>
    <n v="12344"/>
    <m/>
    <n v="3703.2"/>
    <n v="3703.2"/>
    <m/>
    <m/>
    <m/>
    <x v="10"/>
    <x v="15"/>
  </r>
  <r>
    <n v="24330038"/>
    <m/>
    <x v="1"/>
    <n v="22893.17"/>
    <m/>
    <n v="6867.9509999999991"/>
    <n v="6867.9509999999991"/>
    <m/>
    <m/>
    <m/>
    <x v="6"/>
    <x v="15"/>
  </r>
  <r>
    <n v="24328186"/>
    <m/>
    <x v="1"/>
    <n v="12236.11"/>
    <n v="2368.58"/>
    <n v="3670.8330000000001"/>
    <n v="1302.2530000000002"/>
    <d v="2027-06-01T00:00:00"/>
    <s v="DIMEX"/>
    <n v="2368.58"/>
    <x v="15"/>
    <x v="15"/>
  </r>
  <r>
    <n v="24330890"/>
    <m/>
    <x v="0"/>
    <n v="7977.44"/>
    <n v="2047.45"/>
    <n v="2393.232"/>
    <n v="345.78199999999993"/>
    <d v="2027-02-01T00:00:00"/>
    <s v="INBURSA"/>
    <n v="2047"/>
    <x v="0"/>
    <x v="15"/>
  </r>
  <r>
    <n v="24332054"/>
    <m/>
    <x v="0"/>
    <n v="4813.6899999999996"/>
    <m/>
    <n v="1444.1069999999997"/>
    <n v="640.71"/>
    <m/>
    <m/>
    <m/>
    <x v="0"/>
    <x v="15"/>
  </r>
  <r>
    <n v="24338160"/>
    <m/>
    <x v="1"/>
    <n v="8398.3799999999992"/>
    <m/>
    <n v="2519.5139999999997"/>
    <n v="2519.5139999999997"/>
    <m/>
    <m/>
    <m/>
    <x v="2"/>
    <x v="15"/>
  </r>
  <r>
    <n v="24329204"/>
    <m/>
    <x v="0"/>
    <n v="28883.18"/>
    <n v="8356.6"/>
    <n v="8664.9539999999997"/>
    <n v="308.35399999999936"/>
    <d v="2027-10-01T00:00:00"/>
    <s v="FISOFO"/>
    <n v="8356.6"/>
    <x v="0"/>
    <x v="15"/>
  </r>
  <r>
    <n v="24324502"/>
    <n v="5218123491198"/>
    <x v="1"/>
    <n v="33780.519999999997"/>
    <n v="4668.6899999999996"/>
    <n v="10134.155999999999"/>
    <n v="5465.4659999999994"/>
    <n v="46905"/>
    <s v="INBURSA"/>
    <n v="3820.69"/>
    <x v="14"/>
    <x v="15"/>
  </r>
  <r>
    <n v="24346560"/>
    <n v="5214421240922"/>
    <x v="1"/>
    <n v="10636.54"/>
    <m/>
    <n v="3190.962"/>
    <n v="3190.962"/>
    <m/>
    <m/>
    <m/>
    <x v="10"/>
    <x v="15"/>
  </r>
  <r>
    <n v="24341216"/>
    <n v="5215636915522"/>
    <x v="1"/>
    <n v="25169.454000000002"/>
    <m/>
    <n v="7550.8361999999997"/>
    <n v="7550.8361999999997"/>
    <m/>
    <m/>
    <m/>
    <x v="14"/>
    <x v="15"/>
  </r>
  <r>
    <n v="24342088"/>
    <n v="5212214044150"/>
    <x v="1"/>
    <n v="10636.54"/>
    <m/>
    <n v="3190.962"/>
    <n v="3190.962"/>
    <m/>
    <m/>
    <m/>
    <x v="6"/>
    <x v="15"/>
  </r>
  <r>
    <n v="24346820"/>
    <n v="5216642032811"/>
    <x v="1"/>
    <n v="9760.32"/>
    <m/>
    <n v="2928.096"/>
    <n v="2928.096"/>
    <m/>
    <m/>
    <m/>
    <x v="2"/>
    <x v="15"/>
  </r>
  <r>
    <n v="24344264"/>
    <n v="5218334436801"/>
    <x v="1"/>
    <n v="10636.54"/>
    <m/>
    <n v="3190.962"/>
    <n v="3190.962"/>
    <m/>
    <m/>
    <m/>
    <x v="10"/>
    <x v="15"/>
  </r>
  <r>
    <n v="24334756"/>
    <n v="5216463830788"/>
    <x v="2"/>
    <n v="17722.169999999998"/>
    <n v="4359"/>
    <n v="5316.6509999999989"/>
    <n v="957.65099999999893"/>
    <n v="45444"/>
    <s v="DIMEX"/>
    <n v="4359"/>
    <x v="7"/>
    <x v="15"/>
  </r>
  <r>
    <n v="24347364"/>
    <n v="5212211911443"/>
    <x v="1"/>
    <n v="5617.63"/>
    <m/>
    <n v="1685.289"/>
    <n v="1444.6500000000005"/>
    <m/>
    <m/>
    <m/>
    <x v="15"/>
    <x v="15"/>
  </r>
  <r>
    <n v="24341518"/>
    <n v="5212211928770"/>
    <x v="1"/>
    <n v="6797.51"/>
    <m/>
    <n v="2039.2529999999999"/>
    <n v="2039.2529999999999"/>
    <m/>
    <m/>
    <m/>
    <x v="19"/>
    <x v="15"/>
  </r>
  <r>
    <n v="24348382"/>
    <n v="8715063035"/>
    <x v="1"/>
    <n v="10636.54"/>
    <n v="0"/>
    <n v="3190.962"/>
    <n v="3190.962"/>
    <m/>
    <m/>
    <m/>
    <x v="9"/>
    <x v="15"/>
  </r>
  <r>
    <n v="24330892"/>
    <n v="5212221356482"/>
    <x v="1"/>
    <n v="11886.95"/>
    <m/>
    <n v="3566.085"/>
    <n v="3566.085"/>
    <m/>
    <m/>
    <m/>
    <x v="4"/>
    <x v="15"/>
  </r>
  <r>
    <n v="24347928"/>
    <n v="5218777931979"/>
    <x v="2"/>
    <n v="7116.73"/>
    <n v="1936.88"/>
    <n v="2135.0189999999998"/>
    <n v="198.13899999999967"/>
    <n v="46082"/>
    <s v="DIMEX"/>
    <n v="1936.88"/>
    <x v="7"/>
    <x v="15"/>
  </r>
  <r>
    <n v="24350520"/>
    <m/>
    <x v="0"/>
    <n v="37310.620000000003"/>
    <n v="10794.86"/>
    <n v="11193.186"/>
    <n v="398.32599999999911"/>
    <d v="2027-12-01T00:00:00"/>
    <s v="INBURSA"/>
    <n v="10794.86"/>
    <x v="0"/>
    <x v="15"/>
  </r>
  <r>
    <n v="24292442"/>
    <n v="5217551067335"/>
    <x v="3"/>
    <n v="9760.32"/>
    <m/>
    <n v="2928.096"/>
    <n v="2928.096"/>
    <m/>
    <m/>
    <m/>
    <x v="16"/>
    <x v="15"/>
  </r>
  <r>
    <n v="24351058"/>
    <m/>
    <x v="1"/>
    <n v="10636.54"/>
    <m/>
    <n v="3190.962"/>
    <n v="3190.962"/>
    <m/>
    <m/>
    <m/>
    <x v="19"/>
    <x v="15"/>
  </r>
  <r>
    <n v="24333672"/>
    <n v="5213171320056"/>
    <x v="1"/>
    <n v="32173.540000000008"/>
    <m/>
    <n v="9652.0620000000017"/>
    <n v="9652.0620000000017"/>
    <m/>
    <m/>
    <m/>
    <x v="9"/>
    <x v="15"/>
  </r>
  <r>
    <n v="24350400"/>
    <n v="5215574098165"/>
    <x v="2"/>
    <n v="8497.74"/>
    <n v="2346.96"/>
    <n v="2549.3219999999997"/>
    <n v="202.36199999999963"/>
    <n v="46113"/>
    <s v="GFI APOYO"/>
    <n v="2346.96"/>
    <x v="7"/>
    <x v="15"/>
  </r>
  <r>
    <n v="24328762"/>
    <n v="6313045530"/>
    <x v="2"/>
    <n v="8734.23"/>
    <n v="2316.9299999999998"/>
    <n v="2620.2689999999998"/>
    <n v="303.33899999999994"/>
    <n v="45870"/>
    <s v="BANCREA, PUBLISEG"/>
    <n v="2316.9299999999998"/>
    <x v="7"/>
    <x v="15"/>
  </r>
  <r>
    <n v="24352970"/>
    <m/>
    <x v="1"/>
    <n v="48555.55"/>
    <n v="879"/>
    <n v="14566.665000000001"/>
    <n v="13687.665000000001"/>
    <m/>
    <m/>
    <m/>
    <x v="4"/>
    <x v="15"/>
  </r>
  <r>
    <n v="24330288"/>
    <n v="5216645465341"/>
    <x v="1"/>
    <n v="11554.81"/>
    <n v="848"/>
    <n v="3466.4429999999998"/>
    <n v="2618.4429999999998"/>
    <m/>
    <m/>
    <m/>
    <x v="4"/>
    <x v="15"/>
  </r>
  <r>
    <n v="24354104"/>
    <m/>
    <x v="1"/>
    <n v="10819.28"/>
    <m/>
    <n v="3245.7840000000001"/>
    <n v="3245.7840000000001"/>
    <m/>
    <m/>
    <m/>
    <x v="9"/>
    <x v="15"/>
  </r>
  <r>
    <n v="24265608"/>
    <n v="5218711997426"/>
    <x v="0"/>
    <n v="58681.03"/>
    <n v="16650"/>
    <n v="17604.308999999997"/>
    <n v="954.30899999999747"/>
    <n v="46966"/>
    <s v="CONSUBANCO"/>
    <n v="16650"/>
    <x v="0"/>
    <x v="15"/>
  </r>
  <r>
    <n v="24354612"/>
    <m/>
    <x v="1"/>
    <n v="9582.4699999999993"/>
    <n v="0"/>
    <n v="2874.7409999999995"/>
    <n v="2874.7409999999995"/>
    <m/>
    <m/>
    <m/>
    <x v="19"/>
    <x v="15"/>
  </r>
  <r>
    <n v="24354680"/>
    <m/>
    <x v="1"/>
    <n v="14613.46"/>
    <n v="330.55"/>
    <n v="4384.0379999999996"/>
    <n v="4053.4879999999994"/>
    <d v="2026-02-01T00:00:00"/>
    <s v="EXITUS"/>
    <n v="330.55"/>
    <x v="9"/>
    <x v="15"/>
  </r>
  <r>
    <n v="24354070"/>
    <n v="5212714101417"/>
    <x v="0"/>
    <n v="15190.53"/>
    <n v="4065.51"/>
    <n v="4557.1589999999997"/>
    <n v="491.64899999999943"/>
    <n v="46327"/>
    <s v="MULTIVA"/>
    <n v="4065.51"/>
    <x v="0"/>
    <x v="15"/>
  </r>
  <r>
    <n v="24355756"/>
    <m/>
    <x v="1"/>
    <n v="10171.24"/>
    <m/>
    <n v="3051.3719999999998"/>
    <n v="3051.3719999999998"/>
    <m/>
    <m/>
    <m/>
    <x v="4"/>
    <x v="15"/>
  </r>
  <r>
    <n v="24355698"/>
    <m/>
    <x v="0"/>
    <n v="5166.74"/>
    <m/>
    <n v="1550.0219999999999"/>
    <n v="993.76000000000022"/>
    <m/>
    <m/>
    <m/>
    <x v="0"/>
    <x v="15"/>
  </r>
  <r>
    <n v="24354690"/>
    <n v="5218125717335"/>
    <x v="0"/>
    <n v="22622.9"/>
    <n v="5757.7"/>
    <n v="6786.87"/>
    <n v="1029.17"/>
    <n v="46935"/>
    <s v="OPCIPRES"/>
    <n v="5757.7"/>
    <x v="0"/>
    <x v="15"/>
  </r>
  <r>
    <n v="24326098"/>
    <n v="5214445033341"/>
    <x v="4"/>
    <n v="4664.38"/>
    <n v="392.1"/>
    <n v="1399.3140000000001"/>
    <n v="99.300000000000523"/>
    <n v="45658"/>
    <s v="PRE15NA"/>
    <n v="392.1"/>
    <x v="0"/>
    <x v="15"/>
  </r>
  <r>
    <n v="24351256"/>
    <n v="5216121396071"/>
    <x v="1"/>
    <n v="10636.54"/>
    <m/>
    <n v="3190.962"/>
    <n v="3190.962"/>
    <m/>
    <m/>
    <m/>
    <x v="19"/>
    <x v="15"/>
  </r>
  <r>
    <n v="24352634"/>
    <n v="5217291085374"/>
    <x v="0"/>
    <n v="4813.6899999999996"/>
    <m/>
    <n v="1444.1069999999997"/>
    <n v="640.71"/>
    <m/>
    <m/>
    <m/>
    <x v="0"/>
    <x v="15"/>
  </r>
  <r>
    <n v="24352398"/>
    <n v="5214641590653"/>
    <x v="2"/>
    <n v="7391.72"/>
    <n v="1957.2"/>
    <n v="2217.5160000000001"/>
    <n v="260.31600000000003"/>
    <n v="45748"/>
    <s v="FORTALEZA, MULTIVA"/>
    <n v="1957.2"/>
    <x v="10"/>
    <x v="15"/>
  </r>
  <r>
    <n v="24143988"/>
    <n v="5216641204200"/>
    <x v="3"/>
    <n v="39970.82"/>
    <m/>
    <n v="11991.245999999999"/>
    <n v="11991.245999999999"/>
    <m/>
    <m/>
    <m/>
    <x v="16"/>
    <x v="15"/>
  </r>
  <r>
    <n v="24356166"/>
    <m/>
    <x v="1"/>
    <n v="9760.32"/>
    <m/>
    <n v="2928.096"/>
    <n v="2928.096"/>
    <m/>
    <m/>
    <m/>
    <x v="11"/>
    <x v="15"/>
  </r>
  <r>
    <n v="24356490"/>
    <m/>
    <x v="1"/>
    <n v="9760.32"/>
    <m/>
    <n v="2928.096"/>
    <n v="2928.096"/>
    <m/>
    <m/>
    <m/>
    <x v="11"/>
    <x v="15"/>
  </r>
  <r>
    <n v="24356470"/>
    <m/>
    <x v="4"/>
    <n v="8204.65"/>
    <n v="2373.8000000000002"/>
    <n v="2461.395"/>
    <n v="87.5949999999998"/>
    <d v="2025-12-01T00:00:00"/>
    <s v="DIMEX"/>
    <n v="460"/>
    <x v="0"/>
    <x v="15"/>
  </r>
  <r>
    <n v="24356700"/>
    <m/>
    <x v="0"/>
    <n v="57339.45"/>
    <n v="16583.849999999999"/>
    <n v="17201.834999999999"/>
    <n v="617.98500000000058"/>
    <d v="2027-03-01T00:00:00"/>
    <s v="CONSUBANCO"/>
    <n v="16583.849999999999"/>
    <x v="0"/>
    <x v="15"/>
  </r>
  <r>
    <n v="24357238"/>
    <m/>
    <x v="1"/>
    <n v="7116.73"/>
    <n v="848"/>
    <n v="2135.0189999999998"/>
    <n v="1287.0189999999998"/>
    <m/>
    <m/>
    <m/>
    <x v="11"/>
    <x v="15"/>
  </r>
  <r>
    <n v="24357494"/>
    <m/>
    <x v="1"/>
    <n v="10636.54"/>
    <m/>
    <n v="3190.962"/>
    <n v="3190.962"/>
    <m/>
    <m/>
    <m/>
    <x v="11"/>
    <x v="15"/>
  </r>
  <r>
    <n v="24330248"/>
    <n v="5213318452357"/>
    <x v="1"/>
    <n v="9760.32"/>
    <m/>
    <n v="2928.096"/>
    <n v="2928.096"/>
    <m/>
    <m/>
    <m/>
    <x v="11"/>
    <x v="15"/>
  </r>
  <r>
    <n v="24263358"/>
    <n v="5215582945144"/>
    <x v="1"/>
    <n v="6262.86"/>
    <m/>
    <n v="1878.8579999999997"/>
    <n v="1878.8579999999997"/>
    <m/>
    <m/>
    <m/>
    <x v="11"/>
    <x v="15"/>
  </r>
  <r>
    <n v="24356560"/>
    <n v="5215560251836"/>
    <x v="1"/>
    <n v="9081.52"/>
    <n v="848"/>
    <n v="2724.4560000000001"/>
    <n v="1876.4560000000001"/>
    <m/>
    <m/>
    <m/>
    <x v="11"/>
    <x v="15"/>
  </r>
  <r>
    <n v="24351770"/>
    <n v="8131218568"/>
    <x v="0"/>
    <n v="12329.54"/>
    <n v="2975.95"/>
    <n v="3698.8620000000001"/>
    <n v="722.91200000000026"/>
    <n v="46966"/>
    <s v="CONSUPAGO"/>
    <n v="2975.95"/>
    <x v="0"/>
    <x v="15"/>
  </r>
  <r>
    <n v="24359692"/>
    <m/>
    <x v="0"/>
    <n v="14883.2"/>
    <n v="3436.63"/>
    <n v="4464.96"/>
    <n v="1028.33"/>
    <d v="2028-06-01T00:00:00"/>
    <s v="OPCIPRES"/>
    <n v="3436.63"/>
    <x v="0"/>
    <x v="16"/>
  </r>
  <r>
    <n v="24366842"/>
    <m/>
    <x v="1"/>
    <n v="10636.54"/>
    <m/>
    <n v="3190.962"/>
    <n v="3190.962"/>
    <m/>
    <m/>
    <m/>
    <x v="19"/>
    <x v="16"/>
  </r>
  <r>
    <n v="24361852"/>
    <m/>
    <x v="3"/>
    <n v="25741.59"/>
    <n v="5968.93"/>
    <n v="7722.4769999999999"/>
    <n v="1753.5469999999996"/>
    <d v="2027-09-01T00:00:00"/>
    <s v="BANCREA"/>
    <n v="2829.24"/>
    <x v="16"/>
    <x v="16"/>
  </r>
  <r>
    <n v="24369632"/>
    <m/>
    <x v="1"/>
    <n v="24178.05"/>
    <n v="600.37"/>
    <n v="7253.415"/>
    <n v="6653.0450000000001"/>
    <d v="2027-11-01T00:00:00"/>
    <s v="FISOFO"/>
    <n v="600.37"/>
    <x v="14"/>
    <x v="16"/>
  </r>
  <r>
    <n v="24373924"/>
    <m/>
    <x v="1"/>
    <n v="10636.54"/>
    <m/>
    <n v="3190.962"/>
    <n v="3190.962"/>
    <m/>
    <m/>
    <m/>
    <x v="10"/>
    <x v="16"/>
  </r>
  <r>
    <n v="24372336"/>
    <n v="5215527391861"/>
    <x v="2"/>
    <n v="7920.51"/>
    <n v="2198.9899999999998"/>
    <n v="2376.1529999999998"/>
    <n v="177.16300000000001"/>
    <n v="46266"/>
    <s v="PROFUTURO"/>
    <n v="2198.9899999999998"/>
    <x v="7"/>
    <x v="16"/>
  </r>
  <r>
    <n v="24359330"/>
    <n v="5218334424088"/>
    <x v="1"/>
    <n v="10636.54"/>
    <m/>
    <n v="3190.962"/>
    <n v="3190.962"/>
    <m/>
    <m/>
    <m/>
    <x v="6"/>
    <x v="16"/>
  </r>
  <r>
    <n v="24315204"/>
    <n v="5217822553921"/>
    <x v="1"/>
    <n v="9760.32"/>
    <m/>
    <n v="2928.096"/>
    <n v="2928.096"/>
    <m/>
    <m/>
    <m/>
    <x v="20"/>
    <x v="16"/>
  </r>
  <r>
    <n v="24375050"/>
    <m/>
    <x v="3"/>
    <n v="37204.559999999998"/>
    <n v="10291.42"/>
    <n v="11161.367999999999"/>
    <n v="869.9479999999985"/>
    <d v="2025-07-01T00:00:00"/>
    <s v="CONSUPAGO"/>
    <n v="7909.8"/>
    <x v="16"/>
    <x v="16"/>
  </r>
  <r>
    <n v="24376922"/>
    <m/>
    <x v="0"/>
    <n v="8242.3700000000008"/>
    <n v="1395"/>
    <n v="2472.7110000000002"/>
    <n v="1077.7110000000002"/>
    <d v="2027-09-01T00:00:00"/>
    <s v="PROFUTURO"/>
    <n v="1046"/>
    <x v="0"/>
    <x v="16"/>
  </r>
  <r>
    <n v="24376924"/>
    <m/>
    <x v="1"/>
    <n v="18499.66"/>
    <n v="879"/>
    <n v="5549.8980000000001"/>
    <n v="4670.8980000000001"/>
    <m/>
    <m/>
    <m/>
    <x v="19"/>
    <x v="16"/>
  </r>
  <r>
    <n v="24369920"/>
    <n v="24369920"/>
    <x v="1"/>
    <n v="10636.54"/>
    <m/>
    <n v="3190.962"/>
    <n v="3190.962"/>
    <m/>
    <m/>
    <m/>
    <x v="10"/>
    <x v="16"/>
  </r>
  <r>
    <n v="24361422"/>
    <n v="5216121400209"/>
    <x v="1"/>
    <n v="10636.54"/>
    <m/>
    <n v="3190.962"/>
    <n v="3190.962"/>
    <m/>
    <m/>
    <m/>
    <x v="6"/>
    <x v="16"/>
  </r>
  <r>
    <n v="24375688"/>
    <n v="2414101871"/>
    <x v="1"/>
    <n v="9081.51"/>
    <m/>
    <n v="2724.453"/>
    <n v="2724.453"/>
    <m/>
    <m/>
    <m/>
    <x v="14"/>
    <x v="16"/>
  </r>
  <r>
    <n v="24376962"/>
    <n v="5217226561796"/>
    <x v="3"/>
    <n v="5617.63"/>
    <n v="1265.56"/>
    <n v="1685.289"/>
    <n v="179.0900000000006"/>
    <n v="45839"/>
    <s v="CONSUBANCO"/>
    <n v="1265.56"/>
    <x v="16"/>
    <x v="16"/>
  </r>
  <r>
    <n v="24378904"/>
    <n v="5212721803334"/>
    <x v="1"/>
    <n v="9760.32"/>
    <n v="1694.35"/>
    <n v="2928.096"/>
    <n v="1233.7460000000001"/>
    <n v="46661"/>
    <s v="PROFUTURO"/>
    <n v="1694.35"/>
    <x v="10"/>
    <x v="16"/>
  </r>
  <r>
    <n v="24379392"/>
    <n v="5213321123815"/>
    <x v="0"/>
    <n v="5617.63"/>
    <n v="848"/>
    <n v="1685.289"/>
    <n v="596.65000000000055"/>
    <m/>
    <m/>
    <m/>
    <x v="0"/>
    <x v="16"/>
  </r>
  <r>
    <n v="24375538"/>
    <n v="5212741411936"/>
    <x v="1"/>
    <n v="6262.86"/>
    <m/>
    <n v="1878.8579999999997"/>
    <n v="1878.8579999999997"/>
    <m/>
    <m/>
    <m/>
    <x v="21"/>
    <x v="16"/>
  </r>
  <r>
    <n v="24307394"/>
    <n v="5214494575601"/>
    <x v="3"/>
    <n v="7116.73"/>
    <n v="1894.2"/>
    <n v="2135.0189999999998"/>
    <n v="240.81899999999973"/>
    <n v="46113"/>
    <s v="CONSUBANCO"/>
    <n v="1894.2"/>
    <x v="16"/>
    <x v="16"/>
  </r>
  <r>
    <n v="24381168"/>
    <m/>
    <x v="0"/>
    <n v="9581.0499999999993"/>
    <n v="1924.04"/>
    <n v="2874.3149999999996"/>
    <n v="950.27499999999964"/>
    <d v="2027-12-01T00:00:00"/>
    <s v="FISOFO"/>
    <n v="1924.04"/>
    <x v="0"/>
    <x v="16"/>
  </r>
  <r>
    <n v="24368196"/>
    <n v="5213320414861"/>
    <x v="1"/>
    <n v="8690.2800000000007"/>
    <m/>
    <n v="2607.0840000000003"/>
    <n v="2607.0840000000003"/>
    <m/>
    <m/>
    <m/>
    <x v="8"/>
    <x v="16"/>
  </r>
  <r>
    <n v="24381402"/>
    <m/>
    <x v="1"/>
    <n v="10636.54"/>
    <m/>
    <n v="3190.962"/>
    <n v="3190.962"/>
    <m/>
    <m/>
    <m/>
    <x v="19"/>
    <x v="16"/>
  </r>
  <r>
    <n v="24374234"/>
    <n v="9612465948"/>
    <x v="1"/>
    <n v="10171.24"/>
    <m/>
    <n v="3051.3719999999998"/>
    <n v="3051.3719999999998"/>
    <m/>
    <m/>
    <m/>
    <x v="14"/>
    <x v="16"/>
  </r>
  <r>
    <n v="24361520"/>
    <n v="5213312633746"/>
    <x v="0"/>
    <n v="48251.94"/>
    <n v="13956.28"/>
    <n v="14475.582"/>
    <n v="519.30199999999968"/>
    <n v="46569"/>
    <s v="BANCREA"/>
    <n v="3339"/>
    <x v="0"/>
    <x v="16"/>
  </r>
  <r>
    <n v="24328874"/>
    <n v="5215587282445"/>
    <x v="1"/>
    <n v="15576.26"/>
    <n v="848"/>
    <n v="4672.8779999999997"/>
    <n v="3824.8779999999997"/>
    <m/>
    <m/>
    <m/>
    <x v="8"/>
    <x v="16"/>
  </r>
  <r>
    <n v="24368158"/>
    <n v="5215546708582"/>
    <x v="1"/>
    <n v="9760.32"/>
    <m/>
    <n v="2928.096"/>
    <n v="2928.096"/>
    <m/>
    <m/>
    <m/>
    <x v="6"/>
    <x v="16"/>
  </r>
  <r>
    <n v="24383030"/>
    <m/>
    <x v="2"/>
    <n v="28184.67"/>
    <n v="8453.9599999999991"/>
    <n v="8455.4009999999998"/>
    <n v="1.441000000000713"/>
    <d v="2026-09-01T00:00:00"/>
    <s v="EXITUS"/>
    <n v="5886.11"/>
    <x v="7"/>
    <x v="16"/>
  </r>
  <r>
    <n v="24383244"/>
    <m/>
    <x v="2"/>
    <n v="26452.11"/>
    <n v="5546.55"/>
    <n v="7935.6329999999998"/>
    <n v="2389.0829999999996"/>
    <d v="2024-11-01T00:00:00"/>
    <s v="DIMEX"/>
    <n v="5546.55"/>
    <x v="7"/>
    <x v="16"/>
  </r>
  <r>
    <n v="24382562"/>
    <n v="8120029265"/>
    <x v="1"/>
    <n v="52003.97"/>
    <m/>
    <n v="15601.190999999999"/>
    <n v="15601.190999999999"/>
    <m/>
    <m/>
    <m/>
    <x v="11"/>
    <x v="16"/>
  </r>
  <r>
    <n v="24384428"/>
    <m/>
    <x v="1"/>
    <n v="52978.84"/>
    <m/>
    <n v="15893.651999999998"/>
    <n v="15893.651999999998"/>
    <m/>
    <m/>
    <m/>
    <x v="19"/>
    <x v="17"/>
  </r>
  <r>
    <n v="24384604"/>
    <m/>
    <x v="1"/>
    <n v="9129.5"/>
    <m/>
    <n v="2738.85"/>
    <n v="2738.85"/>
    <m/>
    <m/>
    <m/>
    <x v="6"/>
    <x v="17"/>
  </r>
  <r>
    <n v="24385330"/>
    <m/>
    <x v="1"/>
    <n v="10636.54"/>
    <m/>
    <n v="3190.962"/>
    <n v="3190.962"/>
    <m/>
    <m/>
    <m/>
    <x v="10"/>
    <x v="17"/>
  </r>
  <r>
    <n v="24386148"/>
    <m/>
    <x v="2"/>
    <n v="12598.42"/>
    <n v="3410.24"/>
    <n v="3779.5259999999998"/>
    <n v="369.28600000000006"/>
    <d v="2026-09-01T00:00:00"/>
    <s v="MULTIVA"/>
    <n v="3410.24"/>
    <x v="18"/>
    <x v="17"/>
  </r>
  <r>
    <n v="24395512"/>
    <m/>
    <x v="1"/>
    <n v="11029.02"/>
    <n v="848"/>
    <n v="3308.7060000000001"/>
    <n v="2460.7060000000001"/>
    <m/>
    <m/>
    <m/>
    <x v="14"/>
    <x v="17"/>
  </r>
  <r>
    <n v="24383414"/>
    <n v="5212831116647"/>
    <x v="1"/>
    <n v="10636.55"/>
    <n v="0"/>
    <n v="3190.9649999999997"/>
    <n v="3190.9649999999997"/>
    <m/>
    <m/>
    <m/>
    <x v="6"/>
    <x v="17"/>
  </r>
  <r>
    <n v="24395670"/>
    <n v="7716848154"/>
    <x v="3"/>
    <n v="26478.23"/>
    <n v="7940.63"/>
    <n v="7943.4689999999991"/>
    <n v="2.8389999999990323"/>
    <n v="46235"/>
    <s v="OPCIPRES"/>
    <n v="2864.68"/>
    <x v="16"/>
    <x v="17"/>
  </r>
  <r>
    <n v="24397300"/>
    <m/>
    <x v="1"/>
    <n v="11029.03"/>
    <n v="735.67000000000007"/>
    <n v="3308.7090000000003"/>
    <n v="2573.0390000000002"/>
    <d v="2028-08-01T00:00:00"/>
    <s v="DIMEX"/>
    <n v="367.68"/>
    <x v="14"/>
    <x v="17"/>
  </r>
  <r>
    <n v="24397116"/>
    <m/>
    <x v="1"/>
    <n v="37876.07"/>
    <m/>
    <n v="11362.821"/>
    <n v="11362.821"/>
    <m/>
    <m/>
    <m/>
    <x v="19"/>
    <x v="17"/>
  </r>
  <r>
    <n v="24392654"/>
    <n v="5217775646107"/>
    <x v="1"/>
    <n v="37463.39"/>
    <m/>
    <n v="11239.017"/>
    <n v="11239.017"/>
    <m/>
    <m/>
    <m/>
    <x v="10"/>
    <x v="17"/>
  </r>
  <r>
    <n v="24386144"/>
    <n v="6623596230"/>
    <x v="3"/>
    <n v="6411.47"/>
    <n v="1843.68"/>
    <n v="1923.441"/>
    <n v="79.760999999999967"/>
    <n v="45870"/>
    <s v="CONSUBANCO"/>
    <n v="412.85"/>
    <x v="16"/>
    <x v="17"/>
  </r>
  <r>
    <n v="24386248"/>
    <n v="5216271491671"/>
    <x v="2"/>
    <n v="6248.08"/>
    <n v="1497.29"/>
    <n v="1874.424"/>
    <n v="377.13400000000001"/>
    <n v="45383"/>
    <s v="EXITUS"/>
    <n v="1497.29"/>
    <x v="2"/>
    <x v="17"/>
  </r>
  <r>
    <n v="24397608"/>
    <n v="8123497411"/>
    <x v="0"/>
    <n v="7920.51"/>
    <n v="1794.15"/>
    <n v="2376.1529999999998"/>
    <n v="582.0029999999997"/>
    <n v="46813"/>
    <s v="DIMEX"/>
    <n v="1794.15"/>
    <x v="0"/>
    <x v="17"/>
  </r>
  <r>
    <n v="24397820"/>
    <n v="6691008482"/>
    <x v="1"/>
    <n v="11029.03"/>
    <m/>
    <n v="3308.7090000000003"/>
    <n v="3308.7090000000003"/>
    <m/>
    <m/>
    <m/>
    <x v="14"/>
    <x v="17"/>
  </r>
  <r>
    <n v="22591716"/>
    <n v="7445061746"/>
    <x v="2"/>
    <n v="11832.27"/>
    <n v="3421.76"/>
    <n v="3549.681"/>
    <n v="127.92099999999982"/>
    <n v="45748"/>
    <s v="DIMEX"/>
    <n v="1301.3699999999999"/>
    <x v="16"/>
    <x v="17"/>
  </r>
  <r>
    <n v="24204694"/>
    <n v="5219991079496"/>
    <x v="1"/>
    <n v="9081.52"/>
    <n v="1510.61"/>
    <n v="2724.4560000000001"/>
    <n v="1213.8460000000002"/>
    <n v="46539"/>
    <s v="FISOFO"/>
    <n v="758.14"/>
    <x v="20"/>
    <x v="17"/>
  </r>
  <r>
    <n v="24399386"/>
    <m/>
    <x v="1"/>
    <n v="10636.54"/>
    <m/>
    <n v="3190.962"/>
    <n v="3190.962"/>
    <m/>
    <m/>
    <m/>
    <x v="6"/>
    <x v="17"/>
  </r>
  <r>
    <n v="24399642"/>
    <m/>
    <x v="1"/>
    <n v="13205.97"/>
    <n v="879"/>
    <n v="3961.7909999999997"/>
    <n v="3082.7909999999997"/>
    <m/>
    <m/>
    <m/>
    <x v="21"/>
    <x v="17"/>
  </r>
  <r>
    <n v="24399864"/>
    <m/>
    <x v="0"/>
    <n v="4603.22"/>
    <m/>
    <n v="1380.9660000000001"/>
    <n v="430.24000000000069"/>
    <m/>
    <m/>
    <m/>
    <x v="0"/>
    <x v="17"/>
  </r>
  <r>
    <n v="24383926"/>
    <n v="5216647483912"/>
    <x v="3"/>
    <n v="7007.26"/>
    <n v="940.64"/>
    <n v="2102.1779999999999"/>
    <n v="1161.538"/>
    <n v="46054"/>
    <s v="CONSUBANCO"/>
    <n v="940.64"/>
    <x v="16"/>
    <x v="17"/>
  </r>
  <r>
    <n v="24395944"/>
    <n v="8713507509"/>
    <x v="3"/>
    <n v="25364.48"/>
    <n v="7492.06"/>
    <n v="7609.3439999999991"/>
    <n v="117.28399999999874"/>
    <n v="45627"/>
    <s v="CONSUBANCO"/>
    <n v="5127.4799999999996"/>
    <x v="16"/>
    <x v="17"/>
  </r>
  <r>
    <n v="24402748"/>
    <m/>
    <x v="0"/>
    <n v="9081.52"/>
    <n v="2417.86"/>
    <n v="2724.4560000000001"/>
    <n v="306.596"/>
    <d v="2026-10-01T00:00:00"/>
    <s v="DIMEX"/>
    <n v="2417.86"/>
    <x v="22"/>
    <x v="17"/>
  </r>
  <r>
    <n v="24401380"/>
    <m/>
    <x v="1"/>
    <n v="9081.52"/>
    <m/>
    <n v="2724.4560000000001"/>
    <n v="2724.4560000000001"/>
    <m/>
    <m/>
    <m/>
    <x v="8"/>
    <x v="17"/>
  </r>
  <r>
    <n v="24383666"/>
    <n v="4771551490"/>
    <x v="1"/>
    <n v="31443.91"/>
    <n v="7500"/>
    <n v="9433.1729999999989"/>
    <n v="1933.1729999999989"/>
    <n v="46966"/>
    <s v="BANCREA"/>
    <n v="7500"/>
    <x v="10"/>
    <x v="17"/>
  </r>
  <r>
    <n v="24397974"/>
    <n v="7551415589"/>
    <x v="1"/>
    <n v="9760.32"/>
    <m/>
    <n v="2928.096"/>
    <n v="2928.096"/>
    <m/>
    <m/>
    <m/>
    <x v="4"/>
    <x v="17"/>
  </r>
  <r>
    <n v="24358246"/>
    <n v="5216391239442"/>
    <x v="1"/>
    <n v="6494.38"/>
    <m/>
    <n v="1948.3139999999999"/>
    <n v="1948.3139999999999"/>
    <m/>
    <m/>
    <m/>
    <x v="17"/>
    <x v="17"/>
  </r>
  <r>
    <n v="24403692"/>
    <m/>
    <x v="1"/>
    <n v="10636.54"/>
    <m/>
    <n v="3190.962"/>
    <n v="3190.962"/>
    <m/>
    <m/>
    <m/>
    <x v="8"/>
    <x v="17"/>
  </r>
  <r>
    <n v="24394700"/>
    <n v="5218991242033"/>
    <x v="2"/>
    <n v="9081.52"/>
    <n v="2723.63"/>
    <n v="2724.4560000000001"/>
    <n v="0.82600000000002183"/>
    <n v="46143"/>
    <s v="ATTENDO"/>
    <n v="1922.57"/>
    <x v="20"/>
    <x v="17"/>
  </r>
  <r>
    <n v="24401682"/>
    <n v="9211722085"/>
    <x v="1"/>
    <n v="22892.720000000001"/>
    <m/>
    <n v="6867.8159999999998"/>
    <n v="6867.8159999999998"/>
    <m/>
    <m/>
    <m/>
    <x v="4"/>
    <x v="17"/>
  </r>
  <r>
    <n v="24403058"/>
    <n v="2294638928"/>
    <x v="1"/>
    <n v="10636.54"/>
    <m/>
    <n v="3190.962"/>
    <n v="3190.962"/>
    <m/>
    <m/>
    <m/>
    <x v="17"/>
    <x v="17"/>
  </r>
  <r>
    <n v="24404874"/>
    <m/>
    <x v="2"/>
    <n v="6262.86"/>
    <n v="1810.99"/>
    <n v="1878.8579999999997"/>
    <n v="67.867999999999711"/>
    <d v="2026-09-01T00:00:00"/>
    <s v="BANCREA, INBURSA "/>
    <n v="1359.7"/>
    <x v="21"/>
    <x v="17"/>
  </r>
  <r>
    <n v="24405060"/>
    <m/>
    <x v="1"/>
    <n v="46457.15"/>
    <m/>
    <n v="13937.145"/>
    <n v="13937.145"/>
    <m/>
    <m/>
    <m/>
    <x v="17"/>
    <x v="17"/>
  </r>
  <r>
    <n v="24401792"/>
    <n v="5215534454925"/>
    <x v="1"/>
    <n v="29672.1"/>
    <m/>
    <n v="8901.6299999999992"/>
    <n v="8901.6299999999992"/>
    <m/>
    <m/>
    <m/>
    <x v="4"/>
    <x v="17"/>
  </r>
  <r>
    <n v="24391084"/>
    <n v="5215549982200"/>
    <x v="1"/>
    <n v="9760.32"/>
    <m/>
    <n v="2928.096"/>
    <n v="2928.096"/>
    <m/>
    <m/>
    <m/>
    <x v="8"/>
    <x v="17"/>
  </r>
  <r>
    <n v="24402274"/>
    <n v="5216564122604"/>
    <x v="2"/>
    <n v="7920.51"/>
    <n v="2099.5500000000002"/>
    <n v="2376.1529999999998"/>
    <n v="276.60299999999961"/>
    <n v="45809"/>
    <s v="SCOTIABANK"/>
    <n v="2099.5500000000002"/>
    <x v="20"/>
    <x v="17"/>
  </r>
  <r>
    <n v="24385800"/>
    <n v="5215624170186"/>
    <x v="0"/>
    <n v="6496.63"/>
    <n v="879"/>
    <n v="1948.989"/>
    <n v="1069.989"/>
    <m/>
    <m/>
    <m/>
    <x v="0"/>
    <x v="17"/>
  </r>
  <r>
    <n v="24401808"/>
    <n v="5216691231303"/>
    <x v="4"/>
    <n v="65409.37"/>
    <n v="19621.07"/>
    <n v="19622.811000000002"/>
    <n v="1.7410000000018044"/>
    <n v="46082"/>
    <s v="EXITUS"/>
    <n v="374.89"/>
    <x v="0"/>
    <x v="17"/>
  </r>
  <r>
    <n v="24405264"/>
    <m/>
    <x v="0"/>
    <n v="7202.28"/>
    <n v="1687.52"/>
    <n v="2160.6839999999997"/>
    <n v="473.16399999999976"/>
    <d v="2027-08-01T00:00:00"/>
    <s v="MULTIVA"/>
    <n v="1687.52"/>
    <x v="0"/>
    <x v="17"/>
  </r>
  <r>
    <n v="24399870"/>
    <n v="5219611944342"/>
    <x v="1"/>
    <n v="10636.54"/>
    <m/>
    <n v="3190.962"/>
    <n v="3190.962"/>
    <m/>
    <m/>
    <m/>
    <x v="21"/>
    <x v="17"/>
  </r>
  <r>
    <n v="24322594"/>
    <n v="5215513299212"/>
    <x v="2"/>
    <n v="29697.16"/>
    <n v="8909.15"/>
    <n v="8909.1479999999992"/>
    <n v="-2.0000000004074536E-3"/>
    <n v="46235"/>
    <s v="MULTIVA"/>
    <n v="7000"/>
    <x v="20"/>
    <x v="17"/>
  </r>
  <r>
    <n v="24405160"/>
    <n v="5216123788851"/>
    <x v="1"/>
    <n v="7283.61"/>
    <m/>
    <n v="2185.0829999999996"/>
    <n v="2185.0829999999996"/>
    <m/>
    <m/>
    <m/>
    <x v="19"/>
    <x v="17"/>
  </r>
  <r>
    <n v="24266570"/>
    <n v="5216391287576"/>
    <x v="2"/>
    <n v="17083.41"/>
    <n v="5124.43"/>
    <n v="5125.0230000000001"/>
    <n v="0.5929999999998472"/>
    <n v="46266"/>
    <s v="FORTALEZA"/>
    <n v="3578.78"/>
    <x v="21"/>
    <x v="17"/>
  </r>
  <r>
    <n v="24384450"/>
    <n v="5214781051522"/>
    <x v="2"/>
    <n v="5617.63"/>
    <n v="1334.29"/>
    <n v="1685.289"/>
    <n v="110.36000000000058"/>
    <n v="46204"/>
    <s v="INBURSA"/>
    <n v="1334.29"/>
    <x v="7"/>
    <x v="17"/>
  </r>
  <r>
    <n v="24405918"/>
    <m/>
    <x v="1"/>
    <n v="10636.54"/>
    <m/>
    <n v="3190.962"/>
    <n v="3190.962"/>
    <m/>
    <m/>
    <m/>
    <x v="11"/>
    <x v="17"/>
  </r>
  <r>
    <n v="24365640"/>
    <n v="5631304679"/>
    <x v="1"/>
    <n v="9760.320000000007"/>
    <m/>
    <n v="2928.0960000000018"/>
    <n v="2928.0960000000018"/>
    <m/>
    <m/>
    <m/>
    <x v="11"/>
    <x v="17"/>
  </r>
  <r>
    <n v="24365640"/>
    <n v="5219371091299"/>
    <x v="1"/>
    <m/>
    <m/>
    <m/>
    <m/>
    <m/>
    <m/>
    <m/>
    <x v="11"/>
    <x v="17"/>
  </r>
  <r>
    <n v="24393582"/>
    <n v="5214111540583"/>
    <x v="1"/>
    <n v="7715.83"/>
    <n v="879"/>
    <n v="2314.7489999999998"/>
    <n v="1435.7489999999998"/>
    <m/>
    <m/>
    <m/>
    <x v="15"/>
    <x v="18"/>
  </r>
  <r>
    <n v="24407724"/>
    <m/>
    <x v="1"/>
    <n v="11029.03"/>
    <m/>
    <n v="3308.7090000000003"/>
    <n v="3308.7090000000003"/>
    <m/>
    <m/>
    <m/>
    <x v="19"/>
    <x v="18"/>
  </r>
  <r>
    <n v="24407912"/>
    <m/>
    <x v="1"/>
    <n v="32869.06"/>
    <m/>
    <n v="9860.7179999999989"/>
    <n v="9860.7179999999989"/>
    <m/>
    <m/>
    <m/>
    <x v="12"/>
    <x v="18"/>
  </r>
  <r>
    <n v="24409570"/>
    <m/>
    <x v="1"/>
    <n v="10636.54"/>
    <m/>
    <n v="3190.962"/>
    <n v="3190.962"/>
    <m/>
    <m/>
    <m/>
    <x v="20"/>
    <x v="18"/>
  </r>
  <r>
    <n v="24406940"/>
    <m/>
    <x v="4"/>
    <n v="25090.23"/>
    <n v="7509.52"/>
    <n v="7527.0689999999995"/>
    <n v="17.548999999999069"/>
    <d v="2026-03-01T00:00:00"/>
    <s v="ATTENDO"/>
    <n v="317.10000000000002"/>
    <x v="22"/>
    <x v="18"/>
  </r>
  <r>
    <n v="24407458"/>
    <m/>
    <x v="4"/>
    <n v="6988.79"/>
    <n v="2020.98"/>
    <n v="2096.6369999999997"/>
    <n v="75.656999999999698"/>
    <d v="2026-03-01T00:00:00"/>
    <s v="EXITUS"/>
    <n v="870.98"/>
    <x v="22"/>
    <x v="18"/>
  </r>
  <r>
    <n v="24406010"/>
    <m/>
    <x v="1"/>
    <n v="9760.32"/>
    <m/>
    <n v="2928.096"/>
    <n v="2928.096"/>
    <m/>
    <m/>
    <m/>
    <x v="12"/>
    <x v="18"/>
  </r>
  <r>
    <n v="24415840"/>
    <m/>
    <x v="1"/>
    <n v="9572.89"/>
    <m/>
    <n v="2871.8669999999997"/>
    <n v="2871.8669999999997"/>
    <m/>
    <m/>
    <m/>
    <x v="19"/>
    <x v="18"/>
  </r>
  <r>
    <n v="24409818"/>
    <n v="5216634834532"/>
    <x v="1"/>
    <n v="6576.05"/>
    <m/>
    <n v="1972.8150000000001"/>
    <n v="1972.8150000000001"/>
    <m/>
    <m/>
    <m/>
    <x v="15"/>
    <x v="18"/>
  </r>
  <r>
    <n v="24408688"/>
    <n v="5213522436313"/>
    <x v="1"/>
    <n v="10011.879999999999"/>
    <m/>
    <n v="3003.5639999999999"/>
    <n v="3003.5639999999999"/>
    <m/>
    <m/>
    <m/>
    <x v="20"/>
    <x v="18"/>
  </r>
  <r>
    <n v="24416444"/>
    <m/>
    <x v="1"/>
    <n v="23392.23"/>
    <m/>
    <n v="7017.6689999999999"/>
    <n v="7017.6689999999999"/>
    <m/>
    <m/>
    <m/>
    <x v="12"/>
    <x v="18"/>
  </r>
  <r>
    <n v="24416696"/>
    <m/>
    <x v="0"/>
    <n v="30215.45"/>
    <n v="8742.0499999999993"/>
    <n v="9064.6350000000002"/>
    <n v="322.58500000000095"/>
    <d v="2028-01-01T00:00:00"/>
    <s v="CONSUBANCO"/>
    <n v="8742.0499999999993"/>
    <x v="22"/>
    <x v="18"/>
  </r>
  <r>
    <n v="24406980"/>
    <n v="5216128687004"/>
    <x v="1"/>
    <n v="6262.86"/>
    <m/>
    <n v="1878.8579999999997"/>
    <n v="1878.8579999999997"/>
    <m/>
    <m/>
    <m/>
    <x v="15"/>
    <x v="18"/>
  </r>
  <r>
    <n v="24403818"/>
    <n v="5218662569600"/>
    <x v="0"/>
    <n v="11995.34"/>
    <n v="2769.32"/>
    <n v="3598.6019999999999"/>
    <n v="829.2819999999997"/>
    <n v="46447"/>
    <s v="INBURSA"/>
    <n v="2297.3200000000002"/>
    <x v="22"/>
    <x v="18"/>
  </r>
  <r>
    <n v="24417490"/>
    <m/>
    <x v="1"/>
    <n v="9071.52"/>
    <n v="848"/>
    <n v="2721.4560000000001"/>
    <n v="1873.4560000000001"/>
    <m/>
    <m/>
    <m/>
    <x v="19"/>
    <x v="18"/>
  </r>
  <r>
    <n v="24417622"/>
    <m/>
    <x v="1"/>
    <n v="6411.47"/>
    <m/>
    <n v="1923.441"/>
    <n v="1923.441"/>
    <m/>
    <m/>
    <m/>
    <x v="20"/>
    <x v="18"/>
  </r>
  <r>
    <n v="23808686"/>
    <n v="5215652802887"/>
    <x v="1"/>
    <n v="10663.02"/>
    <m/>
    <n v="3198.9059999999999"/>
    <n v="3198.9059999999999"/>
    <m/>
    <m/>
    <m/>
    <x v="20"/>
    <x v="18"/>
  </r>
  <r>
    <n v="24417710"/>
    <m/>
    <x v="1"/>
    <n v="6262.86"/>
    <m/>
    <n v="1878.8579999999997"/>
    <n v="1878.8579999999997"/>
    <m/>
    <m/>
    <m/>
    <x v="10"/>
    <x v="18"/>
  </r>
  <r>
    <n v="24418172"/>
    <m/>
    <x v="2"/>
    <n v="6883.36"/>
    <n v="1815.3"/>
    <n v="2065.0079999999998"/>
    <n v="249.70799999999986"/>
    <d v="2026-05-01T00:00:00"/>
    <s v="PRE15NA"/>
    <n v="1815.3"/>
    <x v="2"/>
    <x v="18"/>
  </r>
  <r>
    <n v="24418314"/>
    <n v="5216624153339"/>
    <x v="0"/>
    <n v="11768.24"/>
    <n v="2687.84"/>
    <n v="3530.4719999999998"/>
    <n v="842.63199999999961"/>
    <d v="2027-10-01T00:00:00"/>
    <s v="PROFUTURO"/>
    <n v="2687.84"/>
    <x v="0"/>
    <x v="19"/>
  </r>
  <r>
    <n v="24419064"/>
    <n v="3115121977"/>
    <x v="4"/>
    <n v="5971.2"/>
    <n v="741.2"/>
    <n v="1791.36"/>
    <n v="1050.1599999999999"/>
    <d v="2024-04-01T00:00:00"/>
    <s v="DIRECTODO"/>
    <n v="741.2"/>
    <x v="0"/>
    <x v="19"/>
  </r>
  <r>
    <n v="24419216"/>
    <n v="5216647660045"/>
    <x v="1"/>
    <n v="18107.50999999998"/>
    <m/>
    <n v="5432.2529999999942"/>
    <n v="5432.2529999999942"/>
    <m/>
    <m/>
    <m/>
    <x v="14"/>
    <x v="19"/>
  </r>
  <r>
    <n v="24419506"/>
    <n v="5216699298432"/>
    <x v="1"/>
    <n v="13393.44"/>
    <n v="2063.14"/>
    <n v="4018.0320000000002"/>
    <n v="1954.8920000000003"/>
    <d v="2028-05-01T00:00:00"/>
    <s v="MULTIVA"/>
    <n v="1587.03"/>
    <x v="21"/>
    <x v="19"/>
  </r>
  <r>
    <n v="24419538"/>
    <n v="5218182506455"/>
    <x v="1"/>
    <n v="12862.44"/>
    <n v="1712.6"/>
    <n v="3858.732"/>
    <n v="2146.1320000000001"/>
    <d v="2026-09-01T00:00:00"/>
    <s v="BANCREA "/>
    <n v="765.08"/>
    <x v="14"/>
    <x v="19"/>
  </r>
  <r>
    <n v="24419792"/>
    <n v="5218121599310"/>
    <x v="1"/>
    <n v="32068.38"/>
    <n v="6796.2"/>
    <n v="9620.5139999999992"/>
    <n v="2824.3139999999994"/>
    <d v="2027-08-01T00:00:00"/>
    <s v="INBURSA"/>
    <n v="6796.2"/>
    <x v="14"/>
    <x v="19"/>
  </r>
  <r>
    <n v="24420904"/>
    <n v="5216621732543"/>
    <x v="1"/>
    <n v="11029.03"/>
    <m/>
    <n v="3308.7090000000003"/>
    <n v="3308.7090000000003"/>
    <m/>
    <m/>
    <m/>
    <x v="3"/>
    <x v="19"/>
  </r>
  <r>
    <n v="24421730"/>
    <n v="5215591031012"/>
    <x v="2"/>
    <n v="10875.92"/>
    <n v="3145.88"/>
    <n v="3262.7759999999998"/>
    <n v="116.89599999999973"/>
    <d v="2026-07-01T00:00:00"/>
    <s v="FORTALEZA, MULTIVA"/>
    <n v="3018.88"/>
    <x v="2"/>
    <x v="19"/>
  </r>
  <r>
    <n v="24422500"/>
    <n v="5218110734416"/>
    <x v="1"/>
    <n v="10758.97"/>
    <m/>
    <n v="3227.6909999999998"/>
    <n v="3227.6909999999998"/>
    <m/>
    <m/>
    <m/>
    <x v="9"/>
    <x v="19"/>
  </r>
  <r>
    <n v="24424020"/>
    <n v="5212297819008"/>
    <x v="2"/>
    <n v="13648.64"/>
    <n v="4094.59"/>
    <n v="4094.5919999999996"/>
    <n v="1.9999999994979589E-3"/>
    <d v="2026-09-01T00:00:00"/>
    <s v="INBURSA"/>
    <n v="3524.37"/>
    <x v="2"/>
    <x v="19"/>
  </r>
  <r>
    <n v="24424798"/>
    <n v="5217298751421"/>
    <x v="1"/>
    <n v="8784.2900000000009"/>
    <m/>
    <n v="2635.2870000000003"/>
    <n v="2635.2870000000003"/>
    <m/>
    <m/>
    <m/>
    <x v="3"/>
    <x v="19"/>
  </r>
  <r>
    <n v="24416270"/>
    <n v="5213121007483"/>
    <x v="1"/>
    <n v="7920.5099999999984"/>
    <n v="879"/>
    <n v="2376.1529999999993"/>
    <n v="1497.1529999999993"/>
    <m/>
    <m/>
    <m/>
    <x v="21"/>
    <x v="19"/>
  </r>
  <r>
    <n v="24416608"/>
    <n v="5219844681272"/>
    <x v="1"/>
    <n v="10636.54"/>
    <m/>
    <n v="3190.962"/>
    <n v="3190.962"/>
    <m/>
    <m/>
    <m/>
    <x v="2"/>
    <x v="19"/>
  </r>
  <r>
    <n v="24409114"/>
    <n v="5216121685371"/>
    <x v="1"/>
    <n v="9760.32"/>
    <m/>
    <n v="2928.096"/>
    <n v="2928.096"/>
    <m/>
    <m/>
    <m/>
    <x v="21"/>
    <x v="19"/>
  </r>
  <r>
    <n v="24417200"/>
    <n v="5214271491785"/>
    <x v="1"/>
    <n v="29453.33"/>
    <m/>
    <n v="8835.9989999999998"/>
    <n v="8835.9989999999998"/>
    <m/>
    <m/>
    <m/>
    <x v="3"/>
    <x v="19"/>
  </r>
  <r>
    <n v="24416912"/>
    <n v="5215530587908"/>
    <x v="1"/>
    <n v="15274.2"/>
    <m/>
    <n v="4582.26"/>
    <n v="4582.26"/>
    <m/>
    <m/>
    <m/>
    <x v="9"/>
    <x v="19"/>
  </r>
  <r>
    <n v="24415868"/>
    <n v="5213222179157"/>
    <x v="2"/>
    <n v="24261.17"/>
    <n v="5337.68"/>
    <n v="7278.3509999999997"/>
    <n v="1940.6709999999994"/>
    <n v="45839"/>
    <s v="DIMEX"/>
    <n v="5337.68"/>
    <x v="3"/>
    <x v="19"/>
  </r>
  <r>
    <n v="24417396"/>
    <n v="5215646779474"/>
    <x v="1"/>
    <n v="12579.91"/>
    <m/>
    <n v="3773.973"/>
    <n v="3773.973"/>
    <m/>
    <m/>
    <m/>
    <x v="12"/>
    <x v="19"/>
  </r>
  <r>
    <n v="24419368"/>
    <n v="5216624166808"/>
    <x v="1"/>
    <n v="10636.54"/>
    <m/>
    <n v="3190.962"/>
    <n v="3190.962"/>
    <m/>
    <m/>
    <m/>
    <x v="5"/>
    <x v="19"/>
  </r>
  <r>
    <n v="24417880"/>
    <n v="5216145326145"/>
    <x v="1"/>
    <n v="5617.63"/>
    <m/>
    <n v="1685.289"/>
    <n v="1444.6500000000005"/>
    <m/>
    <m/>
    <m/>
    <x v="9"/>
    <x v="19"/>
  </r>
  <r>
    <n v="24419370"/>
    <n v="5216629347930"/>
    <x v="0"/>
    <n v="61828.47"/>
    <n v="17813"/>
    <n v="18548.541000000001"/>
    <n v="735.54100000000108"/>
    <n v="46661"/>
    <s v="MULTIVA"/>
    <n v="17813"/>
    <x v="0"/>
    <x v="19"/>
  </r>
  <r>
    <n v="24414092"/>
    <n v="5216444629186"/>
    <x v="0"/>
    <n v="6277.93"/>
    <n v="1035.3"/>
    <n v="1883.3789999999999"/>
    <n v="848.07899999999995"/>
    <n v="46813"/>
    <s v="DIMEX"/>
    <n v="1035.3"/>
    <x v="0"/>
    <x v="19"/>
  </r>
  <r>
    <n v="24422146"/>
    <n v="2215350615"/>
    <x v="1"/>
    <n v="62108.17"/>
    <m/>
    <n v="18632.450999999997"/>
    <n v="18632.450999999997"/>
    <m/>
    <m/>
    <m/>
    <x v="11"/>
    <x v="19"/>
  </r>
  <r>
    <n v="24274678"/>
    <n v="7702095111"/>
    <x v="1"/>
    <n v="5617.63"/>
    <m/>
    <n v="1685.289"/>
    <n v="1444.6500000000005"/>
    <m/>
    <m/>
    <m/>
    <x v="9"/>
    <x v="19"/>
  </r>
  <r>
    <n v="24422408"/>
    <n v="4422304825"/>
    <x v="1"/>
    <n v="26510.63"/>
    <n v="6329.93"/>
    <n v="7953.1890000000003"/>
    <n v="1623.259"/>
    <n v="46753"/>
    <s v="MULTIVA"/>
    <n v="3029.97"/>
    <x v="21"/>
    <x v="19"/>
  </r>
  <r>
    <n v="24424018"/>
    <n v="9211235157"/>
    <x v="1"/>
    <n v="19664.919999999998"/>
    <m/>
    <n v="5899.4759999999997"/>
    <n v="5899.4759999999997"/>
    <m/>
    <m/>
    <m/>
    <x v="19"/>
    <x v="20"/>
  </r>
  <r>
    <n v="24428180"/>
    <n v="4252048615"/>
    <x v="1"/>
    <n v="9760.32"/>
    <m/>
    <n v="2928.096"/>
    <n v="2928.096"/>
    <m/>
    <m/>
    <m/>
    <x v="21"/>
    <x v="20"/>
  </r>
  <r>
    <n v="24429104"/>
    <m/>
    <x v="1"/>
    <n v="19479"/>
    <m/>
    <n v="5843.7"/>
    <n v="5843.7"/>
    <m/>
    <m/>
    <m/>
    <x v="19"/>
    <x v="20"/>
  </r>
  <r>
    <n v="24429576"/>
    <m/>
    <x v="4"/>
    <n v="10523.34"/>
    <n v="3044.07"/>
    <n v="3157.002"/>
    <n v="112.93199999999979"/>
    <d v="2026-05-01T00:00:00"/>
    <s v="ATTENDO"/>
    <n v="580.49"/>
    <x v="0"/>
    <x v="20"/>
  </r>
  <r>
    <n v="24429448"/>
    <m/>
    <x v="1"/>
    <n v="25379.86"/>
    <n v="4092.75"/>
    <n v="7613.9579999999996"/>
    <n v="3521.2079999999996"/>
    <d v="2026-02-01T00:00:00"/>
    <s v="FIMUBAC, BANCREA"/>
    <n v="789.87"/>
    <x v="19"/>
    <x v="20"/>
  </r>
  <r>
    <n v="24430662"/>
    <m/>
    <x v="1"/>
    <n v="11029.03"/>
    <m/>
    <n v="3308.7090000000003"/>
    <n v="3308.7090000000003"/>
    <m/>
    <m/>
    <m/>
    <x v="21"/>
    <x v="20"/>
  </r>
  <r>
    <n v="24432582"/>
    <m/>
    <x v="4"/>
    <n v="4813.6899999999996"/>
    <n v="368.49"/>
    <n v="1444.1069999999997"/>
    <n v="272.22000000000003"/>
    <d v="2024-02-01T00:00:00"/>
    <s v="FORTALEZA "/>
    <n v="368.49"/>
    <x v="0"/>
    <x v="20"/>
  </r>
  <r>
    <n v="24432588"/>
    <m/>
    <x v="1"/>
    <n v="7116.73"/>
    <m/>
    <n v="2135.0189999999998"/>
    <n v="2135.0189999999998"/>
    <m/>
    <m/>
    <m/>
    <x v="21"/>
    <x v="20"/>
  </r>
  <r>
    <n v="24443470"/>
    <m/>
    <x v="1"/>
    <n v="10824.73"/>
    <m/>
    <n v="3247.4189999999999"/>
    <n v="3247.4189999999999"/>
    <m/>
    <m/>
    <m/>
    <x v="5"/>
    <x v="20"/>
  </r>
  <r>
    <n v="24418318"/>
    <n v="5219513405776"/>
    <x v="3"/>
    <n v="11722.7"/>
    <n v="3388.95"/>
    <n v="3516.81"/>
    <n v="127.86000000000013"/>
    <n v="46082"/>
    <s v="CONSUBANCO"/>
    <n v="3103.03"/>
    <x v="16"/>
    <x v="20"/>
  </r>
  <r>
    <n v="24445634"/>
    <m/>
    <x v="1"/>
    <n v="10636.54"/>
    <m/>
    <n v="3190.962"/>
    <n v="3190.962"/>
    <m/>
    <m/>
    <m/>
    <x v="20"/>
    <x v="20"/>
  </r>
  <r>
    <n v="24444508"/>
    <n v="5212221883452"/>
    <x v="3"/>
    <n v="7116.73"/>
    <n v="1885.86"/>
    <n v="2135.0189999999998"/>
    <n v="249.15899999999988"/>
    <n v="45870"/>
    <s v="CONSUBANCO"/>
    <n v="1885.86"/>
    <x v="5"/>
    <x v="20"/>
  </r>
  <r>
    <n v="24436594"/>
    <n v="5216645749097"/>
    <x v="2"/>
    <n v="8108.29"/>
    <n v="2247.1999999999998"/>
    <n v="2432.4870000000001"/>
    <n v="185.28700000000026"/>
    <n v="46235"/>
    <s v="BANCREA "/>
    <n v="2247.1999999999998"/>
    <x v="7"/>
    <x v="20"/>
  </r>
  <r>
    <n v="24446296"/>
    <m/>
    <x v="1"/>
    <n v="9760.32"/>
    <n v="879"/>
    <n v="2928.096"/>
    <n v="2049.096"/>
    <m/>
    <m/>
    <m/>
    <x v="18"/>
    <x v="20"/>
  </r>
  <r>
    <n v="24446686"/>
    <m/>
    <x v="1"/>
    <n v="39077.03"/>
    <m/>
    <n v="11723.108999999999"/>
    <n v="11723.108999999999"/>
    <m/>
    <m/>
    <m/>
    <x v="17"/>
    <x v="20"/>
  </r>
  <r>
    <n v="24436100"/>
    <n v="5217752581148"/>
    <x v="1"/>
    <n v="23442.54"/>
    <m/>
    <n v="7032.7619999999997"/>
    <n v="7032.7619999999997"/>
    <m/>
    <m/>
    <m/>
    <x v="10"/>
    <x v="20"/>
  </r>
  <r>
    <n v="24436222"/>
    <n v="5214774133233"/>
    <x v="1"/>
    <n v="9760.32"/>
    <m/>
    <n v="2928.096"/>
    <n v="2928.096"/>
    <m/>
    <m/>
    <m/>
    <x v="12"/>
    <x v="20"/>
  </r>
  <r>
    <n v="24174154"/>
    <n v="5215543635717"/>
    <x v="1"/>
    <n v="8539.91"/>
    <m/>
    <n v="2561.973"/>
    <n v="2561.973"/>
    <m/>
    <m/>
    <m/>
    <x v="3"/>
    <x v="20"/>
  </r>
  <r>
    <n v="24447340"/>
    <m/>
    <x v="1"/>
    <n v="7125.15"/>
    <m/>
    <n v="2137.5449999999996"/>
    <n v="2137.5449999999996"/>
    <m/>
    <m/>
    <m/>
    <x v="4"/>
    <x v="20"/>
  </r>
  <r>
    <n v="24431628"/>
    <n v="5219999554448"/>
    <x v="2"/>
    <n v="42073.32"/>
    <n v="12172.41"/>
    <n v="12621.995999999999"/>
    <n v="449.58599999999933"/>
    <n v="46266"/>
    <s v="EXITUS"/>
    <n v="3024.41"/>
    <x v="13"/>
    <x v="20"/>
  </r>
  <r>
    <n v="24400734"/>
    <n v="5216141006292"/>
    <x v="1"/>
    <n v="8173.36"/>
    <m/>
    <n v="2452.0079999999998"/>
    <n v="2452.0079999999998"/>
    <m/>
    <m/>
    <m/>
    <x v="6"/>
    <x v="20"/>
  </r>
  <r>
    <n v="24448318"/>
    <m/>
    <x v="2"/>
    <n v="7116.73"/>
    <n v="1887.3"/>
    <n v="2135.0189999999998"/>
    <n v="247.71899999999982"/>
    <d v="2026-02-01T00:00:00"/>
    <s v="GFI APOYO, EXITUS"/>
    <n v="1887.3"/>
    <x v="7"/>
    <x v="20"/>
  </r>
  <r>
    <n v="24448734"/>
    <m/>
    <x v="1"/>
    <n v="9760.32"/>
    <n v="879"/>
    <n v="2928.096"/>
    <n v="2049.096"/>
    <m/>
    <m/>
    <m/>
    <x v="8"/>
    <x v="20"/>
  </r>
  <r>
    <n v="24449412"/>
    <m/>
    <x v="3"/>
    <n v="25646.53"/>
    <n v="5567.25"/>
    <n v="7693.9589999999989"/>
    <n v="2126.7089999999989"/>
    <d v="2025-02-01T00:00:00"/>
    <s v="OPCIPRES, CONSUBANCO"/>
    <n v="5567.25"/>
    <x v="16"/>
    <x v="20"/>
  </r>
  <r>
    <n v="24449076"/>
    <m/>
    <x v="4"/>
    <n v="21624.76"/>
    <n v="6493.63"/>
    <n v="6487.427999999999"/>
    <n v="-6.202000000001135"/>
    <d v="2026-09-01T00:00:00"/>
    <s v="ATTENDO, DNX EXPRESS"/>
    <n v="633.92999999999995"/>
    <x v="0"/>
    <x v="20"/>
  </r>
  <r>
    <n v="24435678"/>
    <n v="5216681358393"/>
    <x v="1"/>
    <n v="8912.7900000000009"/>
    <m/>
    <n v="2673.837"/>
    <n v="2673.837"/>
    <m/>
    <m/>
    <m/>
    <x v="14"/>
    <x v="20"/>
  </r>
  <r>
    <n v="24442956"/>
    <n v="5219321118626"/>
    <x v="1"/>
    <n v="25862.51"/>
    <m/>
    <n v="7758.7529999999988"/>
    <n v="7758.7529999999988"/>
    <m/>
    <m/>
    <m/>
    <x v="17"/>
    <x v="20"/>
  </r>
  <r>
    <n v="24443860"/>
    <n v="5216143444178"/>
    <x v="1"/>
    <n v="9170.91"/>
    <m/>
    <n v="2751.2729999999997"/>
    <n v="2751.2729999999997"/>
    <m/>
    <m/>
    <m/>
    <x v="5"/>
    <x v="20"/>
  </r>
  <r>
    <n v="24450946"/>
    <m/>
    <x v="1"/>
    <n v="15439.89"/>
    <m/>
    <n v="4631.9669999999996"/>
    <n v="4631.9669999999996"/>
    <m/>
    <m/>
    <m/>
    <x v="20"/>
    <x v="20"/>
  </r>
  <r>
    <n v="24450184"/>
    <n v="5214494023776"/>
    <x v="2"/>
    <n v="23722.58"/>
    <n v="6862.67"/>
    <n v="7116.7740000000003"/>
    <n v="254.10400000000027"/>
    <n v="45870"/>
    <s v="MULTIVA"/>
    <n v="2569.92"/>
    <x v="7"/>
    <x v="20"/>
  </r>
  <r>
    <n v="24452056"/>
    <m/>
    <x v="1"/>
    <n v="8539.89"/>
    <n v="848"/>
    <n v="2561.9669999999996"/>
    <n v="1713.9669999999996"/>
    <m/>
    <m/>
    <m/>
    <x v="15"/>
    <x v="20"/>
  </r>
  <r>
    <n v="24451954"/>
    <m/>
    <x v="1"/>
    <n v="7116.73"/>
    <m/>
    <n v="2135.0189999999998"/>
    <n v="2135.0189999999998"/>
    <m/>
    <m/>
    <m/>
    <x v="18"/>
    <x v="20"/>
  </r>
  <r>
    <n v="24450614"/>
    <n v="5212227149293"/>
    <x v="1"/>
    <n v="29032.15"/>
    <m/>
    <n v="8709.6450000000004"/>
    <n v="8709.6450000000004"/>
    <m/>
    <m/>
    <m/>
    <x v="9"/>
    <x v="20"/>
  </r>
  <r>
    <n v="24452028"/>
    <m/>
    <x v="0"/>
    <n v="4494.1000000000004"/>
    <m/>
    <n v="1348.23"/>
    <n v="321.1200000000008"/>
    <m/>
    <m/>
    <m/>
    <x v="0"/>
    <x v="20"/>
  </r>
  <r>
    <n v="24452484"/>
    <m/>
    <x v="1"/>
    <n v="7639.67"/>
    <n v="985.71"/>
    <n v="2291.9009999999998"/>
    <n v="1306.1909999999998"/>
    <d v="2027-08-01T00:00:00"/>
    <s v="INBURSA"/>
    <n v="985.71"/>
    <x v="15"/>
    <x v="20"/>
  </r>
  <r>
    <n v="24436210"/>
    <n v="5216143636659"/>
    <x v="1"/>
    <n v="40172.75"/>
    <m/>
    <n v="12051.824999999999"/>
    <n v="12051.824999999999"/>
    <m/>
    <m/>
    <m/>
    <x v="3"/>
    <x v="20"/>
  </r>
  <r>
    <n v="24398088"/>
    <n v="6681141616"/>
    <x v="4"/>
    <n v="36621.78"/>
    <n v="10595.5"/>
    <n v="10986.534"/>
    <n v="391.03399999999965"/>
    <n v="46054"/>
    <s v="HINV"/>
    <n v="454.3"/>
    <x v="0"/>
    <x v="20"/>
  </r>
  <r>
    <n v="24433052"/>
    <n v="5219373787986"/>
    <x v="1"/>
    <n v="9760.32"/>
    <m/>
    <n v="2928.096"/>
    <n v="2928.096"/>
    <m/>
    <m/>
    <m/>
    <x v="10"/>
    <x v="20"/>
  </r>
  <r>
    <n v="24362654"/>
    <n v="5215524059451"/>
    <x v="1"/>
    <n v="10636.54"/>
    <m/>
    <n v="3190.962"/>
    <n v="3190.962"/>
    <m/>
    <m/>
    <m/>
    <x v="14"/>
    <x v="20"/>
  </r>
  <r>
    <n v="24442632"/>
    <m/>
    <x v="1"/>
    <n v="11029.03"/>
    <m/>
    <n v="3308.7090000000003"/>
    <n v="3308.7090000000003"/>
    <m/>
    <m/>
    <m/>
    <x v="12"/>
    <x v="20"/>
  </r>
  <r>
    <n v="24455152"/>
    <m/>
    <x v="4"/>
    <n v="6660.74"/>
    <n v="1042.33"/>
    <n v="1998.2219999999998"/>
    <n v="955.89199999999983"/>
    <d v="2025-05-01T00:00:00"/>
    <s v="BANCREA "/>
    <n v="1042.33"/>
    <x v="0"/>
    <x v="20"/>
  </r>
  <r>
    <n v="24433562"/>
    <m/>
    <x v="4"/>
    <n v="6982.64"/>
    <n v="1891.08"/>
    <n v="2094.7919999999999"/>
    <n v="203.71199999999999"/>
    <d v="2025-08-01T00:00:00"/>
    <s v="EXITUS"/>
    <n v="678.76"/>
    <x v="0"/>
    <x v="20"/>
  </r>
  <r>
    <n v="24455384"/>
    <m/>
    <x v="2"/>
    <n v="6262.86"/>
    <n v="1738.79"/>
    <n v="1878.8579999999997"/>
    <n v="140.06799999999976"/>
    <d v="2026-07-01T00:00:00"/>
    <s v="INBURSA"/>
    <n v="1738.79"/>
    <x v="13"/>
    <x v="20"/>
  </r>
  <r>
    <n v="24456472"/>
    <m/>
    <x v="1"/>
    <n v="9760.32"/>
    <m/>
    <n v="2928.096"/>
    <n v="2928.096"/>
    <m/>
    <m/>
    <m/>
    <x v="4"/>
    <x v="20"/>
  </r>
  <r>
    <n v="24453148"/>
    <n v="5216672355141"/>
    <x v="1"/>
    <n v="10636.54"/>
    <m/>
    <n v="3190.962"/>
    <n v="3190.962"/>
    <m/>
    <m/>
    <m/>
    <x v="8"/>
    <x v="20"/>
  </r>
  <r>
    <n v="24457256"/>
    <m/>
    <x v="1"/>
    <n v="8624.2199999999993"/>
    <m/>
    <n v="2587.2659999999996"/>
    <n v="2587.2659999999996"/>
    <m/>
    <m/>
    <m/>
    <x v="14"/>
    <x v="20"/>
  </r>
  <r>
    <n v="24456524"/>
    <n v="24456524"/>
    <x v="1"/>
    <n v="10636.54"/>
    <m/>
    <n v="3190.962"/>
    <n v="3190.962"/>
    <m/>
    <m/>
    <m/>
    <x v="20"/>
    <x v="20"/>
  </r>
  <r>
    <n v="24423322"/>
    <n v="5518126696"/>
    <x v="0"/>
    <n v="41132.89"/>
    <n v="11898.98"/>
    <n v="12339.867"/>
    <n v="440.88700000000063"/>
    <n v="46661"/>
    <s v="PROFUTURO"/>
    <n v="11898.98"/>
    <x v="14"/>
    <x v="20"/>
  </r>
  <r>
    <n v="24458290"/>
    <m/>
    <x v="3"/>
    <n v="33497.56"/>
    <n v="10049.27"/>
    <n v="10049.267999999998"/>
    <n v="-2.000000002226443E-3"/>
    <d v="2026-03-01T00:00:00"/>
    <s v="CONSUBANCO"/>
    <n v="412.79"/>
    <x v="5"/>
    <x v="21"/>
  </r>
  <r>
    <n v="24462272"/>
    <m/>
    <x v="1"/>
    <n v="11072.1"/>
    <m/>
    <n v="3321.63"/>
    <n v="3321.63"/>
    <m/>
    <m/>
    <m/>
    <x v="19"/>
    <x v="21"/>
  </r>
  <r>
    <n v="24462476"/>
    <m/>
    <x v="4"/>
    <n v="65123.91"/>
    <n v="19536.72"/>
    <n v="19537.172999999999"/>
    <n v="0.4529999999977008"/>
    <d v="2026-08-01T00:00:00"/>
    <s v="INBURSA"/>
    <n v="1030"/>
    <x v="0"/>
    <x v="21"/>
  </r>
  <r>
    <n v="24470210"/>
    <m/>
    <x v="2"/>
    <n v="9800.73"/>
    <n v="2936.7"/>
    <n v="2940.2189999999996"/>
    <n v="3.5189999999997781"/>
    <d v="2026-04-01T00:00:00"/>
    <s v="PROFUTURO "/>
    <n v="1702.31"/>
    <x v="23"/>
    <x v="21"/>
  </r>
  <r>
    <n v="24473934"/>
    <m/>
    <x v="1"/>
    <n v="8599.2999999999993"/>
    <m/>
    <n v="2579.7899999999995"/>
    <n v="2579.7899999999995"/>
    <m/>
    <m/>
    <m/>
    <x v="21"/>
    <x v="21"/>
  </r>
  <r>
    <n v="24433794"/>
    <n v="5212282284613"/>
    <x v="2"/>
    <n v="18588.330000000002"/>
    <n v="5373.54"/>
    <n v="5576.4990000000007"/>
    <n v="202.95900000000074"/>
    <n v="46266"/>
    <s v="BANCREA"/>
    <n v="3060.26"/>
    <x v="23"/>
    <x v="21"/>
  </r>
  <r>
    <n v="24371460"/>
    <n v="5657851969"/>
    <x v="4"/>
    <n v="5617.64"/>
    <n v="1387.65"/>
    <n v="1685.2920000000001"/>
    <n v="57.010000000000673"/>
    <n v="45444"/>
    <s v="DIRECTODO"/>
    <n v="444.72"/>
    <x v="0"/>
    <x v="21"/>
  </r>
  <r>
    <n v="24432148"/>
    <m/>
    <x v="2"/>
    <n v="26737.72"/>
    <n v="7090.74"/>
    <n v="8021.3159999999998"/>
    <n v="930.57600000000002"/>
    <d v="2025-11-01T00:00:00"/>
    <s v="EXITUS"/>
    <n v="7090.74"/>
    <x v="23"/>
    <x v="21"/>
  </r>
  <r>
    <n v="24217770"/>
    <m/>
    <x v="3"/>
    <n v="9760.32"/>
    <m/>
    <n v="2928.096"/>
    <n v="2928.096"/>
    <m/>
    <m/>
    <m/>
    <x v="5"/>
    <x v="21"/>
  </r>
  <r>
    <n v="24471826"/>
    <n v="5215579470898"/>
    <x v="0"/>
    <n v="24862.55"/>
    <n v="6595"/>
    <n v="7458.7649999999994"/>
    <n v="863.76499999999942"/>
    <n v="46569"/>
    <s v="DIMEX"/>
    <n v="6595"/>
    <x v="0"/>
    <x v="21"/>
  </r>
  <r>
    <n v="24456608"/>
    <n v="5218113206966"/>
    <x v="2"/>
    <n v="9418.66"/>
    <n v="2317.29"/>
    <n v="2825.598"/>
    <n v="508.30799999999999"/>
    <n v="45627"/>
    <s v="INBURSA"/>
    <n v="2317.29"/>
    <x v="23"/>
    <x v="21"/>
  </r>
  <r>
    <n v="24140424"/>
    <n v="5214811441557"/>
    <x v="1"/>
    <n v="10636.54"/>
    <m/>
    <n v="3190.962"/>
    <n v="3190.962"/>
    <m/>
    <m/>
    <m/>
    <x v="20"/>
    <x v="21"/>
  </r>
  <r>
    <n v="24194850"/>
    <n v="5213322147621"/>
    <x v="1"/>
    <n v="10636.539999999997"/>
    <m/>
    <n v="3190.9619999999991"/>
    <n v="3190.9619999999991"/>
    <m/>
    <m/>
    <m/>
    <x v="5"/>
    <x v="21"/>
  </r>
  <r>
    <n v="24377376"/>
    <n v="5214531377821"/>
    <x v="1"/>
    <n v="10636.54"/>
    <m/>
    <n v="3190.962"/>
    <n v="3190.962"/>
    <m/>
    <m/>
    <m/>
    <x v="4"/>
    <x v="21"/>
  </r>
  <r>
    <n v="24140380"/>
    <n v="5214434006657"/>
    <x v="1"/>
    <n v="10636.539999999997"/>
    <m/>
    <n v="3190.9619999999991"/>
    <n v="3190.9619999999991"/>
    <m/>
    <m/>
    <m/>
    <x v="12"/>
    <x v="21"/>
  </r>
  <r>
    <n v="24484342"/>
    <m/>
    <x v="1"/>
    <n v="10636.79"/>
    <m/>
    <n v="3191.0370000000003"/>
    <n v="3191.0370000000003"/>
    <m/>
    <m/>
    <m/>
    <x v="12"/>
    <x v="21"/>
  </r>
  <r>
    <n v="24485694"/>
    <m/>
    <x v="1"/>
    <n v="10636.54"/>
    <m/>
    <n v="3190.962"/>
    <n v="3190.962"/>
    <m/>
    <m/>
    <m/>
    <x v="17"/>
    <x v="21"/>
  </r>
  <r>
    <n v="24363678"/>
    <n v="5216692643582"/>
    <x v="0"/>
    <n v="4813.6899999999996"/>
    <m/>
    <n v="1444.1069999999997"/>
    <n v="640.71"/>
    <m/>
    <m/>
    <m/>
    <x v="20"/>
    <x v="21"/>
  </r>
  <r>
    <n v="24489418"/>
    <m/>
    <x v="1"/>
    <n v="9760.32"/>
    <n v="879"/>
    <n v="2928.096"/>
    <n v="2049.096"/>
    <m/>
    <m/>
    <m/>
    <x v="18"/>
    <x v="21"/>
  </r>
  <r>
    <n v="24489344"/>
    <m/>
    <x v="4"/>
    <n v="4306.5"/>
    <n v="373.64"/>
    <n v="1291.95"/>
    <n v="-240.11999999999955"/>
    <d v="2025-02-01T00:00:00"/>
    <s v="DIMEX"/>
    <n v="373.64"/>
    <x v="0"/>
    <x v="21"/>
  </r>
  <r>
    <n v="24232976"/>
    <n v="5215513107083"/>
    <x v="1"/>
    <n v="10636.54"/>
    <m/>
    <n v="3190.962"/>
    <n v="3190.962"/>
    <m/>
    <m/>
    <m/>
    <x v="13"/>
    <x v="21"/>
  </r>
  <r>
    <n v="24489612"/>
    <m/>
    <x v="0"/>
    <n v="40567.769999999997"/>
    <n v="11352.7"/>
    <n v="12170.330999999998"/>
    <n v="817.63099999999758"/>
    <d v="2028-03-01T00:00:00"/>
    <s v="INBURSA"/>
    <n v="5984.97"/>
    <x v="0"/>
    <x v="21"/>
  </r>
  <r>
    <n v="24489616"/>
    <m/>
    <x v="1"/>
    <n v="12899.75"/>
    <m/>
    <n v="3869.9249999999997"/>
    <n v="3869.9249999999997"/>
    <m/>
    <m/>
    <m/>
    <x v="7"/>
    <x v="21"/>
  </r>
  <r>
    <n v="24490080"/>
    <m/>
    <x v="1"/>
    <n v="9081.52"/>
    <n v="181"/>
    <n v="2724.4560000000001"/>
    <n v="2543.4560000000001"/>
    <m/>
    <m/>
    <m/>
    <x v="18"/>
    <x v="21"/>
  </r>
  <r>
    <n v="24490368"/>
    <m/>
    <x v="2"/>
    <n v="5617.64"/>
    <n v="1685.29"/>
    <n v="1685.2920000000001"/>
    <n v="-240.6299999999992"/>
    <d v="2026-08-01T00:00:00"/>
    <s v="DIMEX"/>
    <n v="1450"/>
    <x v="23"/>
    <x v="21"/>
  </r>
  <r>
    <n v="24490566"/>
    <m/>
    <x v="1"/>
    <n v="22350.329999999998"/>
    <n v="5236.1400000000003"/>
    <n v="6705.0989999999993"/>
    <n v="1468.9589999999989"/>
    <d v="2028-08-01T00:00:00"/>
    <s v="INBURSA"/>
    <n v="5236.1400000000003"/>
    <x v="13"/>
    <x v="21"/>
  </r>
  <r>
    <n v="24491788"/>
    <m/>
    <x v="1"/>
    <n v="11029.02"/>
    <n v="879"/>
    <n v="3308.7060000000001"/>
    <n v="2429.7060000000001"/>
    <m/>
    <m/>
    <m/>
    <x v="17"/>
    <x v="22"/>
  </r>
  <r>
    <n v="24490714"/>
    <n v="5213133294251"/>
    <x v="1"/>
    <n v="8539.77"/>
    <m/>
    <n v="2561.931"/>
    <n v="2561.931"/>
    <m/>
    <m/>
    <m/>
    <x v="4"/>
    <x v="22"/>
  </r>
  <r>
    <n v="24488246"/>
    <n v="5216421426329"/>
    <x v="1"/>
    <n v="7920.51"/>
    <n v="848"/>
    <n v="2376.1529999999998"/>
    <n v="1528.1529999999998"/>
    <m/>
    <m/>
    <m/>
    <x v="9"/>
    <x v="22"/>
  </r>
  <r>
    <n v="24463860"/>
    <n v="5216145221416"/>
    <x v="1"/>
    <n v="23314.61"/>
    <m/>
    <n v="6994.3829999999998"/>
    <n v="6994.3829999999998"/>
    <m/>
    <m/>
    <m/>
    <x v="9"/>
    <x v="22"/>
  </r>
  <r>
    <n v="24497374"/>
    <n v="6462419600"/>
    <x v="2"/>
    <n v="17210.88"/>
    <n v="4979.5200000000004"/>
    <n v="5163.2640000000001"/>
    <n v="183.74399999999969"/>
    <n v="46266"/>
    <s v="INBURSA"/>
    <n v="4456.84"/>
    <x v="23"/>
    <x v="22"/>
  </r>
  <r>
    <n v="24496366"/>
    <n v="5213312807264"/>
    <x v="1"/>
    <n v="19475.54"/>
    <m/>
    <n v="5842.6620000000003"/>
    <n v="5842.6620000000003"/>
    <m/>
    <m/>
    <m/>
    <x v="6"/>
    <x v="22"/>
  </r>
  <r>
    <n v="24508078"/>
    <n v="9661066887"/>
    <x v="1"/>
    <n v="6262.86"/>
    <m/>
    <n v="1878.8579999999997"/>
    <n v="1878.8579999999997"/>
    <m/>
    <m/>
    <m/>
    <x v="6"/>
    <x v="22"/>
  </r>
  <r>
    <n v="24505658"/>
    <n v="7731043133"/>
    <x v="1"/>
    <n v="10636.54"/>
    <m/>
    <n v="3190.962"/>
    <n v="3190.962"/>
    <m/>
    <m/>
    <m/>
    <x v="3"/>
    <x v="22"/>
  </r>
  <r>
    <n v="24507922"/>
    <n v="4445748342"/>
    <x v="4"/>
    <n v="5617.63"/>
    <n v="1443.58"/>
    <n v="1685.289"/>
    <n v="1.0700000000006185"/>
    <n v="46266"/>
    <s v="EXITUS"/>
    <n v="1191.58"/>
    <x v="0"/>
    <x v="22"/>
  </r>
  <r>
    <n v="24509532"/>
    <n v="5216561747299"/>
    <x v="2"/>
    <n v="6422.04"/>
    <n v="1700.33"/>
    <n v="1926.6119999999999"/>
    <n v="226.28199999999993"/>
    <n v="45839"/>
    <s v="DIMEX"/>
    <n v="1700.33"/>
    <x v="2"/>
    <x v="22"/>
  </r>
  <r>
    <n v="24508832"/>
    <n v="5216142196223"/>
    <x v="1"/>
    <n v="9760.32"/>
    <m/>
    <n v="2928.096"/>
    <n v="2928.096"/>
    <m/>
    <m/>
    <m/>
    <x v="3"/>
    <x v="22"/>
  </r>
  <r>
    <n v="24500766"/>
    <n v="5212282364165"/>
    <x v="2"/>
    <n v="13932.79"/>
    <n v="4025.34"/>
    <n v="4179.8370000000004"/>
    <n v="154.4970000000003"/>
    <n v="46266"/>
    <s v="INBURSA"/>
    <n v="1489"/>
    <x v="2"/>
    <x v="22"/>
  </r>
  <r>
    <n v="24506160"/>
    <n v="5216145100893"/>
    <x v="4"/>
    <n v="6261.96"/>
    <n v="1806.85"/>
    <n v="1878.588"/>
    <n v="71.738000000000056"/>
    <n v="46204"/>
    <s v="BANCREA"/>
    <n v="1067.8499999999999"/>
    <x v="0"/>
    <x v="22"/>
  </r>
  <r>
    <n v="24491252"/>
    <n v="5218661015469"/>
    <x v="2"/>
    <n v="23463.16"/>
    <n v="7038.15"/>
    <n v="7038.9479999999994"/>
    <n v="0.79799999999977445"/>
    <n v="46266"/>
    <s v="GFI APOYO"/>
    <n v="1412.88"/>
    <x v="13"/>
    <x v="22"/>
  </r>
  <r>
    <n v="24492772"/>
    <n v="5217491065607"/>
    <x v="1"/>
    <n v="8346.31"/>
    <m/>
    <n v="2503.8929999999996"/>
    <n v="2503.8929999999996"/>
    <m/>
    <m/>
    <m/>
    <x v="4"/>
    <x v="22"/>
  </r>
  <r>
    <n v="24507444"/>
    <n v="5217208496312"/>
    <x v="1"/>
    <n v="10636.54"/>
    <m/>
    <n v="3190.962"/>
    <n v="3190.962"/>
    <m/>
    <m/>
    <m/>
    <x v="8"/>
    <x v="22"/>
  </r>
  <r>
    <n v="24492134"/>
    <m/>
    <x v="4"/>
    <n v="4690.01"/>
    <n v="455.15"/>
    <n v="1407.0029999999999"/>
    <n v="61.880000000000678"/>
    <d v="2025-05-01T00:00:00"/>
    <s v="BANCREA"/>
    <n v="455.15"/>
    <x v="0"/>
    <x v="22"/>
  </r>
  <r>
    <n v="24501856"/>
    <m/>
    <x v="4"/>
    <n v="11578.52"/>
    <n v="3349.94"/>
    <n v="3473.556"/>
    <n v="123.61599999999999"/>
    <d v="2026-01-01T00:00:00"/>
    <s v="DIMEX, EXITUS"/>
    <n v="1107.33"/>
    <x v="0"/>
    <x v="22"/>
  </r>
  <r>
    <n v="24492032"/>
    <m/>
    <x v="3"/>
    <n v="6521.54"/>
    <n v="1884.71"/>
    <n v="1956.462"/>
    <n v="71.751999999999953"/>
    <d v="2024-09-01T00:00:00"/>
    <s v="FISOFO"/>
    <n v="406.67"/>
    <x v="5"/>
    <x v="22"/>
  </r>
  <r>
    <n v="24496870"/>
    <m/>
    <x v="2"/>
    <n v="9081.52"/>
    <n v="2521.06"/>
    <n v="2724.4560000000001"/>
    <n v="203.39600000000019"/>
    <d v="2026-08-01T00:00:00"/>
    <s v="DIMEX"/>
    <n v="2521.06"/>
    <x v="23"/>
    <x v="22"/>
  </r>
  <r>
    <n v="24508908"/>
    <m/>
    <x v="2"/>
    <n v="7116.73"/>
    <n v="1748.45"/>
    <n v="2135.0189999999998"/>
    <n v="386.56899999999973"/>
    <d v="2024-07-01T00:00:00"/>
    <s v="DIMEX"/>
    <n v="1748.45"/>
    <x v="13"/>
    <x v="22"/>
  </r>
  <r>
    <n v="24510940"/>
    <m/>
    <x v="0"/>
    <n v="6163.55"/>
    <n v="1108.53"/>
    <n v="1849.0650000000001"/>
    <n v="740.53500000000008"/>
    <d v="2026-12-01T00:00:00"/>
    <s v="MULTIVA"/>
    <n v="949"/>
    <x v="0"/>
    <x v="22"/>
  </r>
  <r>
    <n v="24514920"/>
    <m/>
    <x v="0"/>
    <n v="5383.84"/>
    <n v="879"/>
    <n v="1615.152"/>
    <n v="331.86000000000058"/>
    <m/>
    <m/>
    <m/>
    <x v="0"/>
    <x v="22"/>
  </r>
  <r>
    <n v="24549952"/>
    <m/>
    <x v="1"/>
    <n v="6411.47"/>
    <m/>
    <n v="1923.441"/>
    <n v="1923.441"/>
    <m/>
    <m/>
    <m/>
    <x v="10"/>
    <x v="22"/>
  </r>
  <r>
    <n v="24512724"/>
    <m/>
    <x v="1"/>
    <n v="31718.23"/>
    <n v="4158.96"/>
    <n v="9515.4689999999991"/>
    <n v="5356.5089999999991"/>
    <d v="2027-02-01T00:00:00"/>
    <s v="BANCREA"/>
    <n v="4158.96"/>
    <x v="18"/>
    <x v="22"/>
  </r>
  <r>
    <n v="24513218"/>
    <m/>
    <x v="4"/>
    <n v="6988.79"/>
    <n v="2020.98"/>
    <n v="2096.6369999999997"/>
    <n v="75.656999999999698"/>
    <d v="2026-03-01T00:00:00"/>
    <s v="EXITUS"/>
    <n v="870.98"/>
    <x v="0"/>
    <x v="22"/>
  </r>
  <r>
    <n v="24513800"/>
    <m/>
    <x v="3"/>
    <n v="6262.86"/>
    <n v="1738.79"/>
    <n v="1878.8579999999997"/>
    <n v="140.06799999999976"/>
    <d v="2026-06-01T00:00:00"/>
    <s v="GFI APOYO, FISOFO"/>
    <n v="1738.79"/>
    <x v="5"/>
    <x v="22"/>
  </r>
  <r>
    <n v="24536350"/>
    <m/>
    <x v="1"/>
    <n v="46027.12"/>
    <n v="8977.4599999999991"/>
    <n v="13808.136"/>
    <n v="4830.6760000000013"/>
    <d v="2028-07-01T00:00:00"/>
    <s v="INBURSA"/>
    <n v="8977.4599999999991"/>
    <x v="10"/>
    <x v="22"/>
  </r>
  <r>
    <n v="24533756"/>
    <m/>
    <x v="0"/>
    <n v="5305.5"/>
    <m/>
    <n v="1591.6499999999999"/>
    <n v="1132.5200000000004"/>
    <m/>
    <m/>
    <m/>
    <x v="0"/>
    <x v="22"/>
  </r>
  <r>
    <n v="24533762"/>
    <m/>
    <x v="1"/>
    <n v="9081.51"/>
    <m/>
    <n v="2724.453"/>
    <n v="2724.453"/>
    <m/>
    <m/>
    <m/>
    <x v="8"/>
    <x v="22"/>
  </r>
  <r>
    <n v="24533134"/>
    <m/>
    <x v="1"/>
    <n v="5813.2"/>
    <m/>
    <n v="1743.9599999999998"/>
    <n v="1640.2200000000003"/>
    <m/>
    <m/>
    <m/>
    <x v="17"/>
    <x v="22"/>
  </r>
  <r>
    <n v="24492356"/>
    <n v="6731033249"/>
    <x v="0"/>
    <n v="7116.73"/>
    <n v="1198.94"/>
    <n v="2135.0189999999998"/>
    <n v="936.07899999999972"/>
    <n v="46539"/>
    <s v="INBURSA"/>
    <n v="1198.94"/>
    <x v="0"/>
    <x v="22"/>
  </r>
  <r>
    <n v="24514518"/>
    <n v="3222322925"/>
    <x v="4"/>
    <n v="4342.43"/>
    <n v="355.85"/>
    <n v="1302.729"/>
    <n v="-186.3999999999993"/>
    <n v="45352"/>
    <s v="DIMEX"/>
    <n v="355.85"/>
    <x v="0"/>
    <x v="22"/>
  </r>
  <r>
    <n v="24507406"/>
    <m/>
    <x v="0"/>
    <n v="4813.3500000000004"/>
    <m/>
    <n v="1444.0050000000001"/>
    <n v="640.3700000000008"/>
    <m/>
    <m/>
    <m/>
    <x v="0"/>
    <x v="22"/>
  </r>
  <r>
    <n v="24532874"/>
    <n v="3411065844"/>
    <x v="1"/>
    <n v="9760.32"/>
    <m/>
    <n v="2928.096"/>
    <n v="2928.096"/>
    <m/>
    <m/>
    <m/>
    <x v="18"/>
    <x v="22"/>
  </r>
  <r>
    <n v="24496764"/>
    <n v="9991524991"/>
    <x v="2"/>
    <n v="17409.240000000002"/>
    <n v="5035.3"/>
    <n v="5222.7719999999999"/>
    <n v="187.47199999999975"/>
    <n v="45901"/>
    <s v="DIMEX"/>
    <n v="4617.3500000000004"/>
    <x v="7"/>
    <x v="22"/>
  </r>
  <r>
    <n v="24551814"/>
    <m/>
    <x v="1"/>
    <n v="21529.62"/>
    <m/>
    <n v="6458.8859999999995"/>
    <n v="6458.8859999999995"/>
    <m/>
    <m/>
    <m/>
    <x v="15"/>
    <x v="22"/>
  </r>
  <r>
    <n v="24552516"/>
    <m/>
    <x v="4"/>
    <n v="4813.6899999999996"/>
    <n v="617.9"/>
    <n v="1444.1069999999997"/>
    <n v="22.810000000000059"/>
    <d v="2025-02-01T00:00:00"/>
    <s v="PUBLISEG"/>
    <n v="300"/>
    <x v="0"/>
    <x v="22"/>
  </r>
  <r>
    <n v="24548536"/>
    <n v="5219515879283"/>
    <x v="0"/>
    <n v="5260.82"/>
    <m/>
    <n v="1578.2459999999999"/>
    <n v="1087.8400000000001"/>
    <m/>
    <m/>
    <m/>
    <x v="0"/>
    <x v="22"/>
  </r>
  <r>
    <n v="24550038"/>
    <n v="5213221350020"/>
    <x v="1"/>
    <n v="9760.32"/>
    <n v="879"/>
    <n v="2928.096"/>
    <n v="2049.096"/>
    <m/>
    <m/>
    <m/>
    <x v="14"/>
    <x v="22"/>
  </r>
  <r>
    <n v="24552002"/>
    <n v="5218444982859"/>
    <x v="1"/>
    <n v="6262.86"/>
    <m/>
    <n v="1878.8579999999997"/>
    <n v="1878.8579999999997"/>
    <m/>
    <m/>
    <m/>
    <x v="15"/>
    <x v="22"/>
  </r>
  <r>
    <n v="24549898"/>
    <n v="5215572254660"/>
    <x v="2"/>
    <n v="9081.52"/>
    <n v="2515.1"/>
    <n v="2724.4560000000001"/>
    <n v="209.35600000000022"/>
    <n v="46266"/>
    <s v="PROFUTURO"/>
    <n v="2515.1"/>
    <x v="7"/>
    <x v="22"/>
  </r>
  <r>
    <n v="24489170"/>
    <m/>
    <x v="3"/>
    <n v="11500.15"/>
    <m/>
    <n v="3450.0449999999996"/>
    <n v="3450.0449999999996"/>
    <m/>
    <m/>
    <m/>
    <x v="5"/>
    <x v="22"/>
  </r>
  <r>
    <n v="24554984"/>
    <m/>
    <x v="4"/>
    <n v="12725.73"/>
    <n v="3817"/>
    <n v="3817.7189999999996"/>
    <n v="0.71899999999959618"/>
    <d v="2026-06-01T00:00:00"/>
    <s v="MULTIVA"/>
    <n v="384.24"/>
    <x v="0"/>
    <x v="22"/>
  </r>
  <r>
    <n v="24280566"/>
    <n v="5576947140"/>
    <x v="4"/>
    <n v="20796.63"/>
    <n v="6016.96"/>
    <n v="6238.9890000000005"/>
    <n v="222.02900000000045"/>
    <n v="45778"/>
    <s v="PROFUTURO"/>
    <n v="400"/>
    <x v="0"/>
    <x v="22"/>
  </r>
  <r>
    <n v="24555650"/>
    <m/>
    <x v="1"/>
    <n v="10636.54"/>
    <m/>
    <n v="3190.962"/>
    <n v="3190.962"/>
    <m/>
    <m/>
    <m/>
    <x v="19"/>
    <x v="22"/>
  </r>
  <r>
    <n v="24552364"/>
    <n v="6622982918"/>
    <x v="2"/>
    <n v="9081.52"/>
    <n v="2521.35"/>
    <n v="2724.4560000000001"/>
    <n v="203.10600000000022"/>
    <n v="46266"/>
    <s v="PROFUTURO"/>
    <n v="2521.35"/>
    <x v="2"/>
    <x v="22"/>
  </r>
  <r>
    <n v="24551744"/>
    <n v="2297230617"/>
    <x v="4"/>
    <n v="7062.68"/>
    <n v="2043"/>
    <n v="2118.8040000000001"/>
    <n v="75.804000000000087"/>
    <n v="46204"/>
    <s v="DIMEX"/>
    <n v="1128"/>
    <x v="6"/>
    <x v="22"/>
  </r>
  <r>
    <n v="24554254"/>
    <n v="8713274358"/>
    <x v="1"/>
    <n v="9081.52"/>
    <n v="879"/>
    <n v="2724.4560000000001"/>
    <n v="1845.4560000000001"/>
    <m/>
    <m/>
    <m/>
    <x v="9"/>
    <x v="22"/>
  </r>
  <r>
    <n v="24510454"/>
    <n v="5216676991645"/>
    <x v="1"/>
    <n v="5617.64"/>
    <m/>
    <n v="1685.2920000000001"/>
    <n v="1444.6600000000008"/>
    <m/>
    <m/>
    <m/>
    <x v="15"/>
    <x v="22"/>
  </r>
  <r>
    <n v="24552596"/>
    <n v="5214921744450"/>
    <x v="1"/>
    <n v="9760.32"/>
    <m/>
    <n v="2928.096"/>
    <n v="2928.096"/>
    <m/>
    <m/>
    <m/>
    <x v="14"/>
    <x v="22"/>
  </r>
  <r>
    <n v="24547718"/>
    <n v="32816611373"/>
    <x v="1"/>
    <n v="10636.54"/>
    <n v="879"/>
    <n v="3190.962"/>
    <n v="2311.962"/>
    <m/>
    <m/>
    <m/>
    <x v="19"/>
    <x v="22"/>
  </r>
  <r>
    <n v="24552776"/>
    <n v="5215521116827"/>
    <x v="1"/>
    <n v="10636.54"/>
    <m/>
    <n v="3190.962"/>
    <n v="3190.962"/>
    <m/>
    <m/>
    <m/>
    <x v="20"/>
    <x v="22"/>
  </r>
  <r>
    <n v="24554820"/>
    <n v="9991587394"/>
    <x v="0"/>
    <n v="10636.54"/>
    <n v="2600.0100000000002"/>
    <n v="3190.962"/>
    <n v="590.95199999999977"/>
    <n v="46905"/>
    <s v="DIMEX"/>
    <n v="2600.0100000000002"/>
    <x v="6"/>
    <x v="22"/>
  </r>
  <r>
    <n v="24557262"/>
    <m/>
    <x v="1"/>
    <n v="68266.990000000005"/>
    <m/>
    <n v="20480.097000000002"/>
    <n v="20480.097000000002"/>
    <m/>
    <m/>
    <m/>
    <x v="21"/>
    <x v="22"/>
  </r>
  <r>
    <n v="24558820"/>
    <m/>
    <x v="1"/>
    <n v="7640.52"/>
    <m/>
    <n v="2292.1559999999999"/>
    <n v="2292.1559999999999"/>
    <m/>
    <m/>
    <m/>
    <x v="21"/>
    <x v="22"/>
  </r>
  <r>
    <n v="24552270"/>
    <n v="2971042454"/>
    <x v="3"/>
    <n v="9081.52"/>
    <n v="2514.25"/>
    <n v="2724.4560000000001"/>
    <n v="210.20600000000013"/>
    <n v="46266"/>
    <s v="CONSUBANCO"/>
    <n v="2514.25"/>
    <x v="5"/>
    <x v="22"/>
  </r>
  <r>
    <n v="24555554"/>
    <n v="5214448658730"/>
    <x v="1"/>
    <n v="10636.54"/>
    <m/>
    <n v="3190.962"/>
    <n v="3190.962"/>
    <m/>
    <m/>
    <m/>
    <x v="12"/>
    <x v="22"/>
  </r>
  <r>
    <n v="24553896"/>
    <m/>
    <x v="0"/>
    <n v="13014.17"/>
    <n v="3591.43"/>
    <n v="3904.2509999999997"/>
    <n v="312.82099999999991"/>
    <d v="2026-10-01T00:00:00"/>
    <s v="EXITUS"/>
    <n v="3591.43"/>
    <x v="0"/>
    <x v="22"/>
  </r>
  <r>
    <n v="24555696"/>
    <n v="5213412152475"/>
    <x v="0"/>
    <n v="5642.22"/>
    <n v="848"/>
    <n v="1692.6659999999999"/>
    <n v="621.24000000000069"/>
    <m/>
    <m/>
    <m/>
    <x v="6"/>
    <x v="22"/>
  </r>
  <r>
    <n v="24559824"/>
    <m/>
    <x v="3"/>
    <n v="4813.6899999999996"/>
    <n v="549.85"/>
    <n v="1444.1069999999997"/>
    <n v="90.860000000000014"/>
    <d v="2025-08-01T00:00:00"/>
    <s v="FISOFO"/>
    <n v="549.85"/>
    <x v="5"/>
    <x v="22"/>
  </r>
  <r>
    <n v="24560096"/>
    <m/>
    <x v="1"/>
    <n v="14384.05"/>
    <m/>
    <n v="4315.2149999999992"/>
    <n v="4315.2149999999992"/>
    <m/>
    <m/>
    <m/>
    <x v="20"/>
    <x v="22"/>
  </r>
  <r>
    <n v="24559020"/>
    <n v="5216331000622"/>
    <x v="0"/>
    <n v="4813.6899999999996"/>
    <m/>
    <n v="1444.1069999999997"/>
    <n v="640.71"/>
    <m/>
    <m/>
    <m/>
    <x v="6"/>
    <x v="22"/>
  </r>
  <r>
    <n v="24560256"/>
    <m/>
    <x v="1"/>
    <n v="7920.51"/>
    <m/>
    <n v="2376.1529999999998"/>
    <n v="2376.1529999999998"/>
    <m/>
    <m/>
    <m/>
    <x v="12"/>
    <x v="22"/>
  </r>
  <r>
    <n v="24560308"/>
    <m/>
    <x v="2"/>
    <n v="7115.73"/>
    <n v="1885.53"/>
    <n v="2134.7189999999996"/>
    <n v="249.18899999999962"/>
    <d v="2025-04-01T00:00:00"/>
    <s v="DIMEX, FIMUBAC"/>
    <n v="1885.53"/>
    <x v="13"/>
    <x v="22"/>
  </r>
  <r>
    <n v="24537472"/>
    <n v="5216621281150"/>
    <x v="3"/>
    <n v="5636.59"/>
    <n v="879"/>
    <n v="1690.9770000000001"/>
    <n v="584.61000000000058"/>
    <m/>
    <m/>
    <m/>
    <x v="5"/>
    <x v="22"/>
  </r>
  <r>
    <n v="24560886"/>
    <m/>
    <x v="2"/>
    <n v="7277.75"/>
    <n v="1789.27"/>
    <n v="2183.3249999999998"/>
    <n v="394.05499999999984"/>
    <d v="2024-06-01T00:00:00"/>
    <s v="FORTALEZA"/>
    <n v="1789.27"/>
    <x v="2"/>
    <x v="23"/>
  </r>
  <r>
    <n v="24560934"/>
    <m/>
    <x v="1"/>
    <n v="5874.88"/>
    <m/>
    <n v="1762.4639999999999"/>
    <n v="1701.9000000000005"/>
    <m/>
    <m/>
    <m/>
    <x v="19"/>
    <x v="23"/>
  </r>
  <r>
    <n v="24560952"/>
    <m/>
    <x v="1"/>
    <n v="49873.52"/>
    <m/>
    <n v="14962.055999999999"/>
    <n v="14962.055999999999"/>
    <m/>
    <m/>
    <m/>
    <x v="8"/>
    <x v="23"/>
  </r>
  <r>
    <n v="24561238"/>
    <m/>
    <x v="1"/>
    <n v="10636.54"/>
    <m/>
    <n v="3190.962"/>
    <n v="3190.962"/>
    <m/>
    <m/>
    <m/>
    <x v="17"/>
    <x v="23"/>
  </r>
  <r>
    <n v="24561306"/>
    <m/>
    <x v="1"/>
    <n v="6958.7"/>
    <m/>
    <n v="2087.6099999999997"/>
    <n v="2087.6099999999997"/>
    <m/>
    <m/>
    <m/>
    <x v="21"/>
    <x v="23"/>
  </r>
  <r>
    <n v="24561790"/>
    <m/>
    <x v="0"/>
    <n v="13336.27"/>
    <n v="3699.63"/>
    <n v="4000.8809999999999"/>
    <n v="301.25099999999975"/>
    <d v="2026-12-01T00:00:00"/>
    <s v="EXITUS"/>
    <n v="3699.63"/>
    <x v="0"/>
    <x v="23"/>
  </r>
  <r>
    <n v="24561922"/>
    <m/>
    <x v="1"/>
    <n v="13539.86"/>
    <m/>
    <n v="4061.9580000000001"/>
    <n v="4061.9580000000001"/>
    <m/>
    <m/>
    <m/>
    <x v="18"/>
    <x v="23"/>
  </r>
  <r>
    <n v="24562310"/>
    <m/>
    <x v="1"/>
    <n v="9760.32"/>
    <m/>
    <n v="2928.096"/>
    <n v="2928.096"/>
    <m/>
    <m/>
    <m/>
    <x v="18"/>
    <x v="23"/>
  </r>
  <r>
    <n v="24562610"/>
    <m/>
    <x v="1"/>
    <n v="17361.29"/>
    <m/>
    <n v="5208.3869999999997"/>
    <n v="5208.3869999999997"/>
    <m/>
    <m/>
    <m/>
    <x v="19"/>
    <x v="23"/>
  </r>
  <r>
    <n v="24562744"/>
    <m/>
    <x v="3"/>
    <n v="44758.51"/>
    <n v="13427.55"/>
    <n v="13427.553"/>
    <n v="3.0000000006111804E-3"/>
    <d v="2026-08-01T00:00:00"/>
    <s v="CONSUPAGO "/>
    <n v="9033.0499999999993"/>
    <x v="5"/>
    <x v="23"/>
  </r>
  <r>
    <n v="24562780"/>
    <m/>
    <x v="4"/>
    <n v="4813.6899999999996"/>
    <n v="524.64"/>
    <n v="1444.1069999999997"/>
    <n v="116.07000000000005"/>
    <d v="2024-08-01T00:00:00"/>
    <s v="BANCREA"/>
    <n v="524.64"/>
    <x v="24"/>
    <x v="23"/>
  </r>
  <r>
    <n v="24569044"/>
    <m/>
    <x v="1"/>
    <n v="6262.86"/>
    <n v="366.63"/>
    <n v="1878.8579999999997"/>
    <n v="1512.2279999999996"/>
    <d v="2028-04-01T00:00:00"/>
    <s v="DIMEX"/>
    <n v="366.63"/>
    <x v="14"/>
    <x v="23"/>
  </r>
  <r>
    <n v="24634070"/>
    <m/>
    <x v="3"/>
    <n v="13204.13"/>
    <n v="3959.28"/>
    <n v="3961.2389999999996"/>
    <n v="1.9589999999993779"/>
    <d v="2022-01-01T00:00:00"/>
    <s v="OPCIPRES"/>
    <n v="2675.58"/>
    <x v="5"/>
    <x v="23"/>
  </r>
  <r>
    <n v="24283370"/>
    <n v="5213411292090"/>
    <x v="1"/>
    <n v="10636.54"/>
    <m/>
    <n v="3190.962"/>
    <n v="3190.962"/>
    <m/>
    <m/>
    <m/>
    <x v="25"/>
    <x v="23"/>
  </r>
  <r>
    <n v="24562834"/>
    <n v="5216563049747"/>
    <x v="1"/>
    <n v="8181.5500000000011"/>
    <m/>
    <n v="2454.4650000000001"/>
    <n v="2454.4650000000001"/>
    <m/>
    <m/>
    <m/>
    <x v="6"/>
    <x v="23"/>
  </r>
  <r>
    <n v="24636308"/>
    <m/>
    <x v="0"/>
    <n v="5305.5"/>
    <m/>
    <n v="1591.6499999999999"/>
    <n v="1132.5200000000004"/>
    <m/>
    <m/>
    <m/>
    <x v="24"/>
    <x v="23"/>
  </r>
  <r>
    <n v="24636382"/>
    <m/>
    <x v="1"/>
    <n v="10636.54"/>
    <m/>
    <n v="3190.962"/>
    <n v="3190.962"/>
    <m/>
    <m/>
    <m/>
    <x v="12"/>
    <x v="23"/>
  </r>
  <r>
    <n v="24558084"/>
    <n v="5218666517569"/>
    <x v="1"/>
    <n v="10636.54"/>
    <m/>
    <n v="3190.962"/>
    <n v="3190.962"/>
    <m/>
    <m/>
    <m/>
    <x v="4"/>
    <x v="23"/>
  </r>
  <r>
    <n v="24636760"/>
    <m/>
    <x v="3"/>
    <n v="38637.620000000003"/>
    <n v="10724.63"/>
    <n v="11591.286"/>
    <n v="866.65600000000086"/>
    <d v="2026-09-01T00:00:00"/>
    <s v="OPCIPRES"/>
    <n v="10724.63"/>
    <x v="5"/>
    <x v="23"/>
  </r>
  <r>
    <n v="24636770"/>
    <m/>
    <x v="1"/>
    <n v="5723.54"/>
    <m/>
    <n v="1717.0619999999999"/>
    <n v="1550.5600000000004"/>
    <m/>
    <m/>
    <m/>
    <x v="10"/>
    <x v="23"/>
  </r>
  <r>
    <n v="24637642"/>
    <m/>
    <x v="1"/>
    <n v="16465.109999999997"/>
    <m/>
    <n v="4939.5329999999985"/>
    <n v="4939.5329999999985"/>
    <m/>
    <m/>
    <m/>
    <x v="3"/>
    <x v="23"/>
  </r>
  <r>
    <n v="24636432"/>
    <n v="8712404121"/>
    <x v="1"/>
    <n v="10636.54"/>
    <m/>
    <n v="3190.962"/>
    <n v="3190.962"/>
    <m/>
    <m/>
    <m/>
    <x v="9"/>
    <x v="23"/>
  </r>
  <r>
    <n v="24555162"/>
    <m/>
    <x v="1"/>
    <n v="9760.32"/>
    <m/>
    <n v="2928.096"/>
    <n v="2928.096"/>
    <m/>
    <m/>
    <m/>
    <x v="21"/>
    <x v="23"/>
  </r>
  <r>
    <n v="24639080"/>
    <m/>
    <x v="1"/>
    <n v="17781.47"/>
    <m/>
    <n v="5334.4409999999998"/>
    <n v="5334.4409999999998"/>
    <m/>
    <m/>
    <m/>
    <x v="14"/>
    <x v="23"/>
  </r>
  <r>
    <n v="24559118"/>
    <m/>
    <x v="3"/>
    <n v="6262.86"/>
    <n v="1532.08"/>
    <n v="1878.8579999999997"/>
    <n v="346.77799999999979"/>
    <d v="2024-11-01T00:00:00"/>
    <s v="CONSUBANCO"/>
    <n v="1532.08"/>
    <x v="5"/>
    <x v="23"/>
  </r>
  <r>
    <n v="24636206"/>
    <n v="5216391749185"/>
    <x v="1"/>
    <n v="10636.54"/>
    <m/>
    <n v="3190.962"/>
    <n v="3190.962"/>
    <m/>
    <m/>
    <m/>
    <x v="25"/>
    <x v="23"/>
  </r>
  <r>
    <n v="24506056"/>
    <n v="6623940209"/>
    <x v="1"/>
    <n v="11908.03"/>
    <n v="879"/>
    <n v="3572.4090000000001"/>
    <n v="2693.4090000000001"/>
    <m/>
    <m/>
    <m/>
    <x v="6"/>
    <x v="23"/>
  </r>
  <r>
    <n v="24640150"/>
    <m/>
    <x v="4"/>
    <n v="4679.34"/>
    <n v="413.46"/>
    <n v="1403.8019999999999"/>
    <n v="92.900000000000603"/>
    <d v="2024-10-01T00:00:00"/>
    <s v="BANCREA"/>
    <n v="413.46"/>
    <x v="24"/>
    <x v="23"/>
  </r>
  <r>
    <n v="24639144"/>
    <n v="5215627609993"/>
    <x v="0"/>
    <n v="5617.63"/>
    <n v="579.23"/>
    <n v="1685.289"/>
    <n v="865.42000000000053"/>
    <n v="46478"/>
    <s v="DIMEX"/>
    <n v="579.23"/>
    <x v="0"/>
    <x v="23"/>
  </r>
  <r>
    <n v="24641860"/>
    <m/>
    <x v="3"/>
    <n v="20980.85"/>
    <n v="5558.71"/>
    <n v="6294.2549999999992"/>
    <n v="735.54499999999916"/>
    <d v="2025-09-01T00:00:00"/>
    <s v="CONSUBANCO"/>
    <n v="5558.71"/>
    <x v="5"/>
    <x v="23"/>
  </r>
  <r>
    <n v="24642732"/>
    <m/>
    <x v="3"/>
    <n v="9362.2800000000007"/>
    <n v="2708.43"/>
    <n v="2808.6840000000002"/>
    <n v="100.25400000000036"/>
    <d v="2027-07-01T00:00:00"/>
    <s v="DIMEX"/>
    <n v="302.47000000000003"/>
    <x v="5"/>
    <x v="23"/>
  </r>
  <r>
    <n v="24643056"/>
    <m/>
    <x v="4"/>
    <n v="5054.03"/>
    <n v="814"/>
    <n v="1516.2089999999998"/>
    <n v="67.050000000000182"/>
    <d v="2026-09-01T00:00:00"/>
    <s v="BANCREA"/>
    <n v="814"/>
    <x v="24"/>
    <x v="23"/>
  </r>
  <r>
    <n v="24643496"/>
    <m/>
    <x v="2"/>
    <n v="18494.060000000001"/>
    <n v="4852.29"/>
    <n v="5548.2179999999998"/>
    <n v="695.92799999999988"/>
    <d v="2026-09-01T00:00:00"/>
    <s v="INBURSA"/>
    <n v="4852.29"/>
    <x v="13"/>
    <x v="23"/>
  </r>
  <r>
    <n v="24643512"/>
    <m/>
    <x v="1"/>
    <n v="6257.79"/>
    <m/>
    <n v="1877.337"/>
    <n v="1877.337"/>
    <m/>
    <m/>
    <m/>
    <x v="17"/>
    <x v="23"/>
  </r>
  <r>
    <n v="24643024"/>
    <n v="6182599205"/>
    <x v="1"/>
    <n v="10636.54"/>
    <m/>
    <n v="3190.962"/>
    <n v="3190.962"/>
    <m/>
    <m/>
    <m/>
    <x v="8"/>
    <x v="23"/>
  </r>
  <r>
    <n v="24637060"/>
    <n v="5215544544770"/>
    <x v="1"/>
    <n v="31455.54"/>
    <m/>
    <n v="9436.6620000000003"/>
    <n v="9436.6620000000003"/>
    <m/>
    <m/>
    <m/>
    <x v="12"/>
    <x v="23"/>
  </r>
  <r>
    <n v="24583688"/>
    <n v="5218771925967"/>
    <x v="1"/>
    <n v="13095.44"/>
    <m/>
    <n v="3928.6320000000001"/>
    <n v="3928.6320000000001"/>
    <m/>
    <m/>
    <m/>
    <x v="4"/>
    <x v="23"/>
  </r>
  <r>
    <n v="24645494"/>
    <n v="5218183961245"/>
    <x v="1"/>
    <n v="47125"/>
    <m/>
    <n v="14137.5"/>
    <n v="14137.5"/>
    <m/>
    <m/>
    <m/>
    <x v="12"/>
    <x v="23"/>
  </r>
  <r>
    <n v="24638484"/>
    <n v="5216561314354"/>
    <x v="1"/>
    <n v="42234.79"/>
    <m/>
    <n v="12670.437"/>
    <n v="12670.437"/>
    <m/>
    <m/>
    <m/>
    <x v="8"/>
    <x v="23"/>
  </r>
  <r>
    <n v="24642240"/>
    <n v="5213329469233"/>
    <x v="3"/>
    <n v="4332.32"/>
    <n v="671.85"/>
    <n v="1299.6959999999999"/>
    <n v="-512.50999999999988"/>
    <n v="45352"/>
    <s v="CONSUBANCO"/>
    <n v="671.85"/>
    <x v="5"/>
    <x v="23"/>
  </r>
  <r>
    <n v="24646050"/>
    <m/>
    <x v="1"/>
    <n v="8181.5500000000011"/>
    <m/>
    <n v="2454.4650000000001"/>
    <n v="2454.4650000000001"/>
    <m/>
    <m/>
    <m/>
    <x v="15"/>
    <x v="23"/>
  </r>
  <r>
    <n v="24645976"/>
    <m/>
    <x v="1"/>
    <n v="10636.54"/>
    <m/>
    <n v="3190.962"/>
    <n v="3190.962"/>
    <m/>
    <m/>
    <m/>
    <x v="18"/>
    <x v="23"/>
  </r>
  <r>
    <n v="24646722"/>
    <m/>
    <x v="4"/>
    <n v="7116.73"/>
    <n v="2133.1"/>
    <n v="2135.0189999999998"/>
    <n v="1.918999999999869"/>
    <d v="2025-03-01T00:00:00"/>
    <s v="MAESTRA"/>
    <n v="570.1"/>
    <x v="0"/>
    <x v="24"/>
  </r>
  <r>
    <n v="24648582"/>
    <m/>
    <x v="0"/>
    <n v="9081.52"/>
    <n v="1779.5"/>
    <n v="2724.4560000000001"/>
    <n v="944.95600000000013"/>
    <d v="2027-06-01T00:00:00"/>
    <s v="PROFUTURO"/>
    <n v="1779.5"/>
    <x v="0"/>
    <x v="24"/>
  </r>
  <r>
    <n v="24648564"/>
    <m/>
    <x v="1"/>
    <n v="11983.82"/>
    <n v="848"/>
    <n v="3595.1459999999997"/>
    <n v="2747.1459999999997"/>
    <m/>
    <m/>
    <m/>
    <x v="4"/>
    <x v="24"/>
  </r>
  <r>
    <n v="24649818"/>
    <m/>
    <x v="1"/>
    <n v="10636.54"/>
    <m/>
    <n v="3190.962"/>
    <n v="3190.962"/>
    <m/>
    <m/>
    <m/>
    <x v="3"/>
    <x v="24"/>
  </r>
  <r>
    <n v="24659436"/>
    <m/>
    <x v="1"/>
    <n v="10636.54"/>
    <m/>
    <n v="3190.962"/>
    <n v="3190.962"/>
    <m/>
    <m/>
    <m/>
    <x v="9"/>
    <x v="24"/>
  </r>
  <r>
    <n v="24660100"/>
    <m/>
    <x v="0"/>
    <n v="19485.38"/>
    <n v="5384.34"/>
    <n v="5845.6140000000005"/>
    <n v="461.27400000000034"/>
    <d v="2027-04-01T00:00:00"/>
    <s v="BANCREA"/>
    <n v="1789.65"/>
    <x v="0"/>
    <x v="24"/>
  </r>
  <r>
    <n v="24660042"/>
    <m/>
    <x v="1"/>
    <n v="10636.54"/>
    <m/>
    <n v="3190.962"/>
    <n v="3190.962"/>
    <m/>
    <m/>
    <m/>
    <x v="4"/>
    <x v="24"/>
  </r>
  <r>
    <n v="24660188"/>
    <m/>
    <x v="1"/>
    <n v="7116.73"/>
    <m/>
    <n v="2135.0189999999998"/>
    <n v="2135.0189999999998"/>
    <m/>
    <m/>
    <m/>
    <x v="14"/>
    <x v="24"/>
  </r>
  <r>
    <n v="24660698"/>
    <m/>
    <x v="4"/>
    <n v="25050.42"/>
    <n v="7514.51"/>
    <n v="7515.1259999999993"/>
    <n v="0.61599999999907595"/>
    <d v="2026-08-01T00:00:00"/>
    <s v="MULTIVA"/>
    <n v="736.65"/>
    <x v="0"/>
    <x v="24"/>
  </r>
  <r>
    <n v="24649886"/>
    <n v="5212228439060"/>
    <x v="1"/>
    <n v="9760.32"/>
    <m/>
    <n v="2928.096"/>
    <n v="2928.096"/>
    <m/>
    <m/>
    <m/>
    <x v="14"/>
    <x v="24"/>
  </r>
  <r>
    <n v="24447812"/>
    <n v="5219844345912"/>
    <x v="1"/>
    <n v="21419.040000000001"/>
    <n v="879"/>
    <n v="6425.7120000000004"/>
    <n v="5546.7120000000004"/>
    <m/>
    <m/>
    <m/>
    <x v="12"/>
    <x v="24"/>
  </r>
  <r>
    <n v="24643228"/>
    <n v="5215543730520"/>
    <x v="1"/>
    <n v="29188.38"/>
    <n v="4775.8599999999997"/>
    <n v="8756.5139999999992"/>
    <n v="3980.6539999999995"/>
    <n v="46813"/>
    <s v="INBURSA"/>
    <n v="4775.8599999999997"/>
    <x v="21"/>
    <x v="24"/>
  </r>
  <r>
    <n v="24652330"/>
    <n v="5215528508604"/>
    <x v="1"/>
    <n v="9760.32"/>
    <m/>
    <n v="2928.096"/>
    <n v="2928.096"/>
    <m/>
    <m/>
    <m/>
    <x v="3"/>
    <x v="24"/>
  </r>
  <r>
    <n v="24646242"/>
    <n v="5218128612039"/>
    <x v="0"/>
    <n v="28013.52"/>
    <n v="8104"/>
    <n v="8404.0560000000005"/>
    <n v="300.05600000000049"/>
    <n v="46753"/>
    <s v="CONSUBANCO"/>
    <n v="8104"/>
    <x v="0"/>
    <x v="24"/>
  </r>
  <r>
    <n v="24494990"/>
    <n v="18566736205"/>
    <x v="3"/>
    <n v="4981.78"/>
    <n v="746.77"/>
    <n v="1494.5339999999999"/>
    <n v="62.0300000000002"/>
    <n v="46266"/>
    <s v="CONSUBANCO"/>
    <n v="746.77"/>
    <x v="5"/>
    <x v="24"/>
  </r>
  <r>
    <n v="24645856"/>
    <n v="5215545141722"/>
    <x v="4"/>
    <n v="4604.68"/>
    <n v="380"/>
    <n v="1381.404"/>
    <n v="51.700000000000728"/>
    <n v="45839"/>
    <s v="INBURSA"/>
    <n v="380"/>
    <x v="0"/>
    <x v="24"/>
  </r>
  <r>
    <n v="24660712"/>
    <n v="5219994099040"/>
    <x v="3"/>
    <n v="24733.74"/>
    <n v="6479.56"/>
    <n v="7420.1220000000003"/>
    <n v="940.5619999999999"/>
    <n v="46266"/>
    <s v="BANCREA, CONSUPAGO"/>
    <n v="6479.56"/>
    <x v="5"/>
    <x v="24"/>
  </r>
  <r>
    <n v="24646198"/>
    <n v="5213324070149"/>
    <x v="3"/>
    <n v="5819.95"/>
    <n v="1523.56"/>
    <n v="1745.9849999999999"/>
    <n v="123.41000000000031"/>
    <n v="46235"/>
    <s v="CONSUBANCO"/>
    <n v="1523.56"/>
    <x v="5"/>
    <x v="24"/>
  </r>
  <r>
    <n v="24660770"/>
    <n v="5218713637555"/>
    <x v="1"/>
    <n v="9760.3700000000008"/>
    <m/>
    <n v="2928.1110000000003"/>
    <n v="2928.1110000000003"/>
    <m/>
    <m/>
    <m/>
    <x v="9"/>
    <x v="24"/>
  </r>
  <r>
    <n v="24562668"/>
    <n v="5218123293238"/>
    <x v="2"/>
    <n v="47214.66"/>
    <n v="12765.19"/>
    <n v="14164.398000000001"/>
    <n v="1399.2080000000005"/>
    <n v="46235"/>
    <s v="INBURSA"/>
    <n v="1433.22"/>
    <x v="13"/>
    <x v="24"/>
  </r>
  <r>
    <n v="24659888"/>
    <n v="5215669528935"/>
    <x v="2"/>
    <n v="6262.86"/>
    <n v="1539.17"/>
    <n v="1878.8579999999997"/>
    <n v="339.68799999999965"/>
    <n v="45566"/>
    <s v="BANCREA "/>
    <n v="1539.17"/>
    <x v="2"/>
    <x v="24"/>
  </r>
  <r>
    <n v="24659478"/>
    <n v="5214381179859"/>
    <x v="4"/>
    <n v="8190.07"/>
    <n v="2369.58"/>
    <n v="2457.0209999999997"/>
    <n v="87.440999999999804"/>
    <n v="46113"/>
    <s v="EXITUS, BANCREA "/>
    <n v="549.28"/>
    <x v="0"/>
    <x v="24"/>
  </r>
  <r>
    <n v="24663412"/>
    <m/>
    <x v="1"/>
    <n v="11029.03"/>
    <m/>
    <n v="3308.7090000000003"/>
    <n v="3308.7090000000003"/>
    <m/>
    <m/>
    <m/>
    <x v="18"/>
    <x v="25"/>
  </r>
  <r>
    <n v="24663694"/>
    <m/>
    <x v="1"/>
    <n v="23691.17"/>
    <m/>
    <n v="7107.3509999999997"/>
    <n v="7107.3509999999997"/>
    <m/>
    <m/>
    <m/>
    <x v="18"/>
    <x v="25"/>
  </r>
  <r>
    <n v="24662326"/>
    <n v="5219371707707"/>
    <x v="1"/>
    <n v="5617.63"/>
    <m/>
    <n v="1685.289"/>
    <n v="1444.6500000000005"/>
    <m/>
    <m/>
    <m/>
    <x v="6"/>
    <x v="25"/>
  </r>
  <r>
    <n v="24663178"/>
    <n v="5218677279347"/>
    <x v="1"/>
    <n v="7116.7330000000002"/>
    <m/>
    <n v="2135.0198999999998"/>
    <n v="2135.0198999999998"/>
    <m/>
    <m/>
    <m/>
    <x v="10"/>
    <x v="25"/>
  </r>
  <r>
    <n v="24663452"/>
    <n v="5216621286508"/>
    <x v="2"/>
    <n v="5729.6900000000005"/>
    <n v="1276.48"/>
    <n v="1718.9070000000002"/>
    <n v="280.23000000000093"/>
    <n v="45536"/>
    <s v="PROFUTURO"/>
    <n v="1276.48"/>
    <x v="7"/>
    <x v="25"/>
  </r>
  <r>
    <n v="24663042"/>
    <n v="5217891004992"/>
    <x v="1"/>
    <n v="24929.67"/>
    <m/>
    <n v="7478.9009999999989"/>
    <n v="7478.9009999999989"/>
    <m/>
    <m/>
    <m/>
    <x v="19"/>
    <x v="25"/>
  </r>
  <r>
    <n v="24560966"/>
    <n v="5216141760640"/>
    <x v="1"/>
    <n v="25812.14"/>
    <n v="1191.3699999999999"/>
    <n v="7743.6419999999998"/>
    <n v="6552.2719999999999"/>
    <n v="46905"/>
    <s v="DIMEX"/>
    <n v="1191.3699999999999"/>
    <x v="12"/>
    <x v="25"/>
  </r>
  <r>
    <n v="24648992"/>
    <n v="5219993940010"/>
    <x v="1"/>
    <n v="7343.52"/>
    <m/>
    <n v="2203.056"/>
    <n v="2203.056"/>
    <m/>
    <m/>
    <m/>
    <x v="9"/>
    <x v="25"/>
  </r>
  <r>
    <n v="24664610"/>
    <n v="5213310205764"/>
    <x v="1"/>
    <n v="19788.03"/>
    <n v="848"/>
    <n v="5936.4089999999997"/>
    <n v="5088.4089999999997"/>
    <m/>
    <m/>
    <m/>
    <x v="8"/>
    <x v="25"/>
  </r>
  <r>
    <n v="24561580"/>
    <n v="5216622247571"/>
    <x v="2"/>
    <n v="7920.51"/>
    <n v="2101.11"/>
    <n v="2376.1529999999998"/>
    <n v="275.04299999999967"/>
    <n v="45962"/>
    <s v="DIMEX"/>
    <n v="2101.11"/>
    <x v="13"/>
    <x v="25"/>
  </r>
  <r>
    <n v="24663518"/>
    <n v="5218714656322"/>
    <x v="2"/>
    <n v="13092.66"/>
    <n v="3634.9300000000003"/>
    <n v="3927.7979999999998"/>
    <n v="292.86799999999948"/>
    <n v="46082"/>
    <s v="BANCREA"/>
    <n v="2856.9"/>
    <x v="23"/>
    <x v="25"/>
  </r>
  <r>
    <n v="24498862"/>
    <n v="5213541130527"/>
    <x v="4"/>
    <n v="4342.43"/>
    <n v="371.76"/>
    <n v="1302.729"/>
    <n v="-202.30999999999926"/>
    <n v="45323"/>
    <s v="BANCREA"/>
    <n v="371.76"/>
    <x v="0"/>
    <x v="25"/>
  </r>
  <r>
    <n v="24668264"/>
    <n v="6624281422"/>
    <x v="1"/>
    <n v="10171.24"/>
    <n v="1500"/>
    <n v="3051.3719999999998"/>
    <n v="1551.3719999999998"/>
    <n v="46631"/>
    <s v="PROFUTURO"/>
    <n v="1500"/>
    <x v="17"/>
    <x v="25"/>
  </r>
  <r>
    <n v="24671442"/>
    <n v="9241505122"/>
    <x v="1"/>
    <n v="7718.73"/>
    <m/>
    <n v="2315.6189999999997"/>
    <n v="2315.6189999999997"/>
    <m/>
    <m/>
    <m/>
    <x v="4"/>
    <x v="25"/>
  </r>
  <r>
    <n v="24285568"/>
    <n v="3222378254"/>
    <x v="1"/>
    <n v="11029.03"/>
    <m/>
    <n v="3308.7090000000003"/>
    <n v="3308.7090000000003"/>
    <m/>
    <m/>
    <m/>
    <x v="3"/>
    <x v="25"/>
  </r>
  <r>
    <n v="24672388"/>
    <n v="5512696370"/>
    <x v="1"/>
    <n v="6262.86"/>
    <m/>
    <n v="1878.8579999999997"/>
    <n v="1878.8579999999997"/>
    <m/>
    <m/>
    <m/>
    <x v="15"/>
    <x v="25"/>
  </r>
  <r>
    <n v="24663966"/>
    <m/>
    <x v="3"/>
    <n v="5617.63"/>
    <n v="1443.44"/>
    <n v="1685.289"/>
    <n v="1.2100000000004911"/>
    <d v="2026-09-01T00:00:00"/>
    <s v="FISOFO"/>
    <n v="1335.44"/>
    <x v="5"/>
    <x v="25"/>
  </r>
  <r>
    <n v="24666022"/>
    <m/>
    <x v="3"/>
    <n v="5617.63"/>
    <n v="1247.24"/>
    <n v="1685.289"/>
    <n v="197.41000000000054"/>
    <d v="2025-04-01T00:00:00"/>
    <s v="CONSUBANCO, FIMUBAC"/>
    <n v="1247.24"/>
    <x v="5"/>
    <x v="25"/>
  </r>
  <r>
    <n v="24678512"/>
    <m/>
    <x v="3"/>
    <n v="15068.4"/>
    <n v="3995.74"/>
    <n v="4520.5199999999995"/>
    <n v="524.77999999999975"/>
    <d v="2025-12-01T00:00:00"/>
    <s v="OPCIPRES"/>
    <n v="3995.74"/>
    <x v="5"/>
    <x v="25"/>
  </r>
  <r>
    <n v="24676438"/>
    <m/>
    <x v="4"/>
    <n v="10939.41"/>
    <n v="3280.92"/>
    <n v="3281.8229999999999"/>
    <n v="0.90299999999979264"/>
    <d v="2026-08-01T00:00:00"/>
    <s v="EXITUS"/>
    <n v="393.39"/>
    <x v="24"/>
    <x v="25"/>
  </r>
  <r>
    <n v="24676700"/>
    <m/>
    <x v="1"/>
    <n v="8539.89"/>
    <n v="879"/>
    <n v="2561.9669999999996"/>
    <n v="1682.9669999999996"/>
    <m/>
    <m/>
    <m/>
    <x v="15"/>
    <x v="25"/>
  </r>
  <r>
    <n v="24676916"/>
    <m/>
    <x v="2"/>
    <n v="7644.18"/>
    <n v="2563.23"/>
    <n v="2293.2539999999999"/>
    <n v="-269.97600000000011"/>
    <d v="2026-06-01T00:00:00"/>
    <s v="INBURSA"/>
    <n v="2372.16"/>
    <x v="2"/>
    <x v="25"/>
  </r>
  <r>
    <n v="24677192"/>
    <m/>
    <x v="1"/>
    <n v="7640.52"/>
    <m/>
    <n v="2292.1559999999999"/>
    <n v="2292.1559999999999"/>
    <m/>
    <m/>
    <m/>
    <x v="19"/>
    <x v="25"/>
  </r>
  <r>
    <n v="24677434"/>
    <m/>
    <x v="1"/>
    <n v="10636.54"/>
    <m/>
    <n v="3190.962"/>
    <n v="3190.962"/>
    <m/>
    <m/>
    <m/>
    <x v="17"/>
    <x v="25"/>
  </r>
  <r>
    <n v="24677020"/>
    <m/>
    <x v="2"/>
    <n v="11833.89"/>
    <n v="3421.82"/>
    <n v="3550.1669999999999"/>
    <n v="128.34699999999975"/>
    <d v="2026-08-01T00:00:00"/>
    <s v="BANCREA"/>
    <n v="3131.89"/>
    <x v="23"/>
    <x v="25"/>
  </r>
  <r>
    <n v="24680986"/>
    <m/>
    <x v="1"/>
    <n v="12608.45"/>
    <m/>
    <n v="3782.5349999999999"/>
    <n v="3782.5349999999999"/>
    <m/>
    <m/>
    <m/>
    <x v="3"/>
    <x v="25"/>
  </r>
  <r>
    <n v="24681192"/>
    <m/>
    <x v="1"/>
    <n v="11391.56"/>
    <m/>
    <n v="3417.4679999999998"/>
    <n v="3417.4679999999998"/>
    <m/>
    <m/>
    <m/>
    <x v="4"/>
    <x v="25"/>
  </r>
  <r>
    <n v="24666996"/>
    <m/>
    <x v="3"/>
    <n v="9081.52"/>
    <n v="2514.25"/>
    <n v="2724.4560000000001"/>
    <n v="210.20600000000013"/>
    <d v="2026-06-01T00:00:00"/>
    <s v="CONSUBANCO"/>
    <n v="2514.25"/>
    <x v="5"/>
    <x v="25"/>
  </r>
  <r>
    <n v="24666184"/>
    <m/>
    <x v="0"/>
    <n v="20198.78"/>
    <n v="5574.86"/>
    <n v="6059.6339999999991"/>
    <n v="484.77399999999943"/>
    <d v="2028-03-01T00:00:00"/>
    <s v="LIBERTAD"/>
    <m/>
    <x v="0"/>
    <x v="25"/>
  </r>
  <r>
    <n v="24679636"/>
    <m/>
    <x v="1"/>
    <n v="10636.54"/>
    <m/>
    <n v="3190.962"/>
    <n v="3190.962"/>
    <m/>
    <m/>
    <m/>
    <x v="6"/>
    <x v="25"/>
  </r>
  <r>
    <n v="24150820"/>
    <m/>
    <x v="1"/>
    <m/>
    <m/>
    <n v="0"/>
    <n v="0"/>
    <m/>
    <m/>
    <m/>
    <x v="12"/>
    <x v="25"/>
  </r>
  <r>
    <n v="24682248"/>
    <m/>
    <x v="1"/>
    <n v="34488.239999999998"/>
    <m/>
    <n v="10346.472"/>
    <n v="10346.472"/>
    <m/>
    <m/>
    <m/>
    <x v="9"/>
    <x v="25"/>
  </r>
  <r>
    <n v="24682442"/>
    <m/>
    <x v="1"/>
    <n v="10636.54"/>
    <m/>
    <n v="3190.962"/>
    <n v="3190.962"/>
    <m/>
    <m/>
    <m/>
    <x v="8"/>
    <x v="25"/>
  </r>
  <r>
    <n v="24682710"/>
    <m/>
    <x v="0"/>
    <n v="9039.1299999999992"/>
    <n v="2047.45"/>
    <n v="2711.7389999999996"/>
    <n v="664.28899999999953"/>
    <d v="2027-06-01T00:00:00"/>
    <s v="INBURSA"/>
    <n v="2047.45"/>
    <x v="0"/>
    <x v="25"/>
  </r>
  <r>
    <n v="24691494"/>
    <m/>
    <x v="1"/>
    <n v="21385.079999999987"/>
    <m/>
    <n v="6415.5239999999958"/>
    <n v="6415.5239999999958"/>
    <m/>
    <m/>
    <m/>
    <x v="10"/>
    <x v="25"/>
  </r>
  <r>
    <n v="24684778"/>
    <m/>
    <x v="1"/>
    <n v="7116.73"/>
    <m/>
    <n v="2135.0189999999998"/>
    <n v="2135.0189999999998"/>
    <m/>
    <m/>
    <m/>
    <x v="19"/>
    <x v="25"/>
  </r>
  <r>
    <n v="24684954"/>
    <m/>
    <x v="3"/>
    <n v="31367.16"/>
    <n v="8698.7000000000007"/>
    <n v="9410.1479999999992"/>
    <n v="711.4479999999985"/>
    <d v="2025-04-01T00:00:00"/>
    <s v="CONSUBANCO"/>
    <n v="2410.66"/>
    <x v="5"/>
    <x v="25"/>
  </r>
  <r>
    <n v="24685378"/>
    <m/>
    <x v="3"/>
    <n v="50986.8"/>
    <n v="15294.83"/>
    <n v="15296.04"/>
    <n v="1.2100000000009459"/>
    <d v="2026-06-01T00:00:00"/>
    <s v="CONSUBANCO"/>
    <n v="713"/>
    <x v="5"/>
    <x v="25"/>
  </r>
  <r>
    <n v="24698676"/>
    <m/>
    <x v="1"/>
    <n v="9760.32"/>
    <m/>
    <n v="2928.096"/>
    <n v="2928.096"/>
    <m/>
    <m/>
    <m/>
    <x v="18"/>
    <x v="25"/>
  </r>
  <r>
    <n v="24693322"/>
    <m/>
    <x v="2"/>
    <n v="12345.26"/>
    <n v="4703.5600000000004"/>
    <n v="3703.578"/>
    <n v="-999.98200000000043"/>
    <d v="2026-02-01T00:00:00"/>
    <s v="PROFUTURO, BANCREA"/>
    <n v="4703.5600000000004"/>
    <x v="7"/>
    <x v="25"/>
  </r>
  <r>
    <n v="24695764"/>
    <m/>
    <x v="0"/>
    <n v="6405.06"/>
    <n v="848"/>
    <n v="1921.518"/>
    <n v="1073.518"/>
    <m/>
    <m/>
    <m/>
    <x v="0"/>
    <x v="25"/>
  </r>
  <r>
    <n v="24695022"/>
    <m/>
    <x v="1"/>
    <n v="7116.73"/>
    <m/>
    <n v="2135.0189999999998"/>
    <n v="2135.0189999999998"/>
    <m/>
    <m/>
    <m/>
    <x v="17"/>
    <x v="25"/>
  </r>
  <r>
    <n v="24678226"/>
    <m/>
    <x v="3"/>
    <n v="5723.39"/>
    <n v="1277.45"/>
    <n v="1717.0170000000001"/>
    <n v="272.96000000000072"/>
    <d v="2025-06-01T00:00:00"/>
    <s v="CONSUBANCO "/>
    <n v="1277.45"/>
    <x v="5"/>
    <x v="25"/>
  </r>
  <r>
    <n v="24677048"/>
    <m/>
    <x v="3"/>
    <n v="27646.12"/>
    <m/>
    <n v="8293.8359999999993"/>
    <n v="8293.8359999999993"/>
    <m/>
    <m/>
    <m/>
    <x v="5"/>
    <x v="25"/>
  </r>
  <r>
    <n v="24699030"/>
    <m/>
    <x v="1"/>
    <n v="10636.54"/>
    <m/>
    <n v="3190.962"/>
    <n v="3190.962"/>
    <m/>
    <m/>
    <m/>
    <x v="3"/>
    <x v="25"/>
  </r>
  <r>
    <n v="24699862"/>
    <m/>
    <x v="0"/>
    <n v="9081.52"/>
    <n v="1870.87"/>
    <n v="2724.4560000000001"/>
    <n v="853.58600000000024"/>
    <d v="2027-12-01T00:00:00"/>
    <s v="INBURSA"/>
    <n v="809.56"/>
    <x v="24"/>
    <x v="25"/>
  </r>
  <r>
    <n v="24698950"/>
    <m/>
    <x v="2"/>
    <n v="7111.96"/>
    <n v="2130.71"/>
    <n v="2133.5879999999997"/>
    <n v="2.8779999999997017"/>
    <d v="2026-06-01T00:00:00"/>
    <s v="MULTIVA"/>
    <n v="1480.03"/>
    <x v="13"/>
    <x v="25"/>
  </r>
  <r>
    <n v="24701646"/>
    <m/>
    <x v="1"/>
    <n v="16440.96"/>
    <m/>
    <n v="4932.2879999999996"/>
    <n v="4932.2879999999996"/>
    <m/>
    <m/>
    <m/>
    <x v="4"/>
    <x v="25"/>
  </r>
  <r>
    <n v="24702366"/>
    <m/>
    <x v="1"/>
    <n v="10636.54"/>
    <n v="1156.75"/>
    <n v="3190.962"/>
    <n v="2034.212"/>
    <d v="2028-08-01T00:00:00"/>
    <s v="CONSUPAGO"/>
    <n v="1156.75"/>
    <x v="6"/>
    <x v="25"/>
  </r>
  <r>
    <n v="24702058"/>
    <m/>
    <x v="2"/>
    <n v="23365.02"/>
    <n v="7008.8499999999995"/>
    <n v="7009.5060000000003"/>
    <n v="0.65600000000085856"/>
    <d v="2026-09-01T00:00:00"/>
    <s v="MULTIVA"/>
    <n v="2349.8000000000002"/>
    <x v="2"/>
    <x v="25"/>
  </r>
  <r>
    <n v="24701958"/>
    <m/>
    <x v="1"/>
    <n v="20873.43"/>
    <m/>
    <n v="6262.0289999999995"/>
    <n v="6262.0289999999995"/>
    <m/>
    <m/>
    <m/>
    <x v="9"/>
    <x v="25"/>
  </r>
  <r>
    <n v="24701662"/>
    <m/>
    <x v="4"/>
    <n v="26904.77"/>
    <n v="7463.65"/>
    <n v="8071.4309999999996"/>
    <n v="607.78099999999995"/>
    <d v="2026-03-01T00:00:00"/>
    <s v="MULTIVA"/>
    <n v="850.37"/>
    <x v="24"/>
    <x v="25"/>
  </r>
  <r>
    <n v="24688502"/>
    <n v="5215561052216"/>
    <x v="1"/>
    <n v="39336.11"/>
    <m/>
    <n v="11800.833000000001"/>
    <n v="11800.833000000001"/>
    <m/>
    <m/>
    <m/>
    <x v="8"/>
    <x v="25"/>
  </r>
  <r>
    <n v="24360134"/>
    <n v="5217299744772"/>
    <x v="1"/>
    <n v="10636.539999999997"/>
    <m/>
    <n v="3190.9619999999991"/>
    <n v="3190.9619999999991"/>
    <m/>
    <m/>
    <m/>
    <x v="10"/>
    <x v="25"/>
  </r>
  <r>
    <n v="24694794"/>
    <n v="5218135662619"/>
    <x v="1"/>
    <n v="8784.27"/>
    <m/>
    <n v="2635.2809999999999"/>
    <n v="2635.2809999999999"/>
    <m/>
    <m/>
    <m/>
    <x v="20"/>
    <x v="25"/>
  </r>
  <r>
    <n v="24690640"/>
    <n v="5217774122435"/>
    <x v="1"/>
    <n v="10636.54"/>
    <m/>
    <n v="3190.962"/>
    <n v="3190.962"/>
    <m/>
    <m/>
    <m/>
    <x v="20"/>
    <x v="25"/>
  </r>
  <r>
    <n v="24457790"/>
    <n v="5216143443265"/>
    <x v="1"/>
    <n v="34372.21"/>
    <m/>
    <n v="10311.662999999999"/>
    <n v="10311.662999999999"/>
    <m/>
    <m/>
    <m/>
    <x v="12"/>
    <x v="25"/>
  </r>
  <r>
    <n v="24701674"/>
    <n v="7223502206"/>
    <x v="2"/>
    <n v="15479.43"/>
    <n v="4643.83"/>
    <n v="4643.8289999999997"/>
    <n v="-1.0000000002037268E-3"/>
    <n v="45839"/>
    <s v="EXITUS"/>
    <n v="2132.5500000000002"/>
    <x v="2"/>
    <x v="25"/>
  </r>
  <r>
    <n v="24702308"/>
    <n v="5215561816827"/>
    <x v="1"/>
    <n v="9760.32"/>
    <n v="879"/>
    <n v="2928.096"/>
    <n v="2049.096"/>
    <m/>
    <m/>
    <m/>
    <x v="18"/>
    <x v="25"/>
  </r>
  <r>
    <n v="24664114"/>
    <n v="5213143586340"/>
    <x v="1"/>
    <n v="6262.86"/>
    <m/>
    <n v="1878.8579999999997"/>
    <n v="1878.8579999999997"/>
    <m/>
    <m/>
    <m/>
    <x v="17"/>
    <x v="25"/>
  </r>
  <r>
    <n v="24663894"/>
    <n v="5219341899260"/>
    <x v="4"/>
    <n v="6262.86"/>
    <n v="1810.99"/>
    <n v="1878.8579999999997"/>
    <n v="67.867999999999711"/>
    <n v="45839"/>
    <s v="EXITUS"/>
    <n v="828.71"/>
    <x v="0"/>
    <x v="25"/>
  </r>
  <r>
    <n v="24640862"/>
    <n v="5217222864535"/>
    <x v="1"/>
    <n v="7343.62"/>
    <m/>
    <n v="2203.0859999999998"/>
    <n v="2203.0859999999998"/>
    <m/>
    <m/>
    <m/>
    <x v="19"/>
    <x v="25"/>
  </r>
  <r>
    <n v="24663446"/>
    <n v="5216672033856"/>
    <x v="0"/>
    <n v="5278.13"/>
    <m/>
    <n v="1583.4390000000001"/>
    <n v="1105.1500000000005"/>
    <n v="46539"/>
    <s v="GFI"/>
    <n v="1064"/>
    <x v="24"/>
    <x v="25"/>
  </r>
  <r>
    <n v="24684426"/>
    <n v="3321852663"/>
    <x v="3"/>
    <n v="5617.6299999999992"/>
    <n v="1166.9000000000001"/>
    <n v="1685.2889999999998"/>
    <n v="277.74999999999955"/>
    <n v="45383"/>
    <s v="CONSUBANCO"/>
    <n v="1166.9000000000001"/>
    <x v="5"/>
    <x v="25"/>
  </r>
  <r>
    <n v="24699018"/>
    <n v="3141024036"/>
    <x v="1"/>
    <n v="20225.28"/>
    <m/>
    <n v="6067.5839999999998"/>
    <n v="6067.5839999999998"/>
    <m/>
    <m/>
    <m/>
    <x v="3"/>
    <x v="25"/>
  </r>
  <r>
    <n v="24704306"/>
    <n v="6442365758"/>
    <x v="1"/>
    <n v="16013.99"/>
    <m/>
    <n v="4804.1970000000001"/>
    <n v="4804.1970000000001"/>
    <m/>
    <m/>
    <m/>
    <x v="4"/>
    <x v="25"/>
  </r>
  <r>
    <n v="24705364"/>
    <m/>
    <x v="1"/>
    <n v="7920.51"/>
    <m/>
    <n v="2376.1529999999998"/>
    <n v="2376.1529999999998"/>
    <m/>
    <m/>
    <m/>
    <x v="6"/>
    <x v="25"/>
  </r>
  <r>
    <n v="24705430"/>
    <m/>
    <x v="1"/>
    <n v="10636.54"/>
    <m/>
    <n v="3190.962"/>
    <n v="3190.962"/>
    <m/>
    <m/>
    <m/>
    <x v="9"/>
    <x v="25"/>
  </r>
  <r>
    <n v="24705192"/>
    <m/>
    <x v="0"/>
    <n v="9081.52"/>
    <n v="2166.39"/>
    <n v="2724.4560000000001"/>
    <n v="558.06600000000026"/>
    <d v="2027-09-01T00:00:00"/>
    <s v="INBURSA"/>
    <n v="2166.39"/>
    <x v="24"/>
    <x v="25"/>
  </r>
  <r>
    <n v="24704206"/>
    <m/>
    <x v="3"/>
    <n v="7920.51"/>
    <n v="2172.2600000000002"/>
    <n v="2376.1529999999998"/>
    <n v="203.89299999999957"/>
    <d v="2026-09-01T00:00:00"/>
    <s v="CONSUBANCO, INBURSA"/>
    <n v="2172.2600000000002"/>
    <x v="5"/>
    <x v="25"/>
  </r>
  <r>
    <n v="24703106"/>
    <m/>
    <x v="3"/>
    <n v="8664.69"/>
    <n v="2504.21"/>
    <n v="2599.4070000000002"/>
    <n v="95.197000000000116"/>
    <d v="2026-04-01T00:00:00"/>
    <s v="FISOFO"/>
    <n v="883.75"/>
    <x v="5"/>
    <x v="25"/>
  </r>
  <r>
    <n v="24702914"/>
    <n v="5215643581041"/>
    <x v="1"/>
    <n v="11029.03"/>
    <m/>
    <n v="3308.7090000000003"/>
    <n v="3308.7090000000003"/>
    <m/>
    <m/>
    <m/>
    <x v="8"/>
    <x v="25"/>
  </r>
  <r>
    <n v="24691360"/>
    <n v="5214767375737"/>
    <x v="1"/>
    <n v="10636.54"/>
    <m/>
    <n v="3190.962"/>
    <n v="3190.962"/>
    <m/>
    <m/>
    <m/>
    <x v="15"/>
    <x v="25"/>
  </r>
  <r>
    <n v="24704434"/>
    <n v="2291612011"/>
    <x v="1"/>
    <n v="25710.6"/>
    <m/>
    <n v="7713.1799999999994"/>
    <n v="7713.1799999999994"/>
    <m/>
    <m/>
    <m/>
    <x v="12"/>
    <x v="25"/>
  </r>
  <r>
    <n v="24705988"/>
    <m/>
    <x v="1"/>
    <n v="10636.54"/>
    <m/>
    <n v="3190.962"/>
    <n v="3190.962"/>
    <m/>
    <m/>
    <m/>
    <x v="20"/>
    <x v="25"/>
  </r>
  <r>
    <n v="24674454"/>
    <n v="8663473095"/>
    <x v="1"/>
    <n v="6089.18"/>
    <m/>
    <n v="1826.7540000000001"/>
    <n v="1826.7540000000001"/>
    <m/>
    <m/>
    <m/>
    <x v="10"/>
    <x v="25"/>
  </r>
  <r>
    <n v="24695688"/>
    <n v="6692525519"/>
    <x v="1"/>
    <n v="10636.539999999999"/>
    <m/>
    <n v="3190.9619999999995"/>
    <n v="3190.9619999999995"/>
    <m/>
    <m/>
    <m/>
    <x v="20"/>
    <x v="25"/>
  </r>
  <r>
    <n v="24702288"/>
    <m/>
    <x v="1"/>
    <n v="12371.64"/>
    <m/>
    <n v="3711.4919999999997"/>
    <n v="3711.4919999999997"/>
    <m/>
    <m/>
    <m/>
    <x v="15"/>
    <x v="25"/>
  </r>
  <r>
    <n v="24707364"/>
    <m/>
    <x v="0"/>
    <n v="6926.24"/>
    <n v="1720.67"/>
    <n v="2077.8719999999998"/>
    <n v="357.20199999999977"/>
    <d v="2027-03-01T00:00:00"/>
    <s v="INBURSA"/>
    <n v="1720.67"/>
    <x v="0"/>
    <x v="25"/>
  </r>
  <r>
    <n v="24706956"/>
    <n v="5217151044474"/>
    <x v="1"/>
    <n v="20033.3"/>
    <m/>
    <n v="6009.99"/>
    <n v="6009.99"/>
    <m/>
    <m/>
    <m/>
    <x v="17"/>
    <x v="25"/>
  </r>
  <r>
    <n v="24707244"/>
    <n v="5212213543279"/>
    <x v="1"/>
    <n v="22522.6"/>
    <m/>
    <n v="6756.78"/>
    <n v="6756.78"/>
    <m/>
    <m/>
    <m/>
    <x v="14"/>
    <x v="25"/>
  </r>
  <r>
    <n v="24711516"/>
    <m/>
    <x v="4"/>
    <n v="9014.119999999999"/>
    <n v="2368"/>
    <n v="2704.2359999999994"/>
    <n v="336.23599999999942"/>
    <m/>
    <m/>
    <m/>
    <x v="0"/>
    <x v="26"/>
  </r>
  <r>
    <n v="24731902"/>
    <m/>
    <x v="3"/>
    <n v="7116.73"/>
    <n v="1871.82"/>
    <n v="2135.0189999999998"/>
    <n v="263.19899999999984"/>
    <d v="2025-07-01T00:00:00"/>
    <s v="FISOFO"/>
    <n v="1871.82"/>
    <x v="5"/>
    <x v="26"/>
  </r>
  <r>
    <n v="24736262"/>
    <m/>
    <x v="1"/>
    <n v="9760.32"/>
    <m/>
    <n v="2928.096"/>
    <n v="2928.096"/>
    <m/>
    <m/>
    <m/>
    <x v="6"/>
    <x v="26"/>
  </r>
  <r>
    <n v="24741016"/>
    <m/>
    <x v="0"/>
    <n v="19232.439999999999"/>
    <n v="4826.1099999999997"/>
    <n v="5769.7319999999991"/>
    <n v="943.62199999999939"/>
    <d v="2027-11-01T00:00:00"/>
    <s v="FISOFO"/>
    <n v="4826.1099999999997"/>
    <x v="24"/>
    <x v="26"/>
  </r>
  <r>
    <n v="24680220"/>
    <n v="3321541078"/>
    <x v="1"/>
    <n v="8706.24"/>
    <m/>
    <n v="2611.8719999999998"/>
    <n v="2611.8719999999998"/>
    <m/>
    <m/>
    <m/>
    <x v="10"/>
    <x v="26"/>
  </r>
  <r>
    <n v="24737898"/>
    <n v="5214421272379"/>
    <x v="1"/>
    <n v="53271.57"/>
    <m/>
    <n v="15981.471"/>
    <n v="15981.471"/>
    <m/>
    <m/>
    <m/>
    <x v="14"/>
    <x v="26"/>
  </r>
  <r>
    <n v="24741298"/>
    <m/>
    <x v="0"/>
    <n v="6262.86"/>
    <n v="963.47"/>
    <n v="1878.8579999999997"/>
    <n v="915.38799999999969"/>
    <d v="2028-01-01T00:00:00"/>
    <s v="DIMEX"/>
    <n v="963.47"/>
    <x v="0"/>
    <x v="26"/>
  </r>
  <r>
    <n v="24696360"/>
    <n v="8442111989"/>
    <x v="0"/>
    <n v="23207.47"/>
    <n v="5794.93"/>
    <n v="6962.241"/>
    <n v="1167.3109999999997"/>
    <n v="46296"/>
    <s v="DNX EXPRESS"/>
    <n v="1500"/>
    <x v="24"/>
    <x v="26"/>
  </r>
  <r>
    <n v="24743428"/>
    <m/>
    <x v="1"/>
    <n v="9760.32"/>
    <m/>
    <n v="2928.096"/>
    <n v="2928.096"/>
    <m/>
    <m/>
    <m/>
    <x v="3"/>
    <x v="26"/>
  </r>
  <r>
    <n v="24712390"/>
    <n v="5216622915673"/>
    <x v="3"/>
    <n v="18845.43"/>
    <n v="5653.63"/>
    <n v="5653.6289999999999"/>
    <n v="-1.0000000002037268E-3"/>
    <n v="46235"/>
    <s v="CONSUBANCO"/>
    <n v="2739.4"/>
    <x v="5"/>
    <x v="26"/>
  </r>
  <r>
    <n v="24743900"/>
    <m/>
    <x v="2"/>
    <n v="15798.92"/>
    <n v="4739"/>
    <n v="4739.6759999999995"/>
    <n v="0.67599999999947613"/>
    <d v="2026-04-01T00:00:00"/>
    <s v="BANCREA, DIMEX"/>
    <n v="3783"/>
    <x v="2"/>
    <x v="26"/>
  </r>
  <r>
    <n v="24708666"/>
    <n v="5212291148677"/>
    <x v="2"/>
    <n v="7919.53"/>
    <n v="2047.45"/>
    <n v="2375.8589999999999"/>
    <n v="328.40899999999988"/>
    <n v="45992"/>
    <s v="INBURSA"/>
    <n v="2047.45"/>
    <x v="23"/>
    <x v="26"/>
  </r>
  <r>
    <n v="24744544"/>
    <m/>
    <x v="1"/>
    <n v="28503.03"/>
    <m/>
    <n v="8550.9089999999997"/>
    <n v="8550.9089999999997"/>
    <m/>
    <m/>
    <m/>
    <x v="17"/>
    <x v="26"/>
  </r>
  <r>
    <n v="24739472"/>
    <n v="5218711053502"/>
    <x v="1"/>
    <n v="9760.32"/>
    <m/>
    <n v="2928.096"/>
    <n v="2928.096"/>
    <m/>
    <m/>
    <m/>
    <x v="15"/>
    <x v="26"/>
  </r>
  <r>
    <n v="24733372"/>
    <n v="5216151616090"/>
    <x v="1"/>
    <n v="9081.52"/>
    <m/>
    <n v="2724.4560000000001"/>
    <n v="2724.4560000000001"/>
    <m/>
    <m/>
    <m/>
    <x v="10"/>
    <x v="26"/>
  </r>
  <r>
    <n v="24733076"/>
    <n v="5213221901613"/>
    <x v="1"/>
    <n v="5617.63"/>
    <m/>
    <n v="1685.289"/>
    <n v="1444.6500000000005"/>
    <n v="45748"/>
    <m/>
    <m/>
    <x v="15"/>
    <x v="26"/>
  </r>
  <r>
    <n v="24745968"/>
    <m/>
    <x v="1"/>
    <n v="25150.639999999999"/>
    <m/>
    <n v="7545.1919999999991"/>
    <n v="7545.1919999999991"/>
    <m/>
    <m/>
    <m/>
    <x v="14"/>
    <x v="26"/>
  </r>
  <r>
    <n v="24746304"/>
    <m/>
    <x v="1"/>
    <n v="17276.14"/>
    <m/>
    <n v="5182.8419999999996"/>
    <n v="5182.8419999999996"/>
    <m/>
    <m/>
    <m/>
    <x v="19"/>
    <x v="26"/>
  </r>
  <r>
    <n v="24746438"/>
    <m/>
    <x v="1"/>
    <n v="9504.7000000000007"/>
    <m/>
    <n v="2851.4100000000003"/>
    <n v="2851.4100000000003"/>
    <m/>
    <m/>
    <m/>
    <x v="6"/>
    <x v="26"/>
  </r>
  <r>
    <n v="24746546"/>
    <m/>
    <x v="1"/>
    <n v="21132.22"/>
    <m/>
    <n v="6339.6660000000002"/>
    <n v="6339.6660000000002"/>
    <m/>
    <m/>
    <m/>
    <x v="3"/>
    <x v="26"/>
  </r>
  <r>
    <n v="24668210"/>
    <n v="6671284863"/>
    <x v="1"/>
    <n v="6750.17"/>
    <m/>
    <n v="2025.0509999999999"/>
    <n v="2025.0509999999999"/>
    <m/>
    <m/>
    <m/>
    <x v="17"/>
    <x v="26"/>
  </r>
  <r>
    <n v="24747870"/>
    <m/>
    <x v="0"/>
    <n v="36753.89"/>
    <n v="10633.21"/>
    <n v="11026.166999999999"/>
    <n v="392.95700000000033"/>
    <d v="2027-02-01T00:00:00"/>
    <s v="EXITUS"/>
    <n v="10076.31"/>
    <x v="24"/>
    <x v="26"/>
  </r>
  <r>
    <n v="24747814"/>
    <m/>
    <x v="1"/>
    <n v="8562.7999999999993"/>
    <n v="879"/>
    <n v="2568.8399999999997"/>
    <n v="1689.8399999999997"/>
    <m/>
    <m/>
    <m/>
    <x v="15"/>
    <x v="26"/>
  </r>
  <r>
    <n v="24747872"/>
    <m/>
    <x v="1"/>
    <n v="11029.03"/>
    <m/>
    <n v="3308.7090000000003"/>
    <n v="3308.7090000000003"/>
    <m/>
    <m/>
    <m/>
    <x v="19"/>
    <x v="26"/>
  </r>
  <r>
    <n v="24745156"/>
    <n v="5216565046064"/>
    <x v="0"/>
    <n v="5055.87"/>
    <m/>
    <n v="1516.761"/>
    <n v="882.89000000000033"/>
    <m/>
    <m/>
    <m/>
    <x v="0"/>
    <x v="26"/>
  </r>
  <r>
    <n v="24748542"/>
    <m/>
    <x v="1"/>
    <n v="10636.54"/>
    <m/>
    <n v="3190.962"/>
    <n v="3190.962"/>
    <m/>
    <m/>
    <m/>
    <x v="6"/>
    <x v="26"/>
  </r>
  <r>
    <n v="24747832"/>
    <m/>
    <x v="0"/>
    <n v="4656.13"/>
    <m/>
    <n v="1396.8389999999999"/>
    <n v="483.15000000000055"/>
    <m/>
    <m/>
    <m/>
    <x v="24"/>
    <x v="26"/>
  </r>
  <r>
    <n v="24749780"/>
    <m/>
    <x v="1"/>
    <n v="9760.32"/>
    <n v="879"/>
    <n v="2928.096"/>
    <n v="2049.096"/>
    <m/>
    <m/>
    <m/>
    <x v="14"/>
    <x v="26"/>
  </r>
  <r>
    <n v="24749238"/>
    <m/>
    <x v="2"/>
    <n v="6262.86"/>
    <n v="1539.98"/>
    <n v="1878.8579999999997"/>
    <n v="338.8779999999997"/>
    <d v="2024-07-01T00:00:00"/>
    <s v="PROFUTURO"/>
    <n v="1539.98"/>
    <x v="7"/>
    <x v="26"/>
  </r>
  <r>
    <n v="24742840"/>
    <n v="5631205945"/>
    <x v="3"/>
    <n v="5617.93"/>
    <n v="1096.48"/>
    <n v="1685.3790000000001"/>
    <n v="348.47000000000071"/>
    <n v="45261"/>
    <s v="CONSUBANCO "/>
    <n v="1096.48"/>
    <x v="5"/>
    <x v="26"/>
  </r>
  <r>
    <n v="24746860"/>
    <n v="5215544710646"/>
    <x v="1"/>
    <n v="9081.52"/>
    <m/>
    <n v="2724.4560000000001"/>
    <n v="2724.4560000000001"/>
    <m/>
    <m/>
    <m/>
    <x v="14"/>
    <x v="26"/>
  </r>
  <r>
    <n v="24752760"/>
    <m/>
    <x v="3"/>
    <n v="18921.96"/>
    <n v="5006.92"/>
    <n v="5676.5879999999997"/>
    <n v="669.66799999999967"/>
    <d v="2026-01-01T00:00:00"/>
    <s v="CONSUPAGO"/>
    <n v="5006.92"/>
    <x v="5"/>
    <x v="26"/>
  </r>
  <r>
    <n v="24753562"/>
    <m/>
    <x v="1"/>
    <n v="9760.32"/>
    <m/>
    <n v="2928.096"/>
    <n v="2928.096"/>
    <m/>
    <m/>
    <m/>
    <x v="3"/>
    <x v="26"/>
  </r>
  <r>
    <n v="24753678"/>
    <m/>
    <x v="0"/>
    <n v="9757.32"/>
    <n v="1975.04"/>
    <n v="2927.1959999999999"/>
    <n v="952.15599999999995"/>
    <d v="2027-12-01T00:00:00"/>
    <s v="INBURSA"/>
    <n v="1975.04"/>
    <x v="0"/>
    <x v="26"/>
  </r>
  <r>
    <n v="24754894"/>
    <m/>
    <x v="1"/>
    <n v="45799.11"/>
    <m/>
    <n v="13739.733"/>
    <n v="13739.733"/>
    <m/>
    <m/>
    <m/>
    <x v="19"/>
    <x v="27"/>
  </r>
  <r>
    <n v="24756656"/>
    <m/>
    <x v="1"/>
    <n v="10636.54"/>
    <m/>
    <n v="3190.962"/>
    <n v="3190.962"/>
    <m/>
    <m/>
    <m/>
    <x v="20"/>
    <x v="27"/>
  </r>
  <r>
    <n v="24756990"/>
    <m/>
    <x v="1"/>
    <n v="6872.13"/>
    <n v="848"/>
    <n v="2061.6390000000001"/>
    <n v="1213.6390000000001"/>
    <m/>
    <m/>
    <m/>
    <x v="21"/>
    <x v="27"/>
  </r>
  <r>
    <n v="24749710"/>
    <n v="6242440450"/>
    <x v="0"/>
    <n v="9081.52"/>
    <n v="1777.69"/>
    <n v="2724.4560000000001"/>
    <n v="946.76600000000008"/>
    <n v="46722"/>
    <s v="OPCIPRES"/>
    <n v="1777.69"/>
    <x v="0"/>
    <x v="27"/>
  </r>
  <r>
    <n v="24779542"/>
    <m/>
    <x v="1"/>
    <n v="9760.32"/>
    <n v="848"/>
    <n v="2928.096"/>
    <n v="2080.096"/>
    <m/>
    <m/>
    <m/>
    <x v="14"/>
    <x v="27"/>
  </r>
  <r>
    <n v="24780746"/>
    <m/>
    <x v="0"/>
    <n v="5617.63"/>
    <n v="552.08000000000004"/>
    <n v="1685.289"/>
    <n v="892.5700000000005"/>
    <d v="2028-05-01T00:00:00"/>
    <s v="CONSUPAGO"/>
    <n v="552"/>
    <x v="0"/>
    <x v="27"/>
  </r>
  <r>
    <n v="24708476"/>
    <n v="5216648186486"/>
    <x v="0"/>
    <n v="4853.54"/>
    <m/>
    <n v="1456.0619999999999"/>
    <n v="680.5600000000004"/>
    <m/>
    <m/>
    <m/>
    <x v="0"/>
    <x v="27"/>
  </r>
  <r>
    <n v="24781430"/>
    <m/>
    <x v="1"/>
    <n v="10636.54"/>
    <m/>
    <n v="3190.962"/>
    <n v="3190.962"/>
    <m/>
    <m/>
    <m/>
    <x v="10"/>
    <x v="27"/>
  </r>
  <r>
    <n v="24782612"/>
    <m/>
    <x v="1"/>
    <n v="7116.73"/>
    <n v="879"/>
    <n v="2135.0189999999998"/>
    <n v="1256.0189999999998"/>
    <m/>
    <m/>
    <m/>
    <x v="17"/>
    <x v="27"/>
  </r>
  <r>
    <n v="24781244"/>
    <n v="8713584238"/>
    <x v="2"/>
    <n v="6411.47"/>
    <n v="1854"/>
    <n v="1923.441"/>
    <n v="69.441000000000031"/>
    <n v="46204"/>
    <s v="EXITUS"/>
    <n v="1655"/>
    <x v="13"/>
    <x v="27"/>
  </r>
  <r>
    <n v="24754280"/>
    <n v="3334881675"/>
    <x v="1"/>
    <n v="9760.32"/>
    <m/>
    <n v="2928.096"/>
    <n v="2928.096"/>
    <m/>
    <m/>
    <m/>
    <x v="4"/>
    <x v="27"/>
  </r>
  <r>
    <n v="24780510"/>
    <n v="5219211431623"/>
    <x v="1"/>
    <n v="8633.51"/>
    <m/>
    <n v="2590.0529999999999"/>
    <n v="2590.0529999999999"/>
    <m/>
    <m/>
    <m/>
    <x v="6"/>
    <x v="27"/>
  </r>
  <r>
    <n v="24746116"/>
    <n v="5215534443333"/>
    <x v="1"/>
    <n v="29483.98"/>
    <m/>
    <n v="8845.1939999999995"/>
    <n v="8845.1939999999995"/>
    <m/>
    <m/>
    <m/>
    <x v="20"/>
    <x v="27"/>
  </r>
  <r>
    <n v="23555868"/>
    <n v="5219513338866"/>
    <x v="2"/>
    <n v="9081.5"/>
    <n v="2521.3000000000002"/>
    <n v="2724.45"/>
    <n v="203.14999999999964"/>
    <n v="46235"/>
    <s v="INBURSA"/>
    <n v="2521.3000000000002"/>
    <x v="23"/>
    <x v="27"/>
  </r>
  <r>
    <n v="24754950"/>
    <n v="5215520544479"/>
    <x v="2"/>
    <n v="21111.31"/>
    <n v="6105.32"/>
    <n v="6333.393"/>
    <n v="228.07300000000032"/>
    <n v="46235"/>
    <s v="MULTIVA"/>
    <n v="5214.4799999999996"/>
    <x v="7"/>
    <x v="27"/>
  </r>
  <r>
    <n v="24782818"/>
    <n v="5216568542351"/>
    <x v="1"/>
    <n v="8181.55"/>
    <m/>
    <n v="2454.4650000000001"/>
    <n v="2454.4650000000001"/>
    <m/>
    <m/>
    <m/>
    <x v="20"/>
    <x v="27"/>
  </r>
  <r>
    <n v="24784374"/>
    <m/>
    <x v="1"/>
    <n v="9760.32"/>
    <n v="1137.8900000000001"/>
    <n v="2928.096"/>
    <n v="1790.2059999999999"/>
    <d v="2028-06-01T00:00:00"/>
    <s v="GFI"/>
    <n v="1137.8900000000001"/>
    <x v="19"/>
    <x v="27"/>
  </r>
  <r>
    <n v="24789536"/>
    <m/>
    <x v="0"/>
    <n v="38767.54"/>
    <n v="11212.39"/>
    <n v="11630.262000000001"/>
    <n v="417.87200000000121"/>
    <d v="2027-12-01T00:00:00"/>
    <s v="EXITUS"/>
    <n v="10364.39"/>
    <x v="0"/>
    <x v="27"/>
  </r>
  <r>
    <n v="24789916"/>
    <m/>
    <x v="2"/>
    <n v="7037.05"/>
    <n v="1864.61"/>
    <n v="2111.1149999999998"/>
    <n v="246.50499999999988"/>
    <d v="2025-08-01T00:00:00"/>
    <s v="DIMEX"/>
    <n v="1864.61"/>
    <x v="13"/>
    <x v="27"/>
  </r>
  <r>
    <n v="24673622"/>
    <n v="8184654141"/>
    <x v="4"/>
    <n v="13026.08"/>
    <n v="3615.82"/>
    <n v="3907.8239999999996"/>
    <n v="292.00399999999945"/>
    <n v="45689"/>
    <s v="DIMEX"/>
    <n v="373.64"/>
    <x v="24"/>
    <x v="27"/>
  </r>
  <r>
    <n v="24790762"/>
    <m/>
    <x v="0"/>
    <n v="4559.3500000000004"/>
    <m/>
    <n v="1367.8050000000001"/>
    <n v="386.3700000000008"/>
    <m/>
    <m/>
    <m/>
    <x v="24"/>
    <x v="27"/>
  </r>
  <r>
    <n v="24412556"/>
    <n v="5219212012607"/>
    <x v="1"/>
    <n v="11029.03"/>
    <m/>
    <n v="3308.7090000000003"/>
    <n v="3308.7090000000003"/>
    <m/>
    <m/>
    <m/>
    <x v="14"/>
    <x v="27"/>
  </r>
  <r>
    <n v="24790916"/>
    <n v="5214428100178"/>
    <x v="1"/>
    <n v="24645.03"/>
    <n v="4541.3500000000004"/>
    <n v="7393.5089999999991"/>
    <n v="2852.1589999999987"/>
    <n v="46600"/>
    <s v="INBURSA"/>
    <n v="4541.3500000000004"/>
    <x v="19"/>
    <x v="27"/>
  </r>
  <r>
    <n v="24791684"/>
    <m/>
    <x v="1"/>
    <n v="35349.74"/>
    <n v="8170.07"/>
    <n v="10604.921999999999"/>
    <n v="2434.851999999999"/>
    <d v="2027-08-01T00:00:00"/>
    <s v="MULTIVA"/>
    <n v="1855.9"/>
    <x v="21"/>
    <x v="27"/>
  </r>
  <r>
    <n v="24763584"/>
    <n v="5218112717610"/>
    <x v="1"/>
    <n v="7920.51"/>
    <m/>
    <n v="2376.1529999999998"/>
    <n v="2376.1529999999998"/>
    <m/>
    <m/>
    <m/>
    <x v="4"/>
    <x v="27"/>
  </r>
  <r>
    <n v="24792054"/>
    <m/>
    <x v="1"/>
    <n v="41221.440000000002"/>
    <m/>
    <n v="12366.432000000001"/>
    <n v="12366.432000000001"/>
    <m/>
    <m/>
    <m/>
    <x v="14"/>
    <x v="27"/>
  </r>
  <r>
    <n v="24792002"/>
    <m/>
    <x v="2"/>
    <n v="19359.71"/>
    <n v="4967.3900000000003"/>
    <n v="5807.9129999999996"/>
    <n v="840.52299999999923"/>
    <d v="2025-02-01T00:00:00"/>
    <s v="SCOTIABANK "/>
    <n v="4967.3900000000003"/>
    <x v="23"/>
    <x v="27"/>
  </r>
  <r>
    <n v="24792308"/>
    <m/>
    <x v="0"/>
    <n v="9954.31"/>
    <n v="2054.7399999999998"/>
    <n v="2986.2929999999997"/>
    <n v="931.55299999999988"/>
    <d v="2027-07-01T00:00:00"/>
    <s v="FISOFO"/>
    <n v="1515.75"/>
    <x v="24"/>
    <x v="27"/>
  </r>
  <r>
    <n v="24756884"/>
    <n v="6141569688"/>
    <x v="3"/>
    <n v="6548.83"/>
    <n v="1414.42"/>
    <n v="1964.6489999999999"/>
    <n v="550.22899999999981"/>
    <n v="45413"/>
    <s v="CONSUBANCO "/>
    <n v="1414.42"/>
    <x v="5"/>
    <x v="27"/>
  </r>
  <r>
    <n v="24757362"/>
    <n v="5214421573386"/>
    <x v="0"/>
    <n v="22710.68"/>
    <n v="6305.29"/>
    <n v="6813.2039999999997"/>
    <n v="507.91399999999976"/>
    <n v="46327"/>
    <s v="PROFUTURO"/>
    <n v="6305.29"/>
    <x v="24"/>
    <x v="27"/>
  </r>
  <r>
    <n v="24791334"/>
    <n v="5214271118085"/>
    <x v="3"/>
    <n v="16732.37"/>
    <n v="5019.71"/>
    <n v="5019.7109999999993"/>
    <n v="9.9999999929423211E-4"/>
    <n v="45505"/>
    <s v="GFI APOYO, CONSUBANCO"/>
    <n v="4110.93"/>
    <x v="26"/>
    <x v="27"/>
  </r>
  <r>
    <n v="24757628"/>
    <n v="5216671992375"/>
    <x v="0"/>
    <n v="7727.95"/>
    <n v="1775"/>
    <n v="2318.3849999999998"/>
    <n v="543.38499999999976"/>
    <n v="46296"/>
    <s v="EXITUS"/>
    <n v="1775"/>
    <x v="24"/>
    <x v="27"/>
  </r>
  <r>
    <n v="24769090"/>
    <m/>
    <x v="1"/>
    <n v="19499.169999999998"/>
    <n v="1771.87"/>
    <n v="5849.7509999999993"/>
    <n v="4077.8809999999994"/>
    <d v="2025-08-01T00:00:00"/>
    <s v="DIMEX"/>
    <n v="1771.87"/>
    <x v="17"/>
    <x v="27"/>
  </r>
  <r>
    <n v="24355042"/>
    <n v="5216182323045"/>
    <x v="2"/>
    <n v="9993.1299999999992"/>
    <n v="2457.2199999999998"/>
    <n v="2997.9389999999999"/>
    <n v="540.71900000000005"/>
    <n v="45597"/>
    <s v="FORTALEZA"/>
    <n v="2457.2199999999998"/>
    <x v="7"/>
    <x v="27"/>
  </r>
  <r>
    <n v="24794240"/>
    <m/>
    <x v="0"/>
    <n v="5814.14"/>
    <n v="902.32"/>
    <n v="1744.242"/>
    <n v="738.84000000000071"/>
    <d v="2027-10-01T00:00:00"/>
    <s v="FISOFO"/>
    <n v="902.32"/>
    <x v="24"/>
    <x v="27"/>
  </r>
  <r>
    <n v="24643638"/>
    <n v="5216643188445"/>
    <x v="1"/>
    <n v="9760.32"/>
    <m/>
    <n v="2928.096"/>
    <n v="2928.096"/>
    <m/>
    <m/>
    <m/>
    <x v="11"/>
    <x v="27"/>
  </r>
  <r>
    <n v="24794794"/>
    <m/>
    <x v="1"/>
    <n v="9111.81"/>
    <m/>
    <n v="2733.5429999999997"/>
    <n v="2733.5429999999997"/>
    <m/>
    <m/>
    <m/>
    <x v="11"/>
    <x v="27"/>
  </r>
  <r>
    <n v="24795628"/>
    <m/>
    <x v="3"/>
    <n v="6262.8600000000006"/>
    <n v="1658.3400000000001"/>
    <n v="1878.8580000000002"/>
    <n v="220.51800000000003"/>
    <d v="2025-06-01T00:00:00"/>
    <s v="CONSUBANCO"/>
    <n v="569.92999999999995"/>
    <x v="5"/>
    <x v="28"/>
  </r>
  <r>
    <n v="24796764"/>
    <m/>
    <x v="0"/>
    <n v="7920.51"/>
    <n v="1383.27"/>
    <n v="2376.1529999999998"/>
    <n v="992.88299999999981"/>
    <d v="2027-03-01T00:00:00"/>
    <s v="BANCREA"/>
    <n v="1383.27"/>
    <x v="0"/>
    <x v="28"/>
  </r>
  <r>
    <n v="24796990"/>
    <m/>
    <x v="1"/>
    <n v="7920.51"/>
    <m/>
    <n v="2376.1529999999998"/>
    <n v="2376.1529999999998"/>
    <m/>
    <m/>
    <m/>
    <x v="4"/>
    <x v="28"/>
  </r>
  <r>
    <n v="24797110"/>
    <m/>
    <x v="0"/>
    <n v="8506.02"/>
    <n v="2039.6"/>
    <n v="2551.806"/>
    <n v="512.20600000000013"/>
    <m/>
    <m/>
    <m/>
    <x v="24"/>
    <x v="28"/>
  </r>
  <r>
    <n v="24797688"/>
    <m/>
    <x v="4"/>
    <n v="8859.2100000000009"/>
    <n v="979.62"/>
    <n v="2657.7630000000004"/>
    <n v="1678.1430000000005"/>
    <d v="2024-07-01T00:00:00"/>
    <s v="DIMEX"/>
    <n v="979.62"/>
    <x v="0"/>
    <x v="28"/>
  </r>
  <r>
    <n v="24808116"/>
    <m/>
    <x v="1"/>
    <n v="9760.32"/>
    <m/>
    <n v="2928.096"/>
    <n v="2928.096"/>
    <m/>
    <m/>
    <m/>
    <x v="10"/>
    <x v="28"/>
  </r>
  <r>
    <n v="24807940"/>
    <m/>
    <x v="1"/>
    <n v="10636.54"/>
    <m/>
    <n v="3190.962"/>
    <n v="3190.962"/>
    <m/>
    <m/>
    <m/>
    <x v="17"/>
    <x v="28"/>
  </r>
  <r>
    <n v="24810008"/>
    <m/>
    <x v="3"/>
    <n v="9504.7000000000007"/>
    <n v="2742.18"/>
    <n v="2851.4100000000003"/>
    <n v="109.23000000000047"/>
    <d v="2026-08-01T00:00:00"/>
    <s v="FISOFO"/>
    <n v="1963.89"/>
    <x v="5"/>
    <x v="28"/>
  </r>
  <r>
    <n v="24812116"/>
    <m/>
    <x v="1"/>
    <n v="11940.28"/>
    <m/>
    <n v="3582.0840000000003"/>
    <n v="3582.0840000000003"/>
    <m/>
    <m/>
    <m/>
    <x v="21"/>
    <x v="28"/>
  </r>
  <r>
    <n v="24812234"/>
    <m/>
    <x v="1"/>
    <n v="6262.86"/>
    <m/>
    <n v="1878.8579999999997"/>
    <n v="1878.8579999999997"/>
    <m/>
    <m/>
    <m/>
    <x v="21"/>
    <x v="28"/>
  </r>
  <r>
    <n v="24813300"/>
    <m/>
    <x v="1"/>
    <n v="11093.27"/>
    <m/>
    <n v="3327.9810000000002"/>
    <n v="3327.9810000000002"/>
    <m/>
    <m/>
    <m/>
    <x v="19"/>
    <x v="28"/>
  </r>
  <r>
    <n v="24813492"/>
    <m/>
    <x v="1"/>
    <n v="9760.32"/>
    <n v="879"/>
    <n v="2928.096"/>
    <n v="2049.096"/>
    <m/>
    <m/>
    <m/>
    <x v="19"/>
    <x v="28"/>
  </r>
  <r>
    <n v="24811350"/>
    <m/>
    <x v="0"/>
    <n v="9760.32"/>
    <n v="2171.81"/>
    <n v="2928.096"/>
    <n v="756.28600000000006"/>
    <d v="2027-10-01T00:00:00"/>
    <s v="INBURSA"/>
    <n v="2171.81"/>
    <x v="24"/>
    <x v="28"/>
  </r>
  <r>
    <n v="24812430"/>
    <m/>
    <x v="2"/>
    <n v="6262.86"/>
    <n v="1738.79"/>
    <n v="1878.8579999999997"/>
    <n v="140.06799999999976"/>
    <d v="2026-03-01T00:00:00"/>
    <s v="EXITUS, DIMEX"/>
    <n v="1738.79"/>
    <x v="13"/>
    <x v="28"/>
  </r>
  <r>
    <n v="24800070"/>
    <n v="5215515930722"/>
    <x v="1"/>
    <n v="10636.54"/>
    <m/>
    <n v="3190.962"/>
    <n v="3190.962"/>
    <m/>
    <m/>
    <m/>
    <x v="4"/>
    <x v="28"/>
  </r>
  <r>
    <n v="24802282"/>
    <n v="5613526431"/>
    <x v="1"/>
    <n v="12803.380000000001"/>
    <m/>
    <n v="3841.0140000000001"/>
    <n v="3841.0140000000001"/>
    <m/>
    <m/>
    <m/>
    <x v="17"/>
    <x v="28"/>
  </r>
  <r>
    <n v="24810288"/>
    <n v="5219331522757"/>
    <x v="1"/>
    <n v="10171.23"/>
    <m/>
    <n v="3051.3689999999997"/>
    <n v="3051.3689999999997"/>
    <m/>
    <m/>
    <m/>
    <x v="6"/>
    <x v="28"/>
  </r>
  <r>
    <n v="24488398"/>
    <n v="5214495898160"/>
    <x v="1"/>
    <n v="11029.03"/>
    <m/>
    <n v="3308.7090000000003"/>
    <n v="3308.7090000000003"/>
    <m/>
    <m/>
    <m/>
    <x v="6"/>
    <x v="28"/>
  </r>
  <r>
    <n v="24811230"/>
    <n v="8994962705"/>
    <x v="3"/>
    <n v="8146.82"/>
    <n v="2258.4699999999998"/>
    <n v="2444.0459999999998"/>
    <n v="185.57600000000002"/>
    <n v="46174"/>
    <s v="FISOFO"/>
    <n v="2258.4699999999998"/>
    <x v="26"/>
    <x v="28"/>
  </r>
  <r>
    <n v="24798358"/>
    <n v="5218717845861"/>
    <x v="1"/>
    <n v="21450.71"/>
    <m/>
    <n v="6435.2129999999997"/>
    <n v="6435.2129999999997"/>
    <m/>
    <m/>
    <m/>
    <x v="14"/>
    <x v="28"/>
  </r>
  <r>
    <n v="24512994"/>
    <n v="5215540988746"/>
    <x v="1"/>
    <n v="48443.45"/>
    <n v="10479.31"/>
    <n v="14533.034999999998"/>
    <n v="4053.7249999999985"/>
    <n v="46997"/>
    <s v="BANCREA"/>
    <n v="10479.31"/>
    <x v="10"/>
    <x v="28"/>
  </r>
  <r>
    <n v="24815046"/>
    <n v="5626088170"/>
    <x v="1"/>
    <n v="9081.52"/>
    <n v="1482.45"/>
    <n v="2724.4560000000001"/>
    <n v="1242.0060000000001"/>
    <n v="46813"/>
    <s v="PROFUTURO"/>
    <n v="1482.45"/>
    <x v="17"/>
    <x v="28"/>
  </r>
  <r>
    <n v="24816802"/>
    <m/>
    <x v="3"/>
    <n v="15766.91"/>
    <n v="4372.9399999999996"/>
    <n v="4730.0729999999994"/>
    <n v="357.13299999999981"/>
    <d v="2026-09-01T00:00:00"/>
    <s v="CONSUPAGO"/>
    <n v="4372.9399999999996"/>
    <x v="26"/>
    <x v="28"/>
  </r>
  <r>
    <n v="24817454"/>
    <m/>
    <x v="1"/>
    <n v="9760.32"/>
    <m/>
    <n v="2928.096"/>
    <n v="2928.096"/>
    <m/>
    <m/>
    <m/>
    <x v="20"/>
    <x v="28"/>
  </r>
  <r>
    <n v="24817530"/>
    <m/>
    <x v="1"/>
    <n v="10171.24"/>
    <n v="879"/>
    <n v="3051.3719999999998"/>
    <n v="2172.3719999999998"/>
    <m/>
    <m/>
    <m/>
    <x v="27"/>
    <x v="28"/>
  </r>
  <r>
    <n v="24806836"/>
    <n v="5214451585108"/>
    <x v="1"/>
    <n v="10636.54"/>
    <m/>
    <n v="3190.962"/>
    <n v="3190.962"/>
    <m/>
    <m/>
    <m/>
    <x v="28"/>
    <x v="28"/>
  </r>
  <r>
    <n v="24817816"/>
    <m/>
    <x v="2"/>
    <n v="39334.199999999997"/>
    <n v="11798.68"/>
    <n v="11800.259999999998"/>
    <n v="1.5799999999981083"/>
    <d v="2026-09-01T00:00:00"/>
    <s v="INBURSA"/>
    <n v="9463.68"/>
    <x v="23"/>
    <x v="28"/>
  </r>
  <r>
    <n v="24818004"/>
    <m/>
    <x v="1"/>
    <n v="10636.54"/>
    <m/>
    <n v="3190.962"/>
    <n v="3190.962"/>
    <m/>
    <m/>
    <m/>
    <x v="29"/>
    <x v="28"/>
  </r>
  <r>
    <n v="24816960"/>
    <n v="5212969640074"/>
    <x v="0"/>
    <n v="4561.97"/>
    <m/>
    <n v="1368.5910000000001"/>
    <n v="388.99000000000069"/>
    <m/>
    <m/>
    <m/>
    <x v="0"/>
    <x v="28"/>
  </r>
  <r>
    <n v="24818304"/>
    <m/>
    <x v="2"/>
    <n v="7603.81"/>
    <n v="2281.13"/>
    <n v="2281.143"/>
    <n v="1.2999999999919964E-2"/>
    <d v="2023-02-01T00:00:00"/>
    <s v="DIMEX"/>
    <n v="1298.42"/>
    <x v="7"/>
    <x v="28"/>
  </r>
  <r>
    <n v="24818448"/>
    <m/>
    <x v="1"/>
    <n v="7135.6"/>
    <n v="700"/>
    <n v="2140.6799999999998"/>
    <n v="1440.6799999999998"/>
    <d v="2028-03-01T00:00:00"/>
    <s v="DIMEX"/>
    <n v="700"/>
    <x v="10"/>
    <x v="28"/>
  </r>
  <r>
    <n v="24818782"/>
    <m/>
    <x v="0"/>
    <n v="9760.32"/>
    <n v="2094.7399999999998"/>
    <n v="2928.096"/>
    <n v="833.35600000000022"/>
    <d v="2028-03-01T00:00:00"/>
    <s v="INBURSA"/>
    <n v="2094.7399999999998"/>
    <x v="24"/>
    <x v="28"/>
  </r>
  <r>
    <n v="24509568"/>
    <n v="5643625344"/>
    <x v="3"/>
    <n v="76352.17"/>
    <n v="19849.46"/>
    <n v="22905.650999999998"/>
    <n v="3056.1909999999989"/>
    <n v="45748"/>
    <s v="CONSUBANCO "/>
    <n v="19849.46"/>
    <x v="5"/>
    <x v="28"/>
  </r>
  <r>
    <n v="24811136"/>
    <m/>
    <x v="2"/>
    <n v="9081.52"/>
    <n v="2521.35"/>
    <n v="2724.4560000000001"/>
    <n v="203.10600000000022"/>
    <d v="2026-05-01T00:00:00"/>
    <s v="DIMEX"/>
    <n v="2521.35"/>
    <x v="13"/>
    <x v="28"/>
  </r>
  <r>
    <n v="24816418"/>
    <n v="5219222075901"/>
    <x v="4"/>
    <n v="4723.55"/>
    <n v="855"/>
    <n v="1417.0650000000001"/>
    <n v="-304.42999999999938"/>
    <n v="45778"/>
    <s v="BANCREA"/>
    <n v="855"/>
    <x v="0"/>
    <x v="28"/>
  </r>
  <r>
    <n v="24818116"/>
    <n v="5213222423204"/>
    <x v="2"/>
    <n v="9081.52"/>
    <n v="2521.35"/>
    <n v="2724.4560000000001"/>
    <n v="203.10600000000022"/>
    <n v="46235"/>
    <s v="DIMEX"/>
    <n v="2521.35"/>
    <x v="23"/>
    <x v="28"/>
  </r>
  <r>
    <n v="24820162"/>
    <n v="5214491118373"/>
    <x v="1"/>
    <n v="30393.61"/>
    <n v="3201.74"/>
    <n v="9118.0830000000005"/>
    <n v="5916.3430000000008"/>
    <n v="46722"/>
    <s v="INBURSA"/>
    <n v="1179.5899999999999"/>
    <x v="14"/>
    <x v="28"/>
  </r>
  <r>
    <n v="24821080"/>
    <m/>
    <x v="0"/>
    <n v="4813.6899999999996"/>
    <m/>
    <n v="1444.1069999999997"/>
    <n v="640.71"/>
    <m/>
    <m/>
    <m/>
    <x v="0"/>
    <x v="29"/>
  </r>
  <r>
    <n v="24823908"/>
    <m/>
    <x v="1"/>
    <n v="11029.03"/>
    <m/>
    <n v="3308.7090000000003"/>
    <n v="3308.7090000000003"/>
    <m/>
    <m/>
    <m/>
    <x v="30"/>
    <x v="29"/>
  </r>
  <r>
    <n v="24825162"/>
    <m/>
    <x v="1"/>
    <n v="29191.989999999998"/>
    <n v="6405.76"/>
    <n v="8757.5969999999998"/>
    <n v="2351.8369999999995"/>
    <m/>
    <m/>
    <m/>
    <x v="14"/>
    <x v="29"/>
  </r>
  <r>
    <n v="24832234"/>
    <m/>
    <x v="2"/>
    <n v="9081.52"/>
    <n v="2521.0700000000002"/>
    <n v="2724.4560000000001"/>
    <n v="203.38599999999997"/>
    <d v="2026-07-01T00:00:00"/>
    <s v="PROFUTURO"/>
    <n v="2521.0700000000002"/>
    <x v="23"/>
    <x v="29"/>
  </r>
  <r>
    <n v="24833648"/>
    <m/>
    <x v="3"/>
    <n v="11584.970000000001"/>
    <n v="2923.11"/>
    <n v="3475.4910000000004"/>
    <n v="552.38100000000031"/>
    <d v="2025-03-01T00:00:00"/>
    <s v="CONSUBANCO"/>
    <n v="2923.11"/>
    <x v="5"/>
    <x v="29"/>
  </r>
  <r>
    <n v="24833522"/>
    <m/>
    <x v="1"/>
    <n v="9572.8799999999992"/>
    <m/>
    <n v="2871.8639999999996"/>
    <n v="2871.8639999999996"/>
    <m/>
    <m/>
    <m/>
    <x v="18"/>
    <x v="29"/>
  </r>
  <r>
    <n v="24834260"/>
    <m/>
    <x v="4"/>
    <n v="11274.51"/>
    <n v="3381.46"/>
    <n v="3382.3530000000001"/>
    <n v="0.8930000000000291"/>
    <d v="2026-02-01T00:00:00"/>
    <s v="BANCREA"/>
    <n v="361.09"/>
    <x v="0"/>
    <x v="29"/>
  </r>
  <r>
    <n v="24834498"/>
    <m/>
    <x v="0"/>
    <n v="7116.73"/>
    <n v="1245.04"/>
    <n v="2135.0189999999998"/>
    <n v="889.97899999999981"/>
    <d v="2027-08-01T00:00:00"/>
    <s v="DIMEX"/>
    <n v="1245.04"/>
    <x v="0"/>
    <x v="29"/>
  </r>
  <r>
    <n v="24835006"/>
    <m/>
    <x v="0"/>
    <n v="5617.63"/>
    <n v="848"/>
    <n v="1685.289"/>
    <n v="596.65000000000055"/>
    <m/>
    <m/>
    <m/>
    <x v="0"/>
    <x v="29"/>
  </r>
  <r>
    <n v="24832784"/>
    <n v="5216145378090"/>
    <x v="3"/>
    <n v="5077.9799999999996"/>
    <n v="1078.5"/>
    <n v="1523.3939999999998"/>
    <n v="-173.5"/>
    <n v="45444"/>
    <s v="CONSUBANCO "/>
    <n v="1078.5"/>
    <x v="26"/>
    <x v="29"/>
  </r>
  <r>
    <n v="24836240"/>
    <m/>
    <x v="0"/>
    <n v="5642.22"/>
    <n v="1167.07"/>
    <n v="1692.6659999999999"/>
    <n v="302.17000000000075"/>
    <d v="2028-02-01T00:00:00"/>
    <s v="INBURSA"/>
    <n v="1167.07"/>
    <x v="0"/>
    <x v="29"/>
  </r>
  <r>
    <n v="24819956"/>
    <m/>
    <x v="0"/>
    <n v="6262.86"/>
    <n v="848"/>
    <n v="1878.8579999999997"/>
    <n v="1030.8579999999997"/>
    <m/>
    <m/>
    <m/>
    <x v="0"/>
    <x v="29"/>
  </r>
  <r>
    <n v="24268712"/>
    <n v="5219381377239"/>
    <x v="0"/>
    <n v="50512.14"/>
    <n v="14146.06"/>
    <n v="15153.642"/>
    <n v="1007.5820000000003"/>
    <n v="46692"/>
    <s v="CONSUBANCO "/>
    <n v="14146.06"/>
    <x v="0"/>
    <x v="29"/>
  </r>
  <r>
    <n v="24813212"/>
    <m/>
    <x v="1"/>
    <n v="19713.28"/>
    <n v="848"/>
    <n v="5913.9839999999995"/>
    <n v="5065.9839999999995"/>
    <m/>
    <m/>
    <m/>
    <x v="7"/>
    <x v="29"/>
  </r>
  <r>
    <n v="24839650"/>
    <m/>
    <x v="2"/>
    <n v="6201.36"/>
    <n v="1521.8"/>
    <n v="1860.4079999999999"/>
    <n v="338.60799999999995"/>
    <d v="2024-02-01T00:00:00"/>
    <s v="BANCREA"/>
    <n v="1521.8"/>
    <x v="23"/>
    <x v="29"/>
  </r>
  <r>
    <n v="24841192"/>
    <m/>
    <x v="1"/>
    <n v="9760.32"/>
    <m/>
    <n v="2928.096"/>
    <n v="2928.096"/>
    <m/>
    <m/>
    <m/>
    <x v="6"/>
    <x v="29"/>
  </r>
  <r>
    <n v="24841684"/>
    <m/>
    <x v="1"/>
    <n v="18642.330000000002"/>
    <n v="3153.61"/>
    <n v="5592.6990000000005"/>
    <n v="2439.0890000000004"/>
    <d v="2028-07-01T00:00:00"/>
    <s v="GFI APOYO"/>
    <n v="3153.61"/>
    <x v="4"/>
    <x v="29"/>
  </r>
  <r>
    <n v="24834106"/>
    <n v="5216531205818"/>
    <x v="1"/>
    <n v="8181.55"/>
    <m/>
    <n v="2454.4650000000001"/>
    <n v="2454.4650000000001"/>
    <m/>
    <m/>
    <m/>
    <x v="19"/>
    <x v="29"/>
  </r>
  <r>
    <n v="24842712"/>
    <m/>
    <x v="1"/>
    <n v="10636.54"/>
    <m/>
    <n v="3190.962"/>
    <n v="3190.962"/>
    <m/>
    <m/>
    <m/>
    <x v="10"/>
    <x v="29"/>
  </r>
  <r>
    <n v="24842916"/>
    <m/>
    <x v="4"/>
    <n v="5537.47"/>
    <n v="1116.58"/>
    <n v="1661.241"/>
    <n v="247.91000000000076"/>
    <d v="2024-10-01T00:00:00"/>
    <s v="DIMEX"/>
    <n v="1116.58"/>
    <x v="31"/>
    <x v="29"/>
  </r>
  <r>
    <n v="24841244"/>
    <n v="5216461215655"/>
    <x v="0"/>
    <n v="6812.39"/>
    <n v="879"/>
    <n v="2043.7170000000001"/>
    <n v="1164.7170000000001"/>
    <m/>
    <m/>
    <m/>
    <x v="24"/>
    <x v="29"/>
  </r>
  <r>
    <n v="24843332"/>
    <m/>
    <x v="1"/>
    <n v="16289.43"/>
    <m/>
    <n v="4886.8289999999997"/>
    <n v="4886.8289999999997"/>
    <m/>
    <m/>
    <m/>
    <x v="6"/>
    <x v="29"/>
  </r>
  <r>
    <n v="24843264"/>
    <m/>
    <x v="1"/>
    <n v="10636.54"/>
    <m/>
    <n v="3190.962"/>
    <n v="3190.962"/>
    <m/>
    <m/>
    <m/>
    <x v="10"/>
    <x v="29"/>
  </r>
  <r>
    <n v="24843334"/>
    <m/>
    <x v="1"/>
    <n v="8181.55"/>
    <m/>
    <n v="2454.4650000000001"/>
    <n v="2454.4650000000001"/>
    <m/>
    <m/>
    <m/>
    <x v="6"/>
    <x v="29"/>
  </r>
  <r>
    <n v="24843042"/>
    <n v="5218126351730"/>
    <x v="0"/>
    <n v="4547.1499999999996"/>
    <m/>
    <n v="1364.1449999999998"/>
    <n v="374.17000000000007"/>
    <m/>
    <m/>
    <m/>
    <x v="31"/>
    <x v="29"/>
  </r>
  <r>
    <n v="24844130"/>
    <m/>
    <x v="1"/>
    <n v="11265.41"/>
    <n v="879"/>
    <n v="3379.623"/>
    <n v="2500.623"/>
    <m/>
    <m/>
    <m/>
    <x v="10"/>
    <x v="29"/>
  </r>
  <r>
    <n v="24842778"/>
    <n v="5216621829126"/>
    <x v="1"/>
    <n v="21890.16"/>
    <n v="879"/>
    <n v="6567.0479999999998"/>
    <n v="5688.0479999999998"/>
    <m/>
    <m/>
    <m/>
    <x v="10"/>
    <x v="29"/>
  </r>
  <r>
    <n v="24849454"/>
    <n v="5218716065003"/>
    <x v="1"/>
    <n v="13853.05"/>
    <m/>
    <n v="4155.915"/>
    <n v="4155.915"/>
    <m/>
    <m/>
    <m/>
    <x v="32"/>
    <x v="30"/>
  </r>
  <r>
    <n v="24854170"/>
    <n v="5219641007844"/>
    <x v="1"/>
    <n v="10636.539999999997"/>
    <m/>
    <n v="3190.9619999999991"/>
    <n v="3190.9619999999991"/>
    <m/>
    <m/>
    <m/>
    <x v="19"/>
    <x v="30"/>
  </r>
  <r>
    <n v="24846058"/>
    <n v="5215532824918"/>
    <x v="3"/>
    <n v="7920.51"/>
    <n v="2195.2800000000002"/>
    <n v="2376.1529999999998"/>
    <n v="180.87299999999959"/>
    <n v="46143"/>
    <s v="CONSUBANCO "/>
    <n v="2195.2800000000002"/>
    <x v="5"/>
    <x v="30"/>
  </r>
  <r>
    <n v="24852902"/>
    <n v="5218113998249"/>
    <x v="1"/>
    <n v="12026.54"/>
    <m/>
    <n v="3607.962"/>
    <n v="3607.962"/>
    <m/>
    <m/>
    <m/>
    <x v="10"/>
    <x v="30"/>
  </r>
  <r>
    <n v="24849304"/>
    <m/>
    <x v="0"/>
    <n v="28840.83"/>
    <n v="8344.33"/>
    <n v="8652.2489999999998"/>
    <n v="307.91899999999987"/>
    <d v="2027-08-01T00:00:00"/>
    <s v="PROFUTURO"/>
    <n v="7814"/>
    <x v="31"/>
    <x v="30"/>
  </r>
  <r>
    <n v="24850814"/>
    <m/>
    <x v="3"/>
    <n v="10887.84"/>
    <n v="3020.85"/>
    <n v="3266.3519999999999"/>
    <n v="245.50199999999995"/>
    <d v="2026-03-01T00:00:00"/>
    <s v="CONSUBANCO"/>
    <n v="3020.85"/>
    <x v="5"/>
    <x v="30"/>
  </r>
  <r>
    <n v="24852316"/>
    <m/>
    <x v="0"/>
    <n v="8539.89"/>
    <n v="1854.57"/>
    <n v="2561.9669999999996"/>
    <n v="707.39699999999971"/>
    <d v="2028-09-01T00:00:00"/>
    <s v="DIMEX"/>
    <m/>
    <x v="31"/>
    <x v="30"/>
  </r>
  <r>
    <n v="24853080"/>
    <m/>
    <x v="0"/>
    <n v="6405.06"/>
    <n v="879"/>
    <n v="1921.518"/>
    <n v="1042.518"/>
    <m/>
    <m/>
    <m/>
    <x v="31"/>
    <x v="30"/>
  </r>
  <r>
    <n v="24853748"/>
    <m/>
    <x v="2"/>
    <n v="9202.56"/>
    <n v="2662.36"/>
    <n v="2760.7679999999996"/>
    <n v="98.407999999999447"/>
    <d v="2024-09-01T00:00:00"/>
    <s v="FORTALEZA"/>
    <n v="1917.32"/>
    <x v="2"/>
    <x v="30"/>
  </r>
  <r>
    <n v="24854372"/>
    <m/>
    <x v="1"/>
    <n v="5617.63"/>
    <m/>
    <n v="1685.289"/>
    <n v="1444.6500000000005"/>
    <m/>
    <m/>
    <m/>
    <x v="13"/>
    <x v="30"/>
  </r>
  <r>
    <n v="24855350"/>
    <m/>
    <x v="2"/>
    <n v="6725.04"/>
    <n v="1700"/>
    <n v="2017.5119999999999"/>
    <n v="317.51199999999994"/>
    <d v="2025-11-01T00:00:00"/>
    <s v="INBURSA"/>
    <n v="1700"/>
    <x v="2"/>
    <x v="30"/>
  </r>
  <r>
    <n v="24855512"/>
    <m/>
    <x v="3"/>
    <n v="5617.63"/>
    <n v="1175.75"/>
    <n v="1685.289"/>
    <n v="268.90000000000055"/>
    <d v="2025-02-01T00:00:00"/>
    <s v="CONSUBANCO"/>
    <n v="1175.8"/>
    <x v="5"/>
    <x v="30"/>
  </r>
  <r>
    <n v="24855890"/>
    <m/>
    <x v="1"/>
    <n v="14919.42"/>
    <m/>
    <n v="4475.826"/>
    <n v="4475.826"/>
    <m/>
    <m/>
    <m/>
    <x v="14"/>
    <x v="31"/>
  </r>
  <r>
    <n v="24857068"/>
    <m/>
    <x v="1"/>
    <n v="10636.54"/>
    <m/>
    <n v="3190.962"/>
    <n v="3190.962"/>
    <m/>
    <m/>
    <m/>
    <x v="33"/>
    <x v="31"/>
  </r>
  <r>
    <n v="24857570"/>
    <m/>
    <x v="3"/>
    <n v="18676.669999999998"/>
    <n v="4657.3999999999996"/>
    <n v="5603.0009999999993"/>
    <n v="945.60099999999966"/>
    <d v="2024-05-01T00:00:00"/>
    <s v="FORTALEZA"/>
    <n v="1828.53"/>
    <x v="26"/>
    <x v="31"/>
  </r>
  <r>
    <n v="24859220"/>
    <m/>
    <x v="1"/>
    <n v="9081.51"/>
    <m/>
    <n v="2724.453"/>
    <n v="2724.453"/>
    <m/>
    <m/>
    <m/>
    <x v="14"/>
    <x v="31"/>
  </r>
  <r>
    <n v="24859326"/>
    <m/>
    <x v="1"/>
    <n v="9760.32"/>
    <m/>
    <n v="2928.096"/>
    <n v="2928.096"/>
    <m/>
    <m/>
    <m/>
    <x v="33"/>
    <x v="31"/>
  </r>
  <r>
    <n v="24859552"/>
    <m/>
    <x v="0"/>
    <n v="35054.53"/>
    <n v="9719.9"/>
    <n v="10516.358999999999"/>
    <n v="796.45899999999892"/>
    <d v="2028-05-01T00:00:00"/>
    <s v="OPCIPRES"/>
    <n v="3797.49"/>
    <x v="0"/>
    <x v="31"/>
  </r>
  <r>
    <n v="24861386"/>
    <m/>
    <x v="0"/>
    <n v="5365.09"/>
    <m/>
    <n v="1609.527"/>
    <n v="1192.1100000000006"/>
    <m/>
    <m/>
    <m/>
    <x v="0"/>
    <x v="31"/>
  </r>
  <r>
    <n v="24866180"/>
    <m/>
    <x v="1"/>
    <n v="9760.32"/>
    <m/>
    <n v="2928.096"/>
    <n v="2928.096"/>
    <m/>
    <m/>
    <m/>
    <x v="14"/>
    <x v="31"/>
  </r>
  <r>
    <n v="24866650"/>
    <m/>
    <x v="3"/>
    <n v="10248.31"/>
    <n v="2717.19"/>
    <n v="3074.4929999999999"/>
    <n v="357.30299999999988"/>
    <d v="2025-04-01T00:00:00"/>
    <s v="DIRECTODO, CONSUBANCO, EXITUS"/>
    <m/>
    <x v="26"/>
    <x v="31"/>
  </r>
  <r>
    <n v="24866836"/>
    <m/>
    <x v="2"/>
    <n v="44632.480000000003"/>
    <n v="12912.25"/>
    <n v="13389.744000000001"/>
    <n v="477.4940000000006"/>
    <d v="2026-10-01T00:00:00"/>
    <s v="DIMEX"/>
    <n v="4861.37"/>
    <x v="7"/>
    <x v="31"/>
  </r>
  <r>
    <n v="24867872"/>
    <m/>
    <x v="1"/>
    <n v="24021.73"/>
    <n v="3022.41"/>
    <n v="7206.5189999999993"/>
    <n v="4184.1089999999995"/>
    <d v="2028-03-01T00:00:00"/>
    <s v="INBURSA"/>
    <n v="3022.41"/>
    <x v="33"/>
    <x v="31"/>
  </r>
  <r>
    <n v="24868834"/>
    <m/>
    <x v="1"/>
    <n v="10636.54"/>
    <m/>
    <n v="3190.962"/>
    <n v="3190.962"/>
    <m/>
    <m/>
    <m/>
    <x v="29"/>
    <x v="31"/>
  </r>
  <r>
    <n v="24869158"/>
    <m/>
    <x v="1"/>
    <n v="7920.53"/>
    <m/>
    <n v="2376.1589999999997"/>
    <n v="2376.1589999999997"/>
    <m/>
    <m/>
    <m/>
    <x v="27"/>
    <x v="31"/>
  </r>
  <r>
    <n v="24747080"/>
    <n v="5214433188738"/>
    <x v="1"/>
    <n v="9760.32"/>
    <m/>
    <n v="2928.096"/>
    <n v="2928.096"/>
    <m/>
    <m/>
    <m/>
    <x v="28"/>
    <x v="31"/>
  </r>
  <r>
    <n v="24855266"/>
    <n v="5212711205400"/>
    <x v="1"/>
    <n v="9582.4699999999993"/>
    <m/>
    <n v="2874.7409999999995"/>
    <n v="2874.7409999999995"/>
    <m/>
    <m/>
    <m/>
    <x v="29"/>
    <x v="31"/>
  </r>
  <r>
    <n v="24855670"/>
    <n v="5214779166694"/>
    <x v="1"/>
    <n v="10636.54"/>
    <m/>
    <n v="3190.962"/>
    <n v="3190.962"/>
    <m/>
    <m/>
    <m/>
    <x v="27"/>
    <x v="31"/>
  </r>
  <r>
    <n v="24854068"/>
    <n v="5219564777244"/>
    <x v="1"/>
    <n v="38594.6"/>
    <m/>
    <n v="11578.38"/>
    <n v="11578.38"/>
    <m/>
    <m/>
    <m/>
    <x v="4"/>
    <x v="31"/>
  </r>
  <r>
    <n v="24832226"/>
    <n v="5218672440649"/>
    <x v="1"/>
    <n v="9760.32"/>
    <m/>
    <n v="2928.096"/>
    <n v="2928.096"/>
    <m/>
    <m/>
    <m/>
    <x v="28"/>
    <x v="31"/>
  </r>
  <r>
    <n v="24845400"/>
    <n v="5218114743468"/>
    <x v="1"/>
    <n v="40685.53"/>
    <m/>
    <n v="12205.659"/>
    <n v="12205.659"/>
    <m/>
    <m/>
    <m/>
    <x v="12"/>
    <x v="31"/>
  </r>
  <r>
    <n v="24848912"/>
    <n v="5212228280933"/>
    <x v="1"/>
    <n v="28924"/>
    <n v="6490.94"/>
    <n v="8677.1999999999989"/>
    <n v="2186.2599999999993"/>
    <n v="46966"/>
    <s v="FFORTALEZA"/>
    <n v="2923.92"/>
    <x v="29"/>
    <x v="31"/>
  </r>
  <r>
    <n v="24852260"/>
    <n v="5216671425649"/>
    <x v="1"/>
    <n v="44464.29"/>
    <m/>
    <n v="13339.287"/>
    <n v="13339.287"/>
    <m/>
    <m/>
    <m/>
    <x v="4"/>
    <x v="31"/>
  </r>
  <r>
    <n v="24388108"/>
    <n v="5214444985489"/>
    <x v="0"/>
    <n v="6337.52"/>
    <n v="1522.15"/>
    <n v="1901.2560000000001"/>
    <n v="379.10599999999999"/>
    <n v="46784"/>
    <s v="PROFUTURO"/>
    <n v="1522.15"/>
    <x v="0"/>
    <x v="31"/>
  </r>
  <r>
    <n v="24852680"/>
    <n v="5219992441322"/>
    <x v="0"/>
    <n v="5337.15"/>
    <n v="848"/>
    <n v="1601.1449999999998"/>
    <n v="316.17000000000007"/>
    <m/>
    <m/>
    <m/>
    <x v="0"/>
    <x v="31"/>
  </r>
  <r>
    <n v="24853670"/>
    <n v="5212216620470"/>
    <x v="3"/>
    <n v="8337.02"/>
    <n v="2464.09"/>
    <n v="2501.1060000000002"/>
    <n v="37.016000000000076"/>
    <n v="46266"/>
    <s v="DIMEX"/>
    <n v="792.03"/>
    <x v="26"/>
    <x v="31"/>
  </r>
  <r>
    <n v="24858148"/>
    <n v="5216441033453"/>
    <x v="2"/>
    <n v="14361.17"/>
    <n v="4304.41"/>
    <n v="4308.3509999999997"/>
    <n v="3.9409999999998035"/>
    <n v="46266"/>
    <s v="FIMUBAC, INBURSA"/>
    <n v="1805.2"/>
    <x v="7"/>
    <x v="31"/>
  </r>
  <r>
    <n v="24859170"/>
    <n v="6624034639"/>
    <x v="1"/>
    <n v="7920.51"/>
    <n v="848"/>
    <n v="2376.1529999999998"/>
    <n v="1528.1529999999998"/>
    <m/>
    <m/>
    <m/>
    <x v="28"/>
    <x v="31"/>
  </r>
  <r>
    <n v="24853960"/>
    <n v="5216647618296"/>
    <x v="1"/>
    <n v="10636.54"/>
    <m/>
    <n v="3190.962"/>
    <n v="3190.962"/>
    <m/>
    <m/>
    <m/>
    <x v="27"/>
    <x v="31"/>
  </r>
  <r>
    <n v="24867656"/>
    <m/>
    <x v="2"/>
    <n v="7920.51"/>
    <n v="2095.59"/>
    <n v="2376.1529999999998"/>
    <n v="280.56299999999965"/>
    <d v="2026-01-01T00:00:00"/>
    <s v="EXITUS"/>
    <n v="2095.59"/>
    <x v="23"/>
    <x v="32"/>
  </r>
  <r>
    <n v="24869488"/>
    <m/>
    <x v="1"/>
    <n v="31693.38"/>
    <m/>
    <n v="9508.0139999999992"/>
    <n v="9508.0139999999992"/>
    <m/>
    <m/>
    <m/>
    <x v="19"/>
    <x v="32"/>
  </r>
  <r>
    <n v="24870130"/>
    <m/>
    <x v="1"/>
    <n v="15836.97"/>
    <n v="1891"/>
    <n v="4751.0909999999994"/>
    <n v="2860.0909999999994"/>
    <d v="2028-05-01T00:00:00"/>
    <s v="DIMEX"/>
    <n v="1891"/>
    <x v="17"/>
    <x v="32"/>
  </r>
  <r>
    <n v="24870334"/>
    <m/>
    <x v="1"/>
    <n v="10080.870000000001"/>
    <n v="1638"/>
    <n v="3024.261"/>
    <n v="1386.261"/>
    <d v="2026-10-01T00:00:00"/>
    <s v="INBURSA"/>
    <n v="1638"/>
    <x v="27"/>
    <x v="32"/>
  </r>
  <r>
    <n v="24870862"/>
    <m/>
    <x v="1"/>
    <n v="6413.73"/>
    <m/>
    <n v="1924.1189999999997"/>
    <n v="1924.1189999999997"/>
    <m/>
    <m/>
    <m/>
    <x v="6"/>
    <x v="32"/>
  </r>
  <r>
    <n v="24870994"/>
    <m/>
    <x v="1"/>
    <n v="24153.71"/>
    <m/>
    <n v="7246.1129999999994"/>
    <n v="7246.1129999999994"/>
    <m/>
    <m/>
    <m/>
    <x v="4"/>
    <x v="32"/>
  </r>
  <r>
    <n v="24871644"/>
    <m/>
    <x v="1"/>
    <n v="7116.73"/>
    <m/>
    <n v="2135.0189999999998"/>
    <n v="2135.0189999999998"/>
    <m/>
    <m/>
    <m/>
    <x v="29"/>
    <x v="32"/>
  </r>
  <r>
    <n v="24871702"/>
    <m/>
    <x v="1"/>
    <n v="7116.73"/>
    <m/>
    <n v="2135.0189999999998"/>
    <n v="2135.0189999999998"/>
    <m/>
    <m/>
    <m/>
    <x v="6"/>
    <x v="32"/>
  </r>
  <r>
    <n v="24873928"/>
    <m/>
    <x v="2"/>
    <n v="7920.5099999999993"/>
    <n v="2129.1"/>
    <n v="2376.1529999999998"/>
    <n v="247.05299999999988"/>
    <d v="2026-03-01T00:00:00"/>
    <s v="INBURSA"/>
    <n v="1376.53"/>
    <x v="2"/>
    <x v="32"/>
  </r>
  <r>
    <n v="24874322"/>
    <m/>
    <x v="1"/>
    <n v="10636.54"/>
    <m/>
    <n v="3190.962"/>
    <n v="3190.962"/>
    <m/>
    <m/>
    <m/>
    <x v="10"/>
    <x v="32"/>
  </r>
  <r>
    <n v="24874854"/>
    <m/>
    <x v="1"/>
    <n v="9760.2999999999993"/>
    <m/>
    <n v="2928.0899999999997"/>
    <n v="2928.0899999999997"/>
    <m/>
    <m/>
    <m/>
    <x v="20"/>
    <x v="32"/>
  </r>
  <r>
    <n v="24868248"/>
    <n v="5538917163"/>
    <x v="1"/>
    <n v="46992.75"/>
    <m/>
    <n v="14097.824999999999"/>
    <n v="14097.824999999999"/>
    <m/>
    <m/>
    <m/>
    <x v="20"/>
    <x v="32"/>
  </r>
  <r>
    <n v="24859664"/>
    <n v="7772521138"/>
    <x v="3"/>
    <n v="5617.63"/>
    <m/>
    <n v="1685.289"/>
    <n v="1444.6500000000005"/>
    <s v="FISOFO"/>
    <s v="FISOFO"/>
    <n v="499.92"/>
    <x v="5"/>
    <x v="32"/>
  </r>
  <r>
    <n v="24870536"/>
    <n v="4561881233"/>
    <x v="0"/>
    <n v="4605.67"/>
    <m/>
    <n v="1381.701"/>
    <n v="432.69000000000051"/>
    <m/>
    <m/>
    <m/>
    <x v="24"/>
    <x v="32"/>
  </r>
  <r>
    <n v="24872360"/>
    <n v="6121766037"/>
    <x v="1"/>
    <n v="10571.63"/>
    <m/>
    <n v="3171.4889999999996"/>
    <n v="3171.4889999999996"/>
    <m/>
    <m/>
    <m/>
    <x v="21"/>
    <x v="32"/>
  </r>
  <r>
    <n v="24876448"/>
    <m/>
    <x v="1"/>
    <n v="9760.32"/>
    <m/>
    <n v="2928.096"/>
    <n v="2928.096"/>
    <m/>
    <m/>
    <m/>
    <x v="20"/>
    <x v="32"/>
  </r>
  <r>
    <n v="24884484"/>
    <m/>
    <x v="1"/>
    <n v="9760.32"/>
    <m/>
    <n v="2928.096"/>
    <n v="2928.096"/>
    <m/>
    <m/>
    <m/>
    <x v="21"/>
    <x v="32"/>
  </r>
  <r>
    <n v="24883986"/>
    <m/>
    <x v="2"/>
    <n v="6460.11"/>
    <n v="1793.57"/>
    <n v="1938.0329999999999"/>
    <n v="144.46299999999997"/>
    <d v="2026-09-01T00:00:00"/>
    <s v="INBURSA"/>
    <n v="1793.57"/>
    <x v="13"/>
    <x v="32"/>
  </r>
  <r>
    <n v="24855346"/>
    <n v="5213312450847"/>
    <x v="3"/>
    <n v="6308.73"/>
    <n v="1631.99"/>
    <n v="1892.6189999999997"/>
    <n v="260.62899999999968"/>
    <n v="46296"/>
    <s v="CONSUBANCO "/>
    <n v="1254.9100000000001"/>
    <x v="26"/>
    <x v="32"/>
  </r>
  <r>
    <n v="24863224"/>
    <n v="8444277019"/>
    <x v="1"/>
    <n v="44312.04"/>
    <m/>
    <n v="13293.6"/>
    <n v="13293.61"/>
    <m/>
    <m/>
    <m/>
    <x v="29"/>
    <x v="32"/>
  </r>
  <r>
    <n v="24889918"/>
    <m/>
    <x v="1"/>
    <n v="16711.580000000002"/>
    <n v="848"/>
    <n v="5013.4740000000002"/>
    <n v="4165.4740000000002"/>
    <m/>
    <m/>
    <m/>
    <x v="19"/>
    <x v="32"/>
  </r>
  <r>
    <n v="24874688"/>
    <n v="6731306789"/>
    <x v="2"/>
    <n v="9504.16"/>
    <n v="2638.3"/>
    <n v="2851.248"/>
    <n v="212.94799999999987"/>
    <n v="46143"/>
    <s v="DIMEX"/>
    <n v="2638.3"/>
    <x v="7"/>
    <x v="32"/>
  </r>
  <r>
    <n v="24885112"/>
    <n v="5218311106680"/>
    <x v="1"/>
    <n v="14627.59"/>
    <m/>
    <n v="4388.277"/>
    <n v="4388.277"/>
    <m/>
    <m/>
    <m/>
    <x v="17"/>
    <x v="32"/>
  </r>
  <r>
    <n v="24863308"/>
    <n v="5521298598"/>
    <x v="2"/>
    <n v="7628.26"/>
    <n v="2116.46"/>
    <n v="2288.4780000000001"/>
    <n v="172.01800000000003"/>
    <n v="46174"/>
    <s v="INBURSA"/>
    <n v="2116.46"/>
    <x v="2"/>
    <x v="32"/>
  </r>
  <r>
    <n v="24893390"/>
    <m/>
    <x v="2"/>
    <n v="5636.59"/>
    <n v="1630.33"/>
    <n v="1690.9770000000001"/>
    <n v="-166.71999999999935"/>
    <d v="2026-08-01T00:00:00"/>
    <s v="MULTIVA"/>
    <n v="1444.33"/>
    <x v="13"/>
    <x v="32"/>
  </r>
  <r>
    <n v="23300822"/>
    <n v="5212225125599"/>
    <x v="1"/>
    <n v="9760.32"/>
    <m/>
    <n v="2928.096"/>
    <n v="2928.096"/>
    <m/>
    <m/>
    <m/>
    <x v="10"/>
    <x v="32"/>
  </r>
  <r>
    <n v="24893850"/>
    <m/>
    <x v="3"/>
    <n v="5814.14"/>
    <n v="1614.21"/>
    <n v="1744.242"/>
    <n v="26.950000000000728"/>
    <d v="2026-05-01T00:00:00"/>
    <s v="CONSUBANCO, INBURSA"/>
    <n v="1614.21"/>
    <x v="5"/>
    <x v="32"/>
  </r>
  <r>
    <n v="24885250"/>
    <n v="5218119148505"/>
    <x v="1"/>
    <n v="7920.51"/>
    <n v="992.67"/>
    <n v="2376.1529999999998"/>
    <n v="1383.4829999999997"/>
    <n v="46784"/>
    <s v="MULTIVA"/>
    <n v="992.67"/>
    <x v="17"/>
    <x v="32"/>
  </r>
  <r>
    <n v="24874478"/>
    <n v="5215644664528"/>
    <x v="3"/>
    <n v="27132.26"/>
    <n v="8136.76"/>
    <n v="8139.677999999999"/>
    <n v="2.9179999999987558"/>
    <n v="46054"/>
    <s v="FISOFO"/>
    <n v="337.73"/>
    <x v="5"/>
    <x v="32"/>
  </r>
  <r>
    <n v="24878674"/>
    <n v="5216241611823"/>
    <x v="2"/>
    <n v="6876.47"/>
    <n v="1235.9000000000001"/>
    <n v="2062.9409999999998"/>
    <n v="827.04099999999971"/>
    <n v="46266"/>
    <s v="DIMEX"/>
    <n v="1235.9000000000001"/>
    <x v="7"/>
    <x v="32"/>
  </r>
  <r>
    <n v="24894928"/>
    <m/>
    <x v="1"/>
    <n v="5633.06"/>
    <m/>
    <n v="1689.9180000000001"/>
    <n v="1460.0800000000008"/>
    <m/>
    <m/>
    <m/>
    <x v="10"/>
    <x v="32"/>
  </r>
  <r>
    <n v="24895082"/>
    <m/>
    <x v="1"/>
    <n v="7920.51"/>
    <m/>
    <n v="2376.1529999999998"/>
    <n v="2376.1529999999998"/>
    <m/>
    <m/>
    <m/>
    <x v="6"/>
    <x v="32"/>
  </r>
  <r>
    <n v="24895412"/>
    <m/>
    <x v="1"/>
    <n v="15660.24"/>
    <n v="2637"/>
    <n v="4698.0720000000001"/>
    <n v="2061.0720000000001"/>
    <d v="2028-02-01T00:00:00"/>
    <s v="FISOFO"/>
    <n v="2637"/>
    <x v="27"/>
    <x v="32"/>
  </r>
  <r>
    <n v="24896608"/>
    <m/>
    <x v="1"/>
    <n v="10636.54"/>
    <m/>
    <n v="3190.962"/>
    <n v="3190.962"/>
    <m/>
    <m/>
    <m/>
    <x v="19"/>
    <x v="32"/>
  </r>
  <r>
    <n v="24897370"/>
    <m/>
    <x v="2"/>
    <n v="7920.51"/>
    <n v="2101.11"/>
    <n v="2376.1529999999998"/>
    <n v="275.04299999999967"/>
    <d v="2025-12-01T00:00:00"/>
    <s v="INBURSA"/>
    <n v="2101.11"/>
    <x v="23"/>
    <x v="32"/>
  </r>
  <r>
    <n v="24856488"/>
    <n v="5219931179217"/>
    <x v="1"/>
    <n v="12595.73"/>
    <m/>
    <n v="3778.7189999999996"/>
    <n v="3778.7189999999996"/>
    <m/>
    <m/>
    <m/>
    <x v="4"/>
    <x v="32"/>
  </r>
  <r>
    <n v="24899304"/>
    <m/>
    <x v="1"/>
    <n v="7116.73"/>
    <m/>
    <n v="2135.0189999999998"/>
    <n v="2135.0189999999998"/>
    <m/>
    <m/>
    <m/>
    <x v="27"/>
    <x v="32"/>
  </r>
  <r>
    <n v="24899988"/>
    <m/>
    <x v="1"/>
    <n v="20070.82"/>
    <m/>
    <n v="6021.2460000000001"/>
    <n v="6021.2460000000001"/>
    <m/>
    <m/>
    <m/>
    <x v="21"/>
    <x v="32"/>
  </r>
  <r>
    <n v="24899748"/>
    <m/>
    <x v="1"/>
    <n v="11786.6"/>
    <n v="613.12"/>
    <n v="3535.98"/>
    <n v="2922.86"/>
    <d v="2025-09-01T00:00:00"/>
    <s v="CONSUBANCO"/>
    <n v="613.12"/>
    <x v="4"/>
    <x v="32"/>
  </r>
  <r>
    <n v="24900126"/>
    <m/>
    <x v="2"/>
    <n v="6262.86"/>
    <n v="1738.5"/>
    <n v="1878.8579999999997"/>
    <n v="140.35799999999972"/>
    <d v="2026-07-01T00:00:00"/>
    <s v="MULTIVA"/>
    <n v="1738.5"/>
    <x v="23"/>
    <x v="32"/>
  </r>
  <r>
    <n v="24870662"/>
    <m/>
    <x v="1"/>
    <m/>
    <m/>
    <n v="0"/>
    <n v="0"/>
    <m/>
    <m/>
    <m/>
    <x v="12"/>
    <x v="32"/>
  </r>
  <r>
    <n v="24892878"/>
    <n v="5212481146476"/>
    <x v="0"/>
    <n v="4480.25"/>
    <m/>
    <n v="1344.075"/>
    <n v="307.27000000000044"/>
    <m/>
    <m/>
    <m/>
    <x v="24"/>
    <x v="32"/>
  </r>
  <r>
    <n v="24903402"/>
    <m/>
    <x v="1"/>
    <n v="10636.54"/>
    <m/>
    <n v="3190.962"/>
    <n v="3190.962"/>
    <m/>
    <m/>
    <m/>
    <x v="29"/>
    <x v="33"/>
  </r>
  <r>
    <n v="24903954"/>
    <m/>
    <x v="0"/>
    <n v="10636.539999999999"/>
    <n v="2097.73"/>
    <n v="3190.9619999999995"/>
    <n v="1093.2319999999995"/>
    <d v="2028-09-01T00:00:00"/>
    <s v="INBURSA"/>
    <n v="2097.73"/>
    <x v="24"/>
    <x v="33"/>
  </r>
  <r>
    <n v="24924920"/>
    <m/>
    <x v="1"/>
    <n v="19742.54"/>
    <m/>
    <n v="5922.7619999999997"/>
    <n v="5922.7619999999997"/>
    <m/>
    <m/>
    <m/>
    <x v="27"/>
    <x v="33"/>
  </r>
  <r>
    <n v="24925874"/>
    <m/>
    <x v="1"/>
    <n v="16740.53"/>
    <m/>
    <n v="5022.1589999999997"/>
    <n v="5022.1589999999997"/>
    <m/>
    <m/>
    <m/>
    <x v="2"/>
    <x v="33"/>
  </r>
  <r>
    <n v="24901938"/>
    <n v="5219515043360"/>
    <x v="0"/>
    <n v="9081.52"/>
    <n v="1876.44"/>
    <n v="2724.4560000000001"/>
    <n v="848.01600000000008"/>
    <n v="46935"/>
    <s v="CONSUPAGO"/>
    <n v="1876.44"/>
    <x v="24"/>
    <x v="33"/>
  </r>
  <r>
    <n v="24900434"/>
    <m/>
    <x v="2"/>
    <n v="41561.24"/>
    <n v="12468.37"/>
    <n v="12468.371999999999"/>
    <n v="1.9999999985884642E-3"/>
    <d v="2026-08-01T00:00:00"/>
    <s v="BARACAF"/>
    <n v="1580"/>
    <x v="2"/>
    <x v="33"/>
  </r>
  <r>
    <n v="24814862"/>
    <m/>
    <x v="0"/>
    <m/>
    <m/>
    <n v="0"/>
    <n v="0"/>
    <m/>
    <m/>
    <m/>
    <x v="12"/>
    <x v="33"/>
  </r>
  <r>
    <n v="24931462"/>
    <m/>
    <x v="0"/>
    <n v="5617.63"/>
    <n v="594.01"/>
    <n v="1685.289"/>
    <n v="850.64000000000055"/>
    <d v="2028-05-01T00:00:00"/>
    <s v="DNX EXPRESS"/>
    <n v="594.01"/>
    <x v="24"/>
    <x v="33"/>
  </r>
  <r>
    <n v="24926032"/>
    <n v="5219981629709"/>
    <x v="1"/>
    <n v="9135.7999999999993"/>
    <m/>
    <n v="2740.74"/>
    <n v="2740.74"/>
    <m/>
    <m/>
    <m/>
    <x v="21"/>
    <x v="33"/>
  </r>
  <r>
    <n v="24931906"/>
    <m/>
    <x v="3"/>
    <n v="9081.52"/>
    <n v="2514.25"/>
    <n v="2724.4560000000001"/>
    <n v="210.20600000000013"/>
    <d v="2027-09-01T00:00:00"/>
    <s v="CONSUBANCO"/>
    <n v="2514.25"/>
    <x v="26"/>
    <x v="33"/>
  </r>
  <r>
    <n v="24932104"/>
    <m/>
    <x v="0"/>
    <n v="15165.19"/>
    <n v="3539.65"/>
    <n v="4549.5569999999998"/>
    <n v="1009.9069999999997"/>
    <d v="2027-08-01T00:00:00"/>
    <s v="PROFUTURO"/>
    <n v="1874.45"/>
    <x v="24"/>
    <x v="33"/>
  </r>
  <r>
    <n v="24930576"/>
    <n v="5213411596451"/>
    <x v="1"/>
    <n v="16437"/>
    <n v="2050"/>
    <n v="4931.0999999999995"/>
    <n v="2881.0999999999995"/>
    <n v="46508"/>
    <s v="INBURSA"/>
    <n v="2050"/>
    <x v="27"/>
    <x v="33"/>
  </r>
  <r>
    <n v="24814380"/>
    <m/>
    <x v="0"/>
    <m/>
    <m/>
    <n v="0"/>
    <n v="0"/>
    <m/>
    <m/>
    <m/>
    <x v="12"/>
    <x v="33"/>
  </r>
  <r>
    <m/>
    <m/>
    <x v="5"/>
    <m/>
    <m/>
    <m/>
    <m/>
    <m/>
    <m/>
    <m/>
    <x v="34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0608E-C62C-47B9-B5E5-73E7B340786D}" name="TablaDinámica2" cacheId="2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2">
    <pivotField compact="0" outline="0" showAll="0"/>
    <pivotField compact="0" outline="0" showAll="0"/>
    <pivotField axis="axisCol" dataField="1" compact="0" outline="0" showAll="0">
      <items count="7">
        <item x="2"/>
        <item x="4"/>
        <item x="1"/>
        <item x="0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4">
        <item x="3"/>
        <item x="10"/>
        <item x="5"/>
        <item x="11"/>
        <item x="9"/>
        <item x="6"/>
        <item x="12"/>
        <item x="2"/>
        <item x="7"/>
        <item x="1"/>
        <item x="8"/>
        <item x="4"/>
        <item x="34"/>
        <item x="13"/>
        <item x="14"/>
        <item x="15"/>
        <item x="16"/>
        <item x="17"/>
        <item x="18"/>
        <item x="0"/>
        <item m="1" x="42"/>
        <item x="19"/>
        <item m="1" x="41"/>
        <item x="20"/>
        <item x="21"/>
        <item x="22"/>
        <item x="23"/>
        <item x="25"/>
        <item x="24"/>
        <item x="26"/>
        <item x="27"/>
        <item x="28"/>
        <item x="29"/>
        <item x="30"/>
        <item m="1" x="40"/>
        <item m="1" x="39"/>
        <item x="31"/>
        <item x="32"/>
        <item m="1" x="38"/>
        <item x="33"/>
        <item m="1" x="35"/>
        <item m="1" x="37"/>
        <item m="1" x="36"/>
        <item t="default"/>
      </items>
    </pivotField>
    <pivotField axis="axisPage" compact="0" outline="0" multipleItemSelectionAllowed="1" showAll="0">
      <items count="36">
        <item h="1" x="0"/>
        <item h="1" x="34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t="default"/>
      </items>
    </pivotField>
  </pivotFields>
  <rowFields count="1">
    <field x="10"/>
  </rowFields>
  <rowItems count="8">
    <i>
      <x v="6"/>
    </i>
    <i>
      <x v="7"/>
    </i>
    <i>
      <x v="24"/>
    </i>
    <i>
      <x v="28"/>
    </i>
    <i>
      <x v="29"/>
    </i>
    <i>
      <x v="30"/>
    </i>
    <i>
      <x v="32"/>
    </i>
    <i t="grand">
      <x/>
    </i>
  </rowItems>
  <colFields count="1">
    <field x="2"/>
  </colFields>
  <colItems count="5">
    <i>
      <x/>
    </i>
    <i>
      <x v="2"/>
    </i>
    <i>
      <x v="3"/>
    </i>
    <i>
      <x v="4"/>
    </i>
    <i t="grand">
      <x/>
    </i>
  </colItems>
  <pageFields count="1">
    <pageField fld="11" hier="-1"/>
  </pageFields>
  <dataFields count="1">
    <dataField name="Recuento de ESTATUS" fld="2" subtotal="count" baseField="0" baseItem="0"/>
  </dataFields>
  <formats count="6">
    <format dxfId="1068">
      <pivotArea dataOnly="0" labelOnly="1" outline="0" fieldPosition="0">
        <references count="1">
          <reference field="10" count="1">
            <x v="5"/>
          </reference>
        </references>
      </pivotArea>
    </format>
    <format dxfId="1069">
      <pivotArea dataOnly="0" labelOnly="1" outline="0" fieldPosition="0">
        <references count="1">
          <reference field="10" count="1">
            <x v="2"/>
          </reference>
        </references>
      </pivotArea>
    </format>
    <format dxfId="1070">
      <pivotArea dataOnly="0" labelOnly="1" outline="0" fieldPosition="0">
        <references count="1">
          <reference field="10" count="1">
            <x v="17"/>
          </reference>
        </references>
      </pivotArea>
    </format>
    <format dxfId="1071">
      <pivotArea dataOnly="0" labelOnly="1" outline="0" fieldPosition="0">
        <references count="1">
          <reference field="10" count="1">
            <x v="2"/>
          </reference>
        </references>
      </pivotArea>
    </format>
    <format dxfId="1072">
      <pivotArea dataOnly="0" labelOnly="1" outline="0" fieldPosition="0">
        <references count="1">
          <reference field="10" count="1">
            <x v="5"/>
          </reference>
        </references>
      </pivotArea>
    </format>
    <format dxfId="1073">
      <pivotArea dataOnly="0" labelOnly="1" outline="0" fieldPosition="0">
        <references count="1">
          <reference field="10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F1239-9039-4AEC-84DE-376BEAEB4F82}" name="Tabla1" displayName="Tabla1" ref="A1:Z3007" totalsRowShown="0" tableBorderDxfId="1065">
  <autoFilter ref="A1:Z3007" xr:uid="{F274FABB-DF5C-4F9E-B98F-F8DC866DADF5}">
    <filterColumn colId="10">
      <filters>
        <filter val="COMPRA MAYOR"/>
        <filter val="COMPRA MENOR"/>
        <filter val="NUEVO MAYOR"/>
        <filter val="NUEVO MENOR"/>
        <filter val="RESTRINGIDA"/>
      </filters>
    </filterColumn>
  </autoFilter>
  <tableColumns count="26">
    <tableColumn id="1" xr3:uid="{2D46AC31-53E2-43BB-836C-2103F5839ACE}" name="ID Lead" dataDxfId="1064"/>
    <tableColumn id="2" xr3:uid="{2C602988-2470-438E-9787-C1D10119392A}" name="fecha" dataDxfId="1063"/>
    <tableColumn id="3" xr3:uid="{91C001D3-16EB-41B0-8784-BF96C90B5E88}" name="Hora" dataDxfId="1062"/>
    <tableColumn id="4" xr3:uid="{AC312EAE-FA5E-4646-A08A-7E3233502C9B}" name="Nombre" dataDxfId="1061"/>
    <tableColumn id="5" xr3:uid="{B73157E1-BB63-486B-8FBD-8524F545AA76}" name="Telefono" dataDxfId="1060"/>
    <tableColumn id="6" xr3:uid="{0DA136FF-E631-4118-BE3A-6D452478C51A}" name="telefono2" dataDxfId="1059"/>
    <tableColumn id="7" xr3:uid="{1D4E98F1-5115-4F7B-AFE2-DCDB61E30046}" name="CURP" dataDxfId="1058"/>
    <tableColumn id="8" xr3:uid="{306E9C7B-AD23-4575-BA26-E43BE4D79BF7}" name="NSS" dataDxfId="1057"/>
    <tableColumn id="9" xr3:uid="{29313985-1BB5-4ED9-A121-860AE56C149E}" name="Fecha_de_nac" dataDxfId="1056"/>
    <tableColumn id="10" xr3:uid="{C95DDED0-B40E-42FD-838E-CD2A8DB90520}" name="Estado_de_nac" dataDxfId="1055"/>
    <tableColumn id="11" xr3:uid="{2ABF5F26-AC75-46F4-BB11-127A24C76FFC}" name="ESTATUS"/>
    <tableColumn id="12" xr3:uid="{52987DDA-9C8C-4AE9-AE0A-4EF0516EAFA9}" name=" INFORMEDEPAGO " dataDxfId="1054"/>
    <tableColumn id="13" xr3:uid="{CCFDDCA8-2D35-4045-A0A5-FFA5A6A45EE3}" name="DESCUENTOS" dataDxfId="1053"/>
    <tableColumn id="14" xr3:uid="{131F296F-EA8F-4D59-9056-2A0FEB42E445}" name="$0.30 " dataDxfId="1052">
      <calculatedColumnFormula>L2*0.3</calculatedColumnFormula>
    </tableColumn>
    <tableColumn id="15" xr3:uid="{5159D7F3-4580-4BB0-90F6-2DB4A39F7D4E}" name="CAPACIDAD" dataDxfId="1051">
      <calculatedColumnFormula>(IF(L2&lt;4172.98,0,MIN(L2*0.3,L2-4172.98)))-M2</calculatedColumnFormula>
    </tableColumn>
    <tableColumn id="16" xr3:uid="{78C05319-A3B6-4499-865A-A34E5B091D1D}" name="VENCIMIENTO"/>
    <tableColumn id="17" xr3:uid="{2C0F5A3A-D622-41A7-8BAA-47CE68499047}" name="FINANCIERA "/>
    <tableColumn id="22" xr3:uid="{A2E09F8C-EA4C-417C-A315-E5F304671169}" name="MONTO COMPRA" dataDxfId="1050"/>
    <tableColumn id="18" xr3:uid="{9FC35C1E-2806-441E-A8E7-EE6AF43C07B8}" name="ASIGNADO A " dataDxfId="1049"/>
    <tableColumn id="19" xr3:uid="{4FE0EB1F-8FA7-468B-B962-EB2CA15A5CDC}" name="FECHA ASIG" dataDxfId="1048"/>
    <tableColumn id="20" xr3:uid="{EF37C8CC-FE55-426A-BA06-52F66DAFB509}" name="Columna1"/>
    <tableColumn id="21" xr3:uid="{A3E9BD69-379B-437A-AD96-13274B32738E}" name="Columna2"/>
    <tableColumn id="23" xr3:uid="{8F7C1C56-DF9E-4657-92FD-E6F033765B45}" name="Columna3"/>
    <tableColumn id="24" xr3:uid="{8D6B9FD6-61B0-40FF-8A9C-C61B2668DBA4}" name="Columna4"/>
    <tableColumn id="25" xr3:uid="{45F989DD-4EE1-49FF-9F15-924E0CBF3BD3}" name="Columna5"/>
    <tableColumn id="26" xr3:uid="{267F196A-DBC0-4CC6-B8FB-F940940C2711}" name="CONTEO PANTALLA" dataDxfId="104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67A318-27FE-4D71-B8EC-CB92A9FC928C}" name="Tabla2" displayName="Tabla2" ref="A1:L1137" totalsRowShown="0" headerRowDxfId="16" dataDxfId="15">
  <autoFilter ref="A1:L1137" xr:uid="{5667A318-27FE-4D71-B8EC-CB92A9FC928C}"/>
  <tableColumns count="12">
    <tableColumn id="1" xr3:uid="{C0BD36F1-0170-457A-AC06-2B6384BF9B0A}" name="LEAD" dataDxfId="14"/>
    <tableColumn id="2" xr3:uid="{B9D94588-EBCE-4213-8A46-F80B95D27AF0}" name="TELEFONO" dataDxfId="13"/>
    <tableColumn id="3" xr3:uid="{58B27CF6-E9A7-4CE1-A0F4-684E0B7029A1}" name="ESTATUS" dataDxfId="12"/>
    <tableColumn id="4" xr3:uid="{38135DE4-3C8E-4441-A88C-D6E5D282C672}" name=" INFORMEDEPAGO " dataDxfId="11"/>
    <tableColumn id="5" xr3:uid="{55042151-5E35-4F77-908D-877726AAF701}" name="DESCUENTOS" dataDxfId="10"/>
    <tableColumn id="6" xr3:uid="{35ECF9A0-DF23-4921-9B02-D7BC252C704A}" name="$0.30 " dataDxfId="9">
      <calculatedColumnFormula>D2*0.3</calculatedColumnFormula>
    </tableColumn>
    <tableColumn id="7" xr3:uid="{7BC42840-332D-4BE4-B4A5-0ABA90A2149B}" name="CAPACIDAD" dataDxfId="8">
      <calculatedColumnFormula>(IF(D2&lt;4172.98,0,MIN(D2*0.3,D2-4172.98)))-E2</calculatedColumnFormula>
    </tableColumn>
    <tableColumn id="8" xr3:uid="{17B97947-90AD-46E9-8C90-E8441E0D7633}" name="VENCIMIENTO" dataDxfId="7"/>
    <tableColumn id="9" xr3:uid="{556762BB-E3A9-44C9-A141-65DD5EF2E84D}" name="FINANCIERA " dataDxfId="6"/>
    <tableColumn id="10" xr3:uid="{EABB0507-699E-40C0-A0BF-EAE83EECF68F}" name="Monto compra" dataDxfId="5"/>
    <tableColumn id="11" xr3:uid="{485791AB-AC8B-443E-9F3B-624B76460878}" name="Asignado" dataDxfId="4"/>
    <tableColumn id="12" xr3:uid="{C66E169D-EBF4-450E-B21E-3379B61A5286}" name="Fecha asignacion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5CEE04-D64B-433C-B77E-4E8B1B91A859}" name="Tabla3" displayName="Tabla3" ref="A3:L17" totalsRowShown="0">
  <autoFilter ref="A3:L17" xr:uid="{645CEE04-D64B-433C-B77E-4E8B1B91A859}"/>
  <tableColumns count="12">
    <tableColumn id="1" xr3:uid="{0C780EB4-2B95-46AA-8543-2E737059442C}" name="LEAD"/>
    <tableColumn id="2" xr3:uid="{A95F6484-8426-4BDE-8DCC-16BBF52BE823}" name="TELEFONO"/>
    <tableColumn id="3" xr3:uid="{F89925AF-F31C-40CD-B5A7-FFAD7C7E3F95}" name="ESTATUS"/>
    <tableColumn id="4" xr3:uid="{AC11DFAE-FEFF-40B9-83A5-31B1E30AD3C1}" name=" INFORMEDEPAGO "/>
    <tableColumn id="5" xr3:uid="{C7722FF9-05F4-402E-8498-BDCB3C8B2F17}" name="DESCUENTOS"/>
    <tableColumn id="6" xr3:uid="{435E7104-98BE-4E9E-93A5-FB4C3A9BA912}" name="$0.30 "/>
    <tableColumn id="7" xr3:uid="{FF705E0A-0154-4C9C-876F-E64FEB41CDAC}" name="CAPACIDAD"/>
    <tableColumn id="8" xr3:uid="{DDD19DEE-ABD9-4F44-909E-E81ED3B86392}" name="VENCIMIENTO" dataDxfId="2"/>
    <tableColumn id="9" xr3:uid="{985A62D8-AA44-41F8-843D-D37F847E5170}" name="FINANCIERA "/>
    <tableColumn id="10" xr3:uid="{168722CE-9B1A-4C15-9073-5A00BD4A61F7}" name="Monto compra"/>
    <tableColumn id="11" xr3:uid="{31866DA1-6C80-4934-B37A-3AB10543CB6A}" name="Asignado"/>
    <tableColumn id="12" xr3:uid="{17896F4C-9C29-48DA-A135-8EE5D54D7868}" name="Fecha asignacion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985E5D-9E5B-4FD8-A300-9E689574B4C9}" name="Tabla5" displayName="Tabla5" ref="A3:L6" totalsRowShown="0">
  <autoFilter ref="A3:L6" xr:uid="{0C985E5D-9E5B-4FD8-A300-9E689574B4C9}"/>
  <tableColumns count="12">
    <tableColumn id="1" xr3:uid="{3FD0BE94-B914-4265-B223-3EB5DEE9475F}" name="LEAD"/>
    <tableColumn id="2" xr3:uid="{2A110B12-B95A-4A4B-8172-CAE39630FBE6}" name="TELEFONO"/>
    <tableColumn id="3" xr3:uid="{28E085FE-2124-48F7-82C9-6DC639C1BB9C}" name="ESTATUS"/>
    <tableColumn id="4" xr3:uid="{DA1F0A71-40C7-446C-B6C8-EEF73B8B5D36}" name=" INFORMEDEPAGO "/>
    <tableColumn id="5" xr3:uid="{A742CECF-1DB9-4B3F-A87D-90F0B71A4763}" name="DESCUENTOS"/>
    <tableColumn id="6" xr3:uid="{DAB034A3-C67D-4CF2-9029-89391CD4ECAE}" name="$0.30 "/>
    <tableColumn id="7" xr3:uid="{90D0DAAF-2C09-453F-AC2F-BB90B33F9BB3}" name="CAPACIDAD"/>
    <tableColumn id="8" xr3:uid="{2F61AA56-7112-4901-8E0C-8B2107DC6503}" name="VENCIMIENTO"/>
    <tableColumn id="9" xr3:uid="{43DF1EB2-FF62-4384-BE9F-8F86F75CA23A}" name="FINANCIERA "/>
    <tableColumn id="10" xr3:uid="{AEBFBBA6-2D0F-4DF5-9A24-0DE89E040F13}" name="Monto compra"/>
    <tableColumn id="11" xr3:uid="{941A1694-426E-4D37-9CA2-BB5738933A0E}" name="Asignado"/>
    <tableColumn id="12" xr3:uid="{44370093-B325-41FF-B8CF-81DFA1D10B54}" name="Fecha asign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B8E712-0729-4AB9-8BF4-B4CAAAF50014}">
  <we:reference id="WA200010725" version="1.0.0.1" store="es-mx" storeType="omex"/>
  <we:alternateReferences>
    <we:reference id="WA200010725" version="1.0.0.1" store="es-mx" storeType="omex"/>
  </we:alternateReferences>
  <we:properties>
    <we:property name="claude.fileId" value="&quot;c5a94fa1-91ab-4d35-87c6-e2d50a0db98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Z3007"/>
  <sheetViews>
    <sheetView workbookViewId="0">
      <pane xSplit="1" topLeftCell="B2987" activePane="topRight" state="frozen"/>
      <selection pane="topRight" activeCell="K3002" sqref="K3002:T3002"/>
    </sheetView>
  </sheetViews>
  <sheetFormatPr defaultColWidth="11.42578125" defaultRowHeight="15"/>
  <cols>
    <col min="1" max="1" width="10.140625" bestFit="1" customWidth="1"/>
    <col min="2" max="2" width="12" bestFit="1" customWidth="1"/>
    <col min="3" max="3" width="12.5703125" bestFit="1" customWidth="1"/>
    <col min="4" max="4" width="39.5703125" customWidth="1"/>
    <col min="5" max="5" width="18.42578125" style="2" bestFit="1" customWidth="1"/>
    <col min="6" max="6" width="14.28515625" bestFit="1" customWidth="1"/>
    <col min="7" max="7" width="24.28515625" bestFit="1" customWidth="1"/>
    <col min="8" max="8" width="18.85546875" style="1" bestFit="1" customWidth="1"/>
    <col min="9" max="9" width="10.28515625" customWidth="1"/>
    <col min="10" max="10" width="8.5703125" customWidth="1"/>
    <col min="11" max="11" width="20.5703125" customWidth="1"/>
    <col min="12" max="12" width="13.7109375" style="3" customWidth="1"/>
    <col min="13" max="13" width="16" style="3" bestFit="1" customWidth="1"/>
    <col min="14" max="14" width="11" style="3" bestFit="1" customWidth="1"/>
    <col min="15" max="15" width="14.140625" style="3" customWidth="1"/>
    <col min="16" max="16" width="13" customWidth="1"/>
    <col min="17" max="17" width="17" bestFit="1" customWidth="1"/>
    <col min="18" max="18" width="13.7109375" style="3" customWidth="1"/>
    <col min="19" max="19" width="15.42578125" bestFit="1" customWidth="1"/>
    <col min="20" max="20" width="14.140625" style="48" customWidth="1"/>
    <col min="21" max="21" width="13.5703125" customWidth="1"/>
    <col min="22" max="25" width="12.5703125" customWidth="1"/>
    <col min="26" max="26" width="11.42578125" style="181"/>
  </cols>
  <sheetData>
    <row r="1" spans="1:26" ht="15.7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8" t="s">
        <v>8</v>
      </c>
      <c r="J1" s="8" t="s">
        <v>9</v>
      </c>
      <c r="K1" s="26" t="s">
        <v>10</v>
      </c>
      <c r="L1" s="27" t="s">
        <v>11</v>
      </c>
      <c r="M1" s="28" t="s">
        <v>12</v>
      </c>
      <c r="N1" s="28" t="s">
        <v>13</v>
      </c>
      <c r="O1" s="28" t="s">
        <v>14</v>
      </c>
      <c r="P1" s="29" t="s">
        <v>15</v>
      </c>
      <c r="Q1" s="26" t="s">
        <v>16</v>
      </c>
      <c r="R1" s="60" t="s">
        <v>17</v>
      </c>
      <c r="S1" t="s">
        <v>18</v>
      </c>
      <c r="T1" s="48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81" t="s">
        <v>25</v>
      </c>
    </row>
    <row r="2" spans="1:26">
      <c r="A2" s="12">
        <v>23298744</v>
      </c>
      <c r="B2" s="13">
        <v>46236</v>
      </c>
      <c r="C2" s="14">
        <v>0.59015046296296292</v>
      </c>
      <c r="D2" s="15"/>
      <c r="E2" s="16">
        <v>5218113173320</v>
      </c>
      <c r="F2" s="15"/>
      <c r="G2" s="15" t="s">
        <v>26</v>
      </c>
      <c r="H2" s="17">
        <v>43825908031</v>
      </c>
      <c r="I2" s="15"/>
      <c r="J2" s="18"/>
      <c r="K2" t="s">
        <v>27</v>
      </c>
      <c r="L2" s="4">
        <v>46262.13</v>
      </c>
      <c r="M2" s="4">
        <v>13312.31</v>
      </c>
      <c r="N2" s="3">
        <f>L2*0.3</f>
        <v>13878.638999999999</v>
      </c>
      <c r="O2" s="3">
        <f>(IF(L2&lt;4172.98,0,MIN(L2*0.3,L2-4172.98)))-M2</f>
        <v>566.32899999999972</v>
      </c>
      <c r="P2" s="6">
        <v>46113</v>
      </c>
      <c r="S2" s="3" t="s">
        <v>28</v>
      </c>
      <c r="T2" s="48">
        <v>46237</v>
      </c>
      <c r="Z2" s="181">
        <v>2</v>
      </c>
    </row>
    <row r="3" spans="1:26" hidden="1">
      <c r="A3" s="12">
        <v>23299154</v>
      </c>
      <c r="B3" s="13">
        <v>46236</v>
      </c>
      <c r="C3" s="14">
        <v>0.6129282407407407</v>
      </c>
      <c r="D3" s="15"/>
      <c r="E3" s="16">
        <v>5218182058119</v>
      </c>
      <c r="F3" s="15"/>
      <c r="G3" s="15" t="s">
        <v>29</v>
      </c>
      <c r="H3" s="17">
        <v>67866773756</v>
      </c>
      <c r="I3" s="15"/>
      <c r="J3" s="18"/>
      <c r="K3" t="s">
        <v>30</v>
      </c>
      <c r="L3" s="4">
        <v>10369.35</v>
      </c>
      <c r="M3" s="4">
        <v>2999.23</v>
      </c>
      <c r="N3" s="3">
        <f t="shared" ref="N3:N42" si="0">L3*0.3</f>
        <v>3110.8049999999998</v>
      </c>
      <c r="O3" s="3">
        <f>(IF(L3&lt;4172.98,0,MIN(L3*0.3,L3-4172.98)))-M3</f>
        <v>111.57499999999982</v>
      </c>
      <c r="P3" s="6">
        <v>46600</v>
      </c>
      <c r="S3" s="3" t="s">
        <v>31</v>
      </c>
      <c r="Z3" s="181">
        <v>2</v>
      </c>
    </row>
    <row r="4" spans="1:26" hidden="1">
      <c r="A4" s="12">
        <v>23299316</v>
      </c>
      <c r="B4" s="13">
        <v>46236</v>
      </c>
      <c r="C4" s="14">
        <v>0.62565972222222221</v>
      </c>
      <c r="D4" s="15"/>
      <c r="E4" s="16">
        <v>5215521391613</v>
      </c>
      <c r="F4" s="15"/>
      <c r="G4" s="15"/>
      <c r="H4" s="17">
        <v>30139412834</v>
      </c>
      <c r="I4" s="15"/>
      <c r="J4" s="18"/>
      <c r="K4" t="s">
        <v>32</v>
      </c>
      <c r="N4" s="3">
        <f t="shared" si="0"/>
        <v>0</v>
      </c>
      <c r="O4" s="3">
        <f>(IF(L4&lt;4172.98,0,MIN(L4*0.3,L4-4172.98)))-M4</f>
        <v>0</v>
      </c>
      <c r="S4" s="3" t="s">
        <v>31</v>
      </c>
      <c r="Z4" s="181">
        <v>0</v>
      </c>
    </row>
    <row r="5" spans="1:26" hidden="1">
      <c r="A5" s="12">
        <v>23299656</v>
      </c>
      <c r="B5" s="13">
        <v>46236</v>
      </c>
      <c r="C5" s="14">
        <v>0.64082175925925922</v>
      </c>
      <c r="D5" s="15" t="s">
        <v>33</v>
      </c>
      <c r="E5" s="16">
        <v>5219131072974</v>
      </c>
      <c r="F5" s="15"/>
      <c r="G5" s="15"/>
      <c r="H5" s="17">
        <v>81916820731</v>
      </c>
      <c r="I5" s="15"/>
      <c r="J5" s="18"/>
      <c r="K5" t="s">
        <v>32</v>
      </c>
      <c r="N5" s="3">
        <f t="shared" si="0"/>
        <v>0</v>
      </c>
      <c r="O5" s="3">
        <f>(IF(L5&lt;4172.98,0,MIN(L5*0.3,L5-4172.98)))-M5</f>
        <v>0</v>
      </c>
      <c r="S5" s="3" t="s">
        <v>31</v>
      </c>
      <c r="Z5" s="181">
        <v>0</v>
      </c>
    </row>
    <row r="6" spans="1:26" hidden="1">
      <c r="A6" s="12">
        <v>23299908</v>
      </c>
      <c r="B6" s="13">
        <v>46236</v>
      </c>
      <c r="C6" s="14">
        <v>0.65543981481481484</v>
      </c>
      <c r="D6" s="15"/>
      <c r="E6" s="16">
        <v>5215519497280</v>
      </c>
      <c r="F6" s="15"/>
      <c r="G6" s="15"/>
      <c r="H6" s="17">
        <v>40856200429</v>
      </c>
      <c r="I6" s="15"/>
      <c r="J6" s="18"/>
      <c r="K6" t="s">
        <v>30</v>
      </c>
      <c r="L6" s="4">
        <v>8422.91</v>
      </c>
      <c r="M6" s="4">
        <v>2405.4</v>
      </c>
      <c r="N6" s="3">
        <f t="shared" si="0"/>
        <v>2526.873</v>
      </c>
      <c r="O6" s="3">
        <f>(IF(L6&lt;4172.98,0,MIN(L6*0.3,L6-4172.98)))-M6</f>
        <v>121.47299999999996</v>
      </c>
      <c r="P6" s="6">
        <v>46692</v>
      </c>
      <c r="S6" s="3" t="s">
        <v>31</v>
      </c>
      <c r="Z6" s="181">
        <v>2</v>
      </c>
    </row>
    <row r="7" spans="1:26">
      <c r="A7" s="12">
        <v>23299544</v>
      </c>
      <c r="B7" s="13">
        <v>46236</v>
      </c>
      <c r="C7" s="14">
        <v>0.66197916666666667</v>
      </c>
      <c r="D7" s="15"/>
      <c r="E7" s="16">
        <v>5218123566431</v>
      </c>
      <c r="F7" s="15"/>
      <c r="G7" s="15"/>
      <c r="H7" s="17">
        <v>43786040246</v>
      </c>
      <c r="I7" s="15"/>
      <c r="J7" s="18"/>
      <c r="K7" t="s">
        <v>34</v>
      </c>
      <c r="L7" s="4">
        <v>57317.73</v>
      </c>
      <c r="M7" s="4">
        <v>7395.9</v>
      </c>
      <c r="N7" s="3">
        <f t="shared" si="0"/>
        <v>17195.319</v>
      </c>
      <c r="O7" s="3">
        <f>(IF(L7&lt;4172.98,0,MIN(L7*0.3,L7-4172.98)))-M7</f>
        <v>9799.4189999999999</v>
      </c>
      <c r="P7" s="6">
        <v>45901</v>
      </c>
      <c r="S7" s="3" t="s">
        <v>35</v>
      </c>
      <c r="T7" s="48">
        <v>46237</v>
      </c>
      <c r="Z7" s="181">
        <v>2</v>
      </c>
    </row>
    <row r="8" spans="1:26" hidden="1">
      <c r="A8" s="12">
        <v>23300568</v>
      </c>
      <c r="B8" s="13">
        <v>46236</v>
      </c>
      <c r="C8" s="14">
        <v>0.68758101851851849</v>
      </c>
      <c r="D8" s="15"/>
      <c r="E8" s="16">
        <v>5218112130042</v>
      </c>
      <c r="F8" s="15"/>
      <c r="G8" s="15"/>
      <c r="H8" s="17" t="s">
        <v>36</v>
      </c>
      <c r="I8" s="15"/>
      <c r="J8" s="18"/>
      <c r="K8" t="s">
        <v>30</v>
      </c>
      <c r="L8" s="4">
        <v>5731.78</v>
      </c>
      <c r="M8" s="4">
        <v>1471.96</v>
      </c>
      <c r="N8" s="3">
        <f t="shared" si="0"/>
        <v>1719.5339999999999</v>
      </c>
      <c r="O8" s="3">
        <f>(IF(L8&lt;4172.98,0,MIN(L8*0.3,L8-4172.98)))-M8</f>
        <v>86.840000000000146</v>
      </c>
      <c r="P8" s="6">
        <v>46539</v>
      </c>
      <c r="S8" s="3" t="s">
        <v>31</v>
      </c>
      <c r="Z8" s="181">
        <v>2</v>
      </c>
    </row>
    <row r="9" spans="1:26" hidden="1">
      <c r="A9" s="12">
        <v>23300548</v>
      </c>
      <c r="B9" s="13">
        <v>46236</v>
      </c>
      <c r="C9" s="14">
        <v>0.69230324074074079</v>
      </c>
      <c r="D9" s="15"/>
      <c r="E9" s="16">
        <v>5219982196773</v>
      </c>
      <c r="F9" s="15"/>
      <c r="G9" s="15" t="s">
        <v>37</v>
      </c>
      <c r="H9" s="17"/>
      <c r="I9" s="15"/>
      <c r="J9" s="18"/>
      <c r="K9" t="s">
        <v>32</v>
      </c>
      <c r="N9" s="3">
        <f t="shared" si="0"/>
        <v>0</v>
      </c>
      <c r="O9" s="3">
        <f>(IF(L9&lt;4172.98,0,MIN(L9*0.3,L9-4172.98)))-M9</f>
        <v>0</v>
      </c>
      <c r="S9" s="3" t="s">
        <v>31</v>
      </c>
      <c r="Z9" s="181">
        <v>0</v>
      </c>
    </row>
    <row r="10" spans="1:26">
      <c r="A10" s="12">
        <v>23300600</v>
      </c>
      <c r="B10" s="13">
        <v>46236</v>
      </c>
      <c r="C10" s="14">
        <v>0.7021412037037037</v>
      </c>
      <c r="D10" s="15"/>
      <c r="E10" s="16">
        <v>5219515471777</v>
      </c>
      <c r="F10" s="15"/>
      <c r="G10" s="15"/>
      <c r="H10" s="17">
        <v>78715500605</v>
      </c>
      <c r="I10" s="15"/>
      <c r="J10" s="18"/>
      <c r="K10" t="s">
        <v>38</v>
      </c>
      <c r="L10" s="4">
        <v>31365.91</v>
      </c>
      <c r="M10" s="4">
        <v>8967.69</v>
      </c>
      <c r="N10" s="3">
        <f t="shared" si="0"/>
        <v>9409.7729999999992</v>
      </c>
      <c r="O10" s="3">
        <f>(IF(L10&lt;4172.98,0,MIN(L10*0.3,L10-4172.98)))-M10</f>
        <v>442.08299999999872</v>
      </c>
      <c r="P10" s="6">
        <v>46508</v>
      </c>
      <c r="Q10" t="s">
        <v>34</v>
      </c>
      <c r="S10" s="3" t="s">
        <v>39</v>
      </c>
      <c r="T10" s="48">
        <v>46237</v>
      </c>
      <c r="Z10" s="181">
        <v>2</v>
      </c>
    </row>
    <row r="11" spans="1:26" hidden="1">
      <c r="A11" s="12">
        <v>23300818</v>
      </c>
      <c r="B11" s="13">
        <v>46236</v>
      </c>
      <c r="C11" s="14">
        <v>0.71062499999999995</v>
      </c>
      <c r="D11" s="15"/>
      <c r="E11" s="16">
        <v>5216141849678</v>
      </c>
      <c r="F11" s="15"/>
      <c r="G11" s="15" t="s">
        <v>40</v>
      </c>
      <c r="H11" s="17">
        <v>11806300767</v>
      </c>
      <c r="I11" s="15"/>
      <c r="J11" s="18"/>
      <c r="K11" t="s">
        <v>30</v>
      </c>
      <c r="L11" s="4">
        <v>33322.300000000003</v>
      </c>
      <c r="M11" s="4">
        <v>9995.93</v>
      </c>
      <c r="N11" s="3">
        <f t="shared" si="0"/>
        <v>9996.69</v>
      </c>
      <c r="O11" s="3">
        <f>(IF(L11&lt;4172.98,0,MIN(L11*0.3,L11-4172.98)))-M11</f>
        <v>0.76000000000021828</v>
      </c>
      <c r="P11" s="6">
        <v>46235</v>
      </c>
      <c r="Q11" t="s">
        <v>41</v>
      </c>
      <c r="S11" s="3" t="s">
        <v>31</v>
      </c>
      <c r="Z11" s="181">
        <v>2</v>
      </c>
    </row>
    <row r="12" spans="1:26" hidden="1">
      <c r="A12" s="12">
        <v>23300914</v>
      </c>
      <c r="B12" s="13">
        <v>46236</v>
      </c>
      <c r="C12" s="14">
        <v>0.71281249999999996</v>
      </c>
      <c r="D12" s="15"/>
      <c r="E12" s="16">
        <v>5216141034612</v>
      </c>
      <c r="F12" s="15"/>
      <c r="G12" s="15"/>
      <c r="H12" s="17">
        <v>33956603576</v>
      </c>
      <c r="I12" s="15"/>
      <c r="J12" s="18"/>
      <c r="K12" t="s">
        <v>32</v>
      </c>
      <c r="N12" s="3">
        <f t="shared" si="0"/>
        <v>0</v>
      </c>
      <c r="O12" s="3">
        <f>(IF(L12&lt;4172.98,0,MIN(L12*0.3,L12-4172.98)))-M12</f>
        <v>0</v>
      </c>
      <c r="S12" s="3" t="s">
        <v>31</v>
      </c>
      <c r="Z12" s="181">
        <v>0</v>
      </c>
    </row>
    <row r="13" spans="1:26" hidden="1">
      <c r="A13" s="12">
        <v>23300954</v>
      </c>
      <c r="B13" s="13">
        <v>46236</v>
      </c>
      <c r="C13" s="14">
        <v>0.7149537037037037</v>
      </c>
      <c r="D13" s="15"/>
      <c r="E13" s="16">
        <v>5213322629652</v>
      </c>
      <c r="F13" s="15"/>
      <c r="G13" s="15" t="s">
        <v>42</v>
      </c>
      <c r="H13" s="17">
        <v>1916102757</v>
      </c>
      <c r="I13" s="15"/>
      <c r="J13" s="18"/>
      <c r="K13" t="s">
        <v>30</v>
      </c>
      <c r="L13" s="4">
        <v>11813.73</v>
      </c>
      <c r="M13" s="4">
        <v>3404.55</v>
      </c>
      <c r="N13" s="3">
        <f t="shared" si="0"/>
        <v>3544.1189999999997</v>
      </c>
      <c r="O13" s="3">
        <f>(IF(L13&lt;4172.98,0,MIN(L13*0.3,L13-4172.98)))-M13</f>
        <v>139.56899999999951</v>
      </c>
      <c r="P13" s="6">
        <v>46569</v>
      </c>
      <c r="Q13" t="s">
        <v>43</v>
      </c>
      <c r="S13" s="3" t="s">
        <v>31</v>
      </c>
      <c r="Z13" s="181">
        <v>2</v>
      </c>
    </row>
    <row r="14" spans="1:26">
      <c r="A14" s="12">
        <v>23300706</v>
      </c>
      <c r="B14" s="13">
        <v>46236</v>
      </c>
      <c r="C14" s="14">
        <v>0.71751157407407407</v>
      </c>
      <c r="D14" s="15"/>
      <c r="E14" s="16">
        <v>5214492254213</v>
      </c>
      <c r="F14" s="15"/>
      <c r="G14" s="15"/>
      <c r="H14" s="17">
        <v>51816312808</v>
      </c>
      <c r="I14" s="15"/>
      <c r="J14" s="18"/>
      <c r="K14" t="s">
        <v>27</v>
      </c>
      <c r="L14" s="4">
        <v>7920.51</v>
      </c>
      <c r="M14" s="4">
        <v>2198.96</v>
      </c>
      <c r="N14" s="3">
        <f t="shared" si="0"/>
        <v>2376.1529999999998</v>
      </c>
      <c r="O14" s="3">
        <f>(IF(L14&lt;4172.98,0,MIN(L14*0.3,L14-4172.98)))-M14</f>
        <v>177.19299999999976</v>
      </c>
      <c r="P14" s="6">
        <v>46143</v>
      </c>
      <c r="Q14" t="s">
        <v>44</v>
      </c>
      <c r="S14" s="3" t="s">
        <v>28</v>
      </c>
      <c r="T14" s="48">
        <v>46237</v>
      </c>
      <c r="Z14" s="181">
        <v>2</v>
      </c>
    </row>
    <row r="15" spans="1:26">
      <c r="A15" s="12">
        <v>23301076</v>
      </c>
      <c r="B15" s="13">
        <v>46236</v>
      </c>
      <c r="C15" s="14">
        <v>0.72693287037037035</v>
      </c>
      <c r="D15" s="15"/>
      <c r="E15" s="16">
        <v>5216241580631</v>
      </c>
      <c r="F15" s="15"/>
      <c r="G15" s="15"/>
      <c r="H15" s="17">
        <v>64806023236</v>
      </c>
      <c r="I15" s="15"/>
      <c r="J15" s="18"/>
      <c r="K15" t="s">
        <v>38</v>
      </c>
      <c r="L15" s="4">
        <v>6262.86</v>
      </c>
      <c r="M15" s="4">
        <v>848</v>
      </c>
      <c r="N15" s="3">
        <f t="shared" si="0"/>
        <v>1878.8579999999997</v>
      </c>
      <c r="O15" s="3">
        <f>(IF(L15&lt;4172.98,0,MIN(L15*0.3,L15-4172.98)))-M15</f>
        <v>1030.8579999999997</v>
      </c>
      <c r="S15" s="3" t="s">
        <v>39</v>
      </c>
      <c r="T15" s="48">
        <v>46237</v>
      </c>
      <c r="Z15" s="181">
        <v>1</v>
      </c>
    </row>
    <row r="16" spans="1:26" hidden="1">
      <c r="A16" s="12">
        <v>23301050</v>
      </c>
      <c r="B16" s="13">
        <v>46236</v>
      </c>
      <c r="C16" s="14">
        <v>0.72687500000000005</v>
      </c>
      <c r="D16" s="15" t="s">
        <v>45</v>
      </c>
      <c r="E16" s="16">
        <v>5213121546335</v>
      </c>
      <c r="F16" s="15"/>
      <c r="G16" s="15" t="s">
        <v>46</v>
      </c>
      <c r="H16" s="17">
        <v>52725112495</v>
      </c>
      <c r="I16" s="15"/>
      <c r="J16" s="18"/>
      <c r="K16" t="s">
        <v>30</v>
      </c>
      <c r="L16" s="4">
        <v>9387.4599999999991</v>
      </c>
      <c r="M16" s="4">
        <v>2605.38</v>
      </c>
      <c r="N16" s="3">
        <f t="shared" si="0"/>
        <v>2816.2379999999998</v>
      </c>
      <c r="O16" s="3">
        <f>(IF(L16&lt;4172.98,0,MIN(L16*0.3,L16-4172.98)))-M16</f>
        <v>210.85799999999972</v>
      </c>
      <c r="P16" s="6">
        <v>46235</v>
      </c>
      <c r="Q16" t="s">
        <v>47</v>
      </c>
      <c r="S16" s="3" t="s">
        <v>31</v>
      </c>
      <c r="Z16" s="181">
        <v>2</v>
      </c>
    </row>
    <row r="17" spans="1:26" hidden="1">
      <c r="A17" s="12">
        <v>23301084</v>
      </c>
      <c r="B17" s="13">
        <v>46236</v>
      </c>
      <c r="C17" s="14">
        <v>0.73387731481481477</v>
      </c>
      <c r="D17" s="15"/>
      <c r="E17" s="16">
        <v>5219511903730</v>
      </c>
      <c r="F17" s="15"/>
      <c r="G17" s="15" t="s">
        <v>48</v>
      </c>
      <c r="H17" s="17">
        <v>859420007</v>
      </c>
      <c r="I17" s="15"/>
      <c r="J17" s="18"/>
      <c r="K17" t="s">
        <v>30</v>
      </c>
      <c r="L17" s="4">
        <v>20593.46</v>
      </c>
      <c r="M17" s="4">
        <v>6175.19</v>
      </c>
      <c r="N17" s="3">
        <f t="shared" si="0"/>
        <v>6178.0379999999996</v>
      </c>
      <c r="O17" s="3">
        <f>(IF(L17&lt;4172.98,0,MIN(L17*0.3,L17-4172.98)))-M17</f>
        <v>2.8479999999999563</v>
      </c>
      <c r="P17" s="6">
        <v>46539</v>
      </c>
      <c r="Q17" t="s">
        <v>47</v>
      </c>
      <c r="S17" s="3" t="s">
        <v>31</v>
      </c>
      <c r="Z17" s="181">
        <v>2</v>
      </c>
    </row>
    <row r="18" spans="1:26" hidden="1">
      <c r="A18" s="12">
        <v>23300266</v>
      </c>
      <c r="B18" s="13">
        <v>46236</v>
      </c>
      <c r="C18" s="14">
        <v>0.73394675925925923</v>
      </c>
      <c r="D18" s="15" t="s">
        <v>49</v>
      </c>
      <c r="E18" s="16">
        <v>5219381573554</v>
      </c>
      <c r="F18" s="15"/>
      <c r="G18" s="15" t="s">
        <v>50</v>
      </c>
      <c r="H18" s="17"/>
      <c r="I18" s="15"/>
      <c r="J18" s="18"/>
      <c r="K18" t="s">
        <v>51</v>
      </c>
      <c r="N18" s="3">
        <f t="shared" si="0"/>
        <v>0</v>
      </c>
      <c r="O18" s="3">
        <f>(IF(L18&lt;4172.98,0,MIN(L18*0.3,L18-4172.98)))-M18</f>
        <v>0</v>
      </c>
      <c r="S18" s="3" t="s">
        <v>31</v>
      </c>
      <c r="Z18" s="181">
        <v>1</v>
      </c>
    </row>
    <row r="19" spans="1:26" hidden="1">
      <c r="A19" s="12">
        <v>23301510</v>
      </c>
      <c r="B19" s="13">
        <v>46236</v>
      </c>
      <c r="C19" s="14">
        <v>0.75048611111111108</v>
      </c>
      <c r="D19" s="15"/>
      <c r="E19" s="16">
        <v>5212331346637</v>
      </c>
      <c r="F19" s="15"/>
      <c r="G19" s="15" t="s">
        <v>52</v>
      </c>
      <c r="H19" s="17"/>
      <c r="I19" s="15"/>
      <c r="J19" s="18"/>
      <c r="K19" t="s">
        <v>32</v>
      </c>
      <c r="N19" s="3">
        <f t="shared" si="0"/>
        <v>0</v>
      </c>
      <c r="O19" s="3">
        <f>(IF(L19&lt;4172.98,0,MIN(L19*0.3,L19-4172.98)))-M19</f>
        <v>0</v>
      </c>
      <c r="S19" s="3" t="s">
        <v>31</v>
      </c>
      <c r="Z19" s="181">
        <v>0</v>
      </c>
    </row>
    <row r="20" spans="1:26">
      <c r="A20" s="12">
        <v>23301606</v>
      </c>
      <c r="B20" s="13">
        <v>46236</v>
      </c>
      <c r="C20" s="14">
        <v>0.75385416666666671</v>
      </c>
      <c r="D20" s="15"/>
      <c r="E20" s="16">
        <v>5215616651378</v>
      </c>
      <c r="F20" s="15"/>
      <c r="G20" s="15" t="s">
        <v>53</v>
      </c>
      <c r="H20" s="17">
        <v>88836524681</v>
      </c>
      <c r="I20" s="15"/>
      <c r="J20" s="18"/>
      <c r="K20" t="s">
        <v>54</v>
      </c>
      <c r="L20" s="3">
        <v>9760.32</v>
      </c>
      <c r="N20" s="3">
        <f t="shared" si="0"/>
        <v>2928.096</v>
      </c>
      <c r="O20" s="3">
        <f>(IF(L20&lt;4172.98,0,MIN(L20*0.3,L20-4172.98)))-M20</f>
        <v>2928.096</v>
      </c>
      <c r="S20" s="3" t="s">
        <v>55</v>
      </c>
      <c r="T20" s="48">
        <v>46237</v>
      </c>
      <c r="Z20" s="181">
        <v>1</v>
      </c>
    </row>
    <row r="21" spans="1:26" hidden="1">
      <c r="A21" s="12">
        <v>23300712</v>
      </c>
      <c r="B21" s="13">
        <v>46236</v>
      </c>
      <c r="C21" s="14">
        <v>0.77042824074074079</v>
      </c>
      <c r="D21" s="15"/>
      <c r="E21" s="16">
        <v>5218712079281</v>
      </c>
      <c r="F21" s="15"/>
      <c r="G21" s="15" t="s">
        <v>56</v>
      </c>
      <c r="H21" s="17">
        <v>32836511389</v>
      </c>
      <c r="I21" s="15"/>
      <c r="J21" s="18"/>
      <c r="K21" t="s">
        <v>30</v>
      </c>
      <c r="L21" s="4">
        <v>10636.54</v>
      </c>
      <c r="M21" s="4">
        <v>3190.96</v>
      </c>
      <c r="N21" s="3">
        <f t="shared" si="0"/>
        <v>3190.962</v>
      </c>
      <c r="O21" s="3">
        <f>(IF(L21&lt;4172.98,0,MIN(L21*0.3,L21-4172.98)))-M21</f>
        <v>1.9999999999527063E-3</v>
      </c>
      <c r="P21" s="6">
        <v>46935</v>
      </c>
      <c r="Q21" t="s">
        <v>57</v>
      </c>
      <c r="S21" s="3" t="s">
        <v>31</v>
      </c>
      <c r="Z21" s="181">
        <v>2</v>
      </c>
    </row>
    <row r="22" spans="1:26" hidden="1">
      <c r="A22" s="12">
        <v>23301156</v>
      </c>
      <c r="B22" s="13">
        <v>46236</v>
      </c>
      <c r="C22" s="14">
        <v>0.77510416666666671</v>
      </c>
      <c r="D22" s="15"/>
      <c r="E22" s="16">
        <v>5216223428578</v>
      </c>
      <c r="F22" s="15"/>
      <c r="G22" s="15"/>
      <c r="H22" s="17">
        <v>24887124378</v>
      </c>
      <c r="I22" s="15"/>
      <c r="J22" s="18"/>
      <c r="K22" t="s">
        <v>58</v>
      </c>
      <c r="L22" s="3">
        <f>2689.75+879</f>
        <v>3568.75</v>
      </c>
      <c r="M22" s="3">
        <v>879</v>
      </c>
      <c r="N22" s="3">
        <f t="shared" si="0"/>
        <v>1070.625</v>
      </c>
      <c r="O22" s="3">
        <f>(IF(L22&lt;4172.98,0,MIN(L22*0.3,L22-4172.98)))-M22</f>
        <v>-879</v>
      </c>
      <c r="S22" s="3" t="s">
        <v>31</v>
      </c>
      <c r="Z22" s="181">
        <v>1</v>
      </c>
    </row>
    <row r="23" spans="1:26" hidden="1">
      <c r="A23" s="12">
        <v>23302060</v>
      </c>
      <c r="B23" s="13">
        <v>46236</v>
      </c>
      <c r="C23" s="14">
        <v>0.77675925925925926</v>
      </c>
      <c r="D23" s="15"/>
      <c r="E23" s="16">
        <v>5214423568355</v>
      </c>
      <c r="F23" s="15"/>
      <c r="G23" s="15"/>
      <c r="H23" s="17">
        <v>11795864781</v>
      </c>
      <c r="I23" s="15"/>
      <c r="J23" s="18"/>
      <c r="K23" t="s">
        <v>30</v>
      </c>
      <c r="L23" s="4">
        <v>14510.86</v>
      </c>
      <c r="M23" s="4">
        <v>4198.34</v>
      </c>
      <c r="N23" s="3">
        <f t="shared" si="0"/>
        <v>4353.2579999999998</v>
      </c>
      <c r="O23" s="3">
        <f>(IF(L23&lt;4172.98,0,MIN(L23*0.3,L23-4172.98)))-M23</f>
        <v>154.91799999999967</v>
      </c>
      <c r="P23" s="6">
        <v>46266</v>
      </c>
      <c r="Q23" t="s">
        <v>59</v>
      </c>
      <c r="S23" s="3" t="s">
        <v>31</v>
      </c>
      <c r="Z23" s="181">
        <v>2</v>
      </c>
    </row>
    <row r="24" spans="1:26" hidden="1">
      <c r="A24" s="12">
        <v>23301374</v>
      </c>
      <c r="B24" s="13">
        <v>46236</v>
      </c>
      <c r="C24" s="14">
        <v>0.81193287037037032</v>
      </c>
      <c r="D24" s="15"/>
      <c r="E24" s="16">
        <v>5213521444213</v>
      </c>
      <c r="F24" s="15"/>
      <c r="G24" s="15" t="s">
        <v>60</v>
      </c>
      <c r="H24" s="17"/>
      <c r="I24" s="15"/>
      <c r="J24" s="18"/>
      <c r="K24" t="s">
        <v>30</v>
      </c>
      <c r="L24" s="4">
        <v>11019.46</v>
      </c>
      <c r="M24" s="4">
        <v>3059.39</v>
      </c>
      <c r="N24" s="3">
        <f t="shared" si="0"/>
        <v>3305.8379999999997</v>
      </c>
      <c r="O24" s="3">
        <f>(IF(L24&lt;4172.98,0,MIN(L24*0.3,L24-4172.98)))-M24</f>
        <v>246.44799999999987</v>
      </c>
      <c r="P24" s="6">
        <v>46388</v>
      </c>
      <c r="S24" s="3" t="s">
        <v>31</v>
      </c>
      <c r="Z24" s="181">
        <v>2</v>
      </c>
    </row>
    <row r="25" spans="1:26" hidden="1">
      <c r="A25" s="12">
        <v>23301550</v>
      </c>
      <c r="B25" s="13">
        <v>46236</v>
      </c>
      <c r="C25" s="14">
        <v>0.8235069444444445</v>
      </c>
      <c r="D25" s="15"/>
      <c r="E25" s="16">
        <v>5218332313530</v>
      </c>
      <c r="F25" s="15"/>
      <c r="G25" s="15"/>
      <c r="H25" s="17">
        <v>33856811998</v>
      </c>
      <c r="I25" s="15"/>
      <c r="J25" s="18"/>
      <c r="K25" t="s">
        <v>30</v>
      </c>
      <c r="L25" s="4">
        <v>8793.09</v>
      </c>
      <c r="M25" s="4">
        <v>2456.91</v>
      </c>
      <c r="N25" s="3">
        <f t="shared" si="0"/>
        <v>2637.9270000000001</v>
      </c>
      <c r="O25" s="3">
        <f>(IF(L25&lt;4172.98,0,MIN(L25*0.3,L25-4172.98)))-M25</f>
        <v>181.01700000000028</v>
      </c>
      <c r="P25" s="6">
        <v>46753</v>
      </c>
      <c r="S25" s="3" t="s">
        <v>31</v>
      </c>
      <c r="Z25" s="181">
        <v>2</v>
      </c>
    </row>
    <row r="26" spans="1:26" hidden="1">
      <c r="A26" s="12">
        <v>23303754</v>
      </c>
      <c r="B26" s="13">
        <v>46236</v>
      </c>
      <c r="C26" s="14">
        <v>0.83473379629629629</v>
      </c>
      <c r="D26" s="15"/>
      <c r="E26" s="16">
        <v>5214493217711</v>
      </c>
      <c r="F26" s="15"/>
      <c r="G26" s="15" t="s">
        <v>61</v>
      </c>
      <c r="H26" s="17"/>
      <c r="I26" s="15"/>
      <c r="J26" s="18"/>
      <c r="K26" t="s">
        <v>30</v>
      </c>
      <c r="L26" s="4">
        <v>24326.77</v>
      </c>
      <c r="M26" s="4">
        <v>7037.95</v>
      </c>
      <c r="N26" s="3">
        <f t="shared" si="0"/>
        <v>7298.0309999999999</v>
      </c>
      <c r="O26" s="3">
        <f>(IF(L26&lt;4172.98,0,MIN(L26*0.3,L26-4172.98)))-M26</f>
        <v>260.08100000000013</v>
      </c>
      <c r="P26" s="6">
        <v>46419</v>
      </c>
      <c r="Q26" t="s">
        <v>57</v>
      </c>
      <c r="S26" s="3" t="s">
        <v>31</v>
      </c>
      <c r="Z26" s="181">
        <v>2</v>
      </c>
    </row>
    <row r="27" spans="1:26">
      <c r="A27" s="12">
        <v>23303760</v>
      </c>
      <c r="B27" s="13">
        <v>46236</v>
      </c>
      <c r="C27" s="14">
        <v>0.83721064814814816</v>
      </c>
      <c r="D27" s="15"/>
      <c r="E27" s="16">
        <v>5219622567303</v>
      </c>
      <c r="F27" s="15"/>
      <c r="G27" s="15"/>
      <c r="H27" s="17">
        <v>71886400559</v>
      </c>
      <c r="I27" s="15"/>
      <c r="J27" s="18"/>
      <c r="K27" t="s">
        <v>54</v>
      </c>
      <c r="L27" s="4">
        <v>14465.36</v>
      </c>
      <c r="M27" s="4">
        <v>0</v>
      </c>
      <c r="N27" s="3">
        <f t="shared" si="0"/>
        <v>4339.6080000000002</v>
      </c>
      <c r="O27" s="3">
        <f>(IF(L27&lt;4172.98,0,MIN(L27*0.3,L27-4172.98)))-M27</f>
        <v>4339.6080000000002</v>
      </c>
      <c r="S27" s="3" t="s">
        <v>62</v>
      </c>
      <c r="T27" s="48">
        <v>46237</v>
      </c>
      <c r="Z27" s="181">
        <v>1</v>
      </c>
    </row>
    <row r="28" spans="1:26">
      <c r="A28" s="12">
        <v>23304336</v>
      </c>
      <c r="B28" s="13">
        <v>46236</v>
      </c>
      <c r="C28" s="14">
        <v>0.90251157407407412</v>
      </c>
      <c r="D28" s="15"/>
      <c r="E28" s="16">
        <v>5215561400218</v>
      </c>
      <c r="F28" s="15"/>
      <c r="G28" s="15"/>
      <c r="H28" s="17">
        <v>1785694611</v>
      </c>
      <c r="I28" s="15"/>
      <c r="J28" s="18"/>
      <c r="K28" t="s">
        <v>54</v>
      </c>
      <c r="L28" s="3">
        <v>47739.839999999997</v>
      </c>
      <c r="N28" s="3">
        <f t="shared" si="0"/>
        <v>14321.951999999999</v>
      </c>
      <c r="O28" s="3">
        <f>(IF(L28&lt;4172.98,0,MIN(L28*0.3,L28-4172.98)))-M28</f>
        <v>14321.951999999999</v>
      </c>
      <c r="S28" s="3" t="s">
        <v>63</v>
      </c>
      <c r="T28" s="48">
        <v>46237</v>
      </c>
      <c r="Z28" s="181">
        <v>1</v>
      </c>
    </row>
    <row r="29" spans="1:26" hidden="1">
      <c r="A29" s="12">
        <v>23305526</v>
      </c>
      <c r="B29" s="13">
        <v>46236</v>
      </c>
      <c r="C29" s="14">
        <v>0.94473379629629628</v>
      </c>
      <c r="D29" s="15" t="s">
        <v>64</v>
      </c>
      <c r="E29" s="16">
        <v>5215519527420</v>
      </c>
      <c r="F29" s="15"/>
      <c r="G29" s="15" t="s">
        <v>65</v>
      </c>
      <c r="H29" s="17"/>
      <c r="I29" s="15"/>
      <c r="J29" s="18"/>
      <c r="K29" t="s">
        <v>32</v>
      </c>
      <c r="N29" s="3">
        <f t="shared" si="0"/>
        <v>0</v>
      </c>
      <c r="O29" s="3">
        <f>(IF(L29&lt;4172.98,0,MIN(L29*0.3,L29-4172.98)))-M29</f>
        <v>0</v>
      </c>
      <c r="S29" s="3" t="s">
        <v>31</v>
      </c>
      <c r="Z29" s="181">
        <v>0</v>
      </c>
    </row>
    <row r="30" spans="1:26" hidden="1">
      <c r="A30" s="12">
        <v>23305844</v>
      </c>
      <c r="B30" s="13">
        <v>46237</v>
      </c>
      <c r="C30" s="14">
        <v>7.7546296296296295E-3</v>
      </c>
      <c r="D30" s="15" t="s">
        <v>66</v>
      </c>
      <c r="E30" s="16">
        <v>5214447676859</v>
      </c>
      <c r="F30" s="15"/>
      <c r="G30" s="15"/>
      <c r="H30" s="17">
        <v>43826501819</v>
      </c>
      <c r="I30" s="15"/>
      <c r="J30" s="18"/>
      <c r="K30" t="s">
        <v>30</v>
      </c>
      <c r="L30" s="4">
        <v>9760.32</v>
      </c>
      <c r="M30" s="4">
        <v>2928.1</v>
      </c>
      <c r="N30" s="3">
        <f t="shared" si="0"/>
        <v>2928.096</v>
      </c>
      <c r="O30" s="3">
        <f>(IF(L30&lt;4172.98,0,MIN(L30*0.3,L30-4172.98)))-M30</f>
        <v>-3.9999999999054126E-3</v>
      </c>
      <c r="P30" s="6">
        <v>46813</v>
      </c>
      <c r="S30" s="3" t="s">
        <v>31</v>
      </c>
      <c r="Z30" s="181">
        <v>2</v>
      </c>
    </row>
    <row r="31" spans="1:26" hidden="1">
      <c r="A31" s="12">
        <v>23306038</v>
      </c>
      <c r="B31" s="13">
        <v>46237</v>
      </c>
      <c r="C31" s="14">
        <v>5.0439814814814812E-2</v>
      </c>
      <c r="D31" s="15" t="s">
        <v>67</v>
      </c>
      <c r="E31" s="16">
        <v>5215521373260</v>
      </c>
      <c r="F31" s="15"/>
      <c r="G31" s="15" t="s">
        <v>68</v>
      </c>
      <c r="H31" s="17"/>
      <c r="I31" s="15"/>
      <c r="J31" s="18"/>
      <c r="K31" t="s">
        <v>30</v>
      </c>
      <c r="L31" s="4">
        <v>7116.73</v>
      </c>
      <c r="M31" s="4">
        <v>2058.29</v>
      </c>
      <c r="N31" s="3">
        <f t="shared" si="0"/>
        <v>2135.0189999999998</v>
      </c>
      <c r="O31" s="3">
        <f>(IF(L31&lt;4172.98,0,MIN(L31*0.3,L31-4172.98)))-M31</f>
        <v>76.728999999999814</v>
      </c>
      <c r="P31" s="6">
        <v>46508</v>
      </c>
      <c r="S31" s="3" t="s">
        <v>69</v>
      </c>
      <c r="Z31" s="181">
        <v>2</v>
      </c>
    </row>
    <row r="32" spans="1:26" hidden="1">
      <c r="A32" s="12">
        <v>23306394</v>
      </c>
      <c r="B32" s="13">
        <v>46237</v>
      </c>
      <c r="C32" s="14">
        <v>0.11071759259259259</v>
      </c>
      <c r="D32" s="15"/>
      <c r="E32" s="16">
        <v>5216862587212</v>
      </c>
      <c r="F32" s="15"/>
      <c r="G32" s="15" t="s">
        <v>70</v>
      </c>
      <c r="H32" s="17"/>
      <c r="I32" s="15"/>
      <c r="J32" s="18"/>
      <c r="K32" t="s">
        <v>30</v>
      </c>
      <c r="L32" s="4">
        <v>5642.22</v>
      </c>
      <c r="M32" s="4">
        <v>1413.59</v>
      </c>
      <c r="N32" s="3">
        <f t="shared" si="0"/>
        <v>1692.6659999999999</v>
      </c>
      <c r="O32" s="3">
        <f>(IF(L32&lt;4172.98,0,MIN(L32*0.3,L32-4172.98)))-M32</f>
        <v>55.650000000000773</v>
      </c>
      <c r="P32" s="6">
        <v>46478</v>
      </c>
      <c r="S32" s="3" t="s">
        <v>69</v>
      </c>
      <c r="Z32" s="181">
        <v>2</v>
      </c>
    </row>
    <row r="33" spans="1:26" hidden="1">
      <c r="A33" s="12">
        <v>23306340</v>
      </c>
      <c r="B33" s="13">
        <v>46237</v>
      </c>
      <c r="C33" s="14">
        <v>0.11096064814814814</v>
      </c>
      <c r="D33" s="15"/>
      <c r="E33" s="16">
        <v>5218129262667</v>
      </c>
      <c r="F33" s="15"/>
      <c r="G33" s="15" t="s">
        <v>71</v>
      </c>
      <c r="H33" s="17" t="s">
        <v>72</v>
      </c>
      <c r="I33" s="15"/>
      <c r="J33" s="18"/>
      <c r="K33" t="s">
        <v>30</v>
      </c>
      <c r="L33" s="4">
        <v>7920.51</v>
      </c>
      <c r="M33" s="4">
        <v>2285.09</v>
      </c>
      <c r="N33" s="3">
        <f t="shared" si="0"/>
        <v>2376.1529999999998</v>
      </c>
      <c r="O33" s="3">
        <f>(IF(L33&lt;4172.98,0,MIN(L33*0.3,L33-4172.98)))-M33</f>
        <v>91.062999999999647</v>
      </c>
      <c r="P33" s="6">
        <v>46631</v>
      </c>
      <c r="Q33" t="s">
        <v>73</v>
      </c>
      <c r="S33" s="3" t="s">
        <v>69</v>
      </c>
      <c r="Z33" s="181">
        <v>2</v>
      </c>
    </row>
    <row r="34" spans="1:26" hidden="1">
      <c r="A34" s="12">
        <v>23306562</v>
      </c>
      <c r="B34" s="13">
        <v>46237</v>
      </c>
      <c r="C34" s="14">
        <v>0.15483796296296296</v>
      </c>
      <c r="D34" s="15"/>
      <c r="E34" s="16">
        <v>5214444036595</v>
      </c>
      <c r="F34" s="15"/>
      <c r="G34" s="15" t="s">
        <v>74</v>
      </c>
      <c r="H34" s="17">
        <v>41836417901</v>
      </c>
      <c r="I34" s="15"/>
      <c r="J34" s="18"/>
      <c r="K34" t="s">
        <v>30</v>
      </c>
      <c r="L34" s="4">
        <v>18548.66</v>
      </c>
      <c r="M34" s="4">
        <v>5358.89</v>
      </c>
      <c r="N34" s="3">
        <f t="shared" si="0"/>
        <v>5564.598</v>
      </c>
      <c r="O34" s="3">
        <f>(IF(L34&lt;4172.98,0,MIN(L34*0.3,L34-4172.98)))-M34</f>
        <v>205.70799999999963</v>
      </c>
      <c r="P34" s="6">
        <v>46357</v>
      </c>
      <c r="Q34" t="s">
        <v>75</v>
      </c>
      <c r="S34" s="3" t="s">
        <v>69</v>
      </c>
      <c r="Z34" s="181">
        <v>2</v>
      </c>
    </row>
    <row r="35" spans="1:26" hidden="1">
      <c r="A35" s="12">
        <v>23308894</v>
      </c>
      <c r="B35" s="13">
        <v>46237</v>
      </c>
      <c r="C35" s="14">
        <v>0.27009259259259261</v>
      </c>
      <c r="D35" s="15"/>
      <c r="E35" s="16">
        <v>5219982902594</v>
      </c>
      <c r="F35" s="15"/>
      <c r="G35" s="15" t="s">
        <v>76</v>
      </c>
      <c r="H35" s="17"/>
      <c r="I35" s="15"/>
      <c r="J35" s="18"/>
      <c r="K35" t="s">
        <v>30</v>
      </c>
      <c r="L35" s="4">
        <v>9760.32</v>
      </c>
      <c r="M35" s="4">
        <v>2823.87</v>
      </c>
      <c r="N35" s="3">
        <f t="shared" si="0"/>
        <v>2928.096</v>
      </c>
      <c r="O35" s="3">
        <f>(IF(L35&lt;4172.98,0,MIN(L35*0.3,L35-4172.98)))-M35</f>
        <v>104.22600000000011</v>
      </c>
      <c r="P35" s="6">
        <v>46539</v>
      </c>
      <c r="Q35" t="s">
        <v>77</v>
      </c>
      <c r="S35" s="3" t="s">
        <v>69</v>
      </c>
      <c r="Z35" s="181">
        <v>2</v>
      </c>
    </row>
    <row r="36" spans="1:26" hidden="1">
      <c r="A36" s="12">
        <v>23308282</v>
      </c>
      <c r="B36" s="13">
        <v>46237</v>
      </c>
      <c r="C36" s="14">
        <v>0.2917939814814815</v>
      </c>
      <c r="D36" s="15"/>
      <c r="E36" s="16">
        <v>5218110179950</v>
      </c>
      <c r="F36" s="15"/>
      <c r="G36" s="15" t="s">
        <v>78</v>
      </c>
      <c r="H36" s="17"/>
      <c r="I36" s="15"/>
      <c r="J36" s="18"/>
      <c r="K36" t="s">
        <v>58</v>
      </c>
      <c r="L36" s="3">
        <v>3904.2</v>
      </c>
      <c r="N36" s="3">
        <f t="shared" si="0"/>
        <v>1171.26</v>
      </c>
      <c r="O36" s="3">
        <f>(IF(L36&lt;4172.98,0,MIN(L36*0.3,L36-4172.98)))-M36</f>
        <v>0</v>
      </c>
      <c r="S36" s="3" t="s">
        <v>69</v>
      </c>
      <c r="Z36" s="181">
        <v>1</v>
      </c>
    </row>
    <row r="37" spans="1:26" hidden="1">
      <c r="A37" s="12">
        <v>23310882</v>
      </c>
      <c r="B37" s="13">
        <v>46237</v>
      </c>
      <c r="C37" s="14">
        <v>0.32886574074074076</v>
      </c>
      <c r="D37" s="15"/>
      <c r="E37" s="16">
        <v>5215577134189</v>
      </c>
      <c r="F37" s="15"/>
      <c r="G37" s="15"/>
      <c r="H37" s="17">
        <v>1624802912</v>
      </c>
      <c r="I37" s="15"/>
      <c r="J37" s="18"/>
      <c r="K37" t="s">
        <v>58</v>
      </c>
      <c r="L37" s="3">
        <f>2119.01+706</f>
        <v>2825.01</v>
      </c>
      <c r="N37" s="3">
        <f t="shared" si="0"/>
        <v>847.50300000000004</v>
      </c>
      <c r="O37" s="3">
        <f>(IF(L37&lt;4172.98,0,MIN(L37*0.3,L37-4172.98)))-M37</f>
        <v>0</v>
      </c>
      <c r="S37" s="3" t="s">
        <v>69</v>
      </c>
      <c r="Z37" s="181">
        <v>1</v>
      </c>
    </row>
    <row r="38" spans="1:26">
      <c r="A38" s="12">
        <v>23311058</v>
      </c>
      <c r="B38" s="13">
        <v>46237</v>
      </c>
      <c r="C38" s="14">
        <v>0.33341435185185186</v>
      </c>
      <c r="D38" s="15"/>
      <c r="E38" s="16">
        <v>5219381005997</v>
      </c>
      <c r="F38" s="15"/>
      <c r="G38" s="15" t="s">
        <v>79</v>
      </c>
      <c r="H38" s="17">
        <v>81816307003</v>
      </c>
      <c r="I38" s="15"/>
      <c r="J38" s="18"/>
      <c r="K38" t="s">
        <v>38</v>
      </c>
      <c r="L38" s="4">
        <v>27974.31</v>
      </c>
      <c r="M38" s="4">
        <v>7719.91</v>
      </c>
      <c r="N38" s="3">
        <f t="shared" si="0"/>
        <v>8392.2929999999997</v>
      </c>
      <c r="O38" s="3">
        <f>(IF(L38&lt;4172.98,0,MIN(L38*0.3,L38-4172.98)))-M38</f>
        <v>672.38299999999981</v>
      </c>
      <c r="P38" s="6">
        <v>46388</v>
      </c>
      <c r="S38" s="3" t="s">
        <v>39</v>
      </c>
      <c r="T38" s="48">
        <v>46237</v>
      </c>
      <c r="Z38" s="181">
        <v>2</v>
      </c>
    </row>
    <row r="39" spans="1:26" hidden="1">
      <c r="A39" s="12">
        <v>23311722</v>
      </c>
      <c r="B39" s="13">
        <v>46237</v>
      </c>
      <c r="C39" s="14">
        <v>0.35986111111111113</v>
      </c>
      <c r="D39" s="15"/>
      <c r="E39" s="16">
        <v>5214612511235</v>
      </c>
      <c r="F39" s="15"/>
      <c r="G39" s="15"/>
      <c r="H39" s="17">
        <v>32826478003</v>
      </c>
      <c r="I39" s="15"/>
      <c r="J39" s="18"/>
      <c r="K39" t="s">
        <v>30</v>
      </c>
      <c r="L39" s="4">
        <v>9081.52</v>
      </c>
      <c r="M39" s="4">
        <v>2716.91</v>
      </c>
      <c r="N39" s="3">
        <f t="shared" si="0"/>
        <v>2724.4560000000001</v>
      </c>
      <c r="O39" s="3">
        <f>(IF(L39&lt;4172.98,0,MIN(L39*0.3,L39-4172.98)))-M39</f>
        <v>7.5460000000002765</v>
      </c>
      <c r="P39" s="6">
        <v>46874</v>
      </c>
      <c r="S39" s="3" t="s">
        <v>69</v>
      </c>
      <c r="Z39" s="181">
        <v>2</v>
      </c>
    </row>
    <row r="40" spans="1:26">
      <c r="A40" s="12">
        <v>23312206</v>
      </c>
      <c r="B40" s="13">
        <v>46237</v>
      </c>
      <c r="C40" s="14">
        <v>0.36368055555555556</v>
      </c>
      <c r="D40" s="15"/>
      <c r="E40" s="16">
        <v>5219878783729</v>
      </c>
      <c r="F40" s="15"/>
      <c r="G40" s="15"/>
      <c r="H40" s="17">
        <v>82937323549</v>
      </c>
      <c r="I40" s="15"/>
      <c r="J40" s="18"/>
      <c r="K40" t="s">
        <v>38</v>
      </c>
      <c r="L40" s="3">
        <v>4746.87</v>
      </c>
      <c r="N40" s="3">
        <f t="shared" si="0"/>
        <v>1424.0609999999999</v>
      </c>
      <c r="O40" s="3">
        <f>(IF(L40&lt;4172.98,0,MIN(L40*0.3,L40-4172.98)))-M40</f>
        <v>573.89000000000033</v>
      </c>
      <c r="S40" s="3" t="s">
        <v>39</v>
      </c>
      <c r="T40" s="48">
        <v>46237</v>
      </c>
      <c r="Z40" s="181">
        <v>1</v>
      </c>
    </row>
    <row r="41" spans="1:26" hidden="1">
      <c r="A41" s="12">
        <v>23312464</v>
      </c>
      <c r="B41" s="13">
        <v>46237</v>
      </c>
      <c r="C41" s="14">
        <v>0.37004629629629632</v>
      </c>
      <c r="D41" s="15"/>
      <c r="E41" s="16">
        <v>5213329321959</v>
      </c>
      <c r="F41" s="15"/>
      <c r="G41" s="15"/>
      <c r="H41" s="17">
        <v>55978108300</v>
      </c>
      <c r="I41" s="15"/>
      <c r="J41" s="18"/>
      <c r="K41" t="s">
        <v>51</v>
      </c>
      <c r="N41" s="3">
        <f t="shared" si="0"/>
        <v>0</v>
      </c>
      <c r="O41" s="3">
        <f>(IF(L41&lt;4172.98,0,MIN(L41*0.3,L41-4172.98)))-M41</f>
        <v>0</v>
      </c>
      <c r="S41" s="3" t="s">
        <v>69</v>
      </c>
      <c r="Z41" s="181">
        <v>1</v>
      </c>
    </row>
    <row r="42" spans="1:26">
      <c r="A42" s="19">
        <v>23312196</v>
      </c>
      <c r="B42" s="20">
        <v>46237</v>
      </c>
      <c r="C42" s="21">
        <v>0.37004629629629632</v>
      </c>
      <c r="D42" s="22"/>
      <c r="E42" s="23">
        <v>5212223011652</v>
      </c>
      <c r="F42" s="22"/>
      <c r="G42" s="22"/>
      <c r="H42" s="24">
        <v>1735171447</v>
      </c>
      <c r="I42" s="22"/>
      <c r="J42" s="25"/>
      <c r="K42" t="s">
        <v>38</v>
      </c>
      <c r="L42" s="4">
        <v>45226.21</v>
      </c>
      <c r="M42" s="4">
        <v>13078.58</v>
      </c>
      <c r="N42" s="3">
        <f t="shared" si="0"/>
        <v>13567.862999999999</v>
      </c>
      <c r="O42" s="3">
        <f>(IF(L42&lt;4172.98,0,MIN(L42*0.3,L42-4172.98)))-M42</f>
        <v>489.28299999999945</v>
      </c>
      <c r="P42" s="6">
        <v>46447</v>
      </c>
      <c r="Q42" t="s">
        <v>80</v>
      </c>
      <c r="S42" s="3" t="s">
        <v>39</v>
      </c>
      <c r="T42" s="48">
        <v>46237</v>
      </c>
      <c r="Z42" s="181">
        <v>2</v>
      </c>
    </row>
    <row r="43" spans="1:26" hidden="1">
      <c r="A43" s="12">
        <v>23312554</v>
      </c>
      <c r="B43" s="13">
        <v>46237</v>
      </c>
      <c r="C43" s="14">
        <v>0.37638888888888888</v>
      </c>
      <c r="D43" s="15"/>
      <c r="E43" s="16">
        <v>5217498500473</v>
      </c>
      <c r="F43" s="15"/>
      <c r="G43" s="15"/>
      <c r="H43" s="17" t="s">
        <v>81</v>
      </c>
      <c r="I43" s="15"/>
      <c r="J43" s="18"/>
      <c r="K43" t="s">
        <v>30</v>
      </c>
      <c r="L43" s="4">
        <v>12669.85</v>
      </c>
      <c r="M43" s="4">
        <v>3662.85</v>
      </c>
      <c r="N43" s="3">
        <f>L43*0.3</f>
        <v>3800.9549999999999</v>
      </c>
      <c r="O43" s="3">
        <f>(IF(L43&lt;4172.98,0,MIN(L43*0.3,L43-4172.98)))-M43</f>
        <v>138.10500000000002</v>
      </c>
      <c r="P43" s="6">
        <v>46600</v>
      </c>
      <c r="S43" s="3" t="s">
        <v>69</v>
      </c>
      <c r="Z43" s="181">
        <v>2</v>
      </c>
    </row>
    <row r="44" spans="1:26">
      <c r="A44" s="12">
        <v>23312882</v>
      </c>
      <c r="B44" s="13">
        <v>46237</v>
      </c>
      <c r="C44" s="14">
        <v>0.37747685185185187</v>
      </c>
      <c r="D44" s="15" t="s">
        <v>82</v>
      </c>
      <c r="E44" s="16">
        <v>5216145991959</v>
      </c>
      <c r="F44" s="15"/>
      <c r="G44" s="15"/>
      <c r="H44" s="17" t="s">
        <v>83</v>
      </c>
      <c r="I44" s="15"/>
      <c r="J44" s="18"/>
      <c r="K44" t="s">
        <v>38</v>
      </c>
      <c r="L44" s="4">
        <v>29885.200000000001</v>
      </c>
      <c r="M44" s="4">
        <v>8642.84</v>
      </c>
      <c r="N44" s="3">
        <f>L44*0.3</f>
        <v>8965.56</v>
      </c>
      <c r="O44" s="3">
        <f>(IF(L44&lt;4172.98,0,MIN(L44*0.3,L44-4172.98)))-M44</f>
        <v>322.71999999999935</v>
      </c>
      <c r="P44" s="6">
        <v>46569</v>
      </c>
      <c r="S44" s="3" t="s">
        <v>39</v>
      </c>
      <c r="T44" s="48">
        <v>46237</v>
      </c>
      <c r="Z44" s="181">
        <v>2</v>
      </c>
    </row>
    <row r="45" spans="1:26" hidden="1">
      <c r="A45" s="12">
        <v>23305634</v>
      </c>
      <c r="B45" s="13">
        <v>46237</v>
      </c>
      <c r="C45" s="14">
        <v>0.39673611111111112</v>
      </c>
      <c r="D45" s="15"/>
      <c r="E45" s="16">
        <v>5218115555355</v>
      </c>
      <c r="F45" s="15"/>
      <c r="G45" s="15"/>
      <c r="H45" s="17" t="s">
        <v>84</v>
      </c>
      <c r="I45" s="15"/>
      <c r="J45" s="18"/>
      <c r="K45" t="s">
        <v>30</v>
      </c>
      <c r="L45" s="4">
        <v>27155.15</v>
      </c>
      <c r="M45" s="4">
        <v>7856.56</v>
      </c>
      <c r="N45" s="3">
        <f>L45*0.3</f>
        <v>8146.5450000000001</v>
      </c>
      <c r="O45" s="3">
        <f>(IF(L45&lt;4172.98,0,MIN(L45*0.3,L45-4172.98)))-M45</f>
        <v>289.98499999999967</v>
      </c>
      <c r="P45" s="6">
        <v>46296</v>
      </c>
      <c r="S45" s="3" t="s">
        <v>69</v>
      </c>
      <c r="Z45" s="181">
        <v>2</v>
      </c>
    </row>
    <row r="46" spans="1:26">
      <c r="A46" s="12">
        <v>23313672</v>
      </c>
      <c r="B46" s="13">
        <v>46237</v>
      </c>
      <c r="C46" s="14">
        <v>0.40275462962962966</v>
      </c>
      <c r="D46" s="15"/>
      <c r="E46" s="16">
        <v>5213121140810</v>
      </c>
      <c r="F46" s="15"/>
      <c r="G46" s="15" t="s">
        <v>85</v>
      </c>
      <c r="H46" s="17"/>
      <c r="I46" s="15"/>
      <c r="J46" s="18"/>
      <c r="K46" t="s">
        <v>54</v>
      </c>
      <c r="L46" s="3">
        <v>9760.32</v>
      </c>
      <c r="N46" s="3">
        <f>L46*0.3</f>
        <v>2928.096</v>
      </c>
      <c r="O46" s="3">
        <f>(IF(L46&lt;4172.98,0,MIN(L46*0.3,L46-4172.98)))-M46</f>
        <v>2928.096</v>
      </c>
      <c r="S46" s="3" t="s">
        <v>28</v>
      </c>
      <c r="T46" s="48">
        <v>46237</v>
      </c>
      <c r="V46" s="56"/>
      <c r="Z46" s="181">
        <v>1</v>
      </c>
    </row>
    <row r="47" spans="1:26" hidden="1">
      <c r="A47" s="12">
        <v>23313974</v>
      </c>
      <c r="B47" s="13">
        <v>46237</v>
      </c>
      <c r="C47" s="14">
        <v>0.40431712962962962</v>
      </c>
      <c r="D47" s="15"/>
      <c r="E47" s="16">
        <v>5216645512458</v>
      </c>
      <c r="F47" s="15"/>
      <c r="G47" s="15"/>
      <c r="H47" s="17" t="s">
        <v>86</v>
      </c>
      <c r="I47" s="15"/>
      <c r="J47" s="18"/>
      <c r="K47" t="s">
        <v>30</v>
      </c>
      <c r="L47" s="4">
        <v>8181.55</v>
      </c>
      <c r="M47" s="4">
        <v>2356.6999999999998</v>
      </c>
      <c r="N47" s="3">
        <f>L47*0.3</f>
        <v>2454.4650000000001</v>
      </c>
      <c r="O47" s="3">
        <f>(IF(L47&lt;4172.98,0,MIN(L47*0.3,L47-4172.98)))-M47</f>
        <v>97.765000000000327</v>
      </c>
      <c r="P47" s="6">
        <v>46508</v>
      </c>
      <c r="S47" s="3" t="s">
        <v>69</v>
      </c>
      <c r="Z47" s="181">
        <v>2</v>
      </c>
    </row>
    <row r="48" spans="1:26" hidden="1">
      <c r="A48" s="12">
        <v>23300904</v>
      </c>
      <c r="B48" s="13">
        <v>46237</v>
      </c>
      <c r="C48" s="14">
        <v>0.44020833333333331</v>
      </c>
      <c r="D48" s="15" t="s">
        <v>87</v>
      </c>
      <c r="E48" s="16">
        <v>5213312182635</v>
      </c>
      <c r="F48" s="15"/>
      <c r="G48" s="15"/>
      <c r="H48" s="17" t="s">
        <v>88</v>
      </c>
      <c r="I48" s="15"/>
      <c r="J48" s="18"/>
      <c r="K48" t="s">
        <v>30</v>
      </c>
      <c r="L48" s="3">
        <v>19834.72</v>
      </c>
      <c r="M48" s="3">
        <v>5950.38</v>
      </c>
      <c r="N48" s="3">
        <f>L48*0.3</f>
        <v>5950.4160000000002</v>
      </c>
      <c r="O48" s="3">
        <f>(IF(L48&lt;4172.98,0,MIN(L48*0.3,L48-4172.98)))-M48</f>
        <v>3.6000000000058208E-2</v>
      </c>
      <c r="P48" s="6">
        <v>46478</v>
      </c>
      <c r="S48" s="3" t="s">
        <v>69</v>
      </c>
      <c r="Z48" s="181">
        <v>2</v>
      </c>
    </row>
    <row r="49" spans="1:26">
      <c r="A49" s="12">
        <v>23315970</v>
      </c>
      <c r="B49" s="13">
        <v>46237</v>
      </c>
      <c r="C49" s="14">
        <v>0.45011574074074073</v>
      </c>
      <c r="D49" s="15"/>
      <c r="E49" s="16">
        <v>5218120943911</v>
      </c>
      <c r="F49" s="15"/>
      <c r="G49" s="15"/>
      <c r="H49" s="17" t="s">
        <v>89</v>
      </c>
      <c r="I49" s="15"/>
      <c r="J49" s="18"/>
      <c r="K49" t="s">
        <v>54</v>
      </c>
      <c r="L49" s="3">
        <v>25461.24</v>
      </c>
      <c r="N49" s="3">
        <f>L49*0.3</f>
        <v>7638.3720000000003</v>
      </c>
      <c r="O49" s="3">
        <f>(IF(L49&lt;4172.98,0,MIN(L49*0.3,L49-4172.98)))-M49</f>
        <v>7638.3720000000003</v>
      </c>
      <c r="S49" s="3" t="s">
        <v>90</v>
      </c>
      <c r="T49" s="48">
        <v>46237</v>
      </c>
      <c r="Z49" s="181">
        <v>1</v>
      </c>
    </row>
    <row r="50" spans="1:26" hidden="1">
      <c r="A50" s="12">
        <v>23316084</v>
      </c>
      <c r="B50" s="13">
        <v>46237</v>
      </c>
      <c r="C50" s="14">
        <v>0.45886574074074077</v>
      </c>
      <c r="D50" s="15"/>
      <c r="E50" s="16">
        <v>5216442125325</v>
      </c>
      <c r="F50" s="15"/>
      <c r="G50" s="15"/>
      <c r="H50" s="17" t="s">
        <v>91</v>
      </c>
      <c r="I50" s="15"/>
      <c r="J50" s="18"/>
      <c r="K50" t="s">
        <v>30</v>
      </c>
      <c r="L50" s="4">
        <v>9760.32</v>
      </c>
      <c r="M50" s="4">
        <v>2927.3</v>
      </c>
      <c r="N50" s="3">
        <f>L50*0.3</f>
        <v>2928.096</v>
      </c>
      <c r="O50" s="3">
        <f>(IF(L50&lt;4172.98,0,MIN(L50*0.3,L50-4172.98)))-M50</f>
        <v>0.79599999999982174</v>
      </c>
      <c r="P50" s="6">
        <v>46692</v>
      </c>
      <c r="S50" s="3" t="s">
        <v>69</v>
      </c>
      <c r="Z50" s="181">
        <v>2</v>
      </c>
    </row>
    <row r="51" spans="1:26" hidden="1">
      <c r="A51" s="12">
        <v>23316336</v>
      </c>
      <c r="B51" s="13">
        <v>46237</v>
      </c>
      <c r="C51" s="14">
        <v>0.45770833333333333</v>
      </c>
      <c r="D51" s="15"/>
      <c r="E51" s="16">
        <v>5218118118694</v>
      </c>
      <c r="F51" s="15"/>
      <c r="G51" s="15"/>
      <c r="H51" s="17" t="s">
        <v>92</v>
      </c>
      <c r="I51" s="15"/>
      <c r="J51" s="18"/>
      <c r="K51" t="s">
        <v>30</v>
      </c>
      <c r="L51" s="4">
        <v>6262.86</v>
      </c>
      <c r="M51" s="4">
        <v>1810</v>
      </c>
      <c r="N51" s="3">
        <f>L51*0.3</f>
        <v>1878.8579999999997</v>
      </c>
      <c r="O51" s="3">
        <f>(IF(L51&lt;4172.98,0,MIN(L51*0.3,L51-4172.98)))-M51</f>
        <v>68.85799999999972</v>
      </c>
      <c r="P51" s="6">
        <v>46600</v>
      </c>
      <c r="S51" s="3" t="s">
        <v>69</v>
      </c>
      <c r="Z51" s="181">
        <v>2</v>
      </c>
    </row>
    <row r="52" spans="1:26" hidden="1">
      <c r="A52" s="12">
        <v>23317232</v>
      </c>
      <c r="B52" s="13">
        <v>46237</v>
      </c>
      <c r="C52" s="14">
        <v>0.48009259259259257</v>
      </c>
      <c r="D52" s="15"/>
      <c r="E52" s="16">
        <v>5218787028059</v>
      </c>
      <c r="F52" s="15"/>
      <c r="G52" s="15" t="s">
        <v>93</v>
      </c>
      <c r="H52" s="17"/>
      <c r="I52" s="15"/>
      <c r="J52" s="18"/>
      <c r="K52" t="s">
        <v>30</v>
      </c>
      <c r="L52" s="4">
        <v>11076.78</v>
      </c>
      <c r="M52" s="4">
        <v>3202.3</v>
      </c>
      <c r="N52" s="3">
        <f>L52*0.3</f>
        <v>3323.0340000000001</v>
      </c>
      <c r="O52" s="3">
        <f>(IF(L52&lt;4172.98,0,MIN(L52*0.3,L52-4172.98)))-M52</f>
        <v>120.73399999999992</v>
      </c>
      <c r="P52" s="6">
        <v>46478</v>
      </c>
      <c r="S52" s="3" t="s">
        <v>69</v>
      </c>
      <c r="Z52" s="181">
        <v>2</v>
      </c>
    </row>
    <row r="53" spans="1:26">
      <c r="A53" s="12">
        <v>23316886</v>
      </c>
      <c r="B53" s="13">
        <v>46237</v>
      </c>
      <c r="C53" s="14">
        <v>0.48607638888888888</v>
      </c>
      <c r="D53" s="15"/>
      <c r="E53" s="16">
        <v>5216565886007</v>
      </c>
      <c r="F53" s="15"/>
      <c r="G53" s="15"/>
      <c r="H53" s="17" t="s">
        <v>94</v>
      </c>
      <c r="I53" s="15"/>
      <c r="J53" s="18"/>
      <c r="K53" t="s">
        <v>54</v>
      </c>
      <c r="L53" s="3">
        <v>9760.32</v>
      </c>
      <c r="N53" s="3">
        <f>L53*0.3</f>
        <v>2928.096</v>
      </c>
      <c r="O53" s="3">
        <f>(IF(L53&lt;4172.98,0,MIN(L53*0.3,L53-4172.98)))-M53</f>
        <v>2928.096</v>
      </c>
      <c r="S53" s="3" t="s">
        <v>95</v>
      </c>
      <c r="T53" s="48">
        <v>46237</v>
      </c>
      <c r="Z53" s="181">
        <v>1</v>
      </c>
    </row>
    <row r="54" spans="1:26">
      <c r="A54" s="12">
        <v>23317238</v>
      </c>
      <c r="B54" s="13">
        <v>46237</v>
      </c>
      <c r="C54" s="14">
        <v>0.48655092592592591</v>
      </c>
      <c r="D54" s="15"/>
      <c r="E54" s="16">
        <v>5219995926207</v>
      </c>
      <c r="F54" s="15"/>
      <c r="G54" s="15"/>
      <c r="H54" s="17" t="s">
        <v>96</v>
      </c>
      <c r="I54" s="15"/>
      <c r="J54" s="18"/>
      <c r="K54" t="s">
        <v>54</v>
      </c>
      <c r="L54" s="3">
        <f>7660.89+879</f>
        <v>8539.89</v>
      </c>
      <c r="M54" s="3">
        <v>879</v>
      </c>
      <c r="N54" s="3">
        <f>L54*0.3</f>
        <v>2561.9669999999996</v>
      </c>
      <c r="O54" s="3">
        <f>(IF(L54&lt;4172.98,0,MIN(L54*0.3,L54-4172.98)))-M54</f>
        <v>1682.9669999999996</v>
      </c>
      <c r="S54" s="3" t="s">
        <v>90</v>
      </c>
      <c r="T54" s="48">
        <v>46237</v>
      </c>
      <c r="Z54" s="181">
        <v>1</v>
      </c>
    </row>
    <row r="55" spans="1:26">
      <c r="A55" s="30">
        <v>23316542</v>
      </c>
      <c r="B55" s="31">
        <v>46237</v>
      </c>
      <c r="C55" s="32">
        <v>0.48957175925925928</v>
      </c>
      <c r="D55" s="33"/>
      <c r="E55" s="34">
        <v>5216642405599</v>
      </c>
      <c r="F55" s="33"/>
      <c r="G55" s="33"/>
      <c r="H55" s="35" t="s">
        <v>97</v>
      </c>
      <c r="I55" s="33"/>
      <c r="J55" s="36"/>
      <c r="K55" t="s">
        <v>54</v>
      </c>
      <c r="L55" s="3">
        <v>18407.189999999999</v>
      </c>
      <c r="N55" s="3">
        <f>L55*0.3</f>
        <v>5522.1569999999992</v>
      </c>
      <c r="O55" s="3">
        <f>(IF(L55&lt;4172.98,0,MIN(L55*0.3,L55-4172.98)))-M55</f>
        <v>5522.1569999999992</v>
      </c>
      <c r="S55" s="3" t="s">
        <v>98</v>
      </c>
      <c r="T55" s="48">
        <v>46237</v>
      </c>
      <c r="Z55" s="181">
        <v>1</v>
      </c>
    </row>
    <row r="56" spans="1:26" hidden="1">
      <c r="A56" s="12">
        <v>23316024</v>
      </c>
      <c r="B56" s="13">
        <v>46237</v>
      </c>
      <c r="C56" s="14">
        <v>0.49767361111111114</v>
      </c>
      <c r="D56" s="15" t="s">
        <v>99</v>
      </c>
      <c r="E56" s="16">
        <v>5213331042826</v>
      </c>
      <c r="F56" s="15"/>
      <c r="G56" s="15" t="s">
        <v>100</v>
      </c>
      <c r="H56" s="17"/>
      <c r="I56" s="15"/>
      <c r="J56" s="18"/>
      <c r="K56" t="s">
        <v>58</v>
      </c>
      <c r="L56" s="3">
        <v>4336.66</v>
      </c>
      <c r="N56" s="3">
        <f>L56*0.3</f>
        <v>1300.9979999999998</v>
      </c>
      <c r="O56" s="3">
        <f>(IF(L56&lt;4172.98,0,MIN(L56*0.3,L56-4172.98)))-M56</f>
        <v>163.68000000000029</v>
      </c>
      <c r="S56" s="3" t="s">
        <v>69</v>
      </c>
      <c r="Z56" s="181">
        <v>1</v>
      </c>
    </row>
    <row r="57" spans="1:26" hidden="1">
      <c r="A57" s="12">
        <v>23318196</v>
      </c>
      <c r="B57" s="13">
        <v>46237</v>
      </c>
      <c r="C57" s="14">
        <v>0.5067476851851852</v>
      </c>
      <c r="D57" s="15" t="s">
        <v>101</v>
      </c>
      <c r="E57" s="16">
        <v>5213221604589</v>
      </c>
      <c r="F57" s="15"/>
      <c r="G57" s="15" t="s">
        <v>102</v>
      </c>
      <c r="H57" s="17" t="s">
        <v>103</v>
      </c>
      <c r="I57" s="15"/>
      <c r="J57" s="18"/>
      <c r="K57" t="s">
        <v>58</v>
      </c>
      <c r="L57" s="3">
        <v>3410.18</v>
      </c>
      <c r="N57" s="3">
        <f>L57*0.3</f>
        <v>1023.0539999999999</v>
      </c>
      <c r="O57" s="3">
        <f>(IF(L57&lt;4172.98,0,MIN(L57*0.3,L57-4172.98)))-M57</f>
        <v>0</v>
      </c>
      <c r="S57" s="3" t="s">
        <v>69</v>
      </c>
      <c r="Z57" s="181">
        <v>1</v>
      </c>
    </row>
    <row r="58" spans="1:26" hidden="1">
      <c r="A58" s="12">
        <v>23314034</v>
      </c>
      <c r="B58" s="13">
        <v>46237</v>
      </c>
      <c r="C58" s="14">
        <v>0.51057870370370373</v>
      </c>
      <c r="D58" s="15"/>
      <c r="E58" s="16">
        <v>5217221001751</v>
      </c>
      <c r="F58" s="15"/>
      <c r="G58" s="15" t="s">
        <v>104</v>
      </c>
      <c r="H58" s="17" t="s">
        <v>105</v>
      </c>
      <c r="I58" s="15"/>
      <c r="J58" s="18"/>
      <c r="K58" t="s">
        <v>30</v>
      </c>
      <c r="L58" s="3">
        <v>16849</v>
      </c>
      <c r="M58" s="3">
        <v>5053.4399999999996</v>
      </c>
      <c r="N58" s="3">
        <f>L58*0.3</f>
        <v>5054.7</v>
      </c>
      <c r="O58" s="3">
        <f>(IF(L58&lt;4172.98,0,MIN(L58*0.3,L58-4172.98)))-M58</f>
        <v>1.2600000000002183</v>
      </c>
      <c r="P58" s="6">
        <v>46935</v>
      </c>
      <c r="S58" s="3" t="s">
        <v>69</v>
      </c>
      <c r="Z58" s="181">
        <v>2</v>
      </c>
    </row>
    <row r="59" spans="1:26">
      <c r="A59" s="30">
        <v>23318434</v>
      </c>
      <c r="B59" s="31">
        <v>46237</v>
      </c>
      <c r="C59" s="32">
        <v>0.52305555555555561</v>
      </c>
      <c r="D59" s="33"/>
      <c r="E59" s="34">
        <v>5216145120003</v>
      </c>
      <c r="F59" s="33"/>
      <c r="G59" s="33"/>
      <c r="H59" s="35" t="s">
        <v>106</v>
      </c>
      <c r="I59" s="33"/>
      <c r="J59" s="36"/>
      <c r="K59" t="s">
        <v>107</v>
      </c>
      <c r="L59" s="3">
        <v>5060.93</v>
      </c>
      <c r="M59" s="3">
        <v>821.75</v>
      </c>
      <c r="N59" s="3">
        <f>L59*0.3</f>
        <v>1518.279</v>
      </c>
      <c r="O59" s="3">
        <f>(IF(L59&lt;4172.98,0,MIN(L59*0.3,L59-4172.98)))-M59</f>
        <v>66.200000000000728</v>
      </c>
      <c r="P59" s="6">
        <v>46082</v>
      </c>
      <c r="S59" s="3" t="s">
        <v>39</v>
      </c>
      <c r="T59" s="48">
        <v>46237</v>
      </c>
      <c r="Z59" s="181">
        <v>2</v>
      </c>
    </row>
    <row r="60" spans="1:26" hidden="1">
      <c r="A60" s="12">
        <v>23319246</v>
      </c>
      <c r="B60" s="13">
        <v>46237</v>
      </c>
      <c r="C60" s="14">
        <v>0.52733796296296298</v>
      </c>
      <c r="D60" s="15"/>
      <c r="E60" s="16">
        <v>5213310102225</v>
      </c>
      <c r="F60" s="15"/>
      <c r="G60" s="15"/>
      <c r="H60" s="17" t="s">
        <v>108</v>
      </c>
      <c r="I60" s="15"/>
      <c r="J60" s="18">
        <v>1</v>
      </c>
      <c r="K60" t="s">
        <v>30</v>
      </c>
      <c r="L60" s="3">
        <v>7116.73</v>
      </c>
      <c r="M60" s="3">
        <v>2051.4299999999998</v>
      </c>
      <c r="N60" s="3">
        <f>L60*0.3</f>
        <v>2135.0189999999998</v>
      </c>
      <c r="O60" s="3">
        <f>(IF(L60&lt;4172.98,0,MIN(L60*0.3,L60-4172.98)))-M60</f>
        <v>83.588999999999942</v>
      </c>
      <c r="P60" s="6">
        <v>46539</v>
      </c>
      <c r="S60" s="3" t="s">
        <v>69</v>
      </c>
      <c r="Z60" s="181">
        <v>2</v>
      </c>
    </row>
    <row r="61" spans="1:26">
      <c r="A61" s="12">
        <v>23316200</v>
      </c>
      <c r="B61" s="13">
        <v>46237</v>
      </c>
      <c r="C61" s="14">
        <v>0.54188657407407403</v>
      </c>
      <c r="D61" s="15"/>
      <c r="E61" s="16">
        <v>5212297640171</v>
      </c>
      <c r="F61" s="15"/>
      <c r="G61" s="15" t="s">
        <v>109</v>
      </c>
      <c r="H61" s="17"/>
      <c r="I61" s="15"/>
      <c r="J61" s="18"/>
      <c r="K61" t="s">
        <v>54</v>
      </c>
      <c r="L61" s="37">
        <v>6555.8</v>
      </c>
      <c r="M61" s="37"/>
      <c r="N61" s="3">
        <f>L61*0.3</f>
        <v>1966.74</v>
      </c>
      <c r="O61" s="3">
        <f>(IF(L61&lt;4172.98,0,MIN(L61*0.3,L61-4172.98)))-M61</f>
        <v>1966.74</v>
      </c>
      <c r="S61" s="3" t="s">
        <v>62</v>
      </c>
      <c r="T61" s="48">
        <v>46237</v>
      </c>
      <c r="Z61" s="181">
        <v>1</v>
      </c>
    </row>
    <row r="62" spans="1:26">
      <c r="A62" s="12">
        <v>23315804</v>
      </c>
      <c r="B62" s="13">
        <v>46237</v>
      </c>
      <c r="C62" s="14">
        <v>0.54604166666666665</v>
      </c>
      <c r="D62" s="15"/>
      <c r="E62" s="16">
        <v>5212321748630</v>
      </c>
      <c r="F62" s="15"/>
      <c r="G62" s="15" t="s">
        <v>110</v>
      </c>
      <c r="H62" s="17" t="s">
        <v>111</v>
      </c>
      <c r="I62" s="15"/>
      <c r="J62" s="18"/>
      <c r="K62" t="s">
        <v>27</v>
      </c>
      <c r="L62" s="37">
        <v>5617.63</v>
      </c>
      <c r="M62" s="37">
        <v>1336.95</v>
      </c>
      <c r="N62" s="3">
        <f>L62*0.3</f>
        <v>1685.289</v>
      </c>
      <c r="O62" s="3">
        <f>(IF(L62&lt;4172.98,0,MIN(L62*0.3,L62-4172.98)))-M62</f>
        <v>107.7000000000005</v>
      </c>
      <c r="P62" s="6">
        <v>46113</v>
      </c>
      <c r="S62" s="3" t="s">
        <v>95</v>
      </c>
      <c r="T62" s="48">
        <v>46237</v>
      </c>
      <c r="Z62" s="181">
        <v>2</v>
      </c>
    </row>
    <row r="63" spans="1:26" hidden="1">
      <c r="A63" s="30">
        <v>23319866</v>
      </c>
      <c r="B63" s="31">
        <v>46237</v>
      </c>
      <c r="C63" s="32">
        <v>0.54570601851851852</v>
      </c>
      <c r="D63" s="33"/>
      <c r="E63" s="34">
        <v>5212971022860</v>
      </c>
      <c r="F63" s="33"/>
      <c r="G63" s="33"/>
      <c r="H63" s="35" t="s">
        <v>112</v>
      </c>
      <c r="I63" s="33"/>
      <c r="J63" s="36"/>
      <c r="K63" t="s">
        <v>30</v>
      </c>
      <c r="L63" s="37">
        <v>4873.6899999999996</v>
      </c>
      <c r="M63" s="37">
        <v>592.94000000000005</v>
      </c>
      <c r="N63" s="3">
        <f>L63*0.3</f>
        <v>1462.1069999999997</v>
      </c>
      <c r="O63" s="3">
        <f>(IF(L63&lt;4172.98,0,MIN(L63*0.3,L63-4172.98)))-M63</f>
        <v>107.76999999999998</v>
      </c>
      <c r="P63" s="6">
        <v>46296</v>
      </c>
      <c r="S63" s="3" t="s">
        <v>69</v>
      </c>
      <c r="Z63" s="181">
        <v>2</v>
      </c>
    </row>
    <row r="64" spans="1:26">
      <c r="A64" s="12">
        <v>23320708</v>
      </c>
      <c r="B64" s="13">
        <v>46237</v>
      </c>
      <c r="C64" s="14">
        <v>0.56013888888888885</v>
      </c>
      <c r="D64" s="15"/>
      <c r="E64" s="16">
        <v>5218127349622</v>
      </c>
      <c r="F64" s="15"/>
      <c r="G64" s="15"/>
      <c r="H64" s="17">
        <v>32775820148</v>
      </c>
      <c r="I64" s="15"/>
      <c r="J64" s="18"/>
      <c r="K64" t="s">
        <v>27</v>
      </c>
      <c r="L64" s="37">
        <v>14983.93</v>
      </c>
      <c r="M64" s="37">
        <v>4160.07</v>
      </c>
      <c r="N64" s="3">
        <f>L64*0.3</f>
        <v>4495.1790000000001</v>
      </c>
      <c r="O64" s="3">
        <f>(IF(L64&lt;4172.98,0,MIN(L64*0.3,L64-4172.98)))-M64</f>
        <v>335.10900000000038</v>
      </c>
      <c r="P64" s="6">
        <v>46204</v>
      </c>
      <c r="S64" s="3" t="s">
        <v>98</v>
      </c>
      <c r="T64" s="48">
        <v>46237</v>
      </c>
      <c r="Z64" s="181">
        <v>2</v>
      </c>
    </row>
    <row r="65" spans="1:26">
      <c r="A65" s="54">
        <v>23320698</v>
      </c>
      <c r="B65" s="13">
        <v>46237</v>
      </c>
      <c r="C65" s="14">
        <v>0.56190972222222224</v>
      </c>
      <c r="D65" s="15"/>
      <c r="E65" s="16">
        <v>5215561879418</v>
      </c>
      <c r="F65" s="15"/>
      <c r="G65" s="15"/>
      <c r="H65" s="17">
        <v>30896703250</v>
      </c>
      <c r="I65" s="15"/>
      <c r="J65" s="18"/>
      <c r="K65" t="s">
        <v>54</v>
      </c>
      <c r="L65" s="3">
        <v>9150</v>
      </c>
      <c r="N65" s="3">
        <f>L65*0.3</f>
        <v>2745</v>
      </c>
      <c r="O65" s="3">
        <f>(IF(L65&lt;4172.98,0,MIN(L65*0.3,L65-4172.98)))-M65</f>
        <v>2745</v>
      </c>
      <c r="S65" s="53" t="s">
        <v>55</v>
      </c>
      <c r="T65" s="48">
        <v>46238</v>
      </c>
      <c r="U65" t="s">
        <v>113</v>
      </c>
      <c r="Z65" s="181">
        <v>1</v>
      </c>
    </row>
    <row r="66" spans="1:26" hidden="1">
      <c r="A66" s="12">
        <v>23320580</v>
      </c>
      <c r="B66" s="13">
        <v>46237</v>
      </c>
      <c r="C66" s="14">
        <v>0.56442129629629634</v>
      </c>
      <c r="D66" s="15"/>
      <c r="E66" s="16">
        <v>5218341485298</v>
      </c>
      <c r="F66" s="15"/>
      <c r="G66" s="15" t="s">
        <v>114</v>
      </c>
      <c r="H66" s="17"/>
      <c r="I66" s="15"/>
      <c r="J66" s="18"/>
      <c r="K66" t="s">
        <v>30</v>
      </c>
      <c r="L66" s="3">
        <v>7135.6</v>
      </c>
      <c r="M66" s="3">
        <v>2138.84</v>
      </c>
      <c r="N66" s="3">
        <f>L66*0.3</f>
        <v>2140.6799999999998</v>
      </c>
      <c r="O66" s="3">
        <f>(IF(L66&lt;4172.98,0,MIN(L66*0.3,L66-4172.98)))-M66</f>
        <v>1.8399999999996908</v>
      </c>
      <c r="P66" s="6">
        <v>46844</v>
      </c>
      <c r="S66" s="3" t="s">
        <v>31</v>
      </c>
      <c r="Z66" s="181">
        <v>2</v>
      </c>
    </row>
    <row r="67" spans="1:26" hidden="1">
      <c r="A67" s="30">
        <v>23320674</v>
      </c>
      <c r="B67" s="31">
        <v>46237</v>
      </c>
      <c r="C67" s="32">
        <v>0.56831018518518517</v>
      </c>
      <c r="D67" s="33"/>
      <c r="E67" s="34">
        <v>5215535353519</v>
      </c>
      <c r="F67" s="33"/>
      <c r="G67" s="33"/>
      <c r="H67" s="35">
        <v>65826340750</v>
      </c>
      <c r="I67" s="33"/>
      <c r="J67" s="36"/>
      <c r="K67" t="s">
        <v>32</v>
      </c>
      <c r="N67" s="3">
        <f>L67*0.3</f>
        <v>0</v>
      </c>
      <c r="O67" s="3">
        <f>(IF(L67&lt;4172.98,0,MIN(L67*0.3,L67-4172.98)))-M67</f>
        <v>0</v>
      </c>
      <c r="S67" s="3" t="s">
        <v>31</v>
      </c>
      <c r="Z67" s="181">
        <v>0</v>
      </c>
    </row>
    <row r="68" spans="1:26" hidden="1">
      <c r="A68" s="12">
        <v>23321198</v>
      </c>
      <c r="B68" s="13">
        <v>46237</v>
      </c>
      <c r="C68" s="14">
        <v>0.58299768518518513</v>
      </c>
      <c r="D68" s="15"/>
      <c r="E68" s="16">
        <v>5212961040866</v>
      </c>
      <c r="F68" s="15"/>
      <c r="G68" s="15"/>
      <c r="H68" s="17">
        <v>65755906743</v>
      </c>
      <c r="I68" s="15"/>
      <c r="J68" s="18"/>
      <c r="K68" t="s">
        <v>30</v>
      </c>
      <c r="L68" s="3">
        <v>4813.6899999999996</v>
      </c>
      <c r="M68" s="3">
        <v>640.70000000000005</v>
      </c>
      <c r="N68" s="3">
        <f>L68*0.3</f>
        <v>1444.1069999999997</v>
      </c>
      <c r="O68" s="3">
        <f>(IF(L68&lt;4172.98,0,MIN(L68*0.3,L68-4172.98)))-M68</f>
        <v>9.9999999999909051E-3</v>
      </c>
      <c r="P68" s="6">
        <v>46935</v>
      </c>
      <c r="S68" s="3" t="s">
        <v>31</v>
      </c>
      <c r="Z68" s="181">
        <v>2</v>
      </c>
    </row>
    <row r="69" spans="1:26" hidden="1">
      <c r="A69" s="12">
        <v>23321714</v>
      </c>
      <c r="B69" s="13">
        <v>46237</v>
      </c>
      <c r="C69" s="14">
        <v>0.58420138888888884</v>
      </c>
      <c r="D69" s="15" t="s">
        <v>115</v>
      </c>
      <c r="E69" s="16">
        <v>5215539291851</v>
      </c>
      <c r="F69" s="15"/>
      <c r="G69" s="15" t="s">
        <v>116</v>
      </c>
      <c r="H69" s="17">
        <v>17846100455</v>
      </c>
      <c r="I69" s="15"/>
      <c r="J69" s="18"/>
      <c r="K69" t="s">
        <v>30</v>
      </c>
      <c r="L69" s="3">
        <v>56395.72</v>
      </c>
      <c r="M69" s="3">
        <v>16918.07</v>
      </c>
      <c r="N69" s="3">
        <f>L69*0.3</f>
        <v>16918.716</v>
      </c>
      <c r="O69" s="3">
        <f>(IF(L69&lt;4172.98,0,MIN(L69*0.3,L69-4172.98)))-M69</f>
        <v>0.64600000000064028</v>
      </c>
      <c r="P69" s="6">
        <v>46419</v>
      </c>
      <c r="S69" s="3" t="s">
        <v>31</v>
      </c>
      <c r="Z69" s="181">
        <v>2</v>
      </c>
    </row>
    <row r="70" spans="1:26" hidden="1">
      <c r="A70" s="12">
        <v>23321918</v>
      </c>
      <c r="B70" s="13">
        <v>46237</v>
      </c>
      <c r="C70" s="14">
        <v>0.58915509259259258</v>
      </c>
      <c r="D70" s="15" t="s">
        <v>117</v>
      </c>
      <c r="E70" s="16">
        <v>5212299113698</v>
      </c>
      <c r="F70" s="15"/>
      <c r="G70" s="15" t="s">
        <v>118</v>
      </c>
      <c r="H70" s="17">
        <v>65806261676</v>
      </c>
      <c r="I70" s="15"/>
      <c r="J70" s="18"/>
      <c r="K70" t="s">
        <v>30</v>
      </c>
      <c r="L70" s="3">
        <v>21952.71</v>
      </c>
      <c r="M70" s="3">
        <v>6584.02</v>
      </c>
      <c r="N70" s="3">
        <f>L70*0.3</f>
        <v>6585.8129999999992</v>
      </c>
      <c r="O70" s="3">
        <f>(IF(L70&lt;4172.98,0,MIN(L70*0.3,L70-4172.98)))-M70</f>
        <v>1.7929999999987558</v>
      </c>
      <c r="P70" s="6">
        <v>46874</v>
      </c>
      <c r="S70" s="3" t="s">
        <v>31</v>
      </c>
      <c r="Z70" s="181">
        <v>2</v>
      </c>
    </row>
    <row r="71" spans="1:26">
      <c r="A71" s="12">
        <v>23320194</v>
      </c>
      <c r="B71" s="13">
        <v>46237</v>
      </c>
      <c r="C71" s="14">
        <v>0.59726851851851848</v>
      </c>
      <c r="D71" s="15"/>
      <c r="E71" s="16">
        <v>5216871669672</v>
      </c>
      <c r="F71" s="15"/>
      <c r="G71" s="15"/>
      <c r="H71" s="17">
        <v>57967718883</v>
      </c>
      <c r="I71" s="15"/>
      <c r="J71" s="18"/>
      <c r="K71" t="s">
        <v>54</v>
      </c>
      <c r="L71" s="3">
        <f>6518.1+848</f>
        <v>7366.1</v>
      </c>
      <c r="M71" s="3">
        <v>848</v>
      </c>
      <c r="N71" s="3">
        <f>L71*0.3</f>
        <v>2209.83</v>
      </c>
      <c r="O71" s="3">
        <f>(IF(L71&lt;4172.98,0,MIN(L71*0.3,L71-4172.98)))-M71</f>
        <v>1361.83</v>
      </c>
      <c r="S71" s="3" t="s">
        <v>55</v>
      </c>
      <c r="T71" s="48">
        <v>46237</v>
      </c>
      <c r="Z71" s="181">
        <v>1</v>
      </c>
    </row>
    <row r="72" spans="1:26">
      <c r="A72" s="30">
        <v>23322392</v>
      </c>
      <c r="B72" s="31">
        <v>46237</v>
      </c>
      <c r="C72" s="32">
        <v>0.60288194444444443</v>
      </c>
      <c r="D72" s="33"/>
      <c r="E72" s="34">
        <v>5214442034763</v>
      </c>
      <c r="F72" s="33"/>
      <c r="G72" s="33" t="s">
        <v>119</v>
      </c>
      <c r="H72" s="35"/>
      <c r="I72" s="33"/>
      <c r="J72" s="36"/>
      <c r="K72" t="s">
        <v>34</v>
      </c>
      <c r="L72" s="3">
        <v>20015.28</v>
      </c>
      <c r="N72" s="3">
        <f>L72*0.3</f>
        <v>6004.5839999999998</v>
      </c>
      <c r="O72" s="3">
        <f>(IF(L72&lt;4172.98,0,MIN(L72*0.3,L72-4172.98)))-M72</f>
        <v>6004.5839999999998</v>
      </c>
      <c r="S72" s="3" t="s">
        <v>35</v>
      </c>
      <c r="T72" s="48">
        <v>46237</v>
      </c>
      <c r="Z72" s="181">
        <v>1</v>
      </c>
    </row>
    <row r="73" spans="1:26" hidden="1">
      <c r="A73" s="12">
        <v>23322352</v>
      </c>
      <c r="B73" s="13">
        <v>46237</v>
      </c>
      <c r="C73" s="14">
        <v>0.60731481481481486</v>
      </c>
      <c r="D73" s="15"/>
      <c r="E73" s="16">
        <v>5216146009556</v>
      </c>
      <c r="F73" s="15"/>
      <c r="G73" s="15" t="s">
        <v>120</v>
      </c>
      <c r="H73" s="17"/>
      <c r="I73" s="15"/>
      <c r="J73" s="18">
        <v>1</v>
      </c>
      <c r="K73" t="s">
        <v>58</v>
      </c>
      <c r="L73" s="3">
        <f>2935.67+848</f>
        <v>3783.67</v>
      </c>
      <c r="M73" s="3">
        <v>848</v>
      </c>
      <c r="N73" s="3">
        <f>L73*0.3</f>
        <v>1135.1009999999999</v>
      </c>
      <c r="O73" s="3">
        <f>(IF(L73&lt;4172.98,0,MIN(L73*0.3,L73-4172.98)))-M73</f>
        <v>-848</v>
      </c>
      <c r="S73" s="3" t="s">
        <v>31</v>
      </c>
      <c r="Z73" s="181">
        <v>1</v>
      </c>
    </row>
    <row r="74" spans="1:26">
      <c r="A74" s="12">
        <v>23322864</v>
      </c>
      <c r="B74" s="13">
        <v>46237</v>
      </c>
      <c r="C74" s="14">
        <v>0.61265046296296299</v>
      </c>
      <c r="D74" s="15"/>
      <c r="E74" s="16">
        <v>5218132701380</v>
      </c>
      <c r="F74" s="15"/>
      <c r="G74" s="15"/>
      <c r="H74" s="17">
        <v>43796295608</v>
      </c>
      <c r="I74" s="15"/>
      <c r="J74" s="18"/>
      <c r="K74" t="s">
        <v>54</v>
      </c>
      <c r="L74" s="3">
        <v>10902.89</v>
      </c>
      <c r="N74" s="3">
        <f>L74*0.3</f>
        <v>3270.8669999999997</v>
      </c>
      <c r="O74" s="3">
        <f>(IF(L74&lt;4172.98,0,MIN(L74*0.3,L74-4172.98)))-M74</f>
        <v>3270.8669999999997</v>
      </c>
      <c r="S74" s="3" t="s">
        <v>63</v>
      </c>
      <c r="T74" s="48">
        <v>46237</v>
      </c>
      <c r="Z74" s="181">
        <v>1</v>
      </c>
    </row>
    <row r="75" spans="1:26" hidden="1">
      <c r="A75" s="12">
        <v>23322962</v>
      </c>
      <c r="B75" s="13">
        <v>46237</v>
      </c>
      <c r="C75" s="14">
        <v>0.61668981481481477</v>
      </c>
      <c r="D75" s="15"/>
      <c r="E75" s="16">
        <v>5216145542133</v>
      </c>
      <c r="F75" s="15"/>
      <c r="G75" s="15"/>
      <c r="H75" s="17">
        <v>35846720734</v>
      </c>
      <c r="I75" s="15"/>
      <c r="J75" s="18"/>
      <c r="K75" t="s">
        <v>58</v>
      </c>
      <c r="L75" s="3">
        <v>4434.66</v>
      </c>
      <c r="M75" s="3">
        <v>252</v>
      </c>
      <c r="N75" s="3">
        <f>L75*0.3</f>
        <v>1330.3979999999999</v>
      </c>
      <c r="O75" s="3">
        <f>(IF(L75&lt;4172.98,0,MIN(L75*0.3,L75-4172.98)))-M75</f>
        <v>9.680000000000291</v>
      </c>
      <c r="S75" s="3" t="s">
        <v>69</v>
      </c>
      <c r="Z75" s="181">
        <v>1</v>
      </c>
    </row>
    <row r="76" spans="1:26" hidden="1">
      <c r="A76" s="30">
        <v>23323122</v>
      </c>
      <c r="B76" s="31">
        <v>46237</v>
      </c>
      <c r="C76" s="32">
        <v>0.61966435185185187</v>
      </c>
      <c r="D76" s="33"/>
      <c r="E76" s="34">
        <v>5213171323918</v>
      </c>
      <c r="F76" s="33"/>
      <c r="G76" s="33" t="s">
        <v>121</v>
      </c>
      <c r="H76" s="35"/>
      <c r="I76" s="33"/>
      <c r="J76" s="36"/>
      <c r="K76" t="s">
        <v>30</v>
      </c>
      <c r="L76" s="3">
        <v>7116.73</v>
      </c>
      <c r="M76" s="3">
        <v>2135.02</v>
      </c>
      <c r="N76" s="3">
        <f>L76*0.3</f>
        <v>2135.0189999999998</v>
      </c>
      <c r="O76" s="3">
        <f>(IF(L76&lt;4172.98,0,MIN(L76*0.3,L76-4172.98)))-M76</f>
        <v>-1.0000000002037268E-3</v>
      </c>
      <c r="P76" s="6">
        <v>46296</v>
      </c>
      <c r="S76" s="3" t="s">
        <v>69</v>
      </c>
      <c r="Z76" s="181">
        <v>2</v>
      </c>
    </row>
    <row r="77" spans="1:26" hidden="1">
      <c r="A77" s="30">
        <v>23323370</v>
      </c>
      <c r="B77" s="31">
        <v>46237</v>
      </c>
      <c r="C77" s="32">
        <v>0.63157407407407407</v>
      </c>
      <c r="D77" s="33"/>
      <c r="E77" s="34">
        <v>5217731584950</v>
      </c>
      <c r="F77" s="33"/>
      <c r="G77" s="33" t="s">
        <v>122</v>
      </c>
      <c r="H77" s="35">
        <v>11745676103</v>
      </c>
      <c r="I77" s="33"/>
      <c r="J77" s="36"/>
      <c r="K77" t="s">
        <v>58</v>
      </c>
      <c r="L77" s="3">
        <v>4441.62</v>
      </c>
      <c r="N77" s="3">
        <f>L77*0.3</f>
        <v>1332.4859999999999</v>
      </c>
      <c r="O77" s="3">
        <f>(IF(L77&lt;4172.98,0,MIN(L77*0.3,L77-4172.98)))-M77</f>
        <v>268.64000000000033</v>
      </c>
      <c r="S77" s="3" t="s">
        <v>69</v>
      </c>
      <c r="Z77" s="181">
        <v>1</v>
      </c>
    </row>
    <row r="78" spans="1:26" hidden="1">
      <c r="A78" s="12">
        <v>23319136</v>
      </c>
      <c r="B78" s="13">
        <v>46237</v>
      </c>
      <c r="C78" s="14">
        <v>0.65104166666666663</v>
      </c>
      <c r="D78" s="15"/>
      <c r="E78" s="16">
        <v>0</v>
      </c>
      <c r="F78" s="15"/>
      <c r="G78" s="15"/>
      <c r="H78" s="17">
        <v>89826529359</v>
      </c>
      <c r="I78" s="15"/>
      <c r="J78" s="18">
        <v>1</v>
      </c>
      <c r="K78" t="s">
        <v>30</v>
      </c>
      <c r="L78" s="3">
        <v>9760.32</v>
      </c>
      <c r="M78" s="3">
        <v>2926.49</v>
      </c>
      <c r="N78" s="3">
        <f>L78*0.3</f>
        <v>2928.096</v>
      </c>
      <c r="O78" s="3">
        <f>(IF(L78&lt;4172.98,0,MIN(L78*0.3,L78-4172.98)))-M78</f>
        <v>1.6060000000002219</v>
      </c>
      <c r="P78" s="6">
        <v>46905</v>
      </c>
      <c r="S78" s="3" t="s">
        <v>69</v>
      </c>
      <c r="Z78" s="181">
        <v>2</v>
      </c>
    </row>
    <row r="79" spans="1:26" hidden="1">
      <c r="A79" s="12">
        <v>23329904</v>
      </c>
      <c r="B79" s="13">
        <v>46237</v>
      </c>
      <c r="C79" s="14">
        <v>0.65986111111111112</v>
      </c>
      <c r="D79" s="15"/>
      <c r="E79" s="16">
        <v>5212291168650</v>
      </c>
      <c r="F79" s="15"/>
      <c r="G79" s="15"/>
      <c r="H79" s="17" t="s">
        <v>123</v>
      </c>
      <c r="I79" s="15"/>
      <c r="J79" s="18">
        <v>1</v>
      </c>
      <c r="K79" t="s">
        <v>30</v>
      </c>
      <c r="L79" s="3">
        <v>12629.46</v>
      </c>
      <c r="M79" s="3">
        <v>3592.36</v>
      </c>
      <c r="N79" s="3">
        <f>L79*0.3</f>
        <v>3788.8379999999997</v>
      </c>
      <c r="O79" s="3">
        <f>(IF(L79&lt;4172.98,0,MIN(L79*0.3,L79-4172.98)))-M79</f>
        <v>196.47799999999961</v>
      </c>
      <c r="P79" s="6">
        <v>46784</v>
      </c>
      <c r="Q79" t="s">
        <v>57</v>
      </c>
      <c r="S79" s="3" t="s">
        <v>69</v>
      </c>
      <c r="Z79" s="181">
        <v>2</v>
      </c>
    </row>
    <row r="80" spans="1:26" hidden="1">
      <c r="A80" s="30">
        <v>23329918</v>
      </c>
      <c r="B80" s="31">
        <v>46237</v>
      </c>
      <c r="C80" s="32">
        <v>0.66122685185185182</v>
      </c>
      <c r="D80" s="33"/>
      <c r="E80" s="34">
        <v>5215573907364</v>
      </c>
      <c r="F80" s="33"/>
      <c r="G80" s="33"/>
      <c r="H80" s="35">
        <v>11917141464</v>
      </c>
      <c r="I80" s="33"/>
      <c r="J80" s="36">
        <v>1</v>
      </c>
      <c r="K80" t="s">
        <v>58</v>
      </c>
      <c r="L80" s="3">
        <f>3751.94+848</f>
        <v>4599.9400000000005</v>
      </c>
      <c r="M80" s="3">
        <v>848</v>
      </c>
      <c r="N80" s="3">
        <f>L80*0.3</f>
        <v>1379.9820000000002</v>
      </c>
      <c r="O80" s="3">
        <f>(IF(L80&lt;4172.98,0,MIN(L80*0.3,L80-4172.98)))-M80</f>
        <v>-421.03999999999905</v>
      </c>
      <c r="S80" s="3" t="s">
        <v>69</v>
      </c>
      <c r="Z80" s="181">
        <v>1</v>
      </c>
    </row>
    <row r="81" spans="1:26" hidden="1">
      <c r="A81" s="12">
        <v>23319404</v>
      </c>
      <c r="B81" s="13">
        <v>46237</v>
      </c>
      <c r="C81" s="14">
        <v>0.6895486111111111</v>
      </c>
      <c r="D81" s="15"/>
      <c r="E81" s="16">
        <v>5215522686905</v>
      </c>
      <c r="F81" s="15"/>
      <c r="G81" s="15" t="s">
        <v>124</v>
      </c>
      <c r="H81" s="17"/>
      <c r="I81" s="15"/>
      <c r="J81" s="18"/>
      <c r="K81" t="s">
        <v>58</v>
      </c>
      <c r="L81" s="3">
        <v>3900.89</v>
      </c>
      <c r="N81" s="3">
        <f>L81*0.3</f>
        <v>1170.2669999999998</v>
      </c>
      <c r="O81" s="3">
        <f>(IF(L81&lt;4172.98,0,MIN(L81*0.3,L81-4172.98)))-M81</f>
        <v>0</v>
      </c>
      <c r="S81" s="3" t="s">
        <v>69</v>
      </c>
      <c r="Z81" s="181">
        <v>1</v>
      </c>
    </row>
    <row r="82" spans="1:26" hidden="1">
      <c r="A82" s="30">
        <v>23331070</v>
      </c>
      <c r="B82" s="31">
        <v>46237</v>
      </c>
      <c r="C82" s="32">
        <v>0.69473379629629628</v>
      </c>
      <c r="D82" s="33"/>
      <c r="E82" s="34">
        <v>5214733710181</v>
      </c>
      <c r="F82" s="33"/>
      <c r="G82" s="33"/>
      <c r="H82" s="35">
        <v>12986404239</v>
      </c>
      <c r="I82" s="33"/>
      <c r="J82" s="36"/>
      <c r="K82" t="s">
        <v>51</v>
      </c>
      <c r="N82" s="3">
        <f>L82*0.3</f>
        <v>0</v>
      </c>
      <c r="O82" s="3">
        <f>(IF(L82&lt;4172.98,0,MIN(L82*0.3,L82-4172.98)))-M82</f>
        <v>0</v>
      </c>
      <c r="S82" s="3" t="s">
        <v>69</v>
      </c>
      <c r="T82" s="50"/>
      <c r="Z82" s="181">
        <v>1</v>
      </c>
    </row>
    <row r="83" spans="1:26" hidden="1">
      <c r="A83" s="30">
        <v>23301106</v>
      </c>
      <c r="B83" s="31">
        <v>46238</v>
      </c>
      <c r="C83" s="32">
        <v>0.38856481481481481</v>
      </c>
      <c r="D83" s="33" t="s">
        <v>125</v>
      </c>
      <c r="E83" s="34">
        <v>5216271778719</v>
      </c>
      <c r="F83" s="33"/>
      <c r="G83" s="33"/>
      <c r="H83" s="35" t="s">
        <v>126</v>
      </c>
      <c r="I83" s="33"/>
      <c r="J83" s="36"/>
      <c r="K83" t="s">
        <v>51</v>
      </c>
      <c r="N83" s="3">
        <f>L83*0.3</f>
        <v>0</v>
      </c>
      <c r="O83" s="3">
        <f>(IF(L83&lt;4172.98,0,MIN(L83*0.3,L83-4172.98)))-M83</f>
        <v>0</v>
      </c>
      <c r="S83" s="53" t="s">
        <v>31</v>
      </c>
      <c r="Z83" s="181">
        <v>1</v>
      </c>
    </row>
    <row r="84" spans="1:26" hidden="1">
      <c r="A84" s="30">
        <v>23309860</v>
      </c>
      <c r="B84" s="31">
        <v>46238</v>
      </c>
      <c r="C84" s="32">
        <v>0.39273148148148146</v>
      </c>
      <c r="D84" s="33" t="s">
        <v>127</v>
      </c>
      <c r="E84" s="34">
        <v>5214371006639</v>
      </c>
      <c r="F84" s="33"/>
      <c r="G84" s="33"/>
      <c r="H84" s="35" t="s">
        <v>128</v>
      </c>
      <c r="I84" s="33"/>
      <c r="J84" s="36"/>
      <c r="K84" t="s">
        <v>58</v>
      </c>
      <c r="L84" s="3">
        <v>3779.88</v>
      </c>
      <c r="N84" s="3">
        <f>L84*0.3</f>
        <v>1133.9639999999999</v>
      </c>
      <c r="O84" s="3">
        <f>(IF(L84&lt;4172.98,0,MIN(L84*0.3,L84-4172.98)))-M84</f>
        <v>0</v>
      </c>
      <c r="S84" s="53" t="s">
        <v>69</v>
      </c>
      <c r="Z84" s="181">
        <v>1</v>
      </c>
    </row>
    <row r="85" spans="1:26" hidden="1">
      <c r="A85" s="30">
        <v>23315628</v>
      </c>
      <c r="B85" s="31">
        <v>46238</v>
      </c>
      <c r="C85" s="32">
        <v>0.39550925925925928</v>
      </c>
      <c r="D85" s="33" t="s">
        <v>129</v>
      </c>
      <c r="E85" s="34">
        <v>0</v>
      </c>
      <c r="F85" s="33"/>
      <c r="G85" s="33" t="s">
        <v>130</v>
      </c>
      <c r="H85" s="35" t="s">
        <v>131</v>
      </c>
      <c r="I85" s="33"/>
      <c r="J85" s="36"/>
      <c r="K85" t="s">
        <v>58</v>
      </c>
      <c r="L85" s="3">
        <f>3082.08+848</f>
        <v>3930.08</v>
      </c>
      <c r="N85" s="3">
        <f>L85*0.3</f>
        <v>1179.0239999999999</v>
      </c>
      <c r="O85" s="3">
        <f>(IF(L85&lt;4172.98,0,MIN(L85*0.3,L85-4172.98)))-M85</f>
        <v>0</v>
      </c>
      <c r="S85" s="53" t="s">
        <v>69</v>
      </c>
      <c r="Z85" s="181">
        <v>1</v>
      </c>
    </row>
    <row r="86" spans="1:26" hidden="1">
      <c r="A86" s="12">
        <v>23351178</v>
      </c>
      <c r="B86" s="13">
        <v>46238</v>
      </c>
      <c r="C86" s="14">
        <v>0.38440972222222225</v>
      </c>
      <c r="D86" s="15"/>
      <c r="E86" s="16">
        <v>5216143540203</v>
      </c>
      <c r="F86" s="15"/>
      <c r="G86" s="15" t="s">
        <v>132</v>
      </c>
      <c r="H86" s="17">
        <v>33786301953</v>
      </c>
      <c r="I86" s="15"/>
      <c r="J86" s="18"/>
      <c r="K86" t="s">
        <v>30</v>
      </c>
      <c r="L86" s="4">
        <v>11028.99</v>
      </c>
      <c r="M86" s="4">
        <v>3202.3</v>
      </c>
      <c r="N86" s="3">
        <f t="shared" ref="N86:N87" si="1">L86*0.3</f>
        <v>3308.6969999999997</v>
      </c>
      <c r="O86" s="3">
        <f>(IF(L86&lt;4172.98,0,MIN(L86*0.3,L86-4172.98)))-M86</f>
        <v>106.39699999999948</v>
      </c>
      <c r="P86" s="6">
        <v>46844</v>
      </c>
      <c r="Q86" t="s">
        <v>44</v>
      </c>
      <c r="S86" s="3" t="s">
        <v>31</v>
      </c>
      <c r="Z86" s="181">
        <v>2</v>
      </c>
    </row>
    <row r="87" spans="1:26" hidden="1">
      <c r="A87" s="30">
        <v>23351304</v>
      </c>
      <c r="B87" s="31">
        <v>46238</v>
      </c>
      <c r="C87" s="32">
        <v>0.38599537037037035</v>
      </c>
      <c r="D87" s="33"/>
      <c r="E87" s="34">
        <v>5218115916567</v>
      </c>
      <c r="F87" s="33"/>
      <c r="G87" s="33"/>
      <c r="H87" s="35">
        <v>43856557624</v>
      </c>
      <c r="I87" s="33"/>
      <c r="J87" s="36"/>
      <c r="K87" t="s">
        <v>58</v>
      </c>
      <c r="L87" s="3">
        <f>3187.69+848</f>
        <v>4035.69</v>
      </c>
      <c r="N87" s="3">
        <f t="shared" si="1"/>
        <v>1210.7069999999999</v>
      </c>
      <c r="O87" s="3">
        <f>(IF(L87&lt;4172.98,0,MIN(L87*0.3,L87-4172.98)))-M87</f>
        <v>0</v>
      </c>
      <c r="S87" s="3" t="s">
        <v>31</v>
      </c>
      <c r="Z87" s="181">
        <v>1</v>
      </c>
    </row>
    <row r="88" spans="1:26" hidden="1">
      <c r="A88" s="30">
        <v>23352270</v>
      </c>
      <c r="B88" s="31">
        <v>46238</v>
      </c>
      <c r="C88" s="32">
        <v>0.40144675925925927</v>
      </c>
      <c r="D88" s="33"/>
      <c r="E88" s="34">
        <v>5216182425051</v>
      </c>
      <c r="F88" s="33"/>
      <c r="G88" s="33" t="s">
        <v>133</v>
      </c>
      <c r="H88" s="35">
        <v>32715329937</v>
      </c>
      <c r="I88" s="33"/>
      <c r="J88" s="36"/>
      <c r="K88" t="s">
        <v>30</v>
      </c>
      <c r="L88" s="4">
        <v>19540.57</v>
      </c>
      <c r="M88" s="4">
        <v>5652.64</v>
      </c>
      <c r="N88" s="3">
        <f>L88*0.3</f>
        <v>5862.1709999999994</v>
      </c>
      <c r="O88" s="3">
        <f>(IF(L88&lt;4172.98,0,MIN(L88*0.3,L88-4172.98)))-M88</f>
        <v>209.53099999999904</v>
      </c>
      <c r="P88" s="6">
        <v>46388</v>
      </c>
      <c r="Q88" t="s">
        <v>44</v>
      </c>
      <c r="S88" s="3" t="s">
        <v>31</v>
      </c>
      <c r="Z88" s="181">
        <v>2</v>
      </c>
    </row>
    <row r="89" spans="1:26">
      <c r="A89" s="12">
        <v>23352780</v>
      </c>
      <c r="B89" s="13">
        <v>46238</v>
      </c>
      <c r="C89" s="14">
        <v>0.4251388888888889</v>
      </c>
      <c r="D89" s="15" t="s">
        <v>134</v>
      </c>
      <c r="E89" s="16">
        <v>5215529485793</v>
      </c>
      <c r="F89" s="15"/>
      <c r="G89" s="15" t="s">
        <v>135</v>
      </c>
      <c r="H89" s="17" t="s">
        <v>136</v>
      </c>
      <c r="I89" s="15"/>
      <c r="J89" s="18"/>
      <c r="K89" t="s">
        <v>54</v>
      </c>
      <c r="L89" s="3">
        <f>31555.08-20919.54</f>
        <v>10635.54</v>
      </c>
      <c r="N89" s="3">
        <f t="shared" ref="N89:N92" si="2">L89*0.3</f>
        <v>3190.6620000000003</v>
      </c>
      <c r="O89" s="3">
        <f>(IF(L89&lt;4172.98,0,MIN(L89*0.3,L89-4172.98)))-M89</f>
        <v>3190.6620000000003</v>
      </c>
      <c r="S89" s="3" t="s">
        <v>28</v>
      </c>
      <c r="T89" s="48">
        <v>46238</v>
      </c>
      <c r="Z89" s="181">
        <v>1</v>
      </c>
    </row>
    <row r="90" spans="1:26">
      <c r="A90" s="12">
        <v>23353384</v>
      </c>
      <c r="B90" s="13">
        <v>46238</v>
      </c>
      <c r="C90" s="14">
        <v>0.42790509259259257</v>
      </c>
      <c r="D90" s="15"/>
      <c r="E90" s="16">
        <v>5218180885634</v>
      </c>
      <c r="F90" s="15"/>
      <c r="G90" s="15"/>
      <c r="H90" s="17">
        <v>83804301444</v>
      </c>
      <c r="I90" s="15"/>
      <c r="J90" s="18"/>
      <c r="K90" t="s">
        <v>38</v>
      </c>
      <c r="L90" s="3">
        <v>56371.91</v>
      </c>
      <c r="M90" s="3">
        <v>16304.98</v>
      </c>
      <c r="N90" s="3">
        <f t="shared" si="2"/>
        <v>16911.573</v>
      </c>
      <c r="O90" s="3">
        <f>(IF(L90&lt;4172.98,0,MIN(L90*0.3,L90-4172.98)))-M90</f>
        <v>606.59300000000076</v>
      </c>
      <c r="P90" s="6">
        <v>46539</v>
      </c>
      <c r="Q90" t="s">
        <v>47</v>
      </c>
      <c r="S90" s="3" t="s">
        <v>39</v>
      </c>
      <c r="T90" s="48">
        <v>46238</v>
      </c>
      <c r="Z90" s="181">
        <v>2</v>
      </c>
    </row>
    <row r="91" spans="1:26">
      <c r="A91" s="12">
        <v>23353032</v>
      </c>
      <c r="B91" s="13">
        <v>46238</v>
      </c>
      <c r="C91" s="14">
        <v>0.43466435185185187</v>
      </c>
      <c r="D91" s="15" t="s">
        <v>137</v>
      </c>
      <c r="E91" s="16">
        <v>5212221939942</v>
      </c>
      <c r="F91" s="15"/>
      <c r="G91" s="15" t="s">
        <v>138</v>
      </c>
      <c r="H91" s="17"/>
      <c r="I91" s="15"/>
      <c r="J91" s="18"/>
      <c r="K91" t="s">
        <v>38</v>
      </c>
      <c r="L91" s="3">
        <v>32035.22</v>
      </c>
      <c r="M91" s="3">
        <v>9266.1200000000008</v>
      </c>
      <c r="N91" s="3">
        <f t="shared" si="2"/>
        <v>9610.5660000000007</v>
      </c>
      <c r="O91" s="3">
        <f>(IF(L91&lt;4172.98,0,MIN(L91*0.3,L91-4172.98)))-M91</f>
        <v>344.44599999999991</v>
      </c>
      <c r="P91" s="6">
        <v>46600</v>
      </c>
      <c r="Q91" t="s">
        <v>75</v>
      </c>
      <c r="S91" s="3" t="s">
        <v>39</v>
      </c>
      <c r="T91" s="48">
        <v>46238</v>
      </c>
      <c r="Z91" s="181">
        <v>2</v>
      </c>
    </row>
    <row r="92" spans="1:26" hidden="1">
      <c r="A92" s="30">
        <v>23353484</v>
      </c>
      <c r="B92" s="31">
        <v>46238</v>
      </c>
      <c r="C92" s="32">
        <v>0.43543981481481481</v>
      </c>
      <c r="D92" s="33" t="s">
        <v>139</v>
      </c>
      <c r="E92" s="34">
        <v>5212214184740</v>
      </c>
      <c r="F92" s="33"/>
      <c r="G92" s="33" t="s">
        <v>140</v>
      </c>
      <c r="H92" s="35">
        <v>62856835459</v>
      </c>
      <c r="I92" s="33"/>
      <c r="J92" s="36"/>
      <c r="K92" t="s">
        <v>30</v>
      </c>
      <c r="L92" s="3">
        <v>7629.74</v>
      </c>
      <c r="M92" s="3">
        <v>2288.5700000000002</v>
      </c>
      <c r="N92" s="3">
        <f t="shared" si="2"/>
        <v>2288.922</v>
      </c>
      <c r="O92" s="3">
        <f>(IF(L92&lt;4172.98,0,MIN(L92*0.3,L92-4172.98)))-M92</f>
        <v>0.35199999999986176</v>
      </c>
      <c r="P92" s="6">
        <v>46600</v>
      </c>
      <c r="Q92" t="s">
        <v>141</v>
      </c>
      <c r="S92" s="3" t="s">
        <v>31</v>
      </c>
      <c r="Z92" s="181">
        <v>2</v>
      </c>
    </row>
    <row r="93" spans="1:26">
      <c r="A93" s="30">
        <v>23353820</v>
      </c>
      <c r="B93" s="31">
        <v>46238</v>
      </c>
      <c r="C93" s="32">
        <v>0.43962962962962965</v>
      </c>
      <c r="D93" s="33"/>
      <c r="E93" s="34">
        <v>5218113180331</v>
      </c>
      <c r="F93" s="33"/>
      <c r="G93" s="33" t="s">
        <v>142</v>
      </c>
      <c r="H93" s="35">
        <v>43705223444</v>
      </c>
      <c r="I93" s="33"/>
      <c r="J93" s="36"/>
      <c r="K93" t="s">
        <v>38</v>
      </c>
      <c r="L93" s="3">
        <v>4777.6400000000003</v>
      </c>
      <c r="N93" s="3">
        <f>L93*0.3</f>
        <v>1433.2920000000001</v>
      </c>
      <c r="O93" s="3">
        <f>(IF(L93&lt;4172.98,0,MIN(L93*0.3,L93-4172.98)))-M93</f>
        <v>604.66000000000076</v>
      </c>
      <c r="S93" s="3" t="s">
        <v>39</v>
      </c>
      <c r="T93" s="48">
        <v>46238</v>
      </c>
      <c r="Z93" s="181">
        <v>1</v>
      </c>
    </row>
    <row r="94" spans="1:26" hidden="1">
      <c r="A94" s="30">
        <v>23298852</v>
      </c>
      <c r="B94" s="31">
        <v>46238</v>
      </c>
      <c r="C94" s="32">
        <v>0.4437962962962963</v>
      </c>
      <c r="D94" s="33" t="s">
        <v>143</v>
      </c>
      <c r="E94" s="34">
        <v>7771108895</v>
      </c>
      <c r="F94" s="33"/>
      <c r="G94" s="33"/>
      <c r="H94" s="35" t="s">
        <v>144</v>
      </c>
      <c r="I94" s="33"/>
      <c r="J94" s="36"/>
      <c r="K94" t="s">
        <v>30</v>
      </c>
      <c r="L94" s="3">
        <f>5031.9+1996.57+157.48</f>
        <v>7185.9499999999989</v>
      </c>
      <c r="M94" s="3">
        <f>1996.57+157.48</f>
        <v>2154.0499999999997</v>
      </c>
      <c r="N94" s="3">
        <f>L94*0.3</f>
        <v>2155.7849999999994</v>
      </c>
      <c r="O94" s="3">
        <f>(IF(L94&lt;4172.98,0,MIN(L94*0.3,L94-4172.98)))-M94</f>
        <v>1.7349999999996726</v>
      </c>
      <c r="P94" s="6">
        <v>46935</v>
      </c>
      <c r="S94" s="53" t="s">
        <v>31</v>
      </c>
      <c r="Z94" s="181">
        <v>2</v>
      </c>
    </row>
    <row r="95" spans="1:26" hidden="1">
      <c r="A95" s="30">
        <v>23323224</v>
      </c>
      <c r="B95" s="31">
        <v>46238</v>
      </c>
      <c r="C95" s="32">
        <v>0.44657407407407407</v>
      </c>
      <c r="D95" s="33" t="s">
        <v>145</v>
      </c>
      <c r="E95" s="34">
        <v>5218443628453</v>
      </c>
      <c r="F95" s="33"/>
      <c r="G95" s="33" t="s">
        <v>146</v>
      </c>
      <c r="H95" s="35"/>
      <c r="I95" s="33"/>
      <c r="J95" s="36"/>
      <c r="K95" t="s">
        <v>30</v>
      </c>
      <c r="L95" s="3">
        <f>4458.62+1804.24</f>
        <v>6262.86</v>
      </c>
      <c r="M95" s="3">
        <v>1804.24</v>
      </c>
      <c r="N95" s="3">
        <f>L95*0.3</f>
        <v>1878.8579999999997</v>
      </c>
      <c r="O95" s="3">
        <f>(IF(L95&lt;4172.98,0,MIN(L95*0.3,L95-4172.98)))-M95</f>
        <v>74.617999999999711</v>
      </c>
      <c r="P95" s="6">
        <v>46722</v>
      </c>
      <c r="S95" s="53" t="s">
        <v>69</v>
      </c>
      <c r="Z95" s="181">
        <v>2</v>
      </c>
    </row>
    <row r="96" spans="1:26" hidden="1">
      <c r="A96" s="12">
        <v>23354302</v>
      </c>
      <c r="B96" s="13">
        <v>46238</v>
      </c>
      <c r="C96" s="14">
        <v>0.4510763888888889</v>
      </c>
      <c r="D96" s="15"/>
      <c r="E96" s="16">
        <v>5218713434566</v>
      </c>
      <c r="F96" s="15"/>
      <c r="G96" s="15" t="s">
        <v>147</v>
      </c>
      <c r="H96" s="17"/>
      <c r="I96" s="15"/>
      <c r="J96" s="18"/>
      <c r="K96" t="s">
        <v>32</v>
      </c>
      <c r="N96" s="3">
        <f t="shared" ref="N96:N97" si="3">L96*0.3</f>
        <v>0</v>
      </c>
      <c r="O96" s="3">
        <f>(IF(L96&lt;4172.98,0,MIN(L96*0.3,L96-4172.98)))-M96</f>
        <v>0</v>
      </c>
      <c r="S96" s="3" t="s">
        <v>69</v>
      </c>
      <c r="Z96" s="181">
        <v>0</v>
      </c>
    </row>
    <row r="97" spans="1:26" hidden="1">
      <c r="A97" s="30">
        <v>23354396</v>
      </c>
      <c r="B97" s="31">
        <v>46238</v>
      </c>
      <c r="C97" s="32">
        <v>0.45194444444444443</v>
      </c>
      <c r="D97" s="33"/>
      <c r="E97" s="34">
        <v>5218135888216</v>
      </c>
      <c r="F97" s="33"/>
      <c r="G97" s="33"/>
      <c r="H97" s="35">
        <v>43796209385</v>
      </c>
      <c r="I97" s="33"/>
      <c r="J97" s="36"/>
      <c r="K97" t="s">
        <v>30</v>
      </c>
      <c r="L97" s="3">
        <v>7116.73</v>
      </c>
      <c r="M97" s="3">
        <v>2133.31</v>
      </c>
      <c r="N97" s="3">
        <f t="shared" si="3"/>
        <v>2135.0189999999998</v>
      </c>
      <c r="O97" s="3">
        <f>(IF(L97&lt;4172.98,0,MIN(L97*0.3,L97-4172.98)))-M97</f>
        <v>1.7089999999998327</v>
      </c>
      <c r="P97" s="6">
        <v>46266</v>
      </c>
      <c r="S97" s="3" t="s">
        <v>69</v>
      </c>
      <c r="Z97" s="181">
        <v>2</v>
      </c>
    </row>
    <row r="98" spans="1:26" hidden="1">
      <c r="A98" s="30">
        <v>23322438</v>
      </c>
      <c r="B98" s="31">
        <v>46238</v>
      </c>
      <c r="C98" s="32">
        <v>0.45819444444444446</v>
      </c>
      <c r="D98" s="33"/>
      <c r="E98" s="34">
        <v>5218333662076</v>
      </c>
      <c r="F98" s="33"/>
      <c r="G98" s="33"/>
      <c r="H98" s="35" t="s">
        <v>148</v>
      </c>
      <c r="I98" s="33"/>
      <c r="J98" s="36"/>
      <c r="K98" t="s">
        <v>30</v>
      </c>
      <c r="L98" s="3">
        <v>5032.99</v>
      </c>
      <c r="M98" s="3">
        <v>1277.3</v>
      </c>
      <c r="N98" s="3">
        <f>L98*0.3</f>
        <v>1509.8969999999999</v>
      </c>
      <c r="O98" s="3">
        <f>(IF(L98&lt;4172.98,0,MIN(L98*0.3,L98-4172.98)))-M98</f>
        <v>-417.28999999999974</v>
      </c>
      <c r="P98" s="6">
        <v>46357</v>
      </c>
      <c r="S98" s="53" t="s">
        <v>31</v>
      </c>
      <c r="Z98" s="181">
        <v>2</v>
      </c>
    </row>
    <row r="99" spans="1:26">
      <c r="A99" s="12">
        <v>23354314</v>
      </c>
      <c r="B99" s="13">
        <v>46238</v>
      </c>
      <c r="C99" s="14">
        <v>0.45792824074074073</v>
      </c>
      <c r="D99" s="15"/>
      <c r="E99" s="16">
        <v>5218993540969</v>
      </c>
      <c r="F99" s="15"/>
      <c r="G99" s="15" t="s">
        <v>149</v>
      </c>
      <c r="H99" s="17"/>
      <c r="I99" s="15"/>
      <c r="J99" s="18"/>
      <c r="K99" t="s">
        <v>54</v>
      </c>
      <c r="L99" s="3">
        <v>15282.18</v>
      </c>
      <c r="N99" s="3">
        <f t="shared" ref="N99:N100" si="4">L99*0.3</f>
        <v>4584.6539999999995</v>
      </c>
      <c r="O99" s="3">
        <f>(IF(L99&lt;4172.98,0,MIN(L99*0.3,L99-4172.98)))-M99</f>
        <v>4584.6539999999995</v>
      </c>
      <c r="S99" s="3" t="s">
        <v>63</v>
      </c>
      <c r="T99" s="48">
        <v>46238</v>
      </c>
      <c r="Z99" s="181">
        <v>1</v>
      </c>
    </row>
    <row r="100" spans="1:26">
      <c r="A100" s="30">
        <v>23354946</v>
      </c>
      <c r="B100" s="31">
        <v>46238</v>
      </c>
      <c r="C100" s="52">
        <v>0.46452546296296299</v>
      </c>
      <c r="D100" s="33"/>
      <c r="E100" s="34">
        <v>5218421019932</v>
      </c>
      <c r="F100" s="33"/>
      <c r="G100" s="33"/>
      <c r="H100" s="35">
        <v>32796141326</v>
      </c>
      <c r="I100" s="33"/>
      <c r="J100" s="36"/>
      <c r="K100" t="s">
        <v>27</v>
      </c>
      <c r="L100" s="4">
        <v>6262.86</v>
      </c>
      <c r="M100" s="4">
        <v>1737.94</v>
      </c>
      <c r="N100" s="3">
        <f t="shared" si="4"/>
        <v>1878.8579999999997</v>
      </c>
      <c r="O100" s="3">
        <f>(IF(L100&lt;4172.98,0,MIN(L100*0.3,L100-4172.98)))-M100</f>
        <v>140.91799999999967</v>
      </c>
      <c r="P100" s="6">
        <v>46082</v>
      </c>
      <c r="S100" s="3" t="s">
        <v>90</v>
      </c>
      <c r="T100" s="48">
        <v>46238</v>
      </c>
      <c r="Z100" s="181">
        <v>2</v>
      </c>
    </row>
    <row r="101" spans="1:26" hidden="1">
      <c r="A101" s="12">
        <v>23355028</v>
      </c>
      <c r="B101" s="13">
        <v>46238</v>
      </c>
      <c r="C101" s="14">
        <v>0.47295138888888888</v>
      </c>
      <c r="D101" s="15"/>
      <c r="E101" s="16">
        <v>5213541068380</v>
      </c>
      <c r="F101" s="15"/>
      <c r="G101" s="15"/>
      <c r="H101" s="17">
        <v>53846304466</v>
      </c>
      <c r="I101" s="15"/>
      <c r="J101" s="18"/>
      <c r="K101" t="s">
        <v>30</v>
      </c>
      <c r="L101" s="3">
        <v>7913.78</v>
      </c>
      <c r="M101" s="3">
        <v>2281.5100000000002</v>
      </c>
      <c r="N101" s="3">
        <f t="shared" ref="N101:N103" si="5">L101*0.3</f>
        <v>2374.134</v>
      </c>
      <c r="O101" s="3">
        <f>(IF(L101&lt;4172.98,0,MIN(L101*0.3,L101-4172.98)))-M101</f>
        <v>92.623999999999796</v>
      </c>
      <c r="P101" s="6">
        <v>46722</v>
      </c>
      <c r="S101" s="3" t="s">
        <v>31</v>
      </c>
      <c r="Z101" s="181">
        <v>2</v>
      </c>
    </row>
    <row r="102" spans="1:26" hidden="1">
      <c r="A102" s="12">
        <v>23354966</v>
      </c>
      <c r="B102" s="13">
        <v>46238</v>
      </c>
      <c r="C102" s="14">
        <v>0.47295138888888888</v>
      </c>
      <c r="D102" s="15" t="s">
        <v>150</v>
      </c>
      <c r="E102" s="16">
        <v>5212462627279</v>
      </c>
      <c r="F102" s="15"/>
      <c r="G102" s="15" t="s">
        <v>151</v>
      </c>
      <c r="H102" s="17" t="s">
        <v>152</v>
      </c>
      <c r="I102" s="15"/>
      <c r="J102" s="18"/>
      <c r="K102" t="s">
        <v>32</v>
      </c>
      <c r="N102" s="3">
        <f t="shared" si="5"/>
        <v>0</v>
      </c>
      <c r="O102" s="3">
        <f>(IF(L102&lt;4172.98,0,MIN(L102*0.3,L102-4172.98)))-M102</f>
        <v>0</v>
      </c>
      <c r="S102" s="3" t="s">
        <v>31</v>
      </c>
      <c r="Z102" s="181">
        <v>0</v>
      </c>
    </row>
    <row r="103" spans="1:26" hidden="1">
      <c r="A103" s="30">
        <v>23354762</v>
      </c>
      <c r="B103" s="31">
        <v>46238</v>
      </c>
      <c r="C103" s="32">
        <v>0.47042824074074074</v>
      </c>
      <c r="D103" s="33"/>
      <c r="E103" s="34">
        <v>5219994927531</v>
      </c>
      <c r="F103" s="33"/>
      <c r="G103" s="33" t="s">
        <v>153</v>
      </c>
      <c r="H103" s="35"/>
      <c r="I103" s="33"/>
      <c r="J103" s="36"/>
      <c r="K103" t="s">
        <v>58</v>
      </c>
      <c r="L103" s="3">
        <v>4463.71</v>
      </c>
      <c r="M103" s="3">
        <v>215.6</v>
      </c>
      <c r="N103" s="3">
        <f t="shared" si="5"/>
        <v>1339.1130000000001</v>
      </c>
      <c r="O103" s="3">
        <f>(IF(L103&lt;4172.98,0,MIN(L103*0.3,L103-4172.98)))-M103</f>
        <v>75.130000000000479</v>
      </c>
      <c r="S103" s="3" t="s">
        <v>31</v>
      </c>
      <c r="Z103" s="181">
        <v>1</v>
      </c>
    </row>
    <row r="104" spans="1:26" hidden="1">
      <c r="A104" s="30">
        <v>23355362</v>
      </c>
      <c r="B104" s="31">
        <v>46238</v>
      </c>
      <c r="C104" s="32">
        <v>0.47543981481481479</v>
      </c>
      <c r="D104" s="33" t="s">
        <v>154</v>
      </c>
      <c r="E104" s="34">
        <v>5216568202824</v>
      </c>
      <c r="F104" s="33"/>
      <c r="G104" s="33"/>
      <c r="H104" s="35">
        <v>50967939088</v>
      </c>
      <c r="I104" s="33"/>
      <c r="J104" s="36"/>
      <c r="K104" t="s">
        <v>30</v>
      </c>
      <c r="L104" s="3">
        <v>4627.7299999999996</v>
      </c>
      <c r="M104" s="3">
        <v>429.47</v>
      </c>
      <c r="N104" s="3">
        <f>L104*0.3</f>
        <v>1388.3189999999997</v>
      </c>
      <c r="O104" s="3">
        <f>(IF(L104&lt;4172.98,0,MIN(L104*0.3,L104-4172.98)))-M104</f>
        <v>25.279999999999973</v>
      </c>
      <c r="P104" s="6">
        <v>46600</v>
      </c>
      <c r="Q104" t="s">
        <v>43</v>
      </c>
      <c r="S104" s="3" t="s">
        <v>69</v>
      </c>
      <c r="Z104" s="181">
        <v>2</v>
      </c>
    </row>
    <row r="105" spans="1:26" hidden="1">
      <c r="A105" s="30">
        <v>23315976</v>
      </c>
      <c r="B105" s="31">
        <v>46238</v>
      </c>
      <c r="C105" s="32">
        <v>0.48958333333333331</v>
      </c>
      <c r="D105" s="33" t="s">
        <v>155</v>
      </c>
      <c r="E105" s="34">
        <v>5216182962156</v>
      </c>
      <c r="F105" s="33"/>
      <c r="G105" s="33"/>
      <c r="H105" s="35" t="s">
        <v>156</v>
      </c>
      <c r="I105" s="33"/>
      <c r="J105" s="36"/>
      <c r="K105" t="s">
        <v>30</v>
      </c>
      <c r="L105" s="4">
        <v>6441.39</v>
      </c>
      <c r="M105" s="4">
        <v>1861.36</v>
      </c>
      <c r="N105" s="3">
        <f>L105*0.3</f>
        <v>1932.4169999999999</v>
      </c>
      <c r="O105" s="3">
        <f>(IF(L105&lt;4172.98,0,MIN(L105*0.3,L105-4172.98)))-M105</f>
        <v>71.057000000000016</v>
      </c>
      <c r="P105" s="6">
        <v>46357</v>
      </c>
      <c r="Q105" t="s">
        <v>75</v>
      </c>
      <c r="S105" s="53" t="s">
        <v>69</v>
      </c>
      <c r="Z105" s="181">
        <v>2</v>
      </c>
    </row>
    <row r="106" spans="1:26" hidden="1">
      <c r="A106" s="30">
        <v>23322372</v>
      </c>
      <c r="B106" s="31">
        <v>46238</v>
      </c>
      <c r="C106" s="32">
        <v>0.49236111111111114</v>
      </c>
      <c r="D106" s="33" t="s">
        <v>157</v>
      </c>
      <c r="E106" s="34">
        <v>5212472055279</v>
      </c>
      <c r="F106" s="33"/>
      <c r="G106" s="33"/>
      <c r="H106" s="35" t="s">
        <v>158</v>
      </c>
      <c r="I106" s="33"/>
      <c r="J106" s="36"/>
      <c r="K106" t="s">
        <v>32</v>
      </c>
      <c r="N106" s="3">
        <f>L106*0.3</f>
        <v>0</v>
      </c>
      <c r="O106" s="3">
        <f>(IF(L106&lt;4172.98,0,MIN(L106*0.3,L106-4172.98)))-M106</f>
        <v>0</v>
      </c>
      <c r="S106" s="53" t="s">
        <v>31</v>
      </c>
      <c r="Z106" s="181">
        <v>0</v>
      </c>
    </row>
    <row r="107" spans="1:26" hidden="1">
      <c r="A107" s="12">
        <v>23355982</v>
      </c>
      <c r="B107" s="13">
        <v>46238</v>
      </c>
      <c r="C107" s="14">
        <v>0.49365740740740743</v>
      </c>
      <c r="D107" s="15"/>
      <c r="E107" s="16">
        <v>5219995494375</v>
      </c>
      <c r="F107" s="15"/>
      <c r="G107" s="15" t="s">
        <v>159</v>
      </c>
      <c r="H107" s="17"/>
      <c r="I107" s="15"/>
      <c r="J107" s="18"/>
      <c r="K107" t="s">
        <v>32</v>
      </c>
      <c r="N107" s="3">
        <f t="shared" ref="N107:N108" si="6">L107*0.3</f>
        <v>0</v>
      </c>
      <c r="O107" s="3">
        <f>(IF(L107&lt;4172.98,0,MIN(L107*0.3,L107-4172.98)))-M107</f>
        <v>0</v>
      </c>
      <c r="S107" s="3" t="s">
        <v>69</v>
      </c>
      <c r="Z107" s="181">
        <v>0</v>
      </c>
    </row>
    <row r="108" spans="1:26" hidden="1">
      <c r="A108" s="30">
        <v>23355804</v>
      </c>
      <c r="B108" s="31">
        <v>46238</v>
      </c>
      <c r="C108" s="32">
        <v>0.4952199074074074</v>
      </c>
      <c r="D108" s="33"/>
      <c r="E108" s="34">
        <v>5214434354583</v>
      </c>
      <c r="F108" s="33"/>
      <c r="G108" s="33"/>
      <c r="H108" s="35">
        <v>89806223148</v>
      </c>
      <c r="I108" s="33"/>
      <c r="J108" s="36"/>
      <c r="K108" t="s">
        <v>30</v>
      </c>
      <c r="L108" s="4">
        <v>7116.73</v>
      </c>
      <c r="M108" s="4">
        <v>1854.8</v>
      </c>
      <c r="N108" s="3">
        <f t="shared" si="6"/>
        <v>2135.0189999999998</v>
      </c>
      <c r="O108" s="3">
        <f>(IF(L108&lt;4172.98,0,MIN(L108*0.3,L108-4172.98)))-M108</f>
        <v>280.21899999999982</v>
      </c>
      <c r="P108" s="6">
        <v>46388</v>
      </c>
      <c r="S108" s="3" t="s">
        <v>69</v>
      </c>
      <c r="Z108" s="181">
        <v>2</v>
      </c>
    </row>
    <row r="109" spans="1:26" hidden="1">
      <c r="A109" s="30">
        <v>23356320</v>
      </c>
      <c r="B109" s="31">
        <v>46238</v>
      </c>
      <c r="C109" s="32">
        <v>0.49763888888888891</v>
      </c>
      <c r="D109" s="33"/>
      <c r="E109" s="34">
        <v>5218112705492</v>
      </c>
      <c r="F109" s="33"/>
      <c r="G109" s="33"/>
      <c r="H109" s="35">
        <v>43836504811</v>
      </c>
      <c r="I109" s="33"/>
      <c r="J109" s="36"/>
      <c r="K109" t="s">
        <v>30</v>
      </c>
      <c r="L109" s="3">
        <v>10636.54</v>
      </c>
      <c r="M109" s="3">
        <v>3186.87</v>
      </c>
      <c r="N109" s="3">
        <f>L109*0.3</f>
        <v>3190.962</v>
      </c>
      <c r="O109" s="3">
        <f>(IF(L109&lt;4172.98,0,MIN(L109*0.3,L109-4172.98)))-M109</f>
        <v>4.0920000000000982</v>
      </c>
      <c r="P109" s="6">
        <v>46813</v>
      </c>
      <c r="Q109" t="s">
        <v>44</v>
      </c>
      <c r="S109" s="3" t="s">
        <v>69</v>
      </c>
      <c r="Z109" s="181">
        <v>2</v>
      </c>
    </row>
    <row r="110" spans="1:26" hidden="1">
      <c r="A110" s="12">
        <v>23356486</v>
      </c>
      <c r="B110" s="13">
        <v>46238</v>
      </c>
      <c r="C110" s="14">
        <v>0.50493055555555555</v>
      </c>
      <c r="D110" s="15"/>
      <c r="E110" s="16">
        <v>5218119873605</v>
      </c>
      <c r="F110" s="15"/>
      <c r="G110" s="15"/>
      <c r="H110" s="17">
        <v>43806406310</v>
      </c>
      <c r="I110" s="15"/>
      <c r="J110" s="18"/>
      <c r="K110" t="s">
        <v>30</v>
      </c>
      <c r="L110" s="4">
        <v>13514.54</v>
      </c>
      <c r="M110" s="4">
        <v>4050.01</v>
      </c>
      <c r="N110" s="3">
        <f t="shared" ref="N110:N113" si="7">L110*0.3</f>
        <v>4054.3620000000001</v>
      </c>
      <c r="O110" s="3">
        <f>(IF(L110&lt;4172.98,0,MIN(L110*0.3,L110-4172.98)))-M110</f>
        <v>4.3519999999998618</v>
      </c>
      <c r="P110" s="6">
        <v>46692</v>
      </c>
      <c r="S110" s="3" t="s">
        <v>31</v>
      </c>
      <c r="Z110" s="181">
        <v>2</v>
      </c>
    </row>
    <row r="111" spans="1:26">
      <c r="A111" s="12">
        <v>23356506</v>
      </c>
      <c r="B111" s="13">
        <v>46238</v>
      </c>
      <c r="C111" s="14">
        <v>0.50643518518518515</v>
      </c>
      <c r="D111" s="15"/>
      <c r="E111" s="16">
        <v>5215532827644</v>
      </c>
      <c r="F111" s="15"/>
      <c r="G111" s="15"/>
      <c r="H111" s="17">
        <v>11715304736</v>
      </c>
      <c r="I111" s="15"/>
      <c r="J111" s="18"/>
      <c r="K111" t="s">
        <v>27</v>
      </c>
      <c r="L111" s="4">
        <v>9059.0400000000009</v>
      </c>
      <c r="M111" s="4">
        <v>2399.62</v>
      </c>
      <c r="N111" s="3">
        <f t="shared" si="7"/>
        <v>2717.712</v>
      </c>
      <c r="O111" s="3">
        <f>(IF(L111&lt;4172.98,0,MIN(L111*0.3,L111-4172.98)))-M111</f>
        <v>318.0920000000001</v>
      </c>
      <c r="P111" s="6">
        <v>45870</v>
      </c>
      <c r="Q111" t="s">
        <v>75</v>
      </c>
      <c r="S111" s="3" t="s">
        <v>95</v>
      </c>
      <c r="T111" s="48">
        <v>46238</v>
      </c>
      <c r="Z111" s="181">
        <v>2</v>
      </c>
    </row>
    <row r="112" spans="1:26" hidden="1">
      <c r="A112" s="12">
        <v>23334866</v>
      </c>
      <c r="B112" s="13">
        <v>46238</v>
      </c>
      <c r="C112" s="14">
        <v>0.51133101851851848</v>
      </c>
      <c r="D112" s="15"/>
      <c r="E112" s="16">
        <v>5214773360974</v>
      </c>
      <c r="F112" s="15"/>
      <c r="G112" s="15" t="s">
        <v>160</v>
      </c>
      <c r="H112" s="17"/>
      <c r="I112" s="15"/>
      <c r="J112" s="18"/>
      <c r="K112" t="s">
        <v>58</v>
      </c>
      <c r="L112" s="3">
        <v>4132.66</v>
      </c>
      <c r="N112" s="3">
        <f t="shared" si="7"/>
        <v>1239.798</v>
      </c>
      <c r="O112" s="3">
        <f>(IF(L112&lt;4172.98,0,MIN(L112*0.3,L112-4172.98)))-M112</f>
        <v>0</v>
      </c>
      <c r="S112" s="3" t="s">
        <v>69</v>
      </c>
      <c r="Z112" s="181">
        <v>1</v>
      </c>
    </row>
    <row r="113" spans="1:26" hidden="1">
      <c r="A113" s="30">
        <v>23356648</v>
      </c>
      <c r="B113" s="31">
        <v>46238</v>
      </c>
      <c r="C113" s="32">
        <v>0.51165509259259256</v>
      </c>
      <c r="D113" s="33"/>
      <c r="E113" s="34">
        <v>5215535802680</v>
      </c>
      <c r="F113" s="33"/>
      <c r="G113" s="33" t="s">
        <v>161</v>
      </c>
      <c r="H113" s="35"/>
      <c r="I113" s="33"/>
      <c r="J113" s="36"/>
      <c r="K113" t="s">
        <v>32</v>
      </c>
      <c r="N113" s="3">
        <f t="shared" si="7"/>
        <v>0</v>
      </c>
      <c r="O113" s="3">
        <f>(IF(L113&lt;4172.98,0,MIN(L113*0.3,L113-4172.98)))-M113</f>
        <v>0</v>
      </c>
      <c r="S113" s="3" t="s">
        <v>69</v>
      </c>
      <c r="Z113" s="181">
        <v>0</v>
      </c>
    </row>
    <row r="114" spans="1:26" hidden="1">
      <c r="A114" s="30">
        <v>23357624</v>
      </c>
      <c r="B114" s="31">
        <v>46238</v>
      </c>
      <c r="C114" s="32">
        <v>0.52660879629629631</v>
      </c>
      <c r="D114" s="33"/>
      <c r="E114" s="34">
        <v>5215567688165</v>
      </c>
      <c r="F114" s="33"/>
      <c r="G114" s="33" t="s">
        <v>162</v>
      </c>
      <c r="H114" s="35"/>
      <c r="I114" s="33"/>
      <c r="J114" s="36"/>
      <c r="K114" t="s">
        <v>32</v>
      </c>
      <c r="N114" s="3">
        <f>L114*0.3</f>
        <v>0</v>
      </c>
      <c r="O114" s="3">
        <f>(IF(L114&lt;4172.98,0,MIN(L114*0.3,L114-4172.98)))-M114</f>
        <v>0</v>
      </c>
      <c r="S114" s="3" t="s">
        <v>31</v>
      </c>
      <c r="Z114" s="181">
        <v>0</v>
      </c>
    </row>
    <row r="115" spans="1:26" hidden="1">
      <c r="A115" s="12">
        <v>23358280</v>
      </c>
      <c r="B115" s="13">
        <v>46238</v>
      </c>
      <c r="C115" s="14">
        <v>0.53273148148148153</v>
      </c>
      <c r="D115" s="15"/>
      <c r="E115" s="16">
        <v>0</v>
      </c>
      <c r="F115" s="15"/>
      <c r="G115" s="15" t="s">
        <v>163</v>
      </c>
      <c r="H115" s="17" t="s">
        <v>164</v>
      </c>
      <c r="I115" s="15"/>
      <c r="J115" s="18"/>
      <c r="K115" t="s">
        <v>51</v>
      </c>
      <c r="N115" s="3">
        <f t="shared" ref="N115:N118" si="8">L115*0.3</f>
        <v>0</v>
      </c>
      <c r="O115" s="3">
        <f>(IF(L115&lt;4172.98,0,MIN(L115*0.3,L115-4172.98)))-M115</f>
        <v>0</v>
      </c>
      <c r="S115" s="3" t="s">
        <v>69</v>
      </c>
      <c r="Z115" s="181">
        <v>1</v>
      </c>
    </row>
    <row r="116" spans="1:26" hidden="1">
      <c r="A116" s="12">
        <v>23360372</v>
      </c>
      <c r="B116" s="13">
        <v>46238</v>
      </c>
      <c r="C116" s="14">
        <v>0.53435185185185186</v>
      </c>
      <c r="D116" s="15"/>
      <c r="E116" s="16">
        <v>5215575508316</v>
      </c>
      <c r="F116" s="15"/>
      <c r="G116" s="15" t="s">
        <v>165</v>
      </c>
      <c r="H116" s="17">
        <v>10786032150</v>
      </c>
      <c r="I116" s="15"/>
      <c r="J116" s="18"/>
      <c r="K116" t="s">
        <v>30</v>
      </c>
      <c r="L116" s="3">
        <v>9081.52</v>
      </c>
      <c r="M116" s="3">
        <v>2521.27</v>
      </c>
      <c r="N116" s="3">
        <f t="shared" si="8"/>
        <v>2724.4560000000001</v>
      </c>
      <c r="O116" s="3">
        <f>(IF(L116&lt;4172.98,0,MIN(L116*0.3,L116-4172.98)))-M116</f>
        <v>203.18600000000015</v>
      </c>
      <c r="P116" s="6">
        <v>46266</v>
      </c>
      <c r="Q116" t="s">
        <v>166</v>
      </c>
      <c r="S116" s="3" t="s">
        <v>69</v>
      </c>
      <c r="Z116" s="181">
        <v>2</v>
      </c>
    </row>
    <row r="117" spans="1:26" hidden="1">
      <c r="A117" s="12">
        <v>23360558</v>
      </c>
      <c r="B117" s="13">
        <v>46238</v>
      </c>
      <c r="C117" s="14">
        <v>0.53760416666666666</v>
      </c>
      <c r="D117" s="15"/>
      <c r="E117" s="16">
        <v>5216143042368</v>
      </c>
      <c r="F117" s="15"/>
      <c r="G117" s="15"/>
      <c r="H117" s="17">
        <v>33997825121</v>
      </c>
      <c r="I117" s="15"/>
      <c r="J117" s="18"/>
      <c r="K117" t="s">
        <v>51</v>
      </c>
      <c r="N117" s="3">
        <f t="shared" si="8"/>
        <v>0</v>
      </c>
      <c r="O117" s="3">
        <f>(IF(L117&lt;4172.98,0,MIN(L117*0.3,L117-4172.98)))-M117</f>
        <v>0</v>
      </c>
      <c r="S117" s="3" t="s">
        <v>69</v>
      </c>
      <c r="Z117" s="181">
        <v>1</v>
      </c>
    </row>
    <row r="118" spans="1:26" hidden="1">
      <c r="A118" s="30">
        <v>23360504</v>
      </c>
      <c r="B118" s="31">
        <v>46238</v>
      </c>
      <c r="C118" s="32">
        <v>0.53813657407407411</v>
      </c>
      <c r="D118" s="33"/>
      <c r="E118" s="34">
        <v>5218128714841</v>
      </c>
      <c r="F118" s="33"/>
      <c r="G118" s="33"/>
      <c r="H118" s="35">
        <v>43038403275</v>
      </c>
      <c r="I118" s="33"/>
      <c r="J118" s="36"/>
      <c r="K118" t="s">
        <v>51</v>
      </c>
      <c r="N118" s="3">
        <f t="shared" si="8"/>
        <v>0</v>
      </c>
      <c r="O118" s="3">
        <f>(IF(L118&lt;4172.98,0,MIN(L118*0.3,L118-4172.98)))-M118</f>
        <v>0</v>
      </c>
      <c r="S118" s="3" t="s">
        <v>31</v>
      </c>
      <c r="Z118" s="181">
        <v>1</v>
      </c>
    </row>
    <row r="119" spans="1:26" hidden="1">
      <c r="A119" s="30">
        <v>23360630</v>
      </c>
      <c r="B119" s="31">
        <v>46238</v>
      </c>
      <c r="C119" s="32">
        <v>0.54172453703703705</v>
      </c>
      <c r="D119" s="33"/>
      <c r="E119" s="34">
        <v>5216241562114</v>
      </c>
      <c r="F119" s="33"/>
      <c r="G119" s="33" t="s">
        <v>167</v>
      </c>
      <c r="H119" s="35" t="s">
        <v>168</v>
      </c>
      <c r="I119" s="33"/>
      <c r="J119" s="36"/>
      <c r="K119" t="s">
        <v>30</v>
      </c>
      <c r="L119" s="3">
        <v>9760.32</v>
      </c>
      <c r="M119" s="3">
        <v>2927.1</v>
      </c>
      <c r="N119" s="3">
        <f>L119*0.3</f>
        <v>2928.096</v>
      </c>
      <c r="O119" s="3">
        <f>(IF(L119&lt;4172.98,0,MIN(L119*0.3,L119-4172.98)))-M119</f>
        <v>0.99600000000009459</v>
      </c>
      <c r="P119" s="6">
        <v>46844</v>
      </c>
      <c r="Q119" t="s">
        <v>44</v>
      </c>
      <c r="S119" s="3" t="s">
        <v>31</v>
      </c>
      <c r="Z119" s="181">
        <v>2</v>
      </c>
    </row>
    <row r="120" spans="1:26" hidden="1">
      <c r="A120" s="30">
        <v>23360904</v>
      </c>
      <c r="B120" s="31">
        <v>46238</v>
      </c>
      <c r="C120" s="32">
        <v>0.54851851851851852</v>
      </c>
      <c r="D120" s="33"/>
      <c r="E120" s="34">
        <v>5217443034757</v>
      </c>
      <c r="F120" s="33"/>
      <c r="G120" s="33"/>
      <c r="H120" s="35">
        <v>72815919716</v>
      </c>
      <c r="I120" s="33"/>
      <c r="J120" s="36"/>
      <c r="K120" t="s">
        <v>30</v>
      </c>
      <c r="L120" s="3">
        <v>7920.51</v>
      </c>
      <c r="M120" s="3">
        <v>2376.15</v>
      </c>
      <c r="N120" s="3">
        <f>L120*0.3</f>
        <v>2376.1529999999998</v>
      </c>
      <c r="O120" s="3">
        <f>(IF(L120&lt;4172.98,0,MIN(L120*0.3,L120-4172.98)))-M120</f>
        <v>2.9999999997016857E-3</v>
      </c>
      <c r="P120" s="6">
        <v>46784</v>
      </c>
      <c r="Q120" t="s">
        <v>169</v>
      </c>
      <c r="S120" s="3" t="s">
        <v>69</v>
      </c>
      <c r="Z120" s="181">
        <v>2</v>
      </c>
    </row>
    <row r="121" spans="1:26" hidden="1">
      <c r="A121" s="30">
        <v>23360984</v>
      </c>
      <c r="B121" s="31">
        <v>46238</v>
      </c>
      <c r="C121" s="32">
        <v>0.55265046296296294</v>
      </c>
      <c r="D121" s="33"/>
      <c r="E121" s="34">
        <v>5218444522352</v>
      </c>
      <c r="F121" s="33"/>
      <c r="G121" s="33"/>
      <c r="H121" s="35">
        <v>23806501484</v>
      </c>
      <c r="I121" s="33"/>
      <c r="J121" s="36"/>
      <c r="K121" t="s">
        <v>58</v>
      </c>
      <c r="L121" s="3">
        <v>1590.27</v>
      </c>
      <c r="N121" s="3">
        <f>L121*0.3</f>
        <v>477.08099999999996</v>
      </c>
      <c r="O121" s="3">
        <f>(IF(L121&lt;4172.98,0,MIN(L121*0.3,L121-4172.98)))-M121</f>
        <v>0</v>
      </c>
      <c r="S121" s="3" t="s">
        <v>69</v>
      </c>
      <c r="Z121" s="181">
        <v>1</v>
      </c>
    </row>
    <row r="122" spans="1:26">
      <c r="A122" s="12">
        <v>23361246</v>
      </c>
      <c r="B122" s="13">
        <v>46238</v>
      </c>
      <c r="C122" s="14">
        <v>0.55578703703703702</v>
      </c>
      <c r="D122" s="15"/>
      <c r="E122" s="16"/>
      <c r="F122" s="15"/>
      <c r="G122" s="15" t="s">
        <v>170</v>
      </c>
      <c r="H122" s="17"/>
      <c r="I122" s="15"/>
      <c r="J122" s="18"/>
      <c r="K122" t="s">
        <v>54</v>
      </c>
      <c r="L122" s="3">
        <v>5424.23</v>
      </c>
      <c r="N122" s="3">
        <f>L122*0.3</f>
        <v>1627.2689999999998</v>
      </c>
      <c r="O122" s="3">
        <f>(IF(L122&lt;4172.98,0,MIN(L122*0.3,L122-4172.98)))-M122</f>
        <v>1251.25</v>
      </c>
      <c r="S122" s="38" t="s">
        <v>171</v>
      </c>
      <c r="T122" s="48">
        <v>46238</v>
      </c>
      <c r="U122" t="s">
        <v>28</v>
      </c>
      <c r="Z122" s="181">
        <v>1</v>
      </c>
    </row>
    <row r="123" spans="1:26" hidden="1">
      <c r="A123" s="30">
        <v>23361360</v>
      </c>
      <c r="B123" s="31">
        <v>46238</v>
      </c>
      <c r="C123" s="32">
        <v>0.55652777777777773</v>
      </c>
      <c r="D123" s="33"/>
      <c r="E123" s="34"/>
      <c r="F123" s="33"/>
      <c r="G123" s="33" t="s">
        <v>172</v>
      </c>
      <c r="H123" s="35"/>
      <c r="I123" s="33"/>
      <c r="J123" s="36"/>
      <c r="K123" t="s">
        <v>30</v>
      </c>
      <c r="L123" s="3">
        <v>9081.52</v>
      </c>
      <c r="M123" s="3">
        <v>2722.37</v>
      </c>
      <c r="N123" s="3">
        <f>L123*0.3</f>
        <v>2724.4560000000001</v>
      </c>
      <c r="O123" s="3">
        <f>(IF(L123&lt;4172.98,0,MIN(L123*0.3,L123-4172.98)))-M123</f>
        <v>2.0860000000002401</v>
      </c>
      <c r="P123" s="6">
        <v>46327</v>
      </c>
      <c r="Q123" t="s">
        <v>44</v>
      </c>
      <c r="S123" s="3" t="s">
        <v>31</v>
      </c>
      <c r="Z123" s="181">
        <v>2</v>
      </c>
    </row>
    <row r="124" spans="1:26">
      <c r="A124" s="30">
        <v>23366228</v>
      </c>
      <c r="B124" s="31">
        <v>46238</v>
      </c>
      <c r="C124" s="32">
        <v>0.55798611111111107</v>
      </c>
      <c r="D124" s="33"/>
      <c r="E124" s="34">
        <v>5219841644378</v>
      </c>
      <c r="F124" s="33"/>
      <c r="G124" s="33"/>
      <c r="H124" s="35">
        <v>71866404396</v>
      </c>
      <c r="I124" s="33"/>
      <c r="J124" s="36"/>
      <c r="K124" t="s">
        <v>54</v>
      </c>
      <c r="L124" s="3">
        <v>9081.52</v>
      </c>
      <c r="M124" s="3">
        <v>1098.18</v>
      </c>
      <c r="N124" s="3">
        <f>L124*0.3</f>
        <v>2724.4560000000001</v>
      </c>
      <c r="O124" s="3">
        <f>(IF(L124&lt;4172.98,0,MIN(L124*0.3,L124-4172.98)))-M124</f>
        <v>1626.2760000000001</v>
      </c>
      <c r="P124" s="6">
        <v>46905</v>
      </c>
      <c r="Q124" t="s">
        <v>44</v>
      </c>
      <c r="S124" s="3" t="s">
        <v>98</v>
      </c>
      <c r="T124" s="48">
        <v>46238</v>
      </c>
      <c r="Z124" s="181">
        <v>2</v>
      </c>
    </row>
    <row r="125" spans="1:26">
      <c r="A125" s="30">
        <v>23299322</v>
      </c>
      <c r="B125" s="31">
        <v>46238</v>
      </c>
      <c r="C125" s="32">
        <v>0.55937499999999996</v>
      </c>
      <c r="D125" s="33" t="s">
        <v>173</v>
      </c>
      <c r="E125" s="34">
        <v>5214441556500</v>
      </c>
      <c r="F125" s="33"/>
      <c r="G125" s="33"/>
      <c r="H125" s="35" t="s">
        <v>174</v>
      </c>
      <c r="I125" s="33"/>
      <c r="J125" s="36"/>
      <c r="K125" t="s">
        <v>107</v>
      </c>
      <c r="L125" s="3">
        <v>7087.32</v>
      </c>
      <c r="M125" s="3">
        <v>2125.4899999999998</v>
      </c>
      <c r="N125" s="3">
        <f>L125*0.3</f>
        <v>2126.1959999999999</v>
      </c>
      <c r="O125" s="3">
        <f>(IF(L125&lt;4172.98,0,MIN(L125*0.3,L125-4172.98)))-M125</f>
        <v>0.70600000000013097</v>
      </c>
      <c r="P125" s="6">
        <v>46054</v>
      </c>
      <c r="Q125" t="s">
        <v>166</v>
      </c>
      <c r="S125" s="3" t="s">
        <v>39</v>
      </c>
      <c r="T125" s="48">
        <v>46238</v>
      </c>
      <c r="U125" t="s">
        <v>113</v>
      </c>
      <c r="Z125" s="181">
        <v>2</v>
      </c>
    </row>
    <row r="126" spans="1:26" hidden="1">
      <c r="A126" s="12">
        <v>23366180</v>
      </c>
      <c r="B126" s="13">
        <v>46238</v>
      </c>
      <c r="C126" s="14">
        <v>0.56128472222222225</v>
      </c>
      <c r="D126" s="15"/>
      <c r="E126" s="16">
        <v>5217443474542</v>
      </c>
      <c r="F126" s="15"/>
      <c r="G126" s="15"/>
      <c r="H126" s="17">
        <v>72897031315</v>
      </c>
      <c r="I126" s="15"/>
      <c r="J126" s="18"/>
      <c r="K126" t="s">
        <v>32</v>
      </c>
      <c r="N126" s="3">
        <f>L126*0.3</f>
        <v>0</v>
      </c>
      <c r="O126" s="3">
        <f>(IF(L126&lt;4172.98,0,MIN(L126*0.3,L126-4172.98)))-M126</f>
        <v>0</v>
      </c>
      <c r="S126" s="3" t="s">
        <v>69</v>
      </c>
      <c r="Z126" s="181">
        <v>0</v>
      </c>
    </row>
    <row r="127" spans="1:26">
      <c r="A127" s="12">
        <v>23361156</v>
      </c>
      <c r="B127" s="13">
        <v>46238</v>
      </c>
      <c r="C127" s="14">
        <v>0.55914351851851851</v>
      </c>
      <c r="D127" s="15"/>
      <c r="E127" s="16" t="s">
        <v>175</v>
      </c>
      <c r="F127" s="15"/>
      <c r="G127" s="15" t="s">
        <v>176</v>
      </c>
      <c r="H127" s="17"/>
      <c r="I127" s="15"/>
      <c r="J127" s="18"/>
      <c r="K127" t="s">
        <v>107</v>
      </c>
      <c r="L127" s="3">
        <v>8890.34</v>
      </c>
      <c r="M127" s="3">
        <v>2467.5300000000002</v>
      </c>
      <c r="N127" s="3">
        <f>L127*0.3</f>
        <v>2667.1019999999999</v>
      </c>
      <c r="O127" s="3">
        <f>(IF(L127&lt;4172.98,0,MIN(L127*0.3,L127-4172.98)))-M127</f>
        <v>199.57199999999966</v>
      </c>
      <c r="P127" s="6">
        <v>45839</v>
      </c>
      <c r="Q127" t="s">
        <v>59</v>
      </c>
      <c r="S127" s="3" t="s">
        <v>39</v>
      </c>
      <c r="T127" s="48">
        <v>46238</v>
      </c>
      <c r="Z127" s="181">
        <v>2</v>
      </c>
    </row>
    <row r="128" spans="1:26">
      <c r="A128" s="12">
        <v>23361482</v>
      </c>
      <c r="B128" s="13">
        <v>46238</v>
      </c>
      <c r="C128" s="14">
        <v>0.56141203703703701</v>
      </c>
      <c r="D128" s="15" t="s">
        <v>177</v>
      </c>
      <c r="E128" s="16"/>
      <c r="F128" s="15"/>
      <c r="G128" s="15"/>
      <c r="H128" s="17">
        <v>6786560059</v>
      </c>
      <c r="I128" s="15"/>
      <c r="J128" s="18"/>
      <c r="K128" t="s">
        <v>54</v>
      </c>
      <c r="L128" s="3">
        <v>16812.740000000002</v>
      </c>
      <c r="M128" s="3">
        <v>848</v>
      </c>
      <c r="N128" s="3">
        <f>L128*0.3</f>
        <v>5043.8220000000001</v>
      </c>
      <c r="O128" s="3">
        <f>(IF(L128&lt;4172.98,0,MIN(L128*0.3,L128-4172.98)))-M128</f>
        <v>4195.8220000000001</v>
      </c>
      <c r="S128" s="3" t="s">
        <v>55</v>
      </c>
      <c r="T128" s="48">
        <v>46238</v>
      </c>
      <c r="Z128" s="181">
        <v>1</v>
      </c>
    </row>
    <row r="129" spans="1:26" hidden="1">
      <c r="A129" s="12">
        <v>23361456</v>
      </c>
      <c r="B129" s="13">
        <v>46238</v>
      </c>
      <c r="C129" s="14">
        <v>0.56016203703703704</v>
      </c>
      <c r="D129" s="15"/>
      <c r="E129" s="16">
        <v>0</v>
      </c>
      <c r="F129" s="15"/>
      <c r="G129" s="15"/>
      <c r="H129" s="17">
        <v>83866834001</v>
      </c>
      <c r="I129" s="15"/>
      <c r="J129" s="18"/>
      <c r="K129" t="s">
        <v>32</v>
      </c>
      <c r="N129" s="3">
        <f>L129*0.3</f>
        <v>0</v>
      </c>
      <c r="O129" s="3">
        <f>(IF(L129&lt;4172.98,0,MIN(L129*0.3,L129-4172.98)))-M129</f>
        <v>0</v>
      </c>
      <c r="S129" s="3" t="s">
        <v>69</v>
      </c>
      <c r="Z129" s="181">
        <v>0</v>
      </c>
    </row>
    <row r="130" spans="1:26" hidden="1">
      <c r="A130" s="12">
        <v>23366330</v>
      </c>
      <c r="B130" s="13">
        <v>46238</v>
      </c>
      <c r="C130" s="14">
        <v>0.56111111111111112</v>
      </c>
      <c r="D130" s="15"/>
      <c r="E130" s="16"/>
      <c r="F130" s="15"/>
      <c r="G130" s="15"/>
      <c r="H130" s="17">
        <v>12917537065</v>
      </c>
      <c r="I130" s="15"/>
      <c r="J130" s="18"/>
      <c r="K130" t="s">
        <v>58</v>
      </c>
      <c r="L130" s="3">
        <v>2053.7600000000002</v>
      </c>
      <c r="N130" s="3">
        <f>L130*0.3</f>
        <v>616.12800000000004</v>
      </c>
      <c r="O130" s="3">
        <f>(IF(L130&lt;4172.98,0,MIN(L130*0.3,L130-4172.98)))-M130</f>
        <v>0</v>
      </c>
      <c r="S130" s="3" t="s">
        <v>69</v>
      </c>
      <c r="Z130" s="181">
        <v>1</v>
      </c>
    </row>
    <row r="131" spans="1:26" hidden="1">
      <c r="A131" s="12">
        <v>23366484</v>
      </c>
      <c r="B131" s="13">
        <v>46238</v>
      </c>
      <c r="C131" s="14">
        <v>0.56265046296296295</v>
      </c>
      <c r="D131" s="15" t="s">
        <v>178</v>
      </c>
      <c r="E131" s="16">
        <v>0</v>
      </c>
      <c r="F131" s="15"/>
      <c r="G131" s="15"/>
      <c r="H131" s="17">
        <v>32816533387</v>
      </c>
      <c r="I131" s="15"/>
      <c r="J131" s="18"/>
      <c r="K131" t="s">
        <v>30</v>
      </c>
      <c r="L131" s="3">
        <v>4785.9399999999996</v>
      </c>
      <c r="M131" s="3">
        <v>591.14</v>
      </c>
      <c r="N131" s="3">
        <f>L131*0.3</f>
        <v>1435.7819999999999</v>
      </c>
      <c r="O131" s="3">
        <f>(IF(L131&lt;4172.98,0,MIN(L131*0.3,L131-4172.98)))-M131</f>
        <v>21.82000000000005</v>
      </c>
      <c r="P131" s="6">
        <v>46478</v>
      </c>
      <c r="S131" s="3" t="s">
        <v>69</v>
      </c>
      <c r="Z131" s="181">
        <v>2</v>
      </c>
    </row>
    <row r="132" spans="1:26">
      <c r="A132" s="12">
        <v>23366640</v>
      </c>
      <c r="B132" s="13">
        <v>46238</v>
      </c>
      <c r="C132" s="14">
        <v>0.56418981481481478</v>
      </c>
      <c r="D132" s="15"/>
      <c r="E132" s="16"/>
      <c r="F132" s="15"/>
      <c r="G132" s="15"/>
      <c r="H132" s="17">
        <v>11735232313</v>
      </c>
      <c r="I132" s="15"/>
      <c r="J132" s="18"/>
      <c r="K132" t="s">
        <v>54</v>
      </c>
      <c r="L132" s="4">
        <v>78008.350000000006</v>
      </c>
      <c r="M132" s="4">
        <v>10122.209999999999</v>
      </c>
      <c r="N132" s="3">
        <f>L132*0.3</f>
        <v>23402.505000000001</v>
      </c>
      <c r="O132" s="3">
        <f>(IF(L132&lt;4172.98,0,MIN(L132*0.3,L132-4172.98)))-M132</f>
        <v>13280.295000000002</v>
      </c>
      <c r="P132" s="6">
        <v>46235</v>
      </c>
      <c r="S132" s="3" t="s">
        <v>28</v>
      </c>
      <c r="T132" s="48">
        <v>46238</v>
      </c>
      <c r="Z132" s="181">
        <v>2</v>
      </c>
    </row>
    <row r="133" spans="1:26" hidden="1">
      <c r="A133" s="12">
        <v>23366260</v>
      </c>
      <c r="B133" s="13">
        <v>46238</v>
      </c>
      <c r="C133" s="14">
        <v>0.5647106481481482</v>
      </c>
      <c r="D133" s="15"/>
      <c r="E133" s="16">
        <v>5216181460426</v>
      </c>
      <c r="F133" s="15"/>
      <c r="G133" s="15" t="s">
        <v>179</v>
      </c>
      <c r="H133" s="17">
        <v>31735800844</v>
      </c>
      <c r="I133" s="15"/>
      <c r="J133" s="18"/>
      <c r="K133" t="s">
        <v>30</v>
      </c>
      <c r="L133" s="3">
        <v>13069.57</v>
      </c>
      <c r="M133" s="3">
        <v>3781.32</v>
      </c>
      <c r="N133" s="3">
        <f>L133*0.3</f>
        <v>3920.8709999999996</v>
      </c>
      <c r="O133" s="3">
        <f>(IF(L133&lt;4172.98,0,MIN(L133*0.3,L133-4172.98)))-M133</f>
        <v>139.55099999999948</v>
      </c>
      <c r="P133" s="6">
        <v>46508</v>
      </c>
      <c r="Q133" t="s">
        <v>57</v>
      </c>
      <c r="S133" s="3" t="s">
        <v>69</v>
      </c>
      <c r="Z133" s="181">
        <v>2</v>
      </c>
    </row>
    <row r="134" spans="1:26" hidden="1">
      <c r="A134" s="12">
        <v>23366236</v>
      </c>
      <c r="B134" s="13">
        <v>46238</v>
      </c>
      <c r="C134" s="14">
        <v>0.56504629629629632</v>
      </c>
      <c r="D134" s="15"/>
      <c r="E134" s="16">
        <v>5213231045429</v>
      </c>
      <c r="F134" s="15"/>
      <c r="G134" s="15"/>
      <c r="H134" s="17">
        <v>75815405040</v>
      </c>
      <c r="I134" s="15"/>
      <c r="J134" s="18"/>
      <c r="K134" t="s">
        <v>58</v>
      </c>
      <c r="L134" s="3">
        <v>4342.43</v>
      </c>
      <c r="N134" s="3">
        <f>L134*0.3</f>
        <v>1302.729</v>
      </c>
      <c r="O134" s="3">
        <f>(IF(L134&lt;4172.98,0,MIN(L134*0.3,L134-4172.98)))-M134</f>
        <v>169.45000000000073</v>
      </c>
      <c r="S134" s="3" t="s">
        <v>69</v>
      </c>
      <c r="Z134" s="181">
        <v>1</v>
      </c>
    </row>
    <row r="135" spans="1:26" hidden="1">
      <c r="A135" s="12">
        <v>23366606</v>
      </c>
      <c r="B135" s="13">
        <v>46238</v>
      </c>
      <c r="C135" s="14">
        <v>0.57100694444444444</v>
      </c>
      <c r="D135" s="15" t="s">
        <v>180</v>
      </c>
      <c r="E135" s="16"/>
      <c r="F135" s="15"/>
      <c r="G135" s="15"/>
      <c r="H135" s="17">
        <v>42846105288</v>
      </c>
      <c r="I135" s="15"/>
      <c r="J135" s="18"/>
      <c r="K135" t="s">
        <v>30</v>
      </c>
      <c r="L135" s="3">
        <v>9081.52</v>
      </c>
      <c r="M135" s="3">
        <v>2627.5</v>
      </c>
      <c r="N135" s="3">
        <f>L135*0.3</f>
        <v>2724.4560000000001</v>
      </c>
      <c r="O135" s="3">
        <f>(IF(L135&lt;4172.98,0,MIN(L135*0.3,L135-4172.98)))-M135</f>
        <v>96.956000000000131</v>
      </c>
      <c r="P135" s="6">
        <v>46631</v>
      </c>
      <c r="S135" s="3" t="s">
        <v>69</v>
      </c>
      <c r="Z135" s="181">
        <v>2</v>
      </c>
    </row>
    <row r="136" spans="1:26" hidden="1">
      <c r="A136" s="30">
        <v>23366778</v>
      </c>
      <c r="B136" s="31">
        <v>46238</v>
      </c>
      <c r="C136" s="32">
        <v>0.57056712962962963</v>
      </c>
      <c r="D136" s="33"/>
      <c r="E136" s="34">
        <v>0</v>
      </c>
      <c r="F136" s="33"/>
      <c r="G136" s="33"/>
      <c r="H136" s="35">
        <v>67785928390</v>
      </c>
      <c r="I136" s="33"/>
      <c r="J136" s="36"/>
      <c r="K136" t="s">
        <v>30</v>
      </c>
      <c r="L136" s="3">
        <v>4813.6899999999996</v>
      </c>
      <c r="M136" s="3">
        <v>626.79</v>
      </c>
      <c r="N136" s="3">
        <f>L136*0.3</f>
        <v>1444.1069999999997</v>
      </c>
      <c r="O136" s="3">
        <f>(IF(L136&lt;4172.98,0,MIN(L136*0.3,L136-4172.98)))-M136</f>
        <v>13.920000000000073</v>
      </c>
      <c r="P136" s="6">
        <v>46844</v>
      </c>
      <c r="S136" s="3" t="s">
        <v>69</v>
      </c>
      <c r="Z136" s="181">
        <v>2</v>
      </c>
    </row>
    <row r="137" spans="1:26" hidden="1">
      <c r="A137" s="12">
        <v>23366252</v>
      </c>
      <c r="B137" s="13">
        <v>46238</v>
      </c>
      <c r="C137" s="14">
        <v>0.5718981481481481</v>
      </c>
      <c r="D137" s="15" t="s">
        <v>181</v>
      </c>
      <c r="E137" s="16">
        <v>5215618510055</v>
      </c>
      <c r="F137" s="15"/>
      <c r="G137" s="15" t="s">
        <v>182</v>
      </c>
      <c r="H137" s="17" t="s">
        <v>183</v>
      </c>
      <c r="I137" s="15"/>
      <c r="J137" s="18"/>
      <c r="K137" t="s">
        <v>30</v>
      </c>
      <c r="L137" s="3">
        <v>7135.61</v>
      </c>
      <c r="M137" s="3">
        <v>1959.03</v>
      </c>
      <c r="N137" s="3">
        <f>L137*0.3</f>
        <v>2140.683</v>
      </c>
      <c r="O137" s="3">
        <f>(IF(L137&lt;4172.98,0,MIN(L137*0.3,L137-4172.98)))-M137</f>
        <v>181.65300000000002</v>
      </c>
      <c r="P137" s="6">
        <v>46631</v>
      </c>
      <c r="Q137" t="s">
        <v>184</v>
      </c>
      <c r="S137" s="3" t="s">
        <v>69</v>
      </c>
      <c r="Z137" s="181">
        <v>2</v>
      </c>
    </row>
    <row r="138" spans="1:26" hidden="1">
      <c r="A138" s="12">
        <v>23366854</v>
      </c>
      <c r="B138" s="13">
        <v>46238</v>
      </c>
      <c r="C138" s="14">
        <v>0.57499999999999996</v>
      </c>
      <c r="D138" s="15"/>
      <c r="E138" s="16"/>
      <c r="F138" s="15"/>
      <c r="G138" s="15" t="s">
        <v>185</v>
      </c>
      <c r="H138" s="17">
        <v>80147526885</v>
      </c>
      <c r="I138" s="15"/>
      <c r="J138" s="18"/>
      <c r="K138" t="s">
        <v>32</v>
      </c>
      <c r="N138" s="3">
        <f>L138*0.3</f>
        <v>0</v>
      </c>
      <c r="O138" s="3">
        <f>(IF(L138&lt;4172.98,0,MIN(L138*0.3,L138-4172.98)))-M138</f>
        <v>0</v>
      </c>
      <c r="S138" s="3" t="s">
        <v>31</v>
      </c>
      <c r="Z138" s="181">
        <v>0</v>
      </c>
    </row>
    <row r="139" spans="1:26" hidden="1">
      <c r="A139" s="12">
        <v>23367022</v>
      </c>
      <c r="B139" s="13">
        <v>46238</v>
      </c>
      <c r="C139" s="14">
        <v>0.57628472222222227</v>
      </c>
      <c r="D139" s="15"/>
      <c r="E139" s="16"/>
      <c r="F139" s="15"/>
      <c r="G139" s="15"/>
      <c r="H139" s="17" t="s">
        <v>186</v>
      </c>
      <c r="I139" s="15"/>
      <c r="J139" s="18"/>
      <c r="K139" t="s">
        <v>30</v>
      </c>
      <c r="L139" s="3">
        <v>29197.94</v>
      </c>
      <c r="M139" s="3">
        <v>8742.6200000000008</v>
      </c>
      <c r="N139" s="3">
        <f>L139*0.3</f>
        <v>8759.3819999999996</v>
      </c>
      <c r="O139" s="3">
        <f>(IF(L139&lt;4172.98,0,MIN(L139*0.3,L139-4172.98)))-M139</f>
        <v>16.761999999998807</v>
      </c>
      <c r="P139" s="6">
        <v>46266</v>
      </c>
      <c r="Q139" t="s">
        <v>169</v>
      </c>
      <c r="S139" s="3" t="s">
        <v>31</v>
      </c>
      <c r="Z139" s="181">
        <v>2</v>
      </c>
    </row>
    <row r="140" spans="1:26" hidden="1">
      <c r="A140" s="12">
        <v>23367446</v>
      </c>
      <c r="B140" s="13">
        <v>46238</v>
      </c>
      <c r="C140" s="14">
        <v>0.57554398148148145</v>
      </c>
      <c r="D140" s="15" t="s">
        <v>187</v>
      </c>
      <c r="E140" s="16"/>
      <c r="F140" s="15"/>
      <c r="G140" s="15"/>
      <c r="H140" s="17" t="s">
        <v>188</v>
      </c>
      <c r="I140" s="15"/>
      <c r="J140" s="18"/>
      <c r="K140" t="s">
        <v>189</v>
      </c>
      <c r="N140" s="3">
        <f>L140*0.3</f>
        <v>0</v>
      </c>
      <c r="O140" s="3">
        <f>(IF(L140&lt;4172.98,0,MIN(L140*0.3,L140-4172.98)))-M140</f>
        <v>0</v>
      </c>
      <c r="S140" s="3" t="s">
        <v>69</v>
      </c>
      <c r="Z140" s="181">
        <v>1</v>
      </c>
    </row>
    <row r="141" spans="1:26">
      <c r="A141" s="30">
        <v>23366836</v>
      </c>
      <c r="B141" s="31">
        <v>46238</v>
      </c>
      <c r="C141" s="32">
        <v>0.57769675925925923</v>
      </c>
      <c r="D141" s="33"/>
      <c r="E141" s="34">
        <v>5219982599377</v>
      </c>
      <c r="F141" s="33"/>
      <c r="G141" s="33"/>
      <c r="H141" s="35">
        <v>83947702110</v>
      </c>
      <c r="I141" s="33"/>
      <c r="J141" s="36"/>
      <c r="K141" t="s">
        <v>54</v>
      </c>
      <c r="L141" s="3">
        <v>8247.33</v>
      </c>
      <c r="M141" s="3">
        <v>1111.8399999999999</v>
      </c>
      <c r="N141" s="3">
        <f>L141*0.3</f>
        <v>2474.1990000000001</v>
      </c>
      <c r="O141" s="3">
        <f>(IF(L141&lt;4172.98,0,MIN(L141*0.3,L141-4172.98)))-M141</f>
        <v>1362.3590000000002</v>
      </c>
      <c r="P141" s="6">
        <v>46784</v>
      </c>
      <c r="Q141" t="s">
        <v>190</v>
      </c>
      <c r="S141" s="3" t="s">
        <v>63</v>
      </c>
      <c r="T141" s="48">
        <v>46238</v>
      </c>
      <c r="Z141" s="181">
        <v>2</v>
      </c>
    </row>
    <row r="142" spans="1:26">
      <c r="A142" s="12">
        <v>23367142</v>
      </c>
      <c r="B142" s="13">
        <v>46238</v>
      </c>
      <c r="C142" s="14">
        <v>0.58082175925925927</v>
      </c>
      <c r="D142" s="15"/>
      <c r="E142" s="16">
        <v>5215610559333</v>
      </c>
      <c r="F142" s="15"/>
      <c r="G142" s="15" t="s">
        <v>191</v>
      </c>
      <c r="H142" s="17"/>
      <c r="I142" s="15"/>
      <c r="J142" s="18"/>
      <c r="K142" t="s">
        <v>54</v>
      </c>
      <c r="L142" s="3">
        <v>9994.11</v>
      </c>
      <c r="N142" s="3">
        <f>L142*0.3</f>
        <v>2998.2330000000002</v>
      </c>
      <c r="O142" s="3">
        <f>(IF(L142&lt;4172.98,0,MIN(L142*0.3,L142-4172.98)))-M142</f>
        <v>2998.2330000000002</v>
      </c>
      <c r="S142" s="3" t="s">
        <v>95</v>
      </c>
      <c r="T142" s="48">
        <v>46238</v>
      </c>
      <c r="Z142" s="181">
        <v>1</v>
      </c>
    </row>
    <row r="143" spans="1:26" hidden="1">
      <c r="A143" s="12">
        <v>23367356</v>
      </c>
      <c r="B143" s="13">
        <v>46238</v>
      </c>
      <c r="C143" s="14">
        <v>0.57797453703703705</v>
      </c>
      <c r="D143" s="15"/>
      <c r="E143" s="16">
        <v>5214621408160</v>
      </c>
      <c r="F143" s="15"/>
      <c r="G143" s="15"/>
      <c r="H143" s="17">
        <v>65815900421</v>
      </c>
      <c r="I143" s="15"/>
      <c r="J143" s="18"/>
      <c r="K143" t="s">
        <v>30</v>
      </c>
      <c r="L143" s="3">
        <v>10496.08</v>
      </c>
      <c r="M143" s="3">
        <v>3144.2</v>
      </c>
      <c r="N143" s="3">
        <f>L143*0.3</f>
        <v>3148.8240000000001</v>
      </c>
      <c r="O143" s="3">
        <f>(IF(L143&lt;4172.98,0,MIN(L143*0.3,L143-4172.98)))-M143</f>
        <v>4.624000000000251</v>
      </c>
      <c r="P143" s="6">
        <v>46905</v>
      </c>
      <c r="Q143" t="s">
        <v>184</v>
      </c>
      <c r="S143" s="3" t="s">
        <v>31</v>
      </c>
      <c r="Z143" s="181">
        <v>2</v>
      </c>
    </row>
    <row r="144" spans="1:26" hidden="1">
      <c r="A144" s="12">
        <v>23367604</v>
      </c>
      <c r="B144" s="13">
        <v>46238</v>
      </c>
      <c r="C144" s="14">
        <v>0.578125</v>
      </c>
      <c r="D144" s="15"/>
      <c r="E144" s="16">
        <v>5218130837589</v>
      </c>
      <c r="F144" s="15"/>
      <c r="G144" s="15" t="s">
        <v>192</v>
      </c>
      <c r="H144" s="17"/>
      <c r="I144" s="15"/>
      <c r="J144" s="18"/>
      <c r="K144" t="s">
        <v>30</v>
      </c>
      <c r="L144" s="3">
        <v>5617.63</v>
      </c>
      <c r="M144" s="3">
        <v>1393</v>
      </c>
      <c r="N144" s="3">
        <f>L144*0.3</f>
        <v>1685.289</v>
      </c>
      <c r="O144" s="3">
        <f>(IF(L144&lt;4172.98,0,MIN(L144*0.3,L144-4172.98)))-M144</f>
        <v>51.650000000000546</v>
      </c>
      <c r="P144" s="6">
        <v>46722</v>
      </c>
      <c r="Q144" t="s">
        <v>75</v>
      </c>
      <c r="S144" s="3" t="s">
        <v>31</v>
      </c>
      <c r="Z144" s="181">
        <v>2</v>
      </c>
    </row>
    <row r="145" spans="1:26" hidden="1">
      <c r="A145" s="12">
        <v>23366718</v>
      </c>
      <c r="B145" s="13">
        <v>46238</v>
      </c>
      <c r="C145" s="14">
        <v>0.57906250000000004</v>
      </c>
      <c r="D145" s="15"/>
      <c r="E145" s="16">
        <v>5216151593745</v>
      </c>
      <c r="F145" s="15"/>
      <c r="G145" s="15"/>
      <c r="H145" s="17" t="s">
        <v>193</v>
      </c>
      <c r="I145" s="15"/>
      <c r="J145" s="18"/>
      <c r="K145" t="s">
        <v>30</v>
      </c>
      <c r="L145" s="3">
        <v>47705.2</v>
      </c>
      <c r="M145" s="3">
        <v>14311.54</v>
      </c>
      <c r="N145" s="3">
        <f>L145*0.3</f>
        <v>14311.56</v>
      </c>
      <c r="O145" s="3">
        <f>(IF(L145&lt;4172.98,0,MIN(L145*0.3,L145-4172.98)))-M145</f>
        <v>1.9999999998617568E-2</v>
      </c>
      <c r="P145" s="6">
        <v>46692</v>
      </c>
      <c r="Q145" t="s">
        <v>44</v>
      </c>
      <c r="S145" s="3" t="s">
        <v>31</v>
      </c>
      <c r="Z145" s="181">
        <v>2</v>
      </c>
    </row>
    <row r="146" spans="1:26">
      <c r="A146" s="12">
        <v>23367464</v>
      </c>
      <c r="B146" s="13">
        <v>46238</v>
      </c>
      <c r="C146" s="14">
        <v>0.57893518518518516</v>
      </c>
      <c r="D146" s="15"/>
      <c r="E146" s="16"/>
      <c r="F146" s="15"/>
      <c r="G146" s="15"/>
      <c r="H146" s="17">
        <v>49887169743</v>
      </c>
      <c r="I146" s="15"/>
      <c r="J146" s="18"/>
      <c r="K146" t="s">
        <v>27</v>
      </c>
      <c r="L146" s="3">
        <v>5771.64</v>
      </c>
      <c r="M146" s="3">
        <v>1729.1</v>
      </c>
      <c r="N146" s="3">
        <f>L146*0.3</f>
        <v>1731.492</v>
      </c>
      <c r="O146" s="3">
        <f>(IF(L146&lt;4172.98,0,MIN(L146*0.3,L146-4172.98)))-M146</f>
        <v>-130.43999999999915</v>
      </c>
      <c r="P146" s="6">
        <v>45627</v>
      </c>
      <c r="Q146" t="s">
        <v>44</v>
      </c>
      <c r="S146" s="3" t="s">
        <v>98</v>
      </c>
      <c r="T146" s="48">
        <v>46238</v>
      </c>
      <c r="Z146" s="181">
        <v>2</v>
      </c>
    </row>
    <row r="147" spans="1:26" hidden="1">
      <c r="A147" s="12">
        <v>23367364</v>
      </c>
      <c r="B147" s="13">
        <v>46238</v>
      </c>
      <c r="C147" s="14">
        <v>0.57981481481481478</v>
      </c>
      <c r="D147" s="15"/>
      <c r="E147" s="16">
        <v>5215543423063</v>
      </c>
      <c r="F147" s="15"/>
      <c r="G147" s="15" t="s">
        <v>194</v>
      </c>
      <c r="H147" s="17"/>
      <c r="I147" s="15"/>
      <c r="J147" s="18"/>
      <c r="K147" t="s">
        <v>58</v>
      </c>
      <c r="L147" s="3">
        <v>4342.43</v>
      </c>
      <c r="N147" s="3">
        <f>L147*0.3</f>
        <v>1302.729</v>
      </c>
      <c r="O147" s="3">
        <f>(IF(L147&lt;4172.98,0,MIN(L147*0.3,L147-4172.98)))-M147</f>
        <v>169.45000000000073</v>
      </c>
      <c r="S147" s="3" t="s">
        <v>31</v>
      </c>
      <c r="Z147" s="181">
        <v>1</v>
      </c>
    </row>
    <row r="148" spans="1:26" hidden="1">
      <c r="A148" s="30">
        <v>23367496</v>
      </c>
      <c r="B148" s="31">
        <v>46238</v>
      </c>
      <c r="C148" s="32">
        <v>0.58135416666666662</v>
      </c>
      <c r="D148" s="33"/>
      <c r="E148" s="34">
        <v>5214428080759</v>
      </c>
      <c r="F148" s="33"/>
      <c r="G148" s="33"/>
      <c r="H148" s="35">
        <v>24169704202</v>
      </c>
      <c r="I148" s="33"/>
      <c r="J148" s="36"/>
      <c r="K148" t="s">
        <v>32</v>
      </c>
      <c r="N148" s="3">
        <f>L148*0.3</f>
        <v>0</v>
      </c>
      <c r="O148" s="3">
        <f>(IF(L148&lt;4172.98,0,MIN(L148*0.3,L148-4172.98)))-M148</f>
        <v>0</v>
      </c>
      <c r="S148" s="3" t="s">
        <v>31</v>
      </c>
      <c r="Z148" s="181">
        <v>0</v>
      </c>
    </row>
    <row r="149" spans="1:26">
      <c r="A149" s="30">
        <v>23367708</v>
      </c>
      <c r="B149" s="31">
        <v>46238</v>
      </c>
      <c r="C149" s="32">
        <v>0.58266203703703701</v>
      </c>
      <c r="D149" s="33"/>
      <c r="E149" s="34">
        <v>5219983366002</v>
      </c>
      <c r="F149" s="33"/>
      <c r="G149" s="33"/>
      <c r="H149" s="35">
        <v>11786131778</v>
      </c>
      <c r="I149" s="33"/>
      <c r="J149" s="36"/>
      <c r="K149" t="s">
        <v>107</v>
      </c>
      <c r="L149" s="4">
        <v>31788.5</v>
      </c>
      <c r="M149" s="4">
        <v>9529.09</v>
      </c>
      <c r="N149" s="3">
        <f>L149*0.3</f>
        <v>9536.5499999999993</v>
      </c>
      <c r="O149" s="3">
        <f>(IF(L149&lt;4172.98,0,MIN(L149*0.3,L149-4172.98)))-M149</f>
        <v>7.4599999999991269</v>
      </c>
      <c r="P149" s="6">
        <v>46174</v>
      </c>
      <c r="Q149" t="s">
        <v>44</v>
      </c>
      <c r="S149" s="3" t="s">
        <v>39</v>
      </c>
      <c r="T149" s="48">
        <v>46238</v>
      </c>
      <c r="Z149" s="181">
        <v>2</v>
      </c>
    </row>
    <row r="150" spans="1:26" hidden="1">
      <c r="A150" s="12">
        <v>23367978</v>
      </c>
      <c r="B150" s="13">
        <v>46238</v>
      </c>
      <c r="C150" s="14">
        <v>0.58605324074074072</v>
      </c>
      <c r="D150" s="15"/>
      <c r="E150" s="16">
        <v>5218123707329</v>
      </c>
      <c r="F150" s="15"/>
      <c r="G150" s="15"/>
      <c r="H150" s="17">
        <v>60967977186</v>
      </c>
      <c r="I150" s="15"/>
      <c r="J150" s="18"/>
      <c r="K150" t="s">
        <v>58</v>
      </c>
      <c r="L150" s="3">
        <v>2613.09</v>
      </c>
      <c r="N150" s="3">
        <f>L150*0.3</f>
        <v>783.92700000000002</v>
      </c>
      <c r="O150" s="3">
        <f>(IF(L150&lt;4172.98,0,MIN(L150*0.3,L150-4172.98)))-M150</f>
        <v>0</v>
      </c>
      <c r="S150" s="3" t="s">
        <v>31</v>
      </c>
      <c r="Z150" s="181">
        <v>1</v>
      </c>
    </row>
    <row r="151" spans="1:26" hidden="1">
      <c r="A151" s="12">
        <v>23367654</v>
      </c>
      <c r="B151" s="13">
        <v>46238</v>
      </c>
      <c r="C151" s="14">
        <v>0.58680555555555558</v>
      </c>
      <c r="D151" s="15"/>
      <c r="E151" s="16">
        <v>5217354380252</v>
      </c>
      <c r="F151" s="15"/>
      <c r="G151" s="15"/>
      <c r="H151" s="17">
        <v>11897110380</v>
      </c>
      <c r="I151" s="15"/>
      <c r="J151" s="18"/>
      <c r="K151" t="s">
        <v>58</v>
      </c>
      <c r="L151" s="3">
        <v>3779.88</v>
      </c>
      <c r="N151" s="3">
        <f>L151*0.3</f>
        <v>1133.9639999999999</v>
      </c>
      <c r="O151" s="3">
        <f>(IF(L151&lt;4172.98,0,MIN(L151*0.3,L151-4172.98)))-M151</f>
        <v>0</v>
      </c>
      <c r="S151" s="3" t="s">
        <v>69</v>
      </c>
      <c r="Z151" s="181">
        <v>1</v>
      </c>
    </row>
    <row r="152" spans="1:26">
      <c r="A152" s="12">
        <v>23368108</v>
      </c>
      <c r="B152" s="13">
        <v>46238</v>
      </c>
      <c r="C152" s="14">
        <v>0.58741898148148153</v>
      </c>
      <c r="D152" s="15"/>
      <c r="E152" s="16">
        <v>5215516842915</v>
      </c>
      <c r="F152" s="15"/>
      <c r="G152" s="15" t="s">
        <v>195</v>
      </c>
      <c r="H152" s="17"/>
      <c r="I152" s="15"/>
      <c r="J152" s="18"/>
      <c r="K152" t="s">
        <v>27</v>
      </c>
      <c r="L152" s="3">
        <v>15667.68</v>
      </c>
      <c r="M152" s="3">
        <v>4533.03</v>
      </c>
      <c r="N152" s="3">
        <f>L152*0.3</f>
        <v>4700.3040000000001</v>
      </c>
      <c r="O152" s="3">
        <f>(IF(L152&lt;4172.98,0,MIN(L152*0.3,L152-4172.98)))-M152</f>
        <v>167.27400000000034</v>
      </c>
      <c r="P152" s="6">
        <v>46054</v>
      </c>
      <c r="Q152" t="s">
        <v>75</v>
      </c>
      <c r="S152" s="3" t="s">
        <v>90</v>
      </c>
      <c r="T152" s="48">
        <v>46238</v>
      </c>
      <c r="Z152" s="181">
        <v>2</v>
      </c>
    </row>
    <row r="153" spans="1:26" hidden="1">
      <c r="A153" s="12">
        <v>23367854</v>
      </c>
      <c r="B153" s="13">
        <v>46238</v>
      </c>
      <c r="C153" s="14">
        <v>0.58909722222222227</v>
      </c>
      <c r="D153" s="15"/>
      <c r="E153" s="16"/>
      <c r="F153" s="15"/>
      <c r="G153" s="15" t="s">
        <v>196</v>
      </c>
      <c r="H153" s="17"/>
      <c r="I153" s="15"/>
      <c r="J153" s="18"/>
      <c r="K153" t="s">
        <v>30</v>
      </c>
      <c r="L153" s="3">
        <v>12138.25</v>
      </c>
      <c r="M153" s="3">
        <v>3639.11</v>
      </c>
      <c r="N153" s="3">
        <f>L153*0.3</f>
        <v>3641.4749999999999</v>
      </c>
      <c r="O153" s="3">
        <f>(IF(L153&lt;4172.98,0,MIN(L153*0.3,L153-4172.98)))-M153</f>
        <v>2.3649999999997817</v>
      </c>
      <c r="P153" s="6">
        <v>46296</v>
      </c>
      <c r="Q153" t="s">
        <v>43</v>
      </c>
      <c r="S153" s="3" t="s">
        <v>69</v>
      </c>
      <c r="Z153" s="181">
        <v>2</v>
      </c>
    </row>
    <row r="154" spans="1:26" hidden="1">
      <c r="A154" s="30">
        <v>23368186</v>
      </c>
      <c r="B154" s="31">
        <v>46238</v>
      </c>
      <c r="C154" s="32">
        <v>0.59067129629629633</v>
      </c>
      <c r="D154" s="33"/>
      <c r="E154" s="34">
        <v>5216371100529</v>
      </c>
      <c r="F154" s="33"/>
      <c r="G154" s="33"/>
      <c r="H154" s="35">
        <v>24008151789</v>
      </c>
      <c r="I154" s="33"/>
      <c r="J154" s="36"/>
      <c r="K154" t="s">
        <v>58</v>
      </c>
      <c r="L154" s="3">
        <v>2755.32</v>
      </c>
      <c r="N154" s="3">
        <f>L154*0.3</f>
        <v>826.596</v>
      </c>
      <c r="O154" s="3">
        <f>(IF(L154&lt;4172.98,0,MIN(L154*0.3,L154-4172.98)))-M154</f>
        <v>0</v>
      </c>
      <c r="S154" s="3" t="s">
        <v>69</v>
      </c>
      <c r="Z154" s="181">
        <v>1</v>
      </c>
    </row>
    <row r="155" spans="1:26" hidden="1">
      <c r="A155" s="12">
        <v>23367990</v>
      </c>
      <c r="B155" s="13">
        <v>46238</v>
      </c>
      <c r="C155" s="14">
        <v>0.59202546296296299</v>
      </c>
      <c r="D155" s="15"/>
      <c r="E155" s="16"/>
      <c r="F155" s="15"/>
      <c r="G155" s="15" t="s">
        <v>197</v>
      </c>
      <c r="H155" s="17"/>
      <c r="I155" s="15"/>
      <c r="J155" s="18"/>
      <c r="K155" t="s">
        <v>32</v>
      </c>
      <c r="N155" s="3">
        <f>L155*0.3</f>
        <v>0</v>
      </c>
      <c r="O155" s="3">
        <f>(IF(L155&lt;4172.98,0,MIN(L155*0.3,L155-4172.98)))-M155</f>
        <v>0</v>
      </c>
      <c r="S155" s="3" t="s">
        <v>69</v>
      </c>
      <c r="Z155" s="181">
        <v>0</v>
      </c>
    </row>
    <row r="156" spans="1:26" hidden="1">
      <c r="A156" s="30">
        <v>23368442</v>
      </c>
      <c r="B156" s="31">
        <v>46238</v>
      </c>
      <c r="C156" s="32">
        <v>0.59847222222222218</v>
      </c>
      <c r="D156" s="33"/>
      <c r="E156" s="34">
        <v>5216271154862</v>
      </c>
      <c r="F156" s="33"/>
      <c r="G156" s="33"/>
      <c r="H156" s="35">
        <v>31897415779</v>
      </c>
      <c r="I156" s="33"/>
      <c r="J156" s="36"/>
      <c r="K156" t="s">
        <v>30</v>
      </c>
      <c r="L156" s="3">
        <v>6405.06</v>
      </c>
      <c r="M156" s="3">
        <v>1852.67</v>
      </c>
      <c r="N156" s="3">
        <f>L156*0.3</f>
        <v>1921.518</v>
      </c>
      <c r="O156" s="3">
        <f>(IF(L156&lt;4172.98,0,MIN(L156*0.3,L156-4172.98)))-M156</f>
        <v>68.847999999999956</v>
      </c>
      <c r="P156" s="6">
        <v>46569</v>
      </c>
      <c r="Q156" t="s">
        <v>75</v>
      </c>
      <c r="S156" s="3" t="s">
        <v>69</v>
      </c>
      <c r="Z156" s="181">
        <v>2</v>
      </c>
    </row>
    <row r="157" spans="1:26" hidden="1">
      <c r="A157" s="30">
        <v>23368606</v>
      </c>
      <c r="B157" s="31">
        <v>46238</v>
      </c>
      <c r="C157" s="32">
        <v>0.60012731481481485</v>
      </c>
      <c r="D157" s="33"/>
      <c r="E157" s="34">
        <v>6141594125</v>
      </c>
      <c r="F157" s="33"/>
      <c r="G157" s="33"/>
      <c r="H157" s="35" t="s">
        <v>198</v>
      </c>
      <c r="I157" s="33"/>
      <c r="J157" s="36"/>
      <c r="K157" t="s">
        <v>32</v>
      </c>
      <c r="N157" s="3">
        <f>L157*0.3</f>
        <v>0</v>
      </c>
      <c r="O157" s="3">
        <f>(IF(L157&lt;4172.98,0,MIN(L157*0.3,L157-4172.98)))-M157</f>
        <v>0</v>
      </c>
      <c r="S157" s="3" t="s">
        <v>69</v>
      </c>
      <c r="Z157" s="181">
        <v>0</v>
      </c>
    </row>
    <row r="158" spans="1:26" hidden="1">
      <c r="A158" s="12">
        <v>23368618</v>
      </c>
      <c r="B158" s="13">
        <v>46238</v>
      </c>
      <c r="C158" s="14">
        <v>0.60185185185185186</v>
      </c>
      <c r="D158" s="15"/>
      <c r="E158" s="16">
        <v>5218144058253</v>
      </c>
      <c r="F158" s="15"/>
      <c r="G158" s="15" t="s">
        <v>199</v>
      </c>
      <c r="H158" s="17"/>
      <c r="I158" s="15"/>
      <c r="J158" s="18"/>
      <c r="K158" t="s">
        <v>51</v>
      </c>
      <c r="N158" s="3">
        <f>L158*0.3</f>
        <v>0</v>
      </c>
      <c r="O158" s="3">
        <f>(IF(L158&lt;4172.98,0,MIN(L158*0.3,L158-4172.98)))-M158</f>
        <v>0</v>
      </c>
      <c r="S158" s="3" t="s">
        <v>69</v>
      </c>
      <c r="Z158" s="181">
        <v>1</v>
      </c>
    </row>
    <row r="159" spans="1:26" hidden="1">
      <c r="A159" s="12">
        <v>23368678</v>
      </c>
      <c r="B159" s="13">
        <v>46238</v>
      </c>
      <c r="C159" s="14">
        <v>0.60355324074074079</v>
      </c>
      <c r="D159" s="15"/>
      <c r="E159" s="16">
        <v>5218711107940</v>
      </c>
      <c r="F159" s="15"/>
      <c r="G159" s="15"/>
      <c r="H159" s="17">
        <v>32846201385</v>
      </c>
      <c r="I159" s="15"/>
      <c r="J159" s="18">
        <v>1</v>
      </c>
      <c r="K159" t="s">
        <v>30</v>
      </c>
      <c r="L159" s="3">
        <v>7920.51</v>
      </c>
      <c r="M159" s="3">
        <v>2376.15</v>
      </c>
      <c r="N159" s="3">
        <f>L159*0.3</f>
        <v>2376.1529999999998</v>
      </c>
      <c r="O159" s="3">
        <f>(IF(L159&lt;4172.98,0,MIN(L159*0.3,L159-4172.98)))-M159</f>
        <v>2.9999999997016857E-3</v>
      </c>
      <c r="P159" s="6">
        <v>46388</v>
      </c>
      <c r="Q159" t="s">
        <v>43</v>
      </c>
      <c r="S159" s="3" t="s">
        <v>31</v>
      </c>
      <c r="Z159" s="181">
        <v>2</v>
      </c>
    </row>
    <row r="160" spans="1:26" hidden="1">
      <c r="A160" s="12">
        <v>23368970</v>
      </c>
      <c r="B160" s="13">
        <v>46238</v>
      </c>
      <c r="C160" s="14">
        <v>0.60590277777777779</v>
      </c>
      <c r="D160" s="15"/>
      <c r="E160" s="16">
        <v>0</v>
      </c>
      <c r="F160" s="15"/>
      <c r="G160" s="15" t="s">
        <v>200</v>
      </c>
      <c r="H160" s="17"/>
      <c r="I160" s="15"/>
      <c r="J160" s="18">
        <v>1</v>
      </c>
      <c r="K160" t="s">
        <v>189</v>
      </c>
      <c r="N160" s="3">
        <f>L160*0.3</f>
        <v>0</v>
      </c>
      <c r="O160" s="3">
        <f>(IF(L160&lt;4172.98,0,MIN(L160*0.3,L160-4172.98)))-M160</f>
        <v>0</v>
      </c>
      <c r="S160" s="3" t="s">
        <v>31</v>
      </c>
      <c r="Z160" s="181">
        <v>1</v>
      </c>
    </row>
    <row r="161" spans="1:26" hidden="1">
      <c r="A161" s="12">
        <v>23368992</v>
      </c>
      <c r="B161" s="13">
        <v>46238</v>
      </c>
      <c r="C161" s="14">
        <v>0.60929398148148151</v>
      </c>
      <c r="D161" s="15" t="s">
        <v>201</v>
      </c>
      <c r="E161" s="16">
        <v>5218180509965</v>
      </c>
      <c r="F161" s="15"/>
      <c r="G161" s="15" t="s">
        <v>202</v>
      </c>
      <c r="H161" s="17">
        <v>43755752698</v>
      </c>
      <c r="I161" s="15"/>
      <c r="J161" s="18">
        <v>1</v>
      </c>
      <c r="K161" t="s">
        <v>30</v>
      </c>
      <c r="L161" s="3">
        <v>6988.15</v>
      </c>
      <c r="M161" s="3">
        <v>1938.56</v>
      </c>
      <c r="N161" s="3">
        <f>L161*0.3</f>
        <v>2096.4449999999997</v>
      </c>
      <c r="O161" s="3">
        <f>(IF(L161&lt;4172.98,0,MIN(L161*0.3,L161-4172.98)))-M161</f>
        <v>157.88499999999976</v>
      </c>
      <c r="P161" s="6">
        <v>46388</v>
      </c>
      <c r="Q161" t="s">
        <v>75</v>
      </c>
      <c r="S161" s="3" t="s">
        <v>31</v>
      </c>
      <c r="Z161" s="181">
        <v>2</v>
      </c>
    </row>
    <row r="162" spans="1:26">
      <c r="A162" s="12">
        <v>23369122</v>
      </c>
      <c r="B162" s="13">
        <v>46238</v>
      </c>
      <c r="C162" s="14">
        <v>0.61304398148148154</v>
      </c>
      <c r="D162" s="15"/>
      <c r="E162" s="16">
        <v>0</v>
      </c>
      <c r="F162" s="15"/>
      <c r="G162" s="15"/>
      <c r="H162" s="17">
        <v>16896228174</v>
      </c>
      <c r="I162" s="15"/>
      <c r="J162" s="18">
        <v>1</v>
      </c>
      <c r="K162" t="s">
        <v>34</v>
      </c>
      <c r="L162" s="3">
        <v>7970.51</v>
      </c>
      <c r="M162" s="3">
        <v>2197.91</v>
      </c>
      <c r="N162" s="3">
        <f>L162*0.3</f>
        <v>2391.1529999999998</v>
      </c>
      <c r="O162" s="3">
        <f>(IF(L162&lt;4172.98,0,MIN(L162*0.3,L162-4172.98)))-M162</f>
        <v>193.24299999999994</v>
      </c>
      <c r="P162" s="6">
        <v>46174</v>
      </c>
      <c r="Q162" t="s">
        <v>73</v>
      </c>
      <c r="S162" s="3" t="s">
        <v>35</v>
      </c>
      <c r="T162" s="48">
        <v>46238</v>
      </c>
      <c r="Z162" s="181">
        <v>2</v>
      </c>
    </row>
    <row r="163" spans="1:26">
      <c r="A163" s="12">
        <v>23356310</v>
      </c>
      <c r="B163" s="13">
        <v>46238</v>
      </c>
      <c r="C163" s="14">
        <v>0.6091550925925926</v>
      </c>
      <c r="D163" s="15"/>
      <c r="E163" s="16">
        <v>5216692472680</v>
      </c>
      <c r="F163" s="15"/>
      <c r="G163" s="15"/>
      <c r="H163" s="17">
        <v>23816348165</v>
      </c>
      <c r="I163" s="15"/>
      <c r="J163" s="18">
        <v>1</v>
      </c>
      <c r="K163" t="s">
        <v>54</v>
      </c>
      <c r="L163" s="3">
        <v>23522.49</v>
      </c>
      <c r="N163" s="3">
        <f>L163*0.3</f>
        <v>7056.7470000000003</v>
      </c>
      <c r="O163" s="3">
        <f>(IF(L163&lt;4172.98,0,MIN(L163*0.3,L163-4172.98)))-M163</f>
        <v>7056.7470000000003</v>
      </c>
      <c r="S163" s="3" t="s">
        <v>62</v>
      </c>
      <c r="T163" s="48">
        <v>46238</v>
      </c>
      <c r="Z163" s="181">
        <v>1</v>
      </c>
    </row>
    <row r="164" spans="1:26" hidden="1">
      <c r="A164" s="12">
        <v>23368832</v>
      </c>
      <c r="B164" s="13">
        <v>46238</v>
      </c>
      <c r="C164" s="14">
        <v>0.61440972222222223</v>
      </c>
      <c r="D164" s="15"/>
      <c r="E164" s="16"/>
      <c r="F164" s="15"/>
      <c r="G164" s="15" t="s">
        <v>203</v>
      </c>
      <c r="H164" s="17">
        <v>43725528756</v>
      </c>
      <c r="I164" s="15"/>
      <c r="J164" s="18">
        <v>1</v>
      </c>
      <c r="K164" t="s">
        <v>30</v>
      </c>
      <c r="L164" s="3">
        <v>5055.87</v>
      </c>
      <c r="M164" s="3">
        <v>1251.76</v>
      </c>
      <c r="N164" s="3">
        <f>L164*0.3</f>
        <v>1516.761</v>
      </c>
      <c r="O164" s="3">
        <f>(IF(L164&lt;4172.98,0,MIN(L164*0.3,L164-4172.98)))-M164</f>
        <v>-368.86999999999966</v>
      </c>
      <c r="P164" s="6">
        <v>46600</v>
      </c>
      <c r="Q164" t="s">
        <v>44</v>
      </c>
      <c r="S164" s="3" t="s">
        <v>31</v>
      </c>
      <c r="Z164" s="181">
        <v>2</v>
      </c>
    </row>
    <row r="165" spans="1:26" hidden="1">
      <c r="A165" s="12">
        <v>23369464</v>
      </c>
      <c r="B165" s="13">
        <v>46238</v>
      </c>
      <c r="C165" s="14">
        <v>0.62106481481481479</v>
      </c>
      <c r="D165" s="15"/>
      <c r="E165" s="16">
        <v>5216391675370</v>
      </c>
      <c r="F165" s="15"/>
      <c r="G165" s="15"/>
      <c r="H165" s="17">
        <v>33867052095</v>
      </c>
      <c r="I165" s="15"/>
      <c r="J165" s="18"/>
      <c r="K165" t="s">
        <v>51</v>
      </c>
      <c r="N165" s="3">
        <f>L165*0.3</f>
        <v>0</v>
      </c>
      <c r="O165" s="3">
        <f>(IF(L165&lt;4172.98,0,MIN(L165*0.3,L165-4172.98)))-M165</f>
        <v>0</v>
      </c>
      <c r="S165" s="3" t="s">
        <v>31</v>
      </c>
      <c r="Z165" s="181">
        <v>1</v>
      </c>
    </row>
    <row r="166" spans="1:26" hidden="1">
      <c r="A166" s="30">
        <v>23369696</v>
      </c>
      <c r="B166" s="31">
        <v>46238</v>
      </c>
      <c r="C166" s="32">
        <v>0.62137731481481484</v>
      </c>
      <c r="D166" s="33" t="s">
        <v>204</v>
      </c>
      <c r="E166" s="34">
        <v>5212282311664</v>
      </c>
      <c r="F166" s="33"/>
      <c r="G166" s="33" t="s">
        <v>205</v>
      </c>
      <c r="H166" s="35">
        <v>67796136926</v>
      </c>
      <c r="I166" s="33"/>
      <c r="J166" s="36"/>
      <c r="K166" t="s">
        <v>30</v>
      </c>
      <c r="L166" s="3">
        <v>7920.51</v>
      </c>
      <c r="M166" s="3">
        <v>2195.2800000000002</v>
      </c>
      <c r="N166" s="3">
        <f>L166*0.3</f>
        <v>2376.1529999999998</v>
      </c>
      <c r="O166" s="3">
        <f>(IF(L166&lt;4172.98,0,MIN(L166*0.3,L166-4172.98)))-M166</f>
        <v>180.87299999999959</v>
      </c>
      <c r="P166" s="6">
        <v>46327</v>
      </c>
      <c r="Q166" t="s">
        <v>169</v>
      </c>
      <c r="S166" s="3" t="s">
        <v>31</v>
      </c>
      <c r="Z166" s="181">
        <v>2</v>
      </c>
    </row>
    <row r="167" spans="1:26" hidden="1">
      <c r="A167" s="30">
        <v>23369902</v>
      </c>
      <c r="B167" s="31">
        <v>46238</v>
      </c>
      <c r="C167" s="32">
        <v>0.62969907407407411</v>
      </c>
      <c r="D167" s="33"/>
      <c r="E167" s="34">
        <v>5216563064880</v>
      </c>
      <c r="F167" s="33"/>
      <c r="G167" s="33"/>
      <c r="H167" s="35">
        <v>67907260011</v>
      </c>
      <c r="I167" s="33"/>
      <c r="J167" s="36"/>
      <c r="K167" t="s">
        <v>30</v>
      </c>
      <c r="L167" s="3">
        <v>7924.73</v>
      </c>
      <c r="M167" s="3">
        <v>2292.8200000000002</v>
      </c>
      <c r="N167" s="3">
        <f>L167*0.3</f>
        <v>2377.4189999999999</v>
      </c>
      <c r="O167" s="3">
        <f>(IF(L167&lt;4172.98,0,MIN(L167*0.3,L167-4172.98)))-M167</f>
        <v>84.598999999999705</v>
      </c>
      <c r="P167" s="6">
        <v>46631</v>
      </c>
      <c r="Q167" t="s">
        <v>206</v>
      </c>
      <c r="S167" s="3" t="s">
        <v>31</v>
      </c>
      <c r="Z167" s="181">
        <v>2</v>
      </c>
    </row>
    <row r="168" spans="1:26">
      <c r="A168" s="30">
        <v>23367198</v>
      </c>
      <c r="B168" s="31">
        <v>46238</v>
      </c>
      <c r="C168" s="32">
        <v>0.57913194444444449</v>
      </c>
      <c r="D168" s="33" t="s">
        <v>207</v>
      </c>
      <c r="E168" s="34">
        <v>5216145095784</v>
      </c>
      <c r="F168" s="33"/>
      <c r="G168" s="33"/>
      <c r="H168" s="35" t="s">
        <v>208</v>
      </c>
      <c r="I168" s="33"/>
      <c r="J168" s="36"/>
      <c r="K168" t="s">
        <v>34</v>
      </c>
      <c r="L168" s="3">
        <v>6095.24</v>
      </c>
      <c r="M168" s="3">
        <v>783</v>
      </c>
      <c r="N168" s="3">
        <f>L168*0.3</f>
        <v>1828.5719999999999</v>
      </c>
      <c r="O168" s="3">
        <f>(IF(L168&lt;4172.98,0,MIN(L168*0.3,L168-4172.98)))-M168</f>
        <v>1045.5719999999999</v>
      </c>
      <c r="P168" s="6">
        <v>45748</v>
      </c>
      <c r="Q168" t="s">
        <v>169</v>
      </c>
      <c r="S168" s="3" t="s">
        <v>35</v>
      </c>
      <c r="T168" s="48">
        <v>46238</v>
      </c>
      <c r="Z168" s="181">
        <v>2</v>
      </c>
    </row>
    <row r="169" spans="1:26" hidden="1">
      <c r="A169" s="12">
        <v>23370328</v>
      </c>
      <c r="B169" s="13">
        <v>46238</v>
      </c>
      <c r="C169" s="14">
        <v>0.6392592592592593</v>
      </c>
      <c r="D169" s="15"/>
      <c r="E169" s="16"/>
      <c r="F169" s="15"/>
      <c r="G169" s="15"/>
      <c r="H169" s="17">
        <v>31745600358</v>
      </c>
      <c r="I169" s="15"/>
      <c r="J169" s="18">
        <v>1</v>
      </c>
      <c r="K169" t="s">
        <v>32</v>
      </c>
      <c r="N169" s="3">
        <f t="shared" ref="N169:N176" si="9">L169*0.3</f>
        <v>0</v>
      </c>
      <c r="O169" s="3">
        <f>(IF(L169&lt;4172.98,0,MIN(L169*0.3,L169-4172.98)))-M169</f>
        <v>0</v>
      </c>
      <c r="S169" s="3" t="s">
        <v>31</v>
      </c>
      <c r="Z169" s="181">
        <v>0</v>
      </c>
    </row>
    <row r="170" spans="1:26">
      <c r="A170" s="12">
        <v>23370026</v>
      </c>
      <c r="B170" s="13">
        <v>46238</v>
      </c>
      <c r="C170" s="14">
        <v>0.64115740740740745</v>
      </c>
      <c r="D170" s="15" t="s">
        <v>209</v>
      </c>
      <c r="E170" s="16">
        <v>5218666529180</v>
      </c>
      <c r="F170" s="15"/>
      <c r="G170" s="15"/>
      <c r="H170" s="17">
        <v>32966825062</v>
      </c>
      <c r="I170" s="15"/>
      <c r="J170" s="18">
        <v>1</v>
      </c>
      <c r="K170" t="s">
        <v>27</v>
      </c>
      <c r="L170" s="3">
        <v>8554.23</v>
      </c>
      <c r="M170" s="3">
        <v>2371.66</v>
      </c>
      <c r="N170" s="3">
        <f t="shared" si="9"/>
        <v>2566.2689999999998</v>
      </c>
      <c r="O170" s="3">
        <f>(IF(L170&lt;4172.98,0,MIN(L170*0.3,L170-4172.98)))-M170</f>
        <v>194.60899999999992</v>
      </c>
      <c r="P170" s="6">
        <v>46174</v>
      </c>
      <c r="Q170" t="s">
        <v>210</v>
      </c>
      <c r="S170" s="38" t="s">
        <v>211</v>
      </c>
      <c r="T170" s="48">
        <v>46238</v>
      </c>
      <c r="Z170" s="181">
        <v>2</v>
      </c>
    </row>
    <row r="171" spans="1:26">
      <c r="A171" s="12">
        <v>23370648</v>
      </c>
      <c r="B171" s="13">
        <v>46238</v>
      </c>
      <c r="C171" s="14">
        <v>0.64615740740740746</v>
      </c>
      <c r="D171" s="15"/>
      <c r="E171" s="16">
        <v>5216141614078</v>
      </c>
      <c r="F171" s="15"/>
      <c r="G171" s="15"/>
      <c r="H171" s="17">
        <v>33846481357</v>
      </c>
      <c r="I171" s="15"/>
      <c r="J171" s="18">
        <v>1</v>
      </c>
      <c r="K171" t="s">
        <v>54</v>
      </c>
      <c r="L171" s="3">
        <v>20528.71</v>
      </c>
      <c r="N171" s="3">
        <f t="shared" si="9"/>
        <v>6158.6129999999994</v>
      </c>
      <c r="O171" s="3">
        <f>(IF(L171&lt;4172.98,0,MIN(L171*0.3,L171-4172.98)))-M171</f>
        <v>6158.6129999999994</v>
      </c>
      <c r="S171" s="3" t="s">
        <v>55</v>
      </c>
      <c r="T171" s="48">
        <v>46238</v>
      </c>
      <c r="Z171" s="181">
        <v>1</v>
      </c>
    </row>
    <row r="172" spans="1:26" hidden="1">
      <c r="A172" s="12">
        <v>23370946</v>
      </c>
      <c r="B172" s="13">
        <v>46238</v>
      </c>
      <c r="C172" s="14">
        <v>0.65651620370370367</v>
      </c>
      <c r="D172" s="15"/>
      <c r="E172" s="16">
        <v>0</v>
      </c>
      <c r="F172" s="15"/>
      <c r="G172" s="15" t="s">
        <v>212</v>
      </c>
      <c r="H172" s="17">
        <v>72815919716</v>
      </c>
      <c r="I172" s="15"/>
      <c r="J172" s="18">
        <v>1</v>
      </c>
      <c r="K172" t="s">
        <v>30</v>
      </c>
      <c r="L172" s="3">
        <v>7920.51</v>
      </c>
      <c r="M172" s="3">
        <v>2376.15</v>
      </c>
      <c r="N172" s="3">
        <f t="shared" si="9"/>
        <v>2376.1529999999998</v>
      </c>
      <c r="O172" s="3">
        <f>(IF(L172&lt;4172.98,0,MIN(L172*0.3,L172-4172.98)))-M172</f>
        <v>2.9999999997016857E-3</v>
      </c>
      <c r="P172" s="6">
        <v>46784</v>
      </c>
      <c r="Q172" t="s">
        <v>169</v>
      </c>
      <c r="S172" s="3" t="s">
        <v>31</v>
      </c>
      <c r="Z172" s="181">
        <v>2</v>
      </c>
    </row>
    <row r="173" spans="1:26">
      <c r="A173" s="12">
        <v>23370996</v>
      </c>
      <c r="B173" s="13">
        <v>46238</v>
      </c>
      <c r="C173" s="14">
        <v>0.65774305555555557</v>
      </c>
      <c r="D173" s="15"/>
      <c r="E173" s="16">
        <v>5218129140594</v>
      </c>
      <c r="F173" s="15"/>
      <c r="G173" s="15" t="s">
        <v>213</v>
      </c>
      <c r="H173" s="17"/>
      <c r="I173" s="15"/>
      <c r="J173" s="18">
        <v>1</v>
      </c>
      <c r="K173" t="s">
        <v>54</v>
      </c>
      <c r="L173" s="3">
        <f>8912.32+848</f>
        <v>9760.32</v>
      </c>
      <c r="M173" s="3">
        <v>848</v>
      </c>
      <c r="N173" s="3">
        <f t="shared" si="9"/>
        <v>2928.096</v>
      </c>
      <c r="O173" s="3">
        <f>(IF(L173&lt;4172.98,0,MIN(L173*0.3,L173-4172.98)))-M173</f>
        <v>2080.096</v>
      </c>
      <c r="S173" s="3" t="s">
        <v>63</v>
      </c>
      <c r="T173" s="48">
        <v>46238</v>
      </c>
      <c r="Z173" s="181">
        <v>1</v>
      </c>
    </row>
    <row r="174" spans="1:26">
      <c r="A174" s="12">
        <v>23371592</v>
      </c>
      <c r="B174" s="13">
        <v>46238</v>
      </c>
      <c r="C174" s="14">
        <v>0.66263888888888889</v>
      </c>
      <c r="D174" s="15"/>
      <c r="E174" s="16">
        <v>5213320836049</v>
      </c>
      <c r="F174" s="15"/>
      <c r="G174" s="15"/>
      <c r="H174" s="17">
        <v>54775931097</v>
      </c>
      <c r="I174" s="15"/>
      <c r="J174" s="18">
        <v>1</v>
      </c>
      <c r="K174" t="s">
        <v>107</v>
      </c>
      <c r="L174" s="3">
        <v>12529.18</v>
      </c>
      <c r="M174" s="3">
        <v>3478.02</v>
      </c>
      <c r="N174" s="3">
        <f t="shared" si="9"/>
        <v>3758.7539999999999</v>
      </c>
      <c r="O174" s="3">
        <f>(IF(L174&lt;4172.98,0,MIN(L174*0.3,L174-4172.98)))-M174</f>
        <v>280.73399999999992</v>
      </c>
      <c r="P174" s="6">
        <v>46054</v>
      </c>
      <c r="Q174" t="s">
        <v>47</v>
      </c>
      <c r="S174" s="3" t="s">
        <v>39</v>
      </c>
      <c r="T174" s="48">
        <v>46238</v>
      </c>
      <c r="Z174" s="181">
        <v>2</v>
      </c>
    </row>
    <row r="175" spans="1:26" hidden="1">
      <c r="A175" s="12">
        <v>23372294</v>
      </c>
      <c r="B175" s="13">
        <v>46238</v>
      </c>
      <c r="C175" s="14">
        <v>0.67156249999999995</v>
      </c>
      <c r="D175" s="15"/>
      <c r="E175" s="16">
        <v>5218661136275</v>
      </c>
      <c r="F175" s="15"/>
      <c r="G175" s="15"/>
      <c r="H175" s="17">
        <v>32967931661</v>
      </c>
      <c r="I175" s="15"/>
      <c r="J175" s="18"/>
      <c r="K175" t="s">
        <v>30</v>
      </c>
      <c r="L175" s="3">
        <v>8784.27</v>
      </c>
      <c r="M175" s="3">
        <v>2573.77</v>
      </c>
      <c r="N175" s="3">
        <f t="shared" si="9"/>
        <v>2635.2809999999999</v>
      </c>
      <c r="O175" s="3">
        <f>(IF(L175&lt;4172.98,0,MIN(L175*0.3,L175-4172.98)))-M175</f>
        <v>61.510999999999967</v>
      </c>
      <c r="P175" s="6">
        <v>46905</v>
      </c>
      <c r="Q175" t="s">
        <v>206</v>
      </c>
      <c r="S175" s="3" t="s">
        <v>31</v>
      </c>
      <c r="Z175" s="181">
        <v>2</v>
      </c>
    </row>
    <row r="176" spans="1:26" hidden="1">
      <c r="A176" s="30">
        <v>23372578</v>
      </c>
      <c r="B176" s="31">
        <v>46238</v>
      </c>
      <c r="C176" s="32">
        <v>0.6793865740740741</v>
      </c>
      <c r="D176" s="33"/>
      <c r="E176" s="34">
        <v>5217712630982</v>
      </c>
      <c r="F176" s="33"/>
      <c r="G176" s="33" t="s">
        <v>214</v>
      </c>
      <c r="H176" s="35"/>
      <c r="I176" s="33"/>
      <c r="J176" s="36"/>
      <c r="K176" t="s">
        <v>32</v>
      </c>
      <c r="N176" s="3">
        <f t="shared" si="9"/>
        <v>0</v>
      </c>
      <c r="O176" s="3">
        <f>(IF(L176&lt;4172.98,0,MIN(L176*0.3,L176-4172.98)))-M176</f>
        <v>0</v>
      </c>
      <c r="S176" s="3" t="s">
        <v>69</v>
      </c>
      <c r="Z176" s="181">
        <v>0</v>
      </c>
    </row>
    <row r="177" spans="1:26" hidden="1">
      <c r="A177" s="30">
        <v>23373000</v>
      </c>
      <c r="B177" s="31">
        <v>46238</v>
      </c>
      <c r="C177" s="32">
        <v>0.68865740740740744</v>
      </c>
      <c r="D177" s="33" t="s">
        <v>215</v>
      </c>
      <c r="E177" s="34">
        <v>5217531324821</v>
      </c>
      <c r="F177" s="33"/>
      <c r="G177" s="33"/>
      <c r="H177" s="35">
        <v>72745412956</v>
      </c>
      <c r="I177" s="33"/>
      <c r="J177" s="36"/>
      <c r="K177" t="s">
        <v>30</v>
      </c>
      <c r="L177" s="4">
        <v>4813.6899999999996</v>
      </c>
      <c r="M177" s="4">
        <v>592.94000000000005</v>
      </c>
      <c r="N177" s="3">
        <f>L177*0.3</f>
        <v>1444.1069999999997</v>
      </c>
      <c r="O177" s="3">
        <f>(IF(L177&lt;4172.98,0,MIN(L177*0.3,L177-4172.98)))-M177</f>
        <v>47.769999999999982</v>
      </c>
      <c r="P177" s="6">
        <v>46357</v>
      </c>
      <c r="S177" s="3" t="s">
        <v>69</v>
      </c>
      <c r="Z177" s="181">
        <v>2</v>
      </c>
    </row>
    <row r="178" spans="1:26" hidden="1">
      <c r="A178" s="30">
        <v>23361184</v>
      </c>
      <c r="B178" s="31">
        <v>46238</v>
      </c>
      <c r="C178" s="32" t="s">
        <v>216</v>
      </c>
      <c r="D178" s="33" t="s">
        <v>217</v>
      </c>
      <c r="E178" s="34">
        <v>5386641611</v>
      </c>
      <c r="F178" s="33"/>
      <c r="G178" s="33"/>
      <c r="H178" s="35" t="s">
        <v>218</v>
      </c>
      <c r="I178" s="33"/>
      <c r="J178" s="36"/>
      <c r="K178" t="s">
        <v>58</v>
      </c>
      <c r="L178" s="3">
        <v>3494.57</v>
      </c>
      <c r="N178" s="3">
        <f>L178*0.3</f>
        <v>1048.3710000000001</v>
      </c>
      <c r="O178" s="3">
        <f>(IF(L178&lt;4172.98,0,MIN(L178*0.3,L178-4172.98)))-M178</f>
        <v>0</v>
      </c>
      <c r="S178" s="53" t="s">
        <v>31</v>
      </c>
      <c r="Z178" s="181">
        <v>1</v>
      </c>
    </row>
    <row r="179" spans="1:26">
      <c r="A179" s="30">
        <v>23367052</v>
      </c>
      <c r="B179" s="31">
        <v>46238</v>
      </c>
      <c r="C179" s="32" t="s">
        <v>219</v>
      </c>
      <c r="D179" s="33" t="s">
        <v>220</v>
      </c>
      <c r="E179" s="34">
        <v>6691905418</v>
      </c>
      <c r="F179" s="33"/>
      <c r="G179" s="33" t="s">
        <v>221</v>
      </c>
      <c r="H179" s="35"/>
      <c r="I179" s="33"/>
      <c r="J179" s="36"/>
      <c r="K179" t="s">
        <v>107</v>
      </c>
      <c r="L179" s="4">
        <v>4827.43</v>
      </c>
      <c r="M179" s="4">
        <v>535.05999999999995</v>
      </c>
      <c r="N179" s="3">
        <f>L179*0.3</f>
        <v>1448.229</v>
      </c>
      <c r="O179" s="3">
        <f>(IF(L179&lt;4172.98,0,MIN(L179*0.3,L179-4172.98)))-M179</f>
        <v>119.39000000000078</v>
      </c>
      <c r="P179" s="6">
        <v>45597</v>
      </c>
      <c r="S179" s="3" t="s">
        <v>39</v>
      </c>
      <c r="T179" s="48">
        <v>46238</v>
      </c>
      <c r="U179" t="s">
        <v>113</v>
      </c>
      <c r="Z179" s="181">
        <v>2</v>
      </c>
    </row>
    <row r="180" spans="1:26" hidden="1">
      <c r="A180" s="30">
        <v>23368904</v>
      </c>
      <c r="B180" s="31">
        <v>46238</v>
      </c>
      <c r="C180" s="32" t="s">
        <v>222</v>
      </c>
      <c r="D180" s="33" t="s">
        <v>223</v>
      </c>
      <c r="E180" s="34">
        <v>5218447936776</v>
      </c>
      <c r="F180" s="33"/>
      <c r="G180" s="33"/>
      <c r="H180" s="35" t="s">
        <v>224</v>
      </c>
      <c r="I180" s="33"/>
      <c r="J180" s="36"/>
      <c r="K180" t="s">
        <v>30</v>
      </c>
      <c r="L180" s="4">
        <v>8173.37</v>
      </c>
      <c r="M180" s="4">
        <v>2361.73</v>
      </c>
      <c r="N180" s="3">
        <f>L180*0.3</f>
        <v>2452.011</v>
      </c>
      <c r="O180" s="3">
        <f>(IF(L180&lt;4172.98,0,MIN(L180*0.3,L180-4172.98)))-M180</f>
        <v>90.280999999999949</v>
      </c>
      <c r="P180" s="6">
        <v>46600</v>
      </c>
      <c r="S180" s="53" t="s">
        <v>31</v>
      </c>
      <c r="Z180" s="181">
        <v>2</v>
      </c>
    </row>
    <row r="181" spans="1:26" hidden="1">
      <c r="A181" s="30">
        <v>23369490</v>
      </c>
      <c r="B181" s="31">
        <v>46238</v>
      </c>
      <c r="C181" s="32" t="s">
        <v>225</v>
      </c>
      <c r="D181" s="33" t="s">
        <v>226</v>
      </c>
      <c r="E181" s="34">
        <v>5216862613922</v>
      </c>
      <c r="F181" s="33"/>
      <c r="G181" s="33" t="s">
        <v>227</v>
      </c>
      <c r="H181" s="35"/>
      <c r="I181" s="33"/>
      <c r="J181" s="36"/>
      <c r="K181" t="s">
        <v>30</v>
      </c>
      <c r="L181" s="3">
        <v>5617.63</v>
      </c>
      <c r="M181" s="3">
        <v>1393.24</v>
      </c>
      <c r="N181" s="3">
        <f>L181*0.3</f>
        <v>1685.289</v>
      </c>
      <c r="O181" s="3">
        <f>(IF(L181&lt;4172.98,0,MIN(L181*0.3,L181-4172.98)))-M181</f>
        <v>51.410000000000537</v>
      </c>
      <c r="P181" s="6">
        <v>46569</v>
      </c>
      <c r="Q181" t="s">
        <v>206</v>
      </c>
      <c r="S181" s="53" t="s">
        <v>31</v>
      </c>
      <c r="Z181" s="181">
        <v>2</v>
      </c>
    </row>
    <row r="182" spans="1:26" hidden="1">
      <c r="A182" s="30">
        <v>23367254</v>
      </c>
      <c r="B182" s="31">
        <v>46238</v>
      </c>
      <c r="C182" s="32" t="s">
        <v>228</v>
      </c>
      <c r="D182" s="33" t="s">
        <v>229</v>
      </c>
      <c r="E182" s="34">
        <v>5215572754107</v>
      </c>
      <c r="F182" s="33"/>
      <c r="G182" s="33"/>
      <c r="H182" s="35" t="s">
        <v>230</v>
      </c>
      <c r="I182" s="33"/>
      <c r="J182" s="36"/>
      <c r="K182" t="s">
        <v>32</v>
      </c>
      <c r="N182" s="3">
        <f>L182*0.3</f>
        <v>0</v>
      </c>
      <c r="O182" s="3">
        <f>(IF(L182&lt;4172.98,0,MIN(L182*0.3,L182-4172.98)))-M182</f>
        <v>0</v>
      </c>
      <c r="S182" s="53" t="s">
        <v>31</v>
      </c>
      <c r="Z182" s="181">
        <v>0</v>
      </c>
    </row>
    <row r="183" spans="1:26" hidden="1">
      <c r="A183" s="12">
        <v>23375258</v>
      </c>
      <c r="B183" s="13">
        <v>46238</v>
      </c>
      <c r="C183" s="14">
        <v>0.76626157407407403</v>
      </c>
      <c r="D183" s="15"/>
      <c r="E183" s="16"/>
      <c r="F183" s="15"/>
      <c r="G183" s="15" t="s">
        <v>231</v>
      </c>
      <c r="H183" s="17"/>
      <c r="I183" s="15"/>
      <c r="J183" s="18">
        <v>1</v>
      </c>
      <c r="K183" t="s">
        <v>30</v>
      </c>
      <c r="L183" s="4">
        <v>13138.31</v>
      </c>
      <c r="M183" s="4">
        <v>3801.22</v>
      </c>
      <c r="N183" s="3">
        <f t="shared" ref="N183" si="10">L183*0.3</f>
        <v>3941.4929999999995</v>
      </c>
      <c r="O183" s="3">
        <f>(IF(L183&lt;4172.98,0,MIN(L183*0.3,L183-4172.98)))-M183</f>
        <v>140.27299999999968</v>
      </c>
      <c r="P183" s="6">
        <v>46569</v>
      </c>
      <c r="Q183" t="s">
        <v>57</v>
      </c>
      <c r="S183" s="3" t="s">
        <v>69</v>
      </c>
      <c r="Z183" s="181">
        <v>2</v>
      </c>
    </row>
    <row r="184" spans="1:26">
      <c r="A184" s="12">
        <v>23376448</v>
      </c>
      <c r="B184" s="13">
        <v>46238</v>
      </c>
      <c r="C184" s="14">
        <v>0.82079861111111108</v>
      </c>
      <c r="D184" s="15"/>
      <c r="E184" s="16">
        <v>5216731156391</v>
      </c>
      <c r="F184" s="15"/>
      <c r="G184" s="15" t="s">
        <v>232</v>
      </c>
      <c r="H184" s="17"/>
      <c r="I184" s="15"/>
      <c r="J184" s="18"/>
      <c r="K184" t="s">
        <v>27</v>
      </c>
      <c r="L184" s="3">
        <v>7116.73</v>
      </c>
      <c r="M184" s="3">
        <v>1885.57</v>
      </c>
      <c r="N184" s="3">
        <f t="shared" ref="N184:N189" si="11">L184*0.3</f>
        <v>2135.0189999999998</v>
      </c>
      <c r="O184" s="3">
        <f>(IF(L184&lt;4172.98,0,MIN(L184*0.3,L184-4172.98)))-M184</f>
        <v>249.44899999999984</v>
      </c>
      <c r="P184" s="6">
        <v>45839</v>
      </c>
      <c r="Q184" t="s">
        <v>206</v>
      </c>
      <c r="S184" s="3" t="s">
        <v>28</v>
      </c>
      <c r="T184" s="48">
        <v>46239</v>
      </c>
      <c r="Z184" s="181">
        <v>2</v>
      </c>
    </row>
    <row r="185" spans="1:26">
      <c r="A185" s="12">
        <v>23377394</v>
      </c>
      <c r="B185" s="13">
        <v>46238</v>
      </c>
      <c r="C185" s="14">
        <v>0.85652777777777778</v>
      </c>
      <c r="D185" s="15"/>
      <c r="E185" s="16">
        <v>5218661239578</v>
      </c>
      <c r="F185" s="15"/>
      <c r="G185" s="15"/>
      <c r="H185" s="17">
        <v>32786142342</v>
      </c>
      <c r="I185" s="15"/>
      <c r="J185" s="18"/>
      <c r="K185" t="s">
        <v>38</v>
      </c>
      <c r="L185" s="3">
        <v>27383.69</v>
      </c>
      <c r="M185" s="3">
        <v>7386.21</v>
      </c>
      <c r="N185" s="3">
        <f t="shared" si="11"/>
        <v>8215.107</v>
      </c>
      <c r="O185" s="3">
        <f>(IF(L185&lt;4172.98,0,MIN(L185*0.3,L185-4172.98)))-M185</f>
        <v>828.89699999999993</v>
      </c>
      <c r="P185" s="6">
        <v>46419</v>
      </c>
      <c r="Q185" t="s">
        <v>169</v>
      </c>
      <c r="S185" s="3" t="s">
        <v>39</v>
      </c>
      <c r="T185" s="48">
        <v>46239</v>
      </c>
      <c r="Z185" s="181">
        <v>2</v>
      </c>
    </row>
    <row r="186" spans="1:26">
      <c r="A186" s="12">
        <v>23377656</v>
      </c>
      <c r="B186" s="13">
        <v>46238</v>
      </c>
      <c r="C186" s="14">
        <v>0.86392361111111116</v>
      </c>
      <c r="D186" s="15" t="s">
        <v>233</v>
      </c>
      <c r="E186" s="16">
        <v>5214445037897</v>
      </c>
      <c r="F186" s="15"/>
      <c r="G186" s="15" t="s">
        <v>234</v>
      </c>
      <c r="H186" s="17"/>
      <c r="I186" s="15"/>
      <c r="J186" s="18"/>
      <c r="K186" t="s">
        <v>34</v>
      </c>
      <c r="L186" s="3">
        <v>5569.54</v>
      </c>
      <c r="M186" s="3">
        <v>1291.8</v>
      </c>
      <c r="N186" s="3">
        <f t="shared" si="11"/>
        <v>1670.8619999999999</v>
      </c>
      <c r="O186" s="3">
        <f>(IF(L186&lt;4172.98,0,MIN(L186*0.3,L186-4172.98)))-M186</f>
        <v>104.76000000000045</v>
      </c>
      <c r="P186" s="6">
        <v>46054</v>
      </c>
      <c r="Q186" t="s">
        <v>57</v>
      </c>
      <c r="S186" s="3" t="s">
        <v>35</v>
      </c>
      <c r="T186" s="48">
        <v>46239</v>
      </c>
      <c r="Z186" s="181">
        <v>2</v>
      </c>
    </row>
    <row r="187" spans="1:26">
      <c r="A187" s="12">
        <v>23378100</v>
      </c>
      <c r="B187" s="13">
        <v>46238</v>
      </c>
      <c r="C187" s="14">
        <v>0.8834953703703704</v>
      </c>
      <c r="D187" s="15"/>
      <c r="E187" s="16">
        <v>0</v>
      </c>
      <c r="F187" s="15"/>
      <c r="G187" s="15"/>
      <c r="H187" s="17">
        <v>65714901744</v>
      </c>
      <c r="I187" s="15"/>
      <c r="J187" s="18"/>
      <c r="K187" t="s">
        <v>27</v>
      </c>
      <c r="L187" s="3">
        <v>9637.31</v>
      </c>
      <c r="M187" s="3">
        <v>2891</v>
      </c>
      <c r="N187" s="3">
        <f t="shared" si="11"/>
        <v>2891.1929999999998</v>
      </c>
      <c r="O187" s="3">
        <f>(IF(L187&lt;4172.98,0,MIN(L187*0.3,L187-4172.98)))-M187</f>
        <v>0.19299999999975626</v>
      </c>
      <c r="P187" s="6">
        <v>45839</v>
      </c>
      <c r="Q187" t="s">
        <v>235</v>
      </c>
      <c r="S187" s="3" t="s">
        <v>55</v>
      </c>
      <c r="T187" s="48">
        <v>46239</v>
      </c>
      <c r="Z187" s="181">
        <v>2</v>
      </c>
    </row>
    <row r="188" spans="1:26" hidden="1">
      <c r="A188" s="12">
        <v>23379186</v>
      </c>
      <c r="B188" s="13">
        <v>46238</v>
      </c>
      <c r="C188" s="14">
        <v>0.92577546296296298</v>
      </c>
      <c r="D188" s="15" t="s">
        <v>236</v>
      </c>
      <c r="E188" s="16">
        <v>5213111096473</v>
      </c>
      <c r="F188" s="15"/>
      <c r="G188" s="15" t="s">
        <v>237</v>
      </c>
      <c r="H188" s="17">
        <v>21866317791</v>
      </c>
      <c r="I188" s="15"/>
      <c r="J188" s="18"/>
      <c r="K188" t="s">
        <v>30</v>
      </c>
      <c r="L188" s="3">
        <v>9081.51</v>
      </c>
      <c r="M188" s="3">
        <v>2521.35</v>
      </c>
      <c r="N188" s="3">
        <f t="shared" si="11"/>
        <v>2724.453</v>
      </c>
      <c r="O188" s="3">
        <f>(IF(L188&lt;4172.98,0,MIN(L188*0.3,L188-4172.98)))-M188</f>
        <v>203.10300000000007</v>
      </c>
      <c r="P188" s="6">
        <v>46266</v>
      </c>
      <c r="Q188" t="s">
        <v>206</v>
      </c>
      <c r="S188" s="3" t="s">
        <v>69</v>
      </c>
      <c r="Z188" s="181">
        <v>2</v>
      </c>
    </row>
    <row r="189" spans="1:26" hidden="1">
      <c r="A189" s="30">
        <v>23379936</v>
      </c>
      <c r="B189" s="31">
        <v>46238</v>
      </c>
      <c r="C189" s="32">
        <v>0.99769675925925927</v>
      </c>
      <c r="D189" s="33"/>
      <c r="E189" s="34">
        <v>5216243550025</v>
      </c>
      <c r="F189" s="33"/>
      <c r="G189" s="33" t="s">
        <v>238</v>
      </c>
      <c r="H189" s="35">
        <v>22835902283</v>
      </c>
      <c r="I189" s="33"/>
      <c r="J189" s="36"/>
      <c r="K189" t="s">
        <v>30</v>
      </c>
      <c r="L189" s="3">
        <v>4813.6899999999996</v>
      </c>
      <c r="M189" s="3">
        <v>609.87</v>
      </c>
      <c r="N189" s="3">
        <f t="shared" si="11"/>
        <v>1444.1069999999997</v>
      </c>
      <c r="O189" s="3">
        <f>(IF(L189&lt;4172.98,0,MIN(L189*0.3,L189-4172.98)))-M189</f>
        <v>30.840000000000032</v>
      </c>
      <c r="P189" s="6">
        <v>46388</v>
      </c>
      <c r="Q189" t="s">
        <v>206</v>
      </c>
      <c r="S189" s="3" t="s">
        <v>69</v>
      </c>
      <c r="Z189" s="181">
        <v>2</v>
      </c>
    </row>
    <row r="190" spans="1:26" hidden="1">
      <c r="A190" s="12">
        <v>23381332</v>
      </c>
      <c r="B190" s="13">
        <v>46239</v>
      </c>
      <c r="C190" s="14">
        <v>8.4733796296296293E-2</v>
      </c>
      <c r="D190" s="15"/>
      <c r="E190" s="16">
        <v>5216642624012</v>
      </c>
      <c r="F190" s="15"/>
      <c r="G190" s="15"/>
      <c r="H190" s="17" t="s">
        <v>239</v>
      </c>
      <c r="I190" s="15"/>
      <c r="J190" s="18"/>
      <c r="K190" t="s">
        <v>30</v>
      </c>
      <c r="L190" s="3">
        <v>7116.73</v>
      </c>
      <c r="M190" s="3">
        <v>2059.04</v>
      </c>
      <c r="N190" s="3">
        <f t="shared" ref="N190:N191" si="12">L190*0.3</f>
        <v>2135.0189999999998</v>
      </c>
      <c r="O190" s="3">
        <f>(IF(L190&lt;4172.98,0,MIN(L190*0.3,L190-4172.98)))-M190</f>
        <v>75.978999999999814</v>
      </c>
      <c r="P190" s="6">
        <v>46478</v>
      </c>
      <c r="Q190" t="s">
        <v>206</v>
      </c>
      <c r="S190" s="3" t="s">
        <v>69</v>
      </c>
      <c r="Z190" s="181">
        <v>2</v>
      </c>
    </row>
    <row r="191" spans="1:26">
      <c r="A191" s="30">
        <v>23387140</v>
      </c>
      <c r="B191" s="31">
        <v>46239</v>
      </c>
      <c r="C191" s="32">
        <v>0.25719907407407405</v>
      </c>
      <c r="D191" s="33"/>
      <c r="E191" s="34">
        <v>5215532416855</v>
      </c>
      <c r="F191" s="33"/>
      <c r="G191" s="33" t="s">
        <v>240</v>
      </c>
      <c r="H191" s="35"/>
      <c r="I191" s="33"/>
      <c r="J191" s="36"/>
      <c r="K191" t="s">
        <v>38</v>
      </c>
      <c r="L191" s="4">
        <v>23858.41</v>
      </c>
      <c r="M191" s="4">
        <v>6594.78</v>
      </c>
      <c r="N191" s="3">
        <f t="shared" si="12"/>
        <v>7157.5230000000001</v>
      </c>
      <c r="O191" s="3">
        <f>(IF(L191&lt;4172.98,0,MIN(L191*0.3,L191-4172.98)))-M191</f>
        <v>562.74300000000039</v>
      </c>
      <c r="P191" s="6">
        <v>46266</v>
      </c>
      <c r="Q191" t="s">
        <v>75</v>
      </c>
      <c r="S191" s="3" t="s">
        <v>39</v>
      </c>
      <c r="T191" s="48">
        <v>46239</v>
      </c>
      <c r="Z191" s="181">
        <v>2</v>
      </c>
    </row>
    <row r="192" spans="1:26">
      <c r="A192" s="12">
        <v>23391100</v>
      </c>
      <c r="B192" s="13">
        <v>46239</v>
      </c>
      <c r="C192" s="14">
        <v>0.36351851851851852</v>
      </c>
      <c r="D192" s="15" t="s">
        <v>241</v>
      </c>
      <c r="E192" s="16">
        <v>5218143012224</v>
      </c>
      <c r="F192" s="15"/>
      <c r="G192" s="15"/>
      <c r="H192" s="17" t="s">
        <v>242</v>
      </c>
      <c r="I192" s="15"/>
      <c r="J192" s="18"/>
      <c r="K192" t="s">
        <v>38</v>
      </c>
      <c r="L192" s="3">
        <v>4790.71</v>
      </c>
      <c r="N192" s="3">
        <f t="shared" ref="N192:N194" si="13">L192*0.3</f>
        <v>1437.213</v>
      </c>
      <c r="O192" s="3">
        <f>(IF(L192&lt;4172.98,0,MIN(L192*0.3,L192-4172.98)))-M192</f>
        <v>617.73000000000047</v>
      </c>
      <c r="S192" s="3" t="s">
        <v>39</v>
      </c>
      <c r="T192" s="48">
        <v>46239</v>
      </c>
      <c r="Z192" s="181">
        <v>1</v>
      </c>
    </row>
    <row r="193" spans="1:26" hidden="1">
      <c r="A193" s="12">
        <v>23391814</v>
      </c>
      <c r="B193" s="13">
        <v>46239</v>
      </c>
      <c r="C193" s="14">
        <v>0.37502314814814813</v>
      </c>
      <c r="D193" s="15"/>
      <c r="E193" s="16">
        <v>5212462243517</v>
      </c>
      <c r="F193" s="15"/>
      <c r="G193" s="15"/>
      <c r="H193" s="17">
        <v>62826021768</v>
      </c>
      <c r="I193" s="15"/>
      <c r="J193" s="18"/>
      <c r="K193" t="s">
        <v>30</v>
      </c>
      <c r="L193" s="3">
        <v>5617.63</v>
      </c>
      <c r="M193" s="3">
        <v>1393</v>
      </c>
      <c r="N193" s="3">
        <f t="shared" si="13"/>
        <v>1685.289</v>
      </c>
      <c r="O193" s="3">
        <f>(IF(L193&lt;4172.98,0,MIN(L193*0.3,L193-4172.98)))-M193</f>
        <v>51.650000000000546</v>
      </c>
      <c r="P193" s="6">
        <v>46478</v>
      </c>
      <c r="Q193" t="s">
        <v>75</v>
      </c>
      <c r="S193" s="3" t="s">
        <v>69</v>
      </c>
      <c r="Z193" s="181">
        <v>2</v>
      </c>
    </row>
    <row r="194" spans="1:26" hidden="1">
      <c r="A194" s="30">
        <v>23391882</v>
      </c>
      <c r="B194" s="31">
        <v>46239</v>
      </c>
      <c r="C194" s="32">
        <v>0.37732638888888886</v>
      </c>
      <c r="D194" s="33"/>
      <c r="E194" s="34">
        <v>5218661354799</v>
      </c>
      <c r="F194" s="33"/>
      <c r="G194" s="33" t="s">
        <v>243</v>
      </c>
      <c r="H194" s="35">
        <v>32836531783</v>
      </c>
      <c r="I194" s="33"/>
      <c r="J194" s="36"/>
      <c r="K194" t="s">
        <v>30</v>
      </c>
      <c r="L194" s="3">
        <f>7446.54+3190</f>
        <v>10636.54</v>
      </c>
      <c r="M194" s="3">
        <v>3190</v>
      </c>
      <c r="N194" s="3">
        <f t="shared" si="13"/>
        <v>3190.962</v>
      </c>
      <c r="O194" s="3">
        <f>(IF(L194&lt;4172.98,0,MIN(L194*0.3,L194-4172.98)))-M194</f>
        <v>0.96199999999998909</v>
      </c>
      <c r="P194" s="6">
        <v>46844</v>
      </c>
      <c r="Q194" t="s">
        <v>210</v>
      </c>
      <c r="S194" s="3" t="s">
        <v>69</v>
      </c>
      <c r="Z194" s="181">
        <v>2</v>
      </c>
    </row>
    <row r="195" spans="1:26">
      <c r="A195" s="30">
        <v>23366516</v>
      </c>
      <c r="B195" s="31">
        <v>46239</v>
      </c>
      <c r="C195" s="32">
        <v>0.39261574074074074</v>
      </c>
      <c r="D195" s="33" t="s">
        <v>244</v>
      </c>
      <c r="E195" s="34">
        <v>5218991427310</v>
      </c>
      <c r="F195" s="33"/>
      <c r="G195" s="33"/>
      <c r="H195" s="35" t="s">
        <v>245</v>
      </c>
      <c r="I195" s="33"/>
      <c r="J195" s="36"/>
      <c r="K195" t="s">
        <v>54</v>
      </c>
      <c r="L195" s="3">
        <v>8173.37</v>
      </c>
      <c r="N195" s="3">
        <f>L195*0.3</f>
        <v>2452.011</v>
      </c>
      <c r="O195" s="3">
        <f>(IF(L195&lt;4172.98,0,MIN(L195*0.3,L195-4172.98)))-M195</f>
        <v>2452.011</v>
      </c>
      <c r="S195" s="53" t="s">
        <v>62</v>
      </c>
      <c r="T195" s="48">
        <v>46239</v>
      </c>
      <c r="U195" t="s">
        <v>113</v>
      </c>
      <c r="Z195" s="181">
        <v>1</v>
      </c>
    </row>
    <row r="196" spans="1:26" hidden="1">
      <c r="A196" s="30">
        <v>23392646</v>
      </c>
      <c r="B196" s="31">
        <v>46239</v>
      </c>
      <c r="C196" s="32">
        <v>0.39822916666666669</v>
      </c>
      <c r="D196" s="33" t="s">
        <v>246</v>
      </c>
      <c r="E196" s="34">
        <v>5216626000943</v>
      </c>
      <c r="F196" s="33"/>
      <c r="G196" s="33" t="s">
        <v>247</v>
      </c>
      <c r="H196" s="35">
        <v>24846631596</v>
      </c>
      <c r="I196" s="33"/>
      <c r="J196" s="36"/>
      <c r="K196" t="s">
        <v>189</v>
      </c>
      <c r="N196" s="3">
        <f>L196*0.3</f>
        <v>0</v>
      </c>
      <c r="O196" s="3">
        <f>(IF(L196&lt;4172.98,0,MIN(L196*0.3,L196-4172.98)))-M196</f>
        <v>0</v>
      </c>
      <c r="S196" s="3" t="s">
        <v>31</v>
      </c>
      <c r="Z196" s="181">
        <v>1</v>
      </c>
    </row>
    <row r="197" spans="1:26" hidden="1">
      <c r="A197" s="30">
        <v>23393544</v>
      </c>
      <c r="B197" s="31">
        <v>46239</v>
      </c>
      <c r="C197" s="32">
        <v>0.40931712962962963</v>
      </c>
      <c r="D197" s="33"/>
      <c r="E197" s="34">
        <v>5218672857673</v>
      </c>
      <c r="F197" s="33"/>
      <c r="G197" s="33" t="s">
        <v>248</v>
      </c>
      <c r="H197" s="35"/>
      <c r="I197" s="33"/>
      <c r="J197" s="36"/>
      <c r="K197" t="s">
        <v>51</v>
      </c>
      <c r="N197" s="3">
        <f>L197*0.3</f>
        <v>0</v>
      </c>
      <c r="O197" s="3">
        <f>(IF(L197&lt;4172.98,0,MIN(L197*0.3,L197-4172.98)))-M197</f>
        <v>0</v>
      </c>
      <c r="S197" s="3" t="s">
        <v>31</v>
      </c>
      <c r="Z197" s="181">
        <v>1</v>
      </c>
    </row>
    <row r="198" spans="1:26" hidden="1">
      <c r="A198" s="12">
        <v>23393844</v>
      </c>
      <c r="B198" s="13">
        <v>46239</v>
      </c>
      <c r="C198" s="14">
        <v>0.41354166666666664</v>
      </c>
      <c r="D198" s="15"/>
      <c r="E198" s="16">
        <v>5215519186220</v>
      </c>
      <c r="F198" s="15"/>
      <c r="G198" s="15"/>
      <c r="H198" s="17">
        <v>42937100628</v>
      </c>
      <c r="I198" s="15"/>
      <c r="J198" s="18"/>
      <c r="K198" t="s">
        <v>32</v>
      </c>
      <c r="N198" s="3">
        <f t="shared" ref="N198:N200" si="14">L198*0.3</f>
        <v>0</v>
      </c>
      <c r="O198" s="3">
        <f>(IF(L198&lt;4172.98,0,MIN(L198*0.3,L198-4172.98)))-M198</f>
        <v>0</v>
      </c>
      <c r="S198" s="3" t="s">
        <v>31</v>
      </c>
      <c r="Z198" s="181">
        <v>0</v>
      </c>
    </row>
    <row r="199" spans="1:26" hidden="1">
      <c r="A199" s="12">
        <v>23394004</v>
      </c>
      <c r="B199" s="13">
        <v>46239</v>
      </c>
      <c r="C199" s="14">
        <v>0.41759259259259257</v>
      </c>
      <c r="D199" s="15"/>
      <c r="E199" s="16"/>
      <c r="F199" s="15"/>
      <c r="G199" s="15"/>
      <c r="H199" s="17">
        <v>49907002221</v>
      </c>
      <c r="I199" s="15"/>
      <c r="J199" s="18"/>
      <c r="K199" t="s">
        <v>58</v>
      </c>
      <c r="L199" s="3">
        <f>2723.45+879</f>
        <v>3602.45</v>
      </c>
      <c r="M199" s="3">
        <v>879</v>
      </c>
      <c r="N199" s="3">
        <f t="shared" si="14"/>
        <v>1080.7349999999999</v>
      </c>
      <c r="O199" s="3">
        <f>(IF(L199&lt;4172.98,0,MIN(L199*0.3,L199-4172.98)))-M199</f>
        <v>-879</v>
      </c>
      <c r="S199" s="3" t="s">
        <v>31</v>
      </c>
      <c r="Z199" s="181">
        <v>1</v>
      </c>
    </row>
    <row r="200" spans="1:26" hidden="1">
      <c r="A200" s="30">
        <v>23394106</v>
      </c>
      <c r="B200" s="31">
        <v>46239</v>
      </c>
      <c r="C200" s="32">
        <v>0.41799768518518521</v>
      </c>
      <c r="D200" s="33" t="s">
        <v>249</v>
      </c>
      <c r="E200" s="34">
        <v>5219191516796</v>
      </c>
      <c r="F200" s="33"/>
      <c r="G200" s="33" t="s">
        <v>250</v>
      </c>
      <c r="H200" s="35"/>
      <c r="I200" s="33"/>
      <c r="J200" s="36"/>
      <c r="K200" t="s">
        <v>32</v>
      </c>
      <c r="N200" s="3">
        <f t="shared" si="14"/>
        <v>0</v>
      </c>
      <c r="O200" s="3">
        <f>(IF(L200&lt;4172.98,0,MIN(L200*0.3,L200-4172.98)))-M200</f>
        <v>0</v>
      </c>
      <c r="S200" s="3" t="s">
        <v>31</v>
      </c>
      <c r="Z200" s="181">
        <v>0</v>
      </c>
    </row>
    <row r="201" spans="1:26">
      <c r="A201" s="30">
        <v>23395518</v>
      </c>
      <c r="B201" s="31">
        <v>46239</v>
      </c>
      <c r="C201" s="32">
        <v>0.44381944444444443</v>
      </c>
      <c r="D201" s="33"/>
      <c r="E201" s="34">
        <v>6145983656</v>
      </c>
      <c r="F201" s="33"/>
      <c r="G201" s="33"/>
      <c r="H201" s="35">
        <v>24846687598</v>
      </c>
      <c r="I201" s="33"/>
      <c r="J201" s="36"/>
      <c r="K201" t="s">
        <v>54</v>
      </c>
      <c r="L201" s="3">
        <v>10636.54</v>
      </c>
      <c r="N201" s="3">
        <f>L201*0.3</f>
        <v>3190.962</v>
      </c>
      <c r="O201" s="3">
        <f>(IF(L201&lt;4172.98,0,MIN(L201*0.3,L201-4172.98)))-M201</f>
        <v>3190.962</v>
      </c>
      <c r="S201" s="3" t="s">
        <v>63</v>
      </c>
      <c r="T201" s="48">
        <v>46239</v>
      </c>
      <c r="Z201" s="181">
        <v>1</v>
      </c>
    </row>
    <row r="202" spans="1:26">
      <c r="A202" s="30">
        <v>23395454</v>
      </c>
      <c r="B202" s="31">
        <v>46239</v>
      </c>
      <c r="C202" s="32">
        <v>0.44511574074074073</v>
      </c>
      <c r="D202" s="33" t="s">
        <v>251</v>
      </c>
      <c r="E202" s="34">
        <v>5219371402722</v>
      </c>
      <c r="F202" s="33"/>
      <c r="G202" s="33"/>
      <c r="H202" s="35" t="s">
        <v>252</v>
      </c>
      <c r="I202" s="33"/>
      <c r="J202" s="36"/>
      <c r="K202" t="s">
        <v>38</v>
      </c>
      <c r="L202" s="3">
        <v>4554.84</v>
      </c>
      <c r="N202" s="3">
        <f>L202*0.3</f>
        <v>1366.452</v>
      </c>
      <c r="O202" s="3">
        <f>(IF(L202&lt;4172.98,0,MIN(L202*0.3,L202-4172.98)))-M202</f>
        <v>381.86000000000058</v>
      </c>
      <c r="S202" s="3" t="s">
        <v>39</v>
      </c>
      <c r="T202" s="48">
        <v>46239</v>
      </c>
      <c r="Z202" s="181">
        <v>1</v>
      </c>
    </row>
    <row r="203" spans="1:26" hidden="1">
      <c r="A203" s="30">
        <v>23395922</v>
      </c>
      <c r="B203" s="31">
        <v>46239</v>
      </c>
      <c r="C203" s="32">
        <v>0.45322916666666668</v>
      </c>
      <c r="D203" s="33"/>
      <c r="E203" s="34">
        <v>5216241375907</v>
      </c>
      <c r="F203" s="33"/>
      <c r="G203" s="33"/>
      <c r="H203" s="35">
        <v>22057401808</v>
      </c>
      <c r="I203" s="33"/>
      <c r="J203" s="36"/>
      <c r="K203" t="s">
        <v>51</v>
      </c>
      <c r="N203" s="3">
        <f>L203*0.3</f>
        <v>0</v>
      </c>
      <c r="O203" s="3">
        <f>(IF(L203&lt;4172.98,0,MIN(L203*0.3,L203-4172.98)))-M203</f>
        <v>0</v>
      </c>
      <c r="S203" s="3" t="s">
        <v>31</v>
      </c>
      <c r="Z203" s="181">
        <v>1</v>
      </c>
    </row>
    <row r="204" spans="1:26" hidden="1">
      <c r="A204" s="12">
        <v>23396294</v>
      </c>
      <c r="B204" s="13">
        <v>46239</v>
      </c>
      <c r="C204" s="14">
        <v>0.46327546296296296</v>
      </c>
      <c r="D204" s="15"/>
      <c r="E204" s="16">
        <v>5216565265032</v>
      </c>
      <c r="F204" s="15"/>
      <c r="G204" s="15" t="s">
        <v>253</v>
      </c>
      <c r="H204" s="17">
        <v>65937235318</v>
      </c>
      <c r="I204" s="15"/>
      <c r="J204" s="18"/>
      <c r="K204" t="s">
        <v>30</v>
      </c>
      <c r="L204" s="3">
        <v>6753.55</v>
      </c>
      <c r="M204" s="3">
        <v>1875.02</v>
      </c>
      <c r="N204" s="3">
        <f t="shared" ref="N204:N205" si="15">L204*0.3</f>
        <v>2026.0650000000001</v>
      </c>
      <c r="O204" s="3">
        <f>(IF(L204&lt;4172.98,0,MIN(L204*0.3,L204-4172.98)))-M204</f>
        <v>151.04500000000007</v>
      </c>
      <c r="P204" s="6">
        <v>46266</v>
      </c>
      <c r="Q204" t="s">
        <v>206</v>
      </c>
      <c r="S204" s="3" t="s">
        <v>69</v>
      </c>
      <c r="Z204" s="181">
        <v>2</v>
      </c>
    </row>
    <row r="205" spans="1:26" hidden="1">
      <c r="A205" s="30">
        <v>23396266</v>
      </c>
      <c r="B205" s="31">
        <v>46239</v>
      </c>
      <c r="C205" s="32">
        <v>0.46425925925925926</v>
      </c>
      <c r="D205" s="33"/>
      <c r="E205" s="34">
        <v>5218713311654</v>
      </c>
      <c r="F205" s="33"/>
      <c r="G205" s="33" t="s">
        <v>254</v>
      </c>
      <c r="H205" s="35"/>
      <c r="I205" s="33"/>
      <c r="J205" s="36"/>
      <c r="K205" t="s">
        <v>30</v>
      </c>
      <c r="L205" s="4">
        <v>9760.32</v>
      </c>
      <c r="M205" s="4">
        <v>2823.54</v>
      </c>
      <c r="N205" s="3">
        <f t="shared" si="15"/>
        <v>2928.096</v>
      </c>
      <c r="O205" s="3">
        <f>(IF(L205&lt;4172.98,0,MIN(L205*0.3,L205-4172.98)))-M205</f>
        <v>104.55600000000004</v>
      </c>
      <c r="P205" s="6">
        <v>46692</v>
      </c>
      <c r="S205" s="3" t="s">
        <v>69</v>
      </c>
      <c r="Z205" s="181">
        <v>2</v>
      </c>
    </row>
    <row r="206" spans="1:26">
      <c r="A206" s="30">
        <v>23396260</v>
      </c>
      <c r="B206" s="31">
        <v>46239</v>
      </c>
      <c r="C206" s="32">
        <v>0.46819444444444447</v>
      </c>
      <c r="D206" s="33"/>
      <c r="E206" s="34">
        <v>5216141100119</v>
      </c>
      <c r="F206" s="33"/>
      <c r="G206" s="33"/>
      <c r="H206" s="35">
        <v>33846599802</v>
      </c>
      <c r="I206" s="33"/>
      <c r="J206" s="36"/>
      <c r="K206" t="s">
        <v>54</v>
      </c>
      <c r="L206" s="3">
        <f>8296.08+1464.24</f>
        <v>9760.32</v>
      </c>
      <c r="M206" s="3">
        <v>1464.24</v>
      </c>
      <c r="N206" s="3">
        <f>L206*0.3</f>
        <v>2928.096</v>
      </c>
      <c r="O206" s="3">
        <f>(IF(L206&lt;4172.98,0,MIN(L206*0.3,L206-4172.98)))-M206</f>
        <v>1463.856</v>
      </c>
      <c r="P206" s="6">
        <v>46905</v>
      </c>
      <c r="Q206" t="s">
        <v>206</v>
      </c>
      <c r="S206" s="3" t="s">
        <v>90</v>
      </c>
      <c r="T206" s="48">
        <v>46239</v>
      </c>
      <c r="Z206" s="181">
        <v>2</v>
      </c>
    </row>
    <row r="207" spans="1:26" hidden="1">
      <c r="A207" s="30">
        <v>23396348</v>
      </c>
      <c r="B207" s="31">
        <v>46239</v>
      </c>
      <c r="C207" s="32">
        <v>0.47105324074074073</v>
      </c>
      <c r="D207" s="33"/>
      <c r="E207" s="34">
        <v>5214495760079</v>
      </c>
      <c r="F207" s="33"/>
      <c r="G207" s="33"/>
      <c r="H207" s="35" t="s">
        <v>255</v>
      </c>
      <c r="I207" s="33"/>
      <c r="J207" s="36"/>
      <c r="K207" t="s">
        <v>51</v>
      </c>
      <c r="N207" s="3">
        <f>L207*0.3</f>
        <v>0</v>
      </c>
      <c r="O207" s="3">
        <f>(IF(L207&lt;4172.98,0,MIN(L207*0.3,L207-4172.98)))-M207</f>
        <v>0</v>
      </c>
      <c r="S207" s="3" t="s">
        <v>69</v>
      </c>
      <c r="Z207" s="181">
        <v>1</v>
      </c>
    </row>
    <row r="208" spans="1:26" hidden="1">
      <c r="A208" s="30">
        <v>23367856</v>
      </c>
      <c r="B208" s="31">
        <v>46239</v>
      </c>
      <c r="C208" s="32">
        <v>0.49091435185185184</v>
      </c>
      <c r="D208" s="33"/>
      <c r="E208" s="34">
        <v>5214445999341</v>
      </c>
      <c r="F208" s="33"/>
      <c r="G208" s="33"/>
      <c r="H208" s="35" t="s">
        <v>256</v>
      </c>
      <c r="I208" s="33"/>
      <c r="J208" s="36"/>
      <c r="K208" t="s">
        <v>58</v>
      </c>
      <c r="L208" s="3">
        <v>4277.4399999999996</v>
      </c>
      <c r="N208" s="3">
        <f>L208*0.3</f>
        <v>1283.2319999999997</v>
      </c>
      <c r="O208" s="3">
        <f>(IF(L208&lt;4172.98,0,MIN(L208*0.3,L208-4172.98)))-M208</f>
        <v>104.46000000000004</v>
      </c>
      <c r="S208" s="53" t="s">
        <v>69</v>
      </c>
      <c r="Z208" s="181">
        <v>1</v>
      </c>
    </row>
    <row r="209" spans="1:26" hidden="1">
      <c r="A209" s="12">
        <v>23397322</v>
      </c>
      <c r="B209" s="13">
        <v>46239</v>
      </c>
      <c r="C209" s="14">
        <v>0.49109953703703701</v>
      </c>
      <c r="D209" s="15"/>
      <c r="E209" s="16">
        <v>5216645915819</v>
      </c>
      <c r="F209" s="15"/>
      <c r="G209" s="15" t="s">
        <v>257</v>
      </c>
      <c r="H209" s="17"/>
      <c r="I209" s="15"/>
      <c r="J209" s="18"/>
      <c r="K209" t="s">
        <v>30</v>
      </c>
      <c r="L209" s="3">
        <v>9760.32</v>
      </c>
      <c r="M209" s="3">
        <v>2917.28</v>
      </c>
      <c r="N209" s="3">
        <f>L209*0.3</f>
        <v>2928.096</v>
      </c>
      <c r="O209" s="3">
        <f>(IF(L209&lt;4172.98,0,MIN(L209*0.3,L209-4172.98)))-M209</f>
        <v>10.815999999999804</v>
      </c>
      <c r="P209" s="6">
        <v>46905</v>
      </c>
      <c r="Q209" t="s">
        <v>57</v>
      </c>
      <c r="S209" s="3" t="s">
        <v>31</v>
      </c>
      <c r="Z209" s="181">
        <v>2</v>
      </c>
    </row>
    <row r="210" spans="1:26" hidden="1">
      <c r="A210" s="30">
        <v>23397410</v>
      </c>
      <c r="B210" s="31">
        <v>46239</v>
      </c>
      <c r="C210" s="32">
        <v>0.49305555555555558</v>
      </c>
      <c r="D210" s="33"/>
      <c r="E210" s="34">
        <v>5218120809957</v>
      </c>
      <c r="F210" s="33"/>
      <c r="G210" s="33" t="s">
        <v>258</v>
      </c>
      <c r="H210" s="35" t="s">
        <v>259</v>
      </c>
      <c r="I210" s="33"/>
      <c r="J210" s="36"/>
      <c r="K210" t="s">
        <v>30</v>
      </c>
      <c r="L210" s="3">
        <v>30821.43</v>
      </c>
      <c r="M210" s="3">
        <v>9241.84</v>
      </c>
      <c r="N210" s="3">
        <f>L210*0.3</f>
        <v>9246.4290000000001</v>
      </c>
      <c r="O210" s="3">
        <f>(IF(L210&lt;4172.98,0,MIN(L210*0.3,L210-4172.98)))-M210</f>
        <v>4.5889999999999418</v>
      </c>
      <c r="P210" s="6">
        <v>46447</v>
      </c>
      <c r="Q210" t="s">
        <v>206</v>
      </c>
      <c r="S210" s="3" t="s">
        <v>31</v>
      </c>
      <c r="Z210" s="181">
        <v>2</v>
      </c>
    </row>
    <row r="211" spans="1:26">
      <c r="A211" s="30">
        <v>23397686</v>
      </c>
      <c r="B211" s="31">
        <v>46239</v>
      </c>
      <c r="C211" s="32">
        <v>0.49857638888888889</v>
      </c>
      <c r="D211" s="33"/>
      <c r="E211" s="34">
        <v>5218444992605</v>
      </c>
      <c r="F211" s="33"/>
      <c r="G211" s="33"/>
      <c r="H211" s="35">
        <v>32806361005</v>
      </c>
      <c r="I211" s="33"/>
      <c r="J211" s="36"/>
      <c r="K211" t="s">
        <v>54</v>
      </c>
      <c r="L211" s="3">
        <v>10636.54</v>
      </c>
      <c r="N211" s="3">
        <f>L211*0.3</f>
        <v>3190.962</v>
      </c>
      <c r="O211" s="3">
        <f>(IF(L211&lt;4172.98,0,MIN(L211*0.3,L211-4172.98)))-M211</f>
        <v>3190.962</v>
      </c>
      <c r="S211" s="3" t="s">
        <v>95</v>
      </c>
      <c r="T211" s="48">
        <v>46239</v>
      </c>
      <c r="Z211" s="181">
        <v>1</v>
      </c>
    </row>
    <row r="212" spans="1:26" hidden="1">
      <c r="A212" s="12">
        <v>23397688</v>
      </c>
      <c r="B212" s="13">
        <v>46239</v>
      </c>
      <c r="C212" s="14">
        <v>0.50249999999999995</v>
      </c>
      <c r="D212" s="15"/>
      <c r="E212" s="16">
        <v>5217773073601</v>
      </c>
      <c r="F212" s="15"/>
      <c r="G212" s="15"/>
      <c r="H212" s="17" t="s">
        <v>260</v>
      </c>
      <c r="I212" s="15"/>
      <c r="J212" s="18"/>
      <c r="K212" t="s">
        <v>58</v>
      </c>
      <c r="L212" s="3">
        <f>3965.69+848</f>
        <v>4813.6900000000005</v>
      </c>
      <c r="M212" s="3">
        <v>848</v>
      </c>
      <c r="N212" s="3">
        <f>L212*0.3</f>
        <v>1444.1070000000002</v>
      </c>
      <c r="O212" s="3">
        <f>(IF(L212&lt;4172.98,0,MIN(L212*0.3,L212-4172.98)))-M212</f>
        <v>-207.28999999999905</v>
      </c>
      <c r="S212" s="3" t="s">
        <v>69</v>
      </c>
      <c r="Z212" s="181">
        <v>1</v>
      </c>
    </row>
    <row r="213" spans="1:26" hidden="1">
      <c r="A213" s="12">
        <v>23397996</v>
      </c>
      <c r="B213" s="13">
        <v>46239</v>
      </c>
      <c r="C213" s="14">
        <v>0.50467592592592592</v>
      </c>
      <c r="D213" s="15"/>
      <c r="E213" s="16">
        <v>5214871666679</v>
      </c>
      <c r="F213" s="15"/>
      <c r="G213" s="15"/>
      <c r="H213" s="17">
        <v>41937511859</v>
      </c>
      <c r="I213" s="15"/>
      <c r="J213" s="18"/>
      <c r="K213" t="s">
        <v>32</v>
      </c>
      <c r="N213" s="3">
        <f>L213*0.3</f>
        <v>0</v>
      </c>
      <c r="O213" s="3">
        <f>(IF(L213&lt;4172.98,0,MIN(L213*0.3,L213-4172.98)))-M213</f>
        <v>0</v>
      </c>
      <c r="S213" s="3" t="s">
        <v>69</v>
      </c>
      <c r="Z213" s="181">
        <v>0</v>
      </c>
    </row>
    <row r="214" spans="1:26" hidden="1">
      <c r="A214" s="30">
        <v>23397750</v>
      </c>
      <c r="B214" s="31">
        <v>46239</v>
      </c>
      <c r="C214" s="32">
        <v>0.50747685185185187</v>
      </c>
      <c r="D214" s="33"/>
      <c r="E214" s="34">
        <v>0</v>
      </c>
      <c r="F214" s="33"/>
      <c r="G214" s="33"/>
      <c r="H214" s="35">
        <v>40836600680</v>
      </c>
      <c r="I214" s="33"/>
      <c r="J214" s="36"/>
      <c r="K214" t="s">
        <v>30</v>
      </c>
      <c r="L214" s="3">
        <v>9760.32</v>
      </c>
      <c r="M214" s="3">
        <v>2821.91</v>
      </c>
      <c r="N214" s="3">
        <f>L214*0.3</f>
        <v>2928.096</v>
      </c>
      <c r="O214" s="3">
        <f>(IF(L214&lt;4172.98,0,MIN(L214*0.3,L214-4172.98)))-M214</f>
        <v>106.18600000000015</v>
      </c>
      <c r="P214" s="6">
        <v>46784</v>
      </c>
      <c r="Q214" t="s">
        <v>75</v>
      </c>
      <c r="S214" s="3" t="s">
        <v>31</v>
      </c>
      <c r="Z214" s="181">
        <v>2</v>
      </c>
    </row>
    <row r="215" spans="1:26" hidden="1">
      <c r="A215" s="30">
        <v>23398206</v>
      </c>
      <c r="B215" s="31">
        <v>46239</v>
      </c>
      <c r="C215" s="32">
        <v>0.50947916666666671</v>
      </c>
      <c r="D215" s="33"/>
      <c r="E215" s="34">
        <v>5218712088215</v>
      </c>
      <c r="F215" s="33"/>
      <c r="G215" s="33"/>
      <c r="H215" s="35">
        <v>33826418130</v>
      </c>
      <c r="I215" s="33"/>
      <c r="J215" s="36"/>
      <c r="K215" t="s">
        <v>30</v>
      </c>
      <c r="L215" s="3">
        <v>13955.17</v>
      </c>
      <c r="M215" s="3">
        <v>4186.55</v>
      </c>
      <c r="N215" s="3">
        <f>L215*0.3</f>
        <v>4186.5509999999995</v>
      </c>
      <c r="O215" s="3">
        <f>(IF(L215&lt;4172.98,0,MIN(L215*0.3,L215-4172.98)))-M215</f>
        <v>9.9999999929423211E-4</v>
      </c>
      <c r="P215" s="6">
        <v>46966</v>
      </c>
      <c r="Q215" t="s">
        <v>77</v>
      </c>
      <c r="S215" s="3" t="s">
        <v>31</v>
      </c>
      <c r="Z215" s="181">
        <v>2</v>
      </c>
    </row>
    <row r="216" spans="1:26" hidden="1">
      <c r="A216" s="30">
        <v>23398238</v>
      </c>
      <c r="B216" s="31">
        <v>46239</v>
      </c>
      <c r="C216" s="32">
        <v>0.51430555555555557</v>
      </c>
      <c r="D216" s="33"/>
      <c r="E216" s="34">
        <v>5212292293142</v>
      </c>
      <c r="F216" s="33"/>
      <c r="G216" s="33"/>
      <c r="H216" s="35">
        <v>19795829266</v>
      </c>
      <c r="I216" s="33"/>
      <c r="J216" s="36"/>
      <c r="K216" t="s">
        <v>30</v>
      </c>
      <c r="L216" s="3">
        <v>26060.560000000001</v>
      </c>
      <c r="M216" s="3">
        <v>7814.95</v>
      </c>
      <c r="N216" s="3">
        <f>L216*0.3</f>
        <v>7818.1679999999997</v>
      </c>
      <c r="O216" s="3">
        <f>(IF(L216&lt;4172.98,0,MIN(L216*0.3,L216-4172.98)))-M216</f>
        <v>3.2179999999998472</v>
      </c>
      <c r="P216" s="6">
        <v>46569</v>
      </c>
      <c r="Q216" t="s">
        <v>261</v>
      </c>
      <c r="S216" s="3" t="s">
        <v>31</v>
      </c>
      <c r="Z216" s="181">
        <v>2</v>
      </c>
    </row>
    <row r="217" spans="1:26">
      <c r="A217" s="12">
        <v>23399188</v>
      </c>
      <c r="B217" s="13">
        <v>46239</v>
      </c>
      <c r="C217" s="14">
        <v>0.55069444444444449</v>
      </c>
      <c r="D217" s="15"/>
      <c r="E217" s="16">
        <v>5219221839760</v>
      </c>
      <c r="F217" s="15"/>
      <c r="G217" s="15"/>
      <c r="H217" s="17">
        <v>65725407954</v>
      </c>
      <c r="I217" s="15"/>
      <c r="J217" s="18"/>
      <c r="K217" t="s">
        <v>107</v>
      </c>
      <c r="L217" s="3">
        <v>6750.26</v>
      </c>
      <c r="M217" s="3">
        <v>1953.01</v>
      </c>
      <c r="N217" s="3">
        <f>L217*0.3</f>
        <v>2025.078</v>
      </c>
      <c r="O217" s="3">
        <f>(IF(L217&lt;4172.98,0,MIN(L217*0.3,L217-4172.98)))-M217</f>
        <v>72.067999999999984</v>
      </c>
      <c r="P217" s="6">
        <v>46204</v>
      </c>
      <c r="Q217" t="s">
        <v>262</v>
      </c>
      <c r="S217" s="3" t="s">
        <v>39</v>
      </c>
      <c r="T217" s="48">
        <v>46239</v>
      </c>
      <c r="Z217" s="181">
        <v>2</v>
      </c>
    </row>
    <row r="218" spans="1:26">
      <c r="A218" s="30">
        <v>23399712</v>
      </c>
      <c r="B218" s="31">
        <v>46239</v>
      </c>
      <c r="C218" s="32">
        <v>0.55320601851851847</v>
      </c>
      <c r="D218" s="33"/>
      <c r="E218" s="34">
        <v>5216621899165</v>
      </c>
      <c r="F218" s="33"/>
      <c r="G218" s="33"/>
      <c r="H218" s="35" t="s">
        <v>263</v>
      </c>
      <c r="I218" s="33"/>
      <c r="J218" s="36"/>
      <c r="K218" t="s">
        <v>38</v>
      </c>
      <c r="L218" s="3">
        <f>4960.04+848</f>
        <v>5808.04</v>
      </c>
      <c r="M218" s="3">
        <v>848</v>
      </c>
      <c r="N218" s="3">
        <f>L218*0.3</f>
        <v>1742.412</v>
      </c>
      <c r="O218" s="3">
        <f>(IF(L218&lt;4172.98,0,MIN(L218*0.3,L218-4172.98)))-M218</f>
        <v>787.0600000000004</v>
      </c>
      <c r="Q218" t="s">
        <v>264</v>
      </c>
      <c r="S218" s="3" t="s">
        <v>39</v>
      </c>
      <c r="T218" s="48">
        <v>46239</v>
      </c>
      <c r="Z218" s="181">
        <v>1</v>
      </c>
    </row>
    <row r="219" spans="1:26" hidden="1">
      <c r="A219" s="12">
        <v>23400802</v>
      </c>
      <c r="B219" s="13">
        <v>46239</v>
      </c>
      <c r="C219" s="14">
        <v>0.57886574074074071</v>
      </c>
      <c r="D219" s="15"/>
      <c r="E219" s="16"/>
      <c r="F219" s="15"/>
      <c r="G219" s="15"/>
      <c r="H219" s="17">
        <v>31826313855</v>
      </c>
      <c r="I219" s="15"/>
      <c r="J219" s="18"/>
      <c r="K219" t="s">
        <v>30</v>
      </c>
      <c r="L219" s="3">
        <f>20824.21+8861.21</f>
        <v>29685.42</v>
      </c>
      <c r="M219" s="3">
        <v>8861.2099999999991</v>
      </c>
      <c r="N219" s="3">
        <f>L219*0.3</f>
        <v>8905.6259999999984</v>
      </c>
      <c r="O219" s="3">
        <f>(IF(L219&lt;4172.98,0,MIN(L219*0.3,L219-4172.98)))-M219</f>
        <v>44.415999999999258</v>
      </c>
      <c r="P219" s="6">
        <v>46113</v>
      </c>
      <c r="Q219" t="s">
        <v>47</v>
      </c>
      <c r="S219" s="3" t="s">
        <v>69</v>
      </c>
      <c r="Z219" s="181">
        <v>2</v>
      </c>
    </row>
    <row r="220" spans="1:26">
      <c r="A220" s="30">
        <v>23400836</v>
      </c>
      <c r="B220" s="31">
        <v>46239</v>
      </c>
      <c r="C220" s="32">
        <v>0.5808564814814815</v>
      </c>
      <c r="D220" s="33"/>
      <c r="E220" s="34">
        <v>5216623604660</v>
      </c>
      <c r="F220" s="33"/>
      <c r="G220" s="33"/>
      <c r="H220" s="35" t="s">
        <v>265</v>
      </c>
      <c r="I220" s="33"/>
      <c r="J220" s="36"/>
      <c r="K220" t="s">
        <v>38</v>
      </c>
      <c r="L220" s="3">
        <v>5786.65</v>
      </c>
      <c r="M220" s="3">
        <v>879</v>
      </c>
      <c r="N220" s="3">
        <f>L220*0.3</f>
        <v>1735.9949999999999</v>
      </c>
      <c r="O220" s="3">
        <f>(IF(L220&lt;4172.98,0,MIN(L220*0.3,L220-4172.98)))-M220</f>
        <v>734.67000000000007</v>
      </c>
      <c r="S220" s="3" t="s">
        <v>266</v>
      </c>
      <c r="T220" s="48">
        <v>46239</v>
      </c>
      <c r="Z220" s="181">
        <v>1</v>
      </c>
    </row>
    <row r="221" spans="1:26">
      <c r="A221" s="12">
        <v>23402490</v>
      </c>
      <c r="B221" s="13">
        <v>46239</v>
      </c>
      <c r="C221" s="14">
        <v>0.63268518518518524</v>
      </c>
      <c r="D221" s="15"/>
      <c r="E221" s="16">
        <v>5525693803</v>
      </c>
      <c r="F221" s="15"/>
      <c r="G221" s="15"/>
      <c r="H221" s="17" t="s">
        <v>267</v>
      </c>
      <c r="I221" s="15"/>
      <c r="J221" s="18">
        <v>1</v>
      </c>
      <c r="K221" t="s">
        <v>34</v>
      </c>
      <c r="L221" s="3">
        <v>5167.67</v>
      </c>
      <c r="M221" s="3">
        <f>606.32+314.22</f>
        <v>920.54000000000008</v>
      </c>
      <c r="N221" s="3">
        <f>L221*0.3</f>
        <v>1550.3009999999999</v>
      </c>
      <c r="O221" s="3">
        <f>(IF(L221&lt;4172.98,0,MIN(L221*0.3,L221-4172.98)))-M221</f>
        <v>74.150000000000432</v>
      </c>
      <c r="P221" s="6">
        <v>46204</v>
      </c>
      <c r="Q221" t="s">
        <v>57</v>
      </c>
      <c r="S221" s="3" t="s">
        <v>35</v>
      </c>
      <c r="T221" s="48">
        <v>46239</v>
      </c>
      <c r="Z221" s="181">
        <v>2</v>
      </c>
    </row>
    <row r="222" spans="1:26">
      <c r="A222" s="12">
        <v>23402926</v>
      </c>
      <c r="B222" s="13">
        <v>46239</v>
      </c>
      <c r="C222" s="14">
        <v>0.63521990740740741</v>
      </c>
      <c r="D222" s="15"/>
      <c r="E222" s="16">
        <v>5218337469113</v>
      </c>
      <c r="F222" s="15"/>
      <c r="G222" s="15"/>
      <c r="H222" s="17" t="s">
        <v>268</v>
      </c>
      <c r="I222" s="15"/>
      <c r="J222" s="18">
        <v>1</v>
      </c>
      <c r="K222" t="s">
        <v>54</v>
      </c>
      <c r="L222" s="3">
        <v>7913.78</v>
      </c>
      <c r="N222" s="3">
        <f>L222*0.3</f>
        <v>2374.134</v>
      </c>
      <c r="O222" s="3">
        <f>(IF(L222&lt;4172.98,0,MIN(L222*0.3,L222-4172.98)))-M222</f>
        <v>2374.134</v>
      </c>
      <c r="S222" s="3" t="s">
        <v>28</v>
      </c>
      <c r="T222" s="48">
        <v>46239</v>
      </c>
      <c r="Z222" s="181">
        <v>1</v>
      </c>
    </row>
    <row r="223" spans="1:26" hidden="1">
      <c r="A223" s="12">
        <v>23403116</v>
      </c>
      <c r="B223" s="13">
        <v>46239</v>
      </c>
      <c r="C223" s="14">
        <v>0.64451388888888894</v>
      </c>
      <c r="D223" s="15"/>
      <c r="E223" s="16">
        <v>5215525382338</v>
      </c>
      <c r="F223" s="15"/>
      <c r="G223" s="15" t="s">
        <v>269</v>
      </c>
      <c r="H223" s="17"/>
      <c r="I223" s="15"/>
      <c r="J223" s="18">
        <v>1</v>
      </c>
      <c r="K223" t="s">
        <v>32</v>
      </c>
      <c r="N223" s="3">
        <f>L223*0.3</f>
        <v>0</v>
      </c>
      <c r="O223" s="3">
        <f>(IF(L223&lt;4172.98,0,MIN(L223*0.3,L223-4172.98)))-M223</f>
        <v>0</v>
      </c>
      <c r="S223" s="3" t="s">
        <v>31</v>
      </c>
      <c r="Z223" s="181">
        <v>0</v>
      </c>
    </row>
    <row r="224" spans="1:26">
      <c r="A224" s="12">
        <v>23403860</v>
      </c>
      <c r="B224" s="13">
        <v>46239</v>
      </c>
      <c r="C224" s="14">
        <v>0.6575347222222222</v>
      </c>
      <c r="D224" s="15"/>
      <c r="E224" s="16">
        <v>0</v>
      </c>
      <c r="F224" s="15"/>
      <c r="G224" s="15" t="s">
        <v>270</v>
      </c>
      <c r="H224" s="17">
        <v>43796216430</v>
      </c>
      <c r="I224" s="15"/>
      <c r="J224" s="18">
        <v>1</v>
      </c>
      <c r="K224" t="s">
        <v>27</v>
      </c>
      <c r="L224" s="3">
        <f>6145.2+1023.6+1473.1</f>
        <v>8641.9</v>
      </c>
      <c r="M224" s="3">
        <f>1473.13+1023.6</f>
        <v>2496.73</v>
      </c>
      <c r="N224" s="3">
        <f>L224*0.3</f>
        <v>2592.5699999999997</v>
      </c>
      <c r="O224" s="3">
        <f>(IF(L224&lt;4172.98,0,MIN(L224*0.3,L224-4172.98)))-M224</f>
        <v>95.839999999999691</v>
      </c>
      <c r="P224" s="6">
        <v>46174</v>
      </c>
      <c r="Q224" t="s">
        <v>206</v>
      </c>
      <c r="S224" s="3" t="s">
        <v>62</v>
      </c>
      <c r="T224" s="48">
        <v>46239</v>
      </c>
      <c r="Z224" s="181">
        <v>2</v>
      </c>
    </row>
    <row r="225" spans="1:26">
      <c r="A225" s="30">
        <v>23404128</v>
      </c>
      <c r="B225" s="31">
        <v>46239</v>
      </c>
      <c r="C225" s="32">
        <v>0.66855324074074074</v>
      </c>
      <c r="D225" s="33"/>
      <c r="E225" s="34">
        <v>5218448930246</v>
      </c>
      <c r="F225" s="33"/>
      <c r="G225" s="33"/>
      <c r="H225" s="35">
        <v>32796329145</v>
      </c>
      <c r="I225" s="33"/>
      <c r="J225" s="36">
        <v>1</v>
      </c>
      <c r="K225" t="s">
        <v>38</v>
      </c>
      <c r="L225" s="4">
        <v>45493.08</v>
      </c>
      <c r="M225" s="4">
        <v>13158.63</v>
      </c>
      <c r="N225" s="3">
        <f>L225*0.3</f>
        <v>13647.924000000001</v>
      </c>
      <c r="O225" s="3">
        <f>(IF(L225&lt;4172.98,0,MIN(L225*0.3,L225-4172.98)))-M225</f>
        <v>489.29400000000169</v>
      </c>
      <c r="P225" s="6">
        <v>46419</v>
      </c>
      <c r="Q225" t="s">
        <v>75</v>
      </c>
      <c r="S225" s="3" t="s">
        <v>271</v>
      </c>
      <c r="T225" s="48">
        <v>46239</v>
      </c>
      <c r="Z225" s="181">
        <v>2</v>
      </c>
    </row>
    <row r="226" spans="1:26" hidden="1">
      <c r="A226" s="30">
        <v>23407138</v>
      </c>
      <c r="B226" s="31">
        <v>46239</v>
      </c>
      <c r="C226" s="32">
        <v>0.69398148148148153</v>
      </c>
      <c r="D226" s="33" t="s">
        <v>272</v>
      </c>
      <c r="E226" s="34">
        <v>5219614010504</v>
      </c>
      <c r="F226" s="33"/>
      <c r="G226" s="33" t="s">
        <v>273</v>
      </c>
      <c r="H226" s="35" t="s">
        <v>274</v>
      </c>
      <c r="I226" s="33"/>
      <c r="J226" s="36"/>
      <c r="K226" t="s">
        <v>30</v>
      </c>
      <c r="L226" s="3">
        <v>8554.23</v>
      </c>
      <c r="M226" s="3">
        <f>901.73+1663.99</f>
        <v>2565.7200000000003</v>
      </c>
      <c r="N226" s="3">
        <f>L226*0.3</f>
        <v>2566.2689999999998</v>
      </c>
      <c r="O226" s="3">
        <f>(IF(L226&lt;4172.98,0,MIN(L226*0.3,L226-4172.98)))-M226</f>
        <v>0.54899999999952342</v>
      </c>
      <c r="P226" s="6">
        <v>46722</v>
      </c>
      <c r="S226" s="3" t="s">
        <v>69</v>
      </c>
      <c r="Z226" s="181">
        <v>2</v>
      </c>
    </row>
    <row r="227" spans="1:26" hidden="1">
      <c r="A227" s="12">
        <v>23407364</v>
      </c>
      <c r="B227" s="13">
        <v>46239</v>
      </c>
      <c r="C227" s="14">
        <v>0.70253472222222224</v>
      </c>
      <c r="D227" s="15"/>
      <c r="E227" s="16">
        <v>5214447047447</v>
      </c>
      <c r="F227" s="15"/>
      <c r="G227" s="15" t="s">
        <v>275</v>
      </c>
      <c r="H227" s="17"/>
      <c r="I227" s="15"/>
      <c r="J227" s="18"/>
      <c r="K227" t="s">
        <v>58</v>
      </c>
      <c r="L227" s="3">
        <v>1721</v>
      </c>
      <c r="N227" s="3">
        <f t="shared" ref="N227:N229" si="16">L227*0.3</f>
        <v>516.29999999999995</v>
      </c>
      <c r="O227" s="3">
        <f>(IF(L227&lt;4172.98,0,MIN(L227*0.3,L227-4172.98)))-M227</f>
        <v>0</v>
      </c>
      <c r="S227" s="3" t="s">
        <v>69</v>
      </c>
      <c r="Z227" s="181">
        <v>1</v>
      </c>
    </row>
    <row r="228" spans="1:26">
      <c r="A228" s="12">
        <v>23407164</v>
      </c>
      <c r="B228" s="13">
        <v>46239</v>
      </c>
      <c r="C228" s="14">
        <v>0.70355324074074077</v>
      </c>
      <c r="D228" s="15" t="s">
        <v>276</v>
      </c>
      <c r="E228" s="16">
        <v>5212721137867</v>
      </c>
      <c r="F228" s="15"/>
      <c r="G228" s="15" t="s">
        <v>277</v>
      </c>
      <c r="H228" s="17" t="s">
        <v>278</v>
      </c>
      <c r="I228" s="15"/>
      <c r="J228" s="18"/>
      <c r="K228" t="s">
        <v>34</v>
      </c>
      <c r="L228" s="3">
        <f>9739.76+1871.25+1571.11</f>
        <v>13182.12</v>
      </c>
      <c r="M228" s="3">
        <f>1871.25+1571.11</f>
        <v>3442.3599999999997</v>
      </c>
      <c r="N228" s="3">
        <f t="shared" si="16"/>
        <v>3954.636</v>
      </c>
      <c r="O228" s="3">
        <f>(IF(L228&lt;4172.98,0,MIN(L228*0.3,L228-4172.98)))-M228</f>
        <v>512.27600000000029</v>
      </c>
      <c r="P228" s="6">
        <v>45658</v>
      </c>
      <c r="Q228" t="s">
        <v>57</v>
      </c>
      <c r="S228" s="3" t="s">
        <v>35</v>
      </c>
      <c r="T228" s="48">
        <v>46239</v>
      </c>
      <c r="Z228" s="181">
        <v>2</v>
      </c>
    </row>
    <row r="229" spans="1:26" hidden="1">
      <c r="A229" s="12">
        <v>23407294</v>
      </c>
      <c r="B229" s="13">
        <v>46239</v>
      </c>
      <c r="C229" s="14">
        <v>0.70510416666666664</v>
      </c>
      <c r="D229" s="15"/>
      <c r="E229" s="16">
        <v>5218119566835</v>
      </c>
      <c r="F229" s="15"/>
      <c r="G229" s="15" t="s">
        <v>279</v>
      </c>
      <c r="H229" s="17"/>
      <c r="I229" s="15"/>
      <c r="J229" s="18"/>
      <c r="K229" t="s">
        <v>30</v>
      </c>
      <c r="L229" s="3">
        <f>7228.47+2942.77</f>
        <v>10171.24</v>
      </c>
      <c r="M229" s="3">
        <v>2942.77</v>
      </c>
      <c r="N229" s="3">
        <f t="shared" si="16"/>
        <v>3051.3719999999998</v>
      </c>
      <c r="O229" s="3">
        <f>(IF(L229&lt;4172.98,0,MIN(L229*0.3,L229-4172.98)))-M229</f>
        <v>108.60199999999986</v>
      </c>
      <c r="P229" s="6">
        <v>46539</v>
      </c>
      <c r="Q229" t="s">
        <v>75</v>
      </c>
      <c r="S229" s="3" t="s">
        <v>69</v>
      </c>
      <c r="Z229" s="181">
        <v>2</v>
      </c>
    </row>
    <row r="230" spans="1:26">
      <c r="A230" s="30">
        <v>23407726</v>
      </c>
      <c r="B230" s="31">
        <v>46239</v>
      </c>
      <c r="C230" s="32">
        <v>0.72420138888888885</v>
      </c>
      <c r="D230" s="33"/>
      <c r="E230" s="34">
        <v>5219331163691</v>
      </c>
      <c r="F230" s="33"/>
      <c r="G230" s="33"/>
      <c r="H230" s="35">
        <v>30875803204</v>
      </c>
      <c r="I230" s="33"/>
      <c r="J230" s="36"/>
      <c r="K230" t="s">
        <v>27</v>
      </c>
      <c r="L230" s="3">
        <f>14010.18+2866.44</f>
        <v>16876.62</v>
      </c>
      <c r="M230" s="3">
        <v>2866.44</v>
      </c>
      <c r="N230" s="3">
        <f>L230*0.3</f>
        <v>5062.9859999999999</v>
      </c>
      <c r="O230" s="3">
        <f>(IF(L230&lt;4172.98,0,MIN(L230*0.3,L230-4172.98)))-M230</f>
        <v>2196.5459999999998</v>
      </c>
      <c r="P230" s="6">
        <v>46082</v>
      </c>
      <c r="Q230" t="s">
        <v>75</v>
      </c>
      <c r="S230" s="3" t="s">
        <v>63</v>
      </c>
      <c r="T230" s="48">
        <v>46239</v>
      </c>
      <c r="Z230" s="181">
        <v>2</v>
      </c>
    </row>
    <row r="231" spans="1:26" hidden="1">
      <c r="A231" s="30">
        <v>23408040</v>
      </c>
      <c r="B231" s="31">
        <v>46239</v>
      </c>
      <c r="C231" s="32">
        <v>0.73081018518518515</v>
      </c>
      <c r="D231" s="33" t="s">
        <v>280</v>
      </c>
      <c r="E231" s="34">
        <v>5215545439161</v>
      </c>
      <c r="F231" s="33"/>
      <c r="G231" s="33" t="s">
        <v>281</v>
      </c>
      <c r="H231" s="35" t="s">
        <v>282</v>
      </c>
      <c r="I231" s="33"/>
      <c r="J231" s="36"/>
      <c r="K231" t="s">
        <v>30</v>
      </c>
      <c r="L231" s="3">
        <f>17661.86+7190.34</f>
        <v>24852.2</v>
      </c>
      <c r="M231" s="3">
        <v>7190.34</v>
      </c>
      <c r="N231" s="3">
        <f>L231*0.3</f>
        <v>7455.66</v>
      </c>
      <c r="O231" s="3">
        <f>(IF(L231&lt;4172.98,0,MIN(L231*0.3,L231-4172.98)))-M231</f>
        <v>265.31999999999971</v>
      </c>
      <c r="P231" s="6">
        <v>46661</v>
      </c>
      <c r="Q231" t="s">
        <v>206</v>
      </c>
      <c r="S231" s="3" t="s">
        <v>69</v>
      </c>
      <c r="Z231" s="181">
        <v>2</v>
      </c>
    </row>
    <row r="232" spans="1:26" hidden="1">
      <c r="A232" s="30">
        <v>23408260</v>
      </c>
      <c r="B232" s="31">
        <v>46239</v>
      </c>
      <c r="C232" s="32">
        <v>0.73475694444444439</v>
      </c>
      <c r="D232" s="33"/>
      <c r="E232" s="34">
        <v>5215534976144</v>
      </c>
      <c r="F232" s="33"/>
      <c r="G232" s="33" t="s">
        <v>283</v>
      </c>
      <c r="H232" s="35"/>
      <c r="I232" s="33"/>
      <c r="J232" s="36"/>
      <c r="K232" t="s">
        <v>30</v>
      </c>
      <c r="L232" s="3">
        <f>4387.21+1875.65</f>
        <v>6262.8600000000006</v>
      </c>
      <c r="N232" s="3">
        <f t="shared" ref="N232" si="17">L232*0.3</f>
        <v>1878.8580000000002</v>
      </c>
      <c r="O232" s="3">
        <f>(IF(L232&lt;4172.98,0,MIN(L232*0.3,L232-4172.98)))-M232</f>
        <v>1878.8580000000002</v>
      </c>
      <c r="P232" s="6">
        <v>46905</v>
      </c>
      <c r="S232" s="3" t="s">
        <v>69</v>
      </c>
      <c r="Z232" s="181">
        <v>2</v>
      </c>
    </row>
    <row r="233" spans="1:26" hidden="1">
      <c r="A233" s="30">
        <v>23408386</v>
      </c>
      <c r="B233" s="31">
        <v>46239</v>
      </c>
      <c r="C233" s="32">
        <v>0.73972222222222217</v>
      </c>
      <c r="D233" s="33"/>
      <c r="E233" s="34">
        <v>2211884872</v>
      </c>
      <c r="F233" s="33"/>
      <c r="G233" s="33"/>
      <c r="H233" s="35">
        <v>62876727496</v>
      </c>
      <c r="I233" s="33"/>
      <c r="J233" s="36"/>
      <c r="K233" t="s">
        <v>30</v>
      </c>
      <c r="L233" s="3">
        <v>7202.92</v>
      </c>
      <c r="M233" s="3">
        <f>1914.96+138.12</f>
        <v>2053.08</v>
      </c>
      <c r="N233" s="3">
        <f>L233*0.3</f>
        <v>2160.8759999999997</v>
      </c>
      <c r="O233" s="3">
        <f>(IF(L233&lt;4172.98,0,MIN(L233*0.3,L233-4172.98)))-M233</f>
        <v>107.79599999999982</v>
      </c>
      <c r="P233" s="6">
        <v>46478</v>
      </c>
      <c r="S233" s="3" t="s">
        <v>69</v>
      </c>
      <c r="Z233" s="181">
        <v>2</v>
      </c>
    </row>
    <row r="234" spans="1:26" hidden="1">
      <c r="A234" s="30">
        <v>23408556</v>
      </c>
      <c r="B234" s="31">
        <v>46239</v>
      </c>
      <c r="C234" s="32">
        <v>0.75016203703703699</v>
      </c>
      <c r="D234" s="33"/>
      <c r="E234" s="34">
        <v>5215574587570</v>
      </c>
      <c r="F234" s="33"/>
      <c r="G234" s="33" t="s">
        <v>284</v>
      </c>
      <c r="H234" s="35"/>
      <c r="I234" s="33"/>
      <c r="J234" s="36"/>
      <c r="K234" t="s">
        <v>32</v>
      </c>
      <c r="N234" s="3">
        <f>L234*0.3</f>
        <v>0</v>
      </c>
      <c r="O234" s="3">
        <f>(IF(L234&lt;4172.98,0,MIN(L234*0.3,L234-4172.98)))-M234</f>
        <v>0</v>
      </c>
      <c r="S234" s="3" t="s">
        <v>69</v>
      </c>
      <c r="T234" s="50"/>
      <c r="Z234" s="181">
        <v>0</v>
      </c>
    </row>
    <row r="235" spans="1:26">
      <c r="A235" s="12">
        <v>23408734</v>
      </c>
      <c r="B235" s="13">
        <v>46239</v>
      </c>
      <c r="C235" s="14">
        <v>0.7572916666666667</v>
      </c>
      <c r="D235" s="15"/>
      <c r="E235" s="16">
        <v>5218715802121</v>
      </c>
      <c r="F235" s="15"/>
      <c r="G235" s="15"/>
      <c r="H235" s="17">
        <v>31897116500</v>
      </c>
      <c r="I235" s="15"/>
      <c r="J235" s="18"/>
      <c r="K235" t="s">
        <v>54</v>
      </c>
      <c r="L235" s="3">
        <v>12796.95</v>
      </c>
      <c r="M235" s="3">
        <v>848</v>
      </c>
      <c r="N235" s="3">
        <f>L235*0.3</f>
        <v>3839.085</v>
      </c>
      <c r="O235" s="3">
        <f>(IF(L235&lt;4172.98,0,MIN(L235*0.3,L235-4172.98)))-M235</f>
        <v>2991.085</v>
      </c>
      <c r="S235" s="3" t="s">
        <v>28</v>
      </c>
      <c r="T235" s="48">
        <v>46240</v>
      </c>
      <c r="Z235" s="181">
        <v>1</v>
      </c>
    </row>
    <row r="236" spans="1:26">
      <c r="A236" s="12">
        <v>23408896</v>
      </c>
      <c r="B236" s="13">
        <v>46239</v>
      </c>
      <c r="C236" s="14">
        <v>0.76504629629629628</v>
      </c>
      <c r="D236" s="15"/>
      <c r="E236" s="16">
        <v>5215510973135</v>
      </c>
      <c r="F236" s="15"/>
      <c r="G236" s="15"/>
      <c r="H236" s="17">
        <v>64806239246</v>
      </c>
      <c r="I236" s="15"/>
      <c r="J236" s="18"/>
      <c r="K236" t="s">
        <v>34</v>
      </c>
      <c r="L236" s="3">
        <f>5146.61+1970.12</f>
        <v>7116.73</v>
      </c>
      <c r="M236" s="3">
        <v>1970.12</v>
      </c>
      <c r="N236" s="3">
        <f>L236*0.3</f>
        <v>2135.0189999999998</v>
      </c>
      <c r="O236" s="3">
        <f>(IF(L236&lt;4172.98,0,MIN(L236*0.3,L236-4172.98)))-M236</f>
        <v>164.89899999999989</v>
      </c>
      <c r="P236" s="6">
        <v>46204</v>
      </c>
      <c r="Q236" t="s">
        <v>141</v>
      </c>
      <c r="S236" s="3" t="s">
        <v>35</v>
      </c>
      <c r="T236" s="48">
        <v>46240</v>
      </c>
      <c r="Z236" s="181">
        <v>2</v>
      </c>
    </row>
    <row r="237" spans="1:26">
      <c r="A237" s="12">
        <v>23409174</v>
      </c>
      <c r="B237" s="13">
        <v>46239</v>
      </c>
      <c r="C237" s="14">
        <v>0.77665509259259258</v>
      </c>
      <c r="D237" s="15"/>
      <c r="E237" s="16">
        <v>5216673573716</v>
      </c>
      <c r="F237" s="15"/>
      <c r="G237" s="15"/>
      <c r="H237" s="17" t="s">
        <v>285</v>
      </c>
      <c r="I237" s="15"/>
      <c r="J237" s="18"/>
      <c r="K237" t="s">
        <v>54</v>
      </c>
      <c r="L237" s="3">
        <f>6268.73+848</f>
        <v>7116.73</v>
      </c>
      <c r="M237" s="3">
        <v>848</v>
      </c>
      <c r="N237" s="3">
        <f>L237*0.3</f>
        <v>2135.0189999999998</v>
      </c>
      <c r="O237" s="3">
        <f>(IF(L237&lt;4172.98,0,MIN(L237*0.3,L237-4172.98)))-M237</f>
        <v>1287.0189999999998</v>
      </c>
      <c r="S237" s="3" t="s">
        <v>55</v>
      </c>
      <c r="T237" s="48">
        <v>46240</v>
      </c>
      <c r="Z237" s="181">
        <v>1</v>
      </c>
    </row>
    <row r="238" spans="1:26">
      <c r="A238" s="12">
        <v>23409272</v>
      </c>
      <c r="B238" s="13">
        <v>46239</v>
      </c>
      <c r="C238" s="14">
        <v>0.78141203703703699</v>
      </c>
      <c r="D238" s="15"/>
      <c r="E238" s="16">
        <v>5216144445626</v>
      </c>
      <c r="F238" s="15"/>
      <c r="G238" s="15"/>
      <c r="H238" s="17" t="s">
        <v>286</v>
      </c>
      <c r="I238" s="15"/>
      <c r="J238" s="18"/>
      <c r="K238" t="s">
        <v>38</v>
      </c>
      <c r="L238" s="3">
        <f>4769.63+848</f>
        <v>5617.63</v>
      </c>
      <c r="M238" s="3">
        <v>848</v>
      </c>
      <c r="N238" s="3">
        <f>L238*0.3</f>
        <v>1685.289</v>
      </c>
      <c r="O238" s="3">
        <f>(IF(L238&lt;4172.98,0,MIN(L238*0.3,L238-4172.98)))-M238</f>
        <v>596.65000000000055</v>
      </c>
      <c r="S238" s="3" t="s">
        <v>266</v>
      </c>
      <c r="T238" s="48">
        <v>46240</v>
      </c>
      <c r="Z238" s="181">
        <v>1</v>
      </c>
    </row>
    <row r="239" spans="1:26" hidden="1">
      <c r="A239" s="12">
        <v>23409396</v>
      </c>
      <c r="B239" s="13">
        <v>46239</v>
      </c>
      <c r="C239" s="14">
        <v>0.78478009259259263</v>
      </c>
      <c r="D239" s="15"/>
      <c r="E239" s="16">
        <v>5215528895440</v>
      </c>
      <c r="F239" s="15"/>
      <c r="G239" s="15" t="s">
        <v>287</v>
      </c>
      <c r="H239" s="17"/>
      <c r="I239" s="15"/>
      <c r="J239" s="18"/>
      <c r="K239" t="s">
        <v>32</v>
      </c>
      <c r="N239" s="3">
        <f>L239*0.3</f>
        <v>0</v>
      </c>
      <c r="O239" s="3">
        <f>(IF(L239&lt;4172.98,0,MIN(L239*0.3,L239-4172.98)))-M239</f>
        <v>0</v>
      </c>
      <c r="S239" s="3" t="s">
        <v>69</v>
      </c>
      <c r="Z239" s="181">
        <v>0</v>
      </c>
    </row>
    <row r="240" spans="1:26">
      <c r="A240" s="12">
        <v>23409884</v>
      </c>
      <c r="B240" s="13">
        <v>46239</v>
      </c>
      <c r="C240" s="14">
        <v>0.80164351851851856</v>
      </c>
      <c r="D240" s="15"/>
      <c r="E240" s="16">
        <v>5216863485231</v>
      </c>
      <c r="F240" s="15"/>
      <c r="G240" s="15" t="s">
        <v>288</v>
      </c>
      <c r="H240" s="17"/>
      <c r="I240" s="15"/>
      <c r="J240" s="18"/>
      <c r="K240" t="s">
        <v>27</v>
      </c>
      <c r="L240" s="3">
        <f>5629.51+870+1421</f>
        <v>7920.51</v>
      </c>
      <c r="M240" s="3">
        <f>870+1421</f>
        <v>2291</v>
      </c>
      <c r="N240" s="3">
        <f>L240*0.3</f>
        <v>2376.1529999999998</v>
      </c>
      <c r="O240" s="3">
        <f>(IF(L240&lt;4172.98,0,MIN(L240*0.3,L240-4172.98)))-M240</f>
        <v>85.152999999999793</v>
      </c>
      <c r="P240" s="6">
        <v>46082</v>
      </c>
      <c r="Q240" t="s">
        <v>206</v>
      </c>
      <c r="S240" s="3" t="s">
        <v>62</v>
      </c>
      <c r="T240" s="48">
        <v>46240</v>
      </c>
      <c r="Z240" s="181">
        <v>2</v>
      </c>
    </row>
    <row r="241" spans="1:26" hidden="1">
      <c r="A241" s="30">
        <v>23409978</v>
      </c>
      <c r="B241" s="31">
        <v>46239</v>
      </c>
      <c r="C241" s="32">
        <v>0.80895833333333333</v>
      </c>
      <c r="D241" s="33"/>
      <c r="E241" s="34">
        <v>5214778774052</v>
      </c>
      <c r="F241" s="33"/>
      <c r="G241" s="33"/>
      <c r="H241" s="35">
        <v>12755914509</v>
      </c>
      <c r="I241" s="33"/>
      <c r="J241" s="36"/>
      <c r="K241" t="s">
        <v>30</v>
      </c>
      <c r="L241" s="3">
        <v>5986.79</v>
      </c>
      <c r="M241" s="3">
        <f>1083+712.74</f>
        <v>1795.74</v>
      </c>
      <c r="N241" s="3">
        <f>L241*0.3</f>
        <v>1796.037</v>
      </c>
      <c r="O241" s="3">
        <f>(IF(L241&lt;4172.98,0,MIN(L241*0.3,L241-4172.98)))-M241</f>
        <v>0.29700000000002547</v>
      </c>
      <c r="P241" s="6">
        <v>46508</v>
      </c>
      <c r="Q241" t="s">
        <v>75</v>
      </c>
      <c r="S241" s="3" t="s">
        <v>69</v>
      </c>
      <c r="Z241" s="181">
        <v>2</v>
      </c>
    </row>
    <row r="242" spans="1:26">
      <c r="A242" s="12">
        <v>23410168</v>
      </c>
      <c r="B242" s="13">
        <v>46239</v>
      </c>
      <c r="C242" s="14">
        <v>0.82489583333333338</v>
      </c>
      <c r="D242" s="15"/>
      <c r="E242" s="16">
        <v>5215559916510</v>
      </c>
      <c r="F242" s="15"/>
      <c r="G242" s="15" t="s">
        <v>289</v>
      </c>
      <c r="H242" s="17"/>
      <c r="I242" s="15"/>
      <c r="J242" s="18"/>
      <c r="K242" t="s">
        <v>27</v>
      </c>
      <c r="L242" s="3">
        <f>5726.33+1840.4</f>
        <v>7566.73</v>
      </c>
      <c r="M242" s="3">
        <v>1840.4</v>
      </c>
      <c r="N242" s="3">
        <f>L242*0.3</f>
        <v>2270.0189999999998</v>
      </c>
      <c r="O242" s="3">
        <f>(IF(L242&lt;4172.98,0,MIN(L242*0.3,L242-4172.98)))-M242</f>
        <v>429.61899999999969</v>
      </c>
      <c r="P242" s="6">
        <v>45992</v>
      </c>
      <c r="Q242" t="s">
        <v>75</v>
      </c>
      <c r="S242" s="3" t="s">
        <v>63</v>
      </c>
      <c r="T242" s="48">
        <v>46240</v>
      </c>
      <c r="Z242" s="181">
        <v>2</v>
      </c>
    </row>
    <row r="243" spans="1:26" hidden="1">
      <c r="A243" s="12">
        <v>23410486</v>
      </c>
      <c r="B243" s="13">
        <v>46239</v>
      </c>
      <c r="C243" s="14">
        <v>0.82915509259259257</v>
      </c>
      <c r="D243" s="15"/>
      <c r="E243" s="16">
        <v>5218442935841</v>
      </c>
      <c r="F243" s="15"/>
      <c r="G243" s="15" t="s">
        <v>290</v>
      </c>
      <c r="H243" s="17"/>
      <c r="I243" s="15"/>
      <c r="J243" s="18"/>
      <c r="K243" t="s">
        <v>32</v>
      </c>
      <c r="N243" s="3">
        <f>L243*0.3</f>
        <v>0</v>
      </c>
      <c r="O243" s="3">
        <f>(IF(L243&lt;4172.98,0,MIN(L243*0.3,L243-4172.98)))-M243</f>
        <v>0</v>
      </c>
      <c r="S243" s="3" t="s">
        <v>69</v>
      </c>
      <c r="Z243" s="181">
        <v>0</v>
      </c>
    </row>
    <row r="244" spans="1:26" hidden="1">
      <c r="A244" s="12">
        <v>23410650</v>
      </c>
      <c r="B244" s="13">
        <v>46239</v>
      </c>
      <c r="C244" s="14">
        <v>0.84149305555555554</v>
      </c>
      <c r="D244" s="15"/>
      <c r="E244" s="16">
        <v>5218772023894</v>
      </c>
      <c r="F244" s="15"/>
      <c r="G244" s="15" t="s">
        <v>291</v>
      </c>
      <c r="H244" s="17"/>
      <c r="I244" s="15"/>
      <c r="J244" s="18"/>
      <c r="K244" t="s">
        <v>32</v>
      </c>
      <c r="N244" s="3">
        <f>L244*0.3</f>
        <v>0</v>
      </c>
      <c r="O244" s="3">
        <f>(IF(L244&lt;4172.98,0,MIN(L244*0.3,L244-4172.98)))-M244</f>
        <v>0</v>
      </c>
      <c r="S244" s="3" t="s">
        <v>69</v>
      </c>
      <c r="Z244" s="181">
        <v>0</v>
      </c>
    </row>
    <row r="245" spans="1:26">
      <c r="A245" s="30">
        <v>23411008</v>
      </c>
      <c r="B245" s="31">
        <v>46239</v>
      </c>
      <c r="C245" s="32">
        <v>0.85335648148148147</v>
      </c>
      <c r="D245" s="33" t="s">
        <v>292</v>
      </c>
      <c r="E245" s="34">
        <v>5214521828702</v>
      </c>
      <c r="F245" s="33"/>
      <c r="G245" s="33" t="s">
        <v>293</v>
      </c>
      <c r="H245" s="35"/>
      <c r="I245" s="33"/>
      <c r="J245" s="36"/>
      <c r="K245" t="s">
        <v>38</v>
      </c>
      <c r="L245" s="3">
        <v>9081.52</v>
      </c>
      <c r="M245" s="3">
        <f>2627.5-848</f>
        <v>1779.5</v>
      </c>
      <c r="N245" s="3">
        <f>L245*0.3</f>
        <v>2724.4560000000001</v>
      </c>
      <c r="O245" s="3">
        <f>(IF(L245&lt;4172.98,0,MIN(L245*0.3,L245-4172.98)))-M245</f>
        <v>944.95600000000013</v>
      </c>
      <c r="P245" s="6">
        <v>46600</v>
      </c>
      <c r="Q245" t="s">
        <v>47</v>
      </c>
      <c r="S245" s="3" t="s">
        <v>266</v>
      </c>
      <c r="T245" s="48">
        <v>46240</v>
      </c>
      <c r="Z245" s="181">
        <v>2</v>
      </c>
    </row>
    <row r="246" spans="1:26" hidden="1">
      <c r="A246" s="30">
        <v>23409446</v>
      </c>
      <c r="B246" s="31">
        <v>46239</v>
      </c>
      <c r="C246" s="32">
        <v>0.86277777777777775</v>
      </c>
      <c r="D246" s="33"/>
      <c r="E246" s="34">
        <v>5216699205228</v>
      </c>
      <c r="F246" s="33"/>
      <c r="G246" s="33" t="s">
        <v>294</v>
      </c>
      <c r="H246" s="35" t="s">
        <v>295</v>
      </c>
      <c r="I246" s="33"/>
      <c r="J246" s="36"/>
      <c r="K246" t="s">
        <v>30</v>
      </c>
      <c r="L246" s="3">
        <f>6938.37+2821.95</f>
        <v>9760.32</v>
      </c>
      <c r="M246" s="3">
        <v>2821.95</v>
      </c>
      <c r="N246" s="3">
        <f>L246*0.3</f>
        <v>2928.096</v>
      </c>
      <c r="O246" s="3">
        <f>(IF(L246&lt;4172.98,0,MIN(L246*0.3,L246-4172.98)))-M246</f>
        <v>106.14600000000019</v>
      </c>
      <c r="P246" s="6">
        <v>46569</v>
      </c>
      <c r="Q246" t="s">
        <v>75</v>
      </c>
      <c r="S246" s="3" t="s">
        <v>69</v>
      </c>
      <c r="Z246" s="181">
        <v>2</v>
      </c>
    </row>
    <row r="247" spans="1:26">
      <c r="A247" s="30">
        <v>23411696</v>
      </c>
      <c r="B247" s="31">
        <v>46239</v>
      </c>
      <c r="C247" s="32">
        <v>0.89533564814814814</v>
      </c>
      <c r="D247" s="33"/>
      <c r="E247" s="34">
        <v>5213221903101</v>
      </c>
      <c r="F247" s="33"/>
      <c r="G247" s="33" t="s">
        <v>296</v>
      </c>
      <c r="H247" s="35" t="s">
        <v>297</v>
      </c>
      <c r="I247" s="33"/>
      <c r="J247" s="36"/>
      <c r="K247" t="s">
        <v>54</v>
      </c>
      <c r="L247" s="3">
        <v>10636.54</v>
      </c>
      <c r="N247" s="3">
        <f>L247*0.3</f>
        <v>3190.962</v>
      </c>
      <c r="O247" s="3">
        <f>(IF(L247&lt;4172.98,0,MIN(L247*0.3,L247-4172.98)))-M247</f>
        <v>3190.962</v>
      </c>
      <c r="S247" s="3" t="s">
        <v>90</v>
      </c>
      <c r="T247" s="48">
        <v>46240</v>
      </c>
      <c r="Z247" s="181">
        <v>1</v>
      </c>
    </row>
    <row r="248" spans="1:26" hidden="1">
      <c r="A248" s="12">
        <v>23411960</v>
      </c>
      <c r="B248" s="13">
        <v>46239</v>
      </c>
      <c r="C248" s="14">
        <v>0.90528935185185189</v>
      </c>
      <c r="D248" s="15"/>
      <c r="E248" s="16">
        <v>5217444582285</v>
      </c>
      <c r="F248" s="15"/>
      <c r="G248" s="15" t="s">
        <v>298</v>
      </c>
      <c r="H248" s="17"/>
      <c r="I248" s="15"/>
      <c r="J248" s="18"/>
      <c r="K248" t="s">
        <v>32</v>
      </c>
      <c r="N248" s="3">
        <f>L248*0.3</f>
        <v>0</v>
      </c>
      <c r="O248" s="3">
        <f>(IF(L248&lt;4172.98,0,MIN(L248*0.3,L248-4172.98)))-M248</f>
        <v>0</v>
      </c>
      <c r="S248" s="3" t="s">
        <v>69</v>
      </c>
      <c r="Z248" s="181">
        <v>0</v>
      </c>
    </row>
    <row r="249" spans="1:26">
      <c r="A249" s="12">
        <v>23411914</v>
      </c>
      <c r="B249" s="13">
        <v>46239</v>
      </c>
      <c r="C249" s="14">
        <v>0.90340277777777778</v>
      </c>
      <c r="D249" s="15"/>
      <c r="E249" s="16">
        <v>5213320557234</v>
      </c>
      <c r="F249" s="15"/>
      <c r="G249" s="15"/>
      <c r="H249" s="17" t="s">
        <v>299</v>
      </c>
      <c r="I249" s="15"/>
      <c r="J249" s="18"/>
      <c r="K249" t="s">
        <v>34</v>
      </c>
      <c r="L249" s="3">
        <v>5055.82</v>
      </c>
      <c r="M249" s="3">
        <v>1237.2</v>
      </c>
      <c r="N249" s="3">
        <f>L249*0.3</f>
        <v>1516.7459999999999</v>
      </c>
      <c r="O249" s="3">
        <f>(IF(L249&lt;4172.98,0,MIN(L249*0.3,L249-4172.98)))-M249</f>
        <v>-354.3599999999999</v>
      </c>
      <c r="P249" s="6">
        <v>45778</v>
      </c>
      <c r="Q249" t="s">
        <v>141</v>
      </c>
      <c r="S249" s="3" t="s">
        <v>35</v>
      </c>
      <c r="T249" s="48">
        <v>46240</v>
      </c>
      <c r="Z249" s="181">
        <v>2</v>
      </c>
    </row>
    <row r="250" spans="1:26" hidden="1">
      <c r="A250" s="12">
        <v>23411924</v>
      </c>
      <c r="B250" s="13">
        <v>46239</v>
      </c>
      <c r="C250" s="14">
        <v>0.90510416666666671</v>
      </c>
      <c r="D250" s="15"/>
      <c r="E250" s="16">
        <v>5215567869566</v>
      </c>
      <c r="F250" s="15"/>
      <c r="G250" s="15"/>
      <c r="H250" s="17">
        <v>37936200692</v>
      </c>
      <c r="I250" s="15"/>
      <c r="J250" s="18"/>
      <c r="K250" t="s">
        <v>30</v>
      </c>
      <c r="L250" s="3">
        <f>5062.76+2053.97</f>
        <v>7116.73</v>
      </c>
      <c r="M250" s="3">
        <v>2053.9699999999998</v>
      </c>
      <c r="N250" s="3">
        <f>L250*0.3</f>
        <v>2135.0189999999998</v>
      </c>
      <c r="O250" s="3">
        <f>(IF(L250&lt;4172.98,0,MIN(L250*0.3,L250-4172.98)))-M250</f>
        <v>81.048999999999978</v>
      </c>
      <c r="P250" s="6">
        <v>46692</v>
      </c>
      <c r="Q250" t="s">
        <v>47</v>
      </c>
      <c r="S250" s="3" t="s">
        <v>69</v>
      </c>
      <c r="Z250" s="181">
        <v>2</v>
      </c>
    </row>
    <row r="251" spans="1:26">
      <c r="A251" s="30">
        <v>23412012</v>
      </c>
      <c r="B251" s="31">
        <v>46239</v>
      </c>
      <c r="C251" s="32">
        <v>0.91475694444444444</v>
      </c>
      <c r="D251" s="33"/>
      <c r="E251" s="34">
        <v>3329207797</v>
      </c>
      <c r="F251" s="33"/>
      <c r="G251" s="33" t="s">
        <v>300</v>
      </c>
      <c r="H251" s="35" t="s">
        <v>301</v>
      </c>
      <c r="I251" s="33"/>
      <c r="J251" s="36"/>
      <c r="K251" t="s">
        <v>38</v>
      </c>
      <c r="L251" s="3">
        <f>4297.8+338.63</f>
        <v>4636.43</v>
      </c>
      <c r="M251" s="3">
        <v>338.63</v>
      </c>
      <c r="N251" s="3">
        <f>L251*0.3</f>
        <v>1390.9290000000001</v>
      </c>
      <c r="O251" s="3">
        <f>(IF(L251&lt;4172.98,0,MIN(L251*0.3,L251-4172.98)))-M251</f>
        <v>124.82000000000073</v>
      </c>
      <c r="P251" s="6">
        <v>45261</v>
      </c>
      <c r="Q251" t="s">
        <v>302</v>
      </c>
      <c r="S251" s="3" t="s">
        <v>271</v>
      </c>
      <c r="T251" s="48">
        <v>46240</v>
      </c>
      <c r="Z251" s="181">
        <v>2</v>
      </c>
    </row>
    <row r="252" spans="1:26" hidden="1">
      <c r="A252" s="12">
        <v>23412110</v>
      </c>
      <c r="B252" s="13">
        <v>46239</v>
      </c>
      <c r="C252" s="14">
        <v>0.91934027777777783</v>
      </c>
      <c r="D252" s="15"/>
      <c r="E252" s="16">
        <v>5219513263082</v>
      </c>
      <c r="F252" s="15"/>
      <c r="G252" s="15" t="s">
        <v>303</v>
      </c>
      <c r="H252" s="17"/>
      <c r="I252" s="15"/>
      <c r="J252" s="18"/>
      <c r="K252" t="s">
        <v>32</v>
      </c>
      <c r="N252" s="3">
        <f>L252*0.3</f>
        <v>0</v>
      </c>
      <c r="O252" s="3">
        <f>(IF(L252&lt;4172.98,0,MIN(L252*0.3,L252-4172.98)))-M252</f>
        <v>0</v>
      </c>
      <c r="S252" s="3" t="s">
        <v>69</v>
      </c>
      <c r="Z252" s="181">
        <v>0</v>
      </c>
    </row>
    <row r="253" spans="1:26">
      <c r="A253" s="12">
        <v>23412546</v>
      </c>
      <c r="B253" s="13">
        <v>46239</v>
      </c>
      <c r="C253" s="14">
        <v>0.94512731481481482</v>
      </c>
      <c r="D253" s="15"/>
      <c r="E253" s="16">
        <v>0</v>
      </c>
      <c r="F253" s="15"/>
      <c r="G253" s="15"/>
      <c r="H253" s="17">
        <v>51786400047</v>
      </c>
      <c r="I253" s="15">
        <v>1</v>
      </c>
      <c r="J253" s="18"/>
      <c r="K253" t="s">
        <v>107</v>
      </c>
      <c r="L253" s="3">
        <f>6070.59+1580+889.3</f>
        <v>8539.89</v>
      </c>
      <c r="M253" s="3">
        <f>1580+889.3</f>
        <v>2469.3000000000002</v>
      </c>
      <c r="N253" s="3">
        <f>L253*0.3</f>
        <v>2561.9669999999996</v>
      </c>
      <c r="O253" s="3">
        <f>(IF(L253&lt;4172.98,0,MIN(L253*0.3,L253-4172.98)))-M253</f>
        <v>92.666999999999462</v>
      </c>
      <c r="P253" s="6">
        <v>45809</v>
      </c>
      <c r="Q253" t="s">
        <v>302</v>
      </c>
      <c r="S253" s="3" t="s">
        <v>271</v>
      </c>
      <c r="T253" s="48">
        <v>46240</v>
      </c>
      <c r="Z253" s="181">
        <v>2</v>
      </c>
    </row>
    <row r="254" spans="1:26" hidden="1">
      <c r="A254" s="12">
        <v>23413158</v>
      </c>
      <c r="B254" s="13">
        <v>46240</v>
      </c>
      <c r="C254" s="14">
        <v>2.7245370370370371E-2</v>
      </c>
      <c r="D254" s="15"/>
      <c r="E254" s="16">
        <v>5216443019523</v>
      </c>
      <c r="F254" s="15"/>
      <c r="G254" s="15" t="s">
        <v>304</v>
      </c>
      <c r="H254" s="17">
        <v>24927531202</v>
      </c>
      <c r="I254" s="15"/>
      <c r="J254" s="18"/>
      <c r="K254" t="s">
        <v>30</v>
      </c>
      <c r="L254" s="3">
        <v>20820.46</v>
      </c>
      <c r="M254" s="3">
        <v>6240.49</v>
      </c>
      <c r="N254" s="3">
        <f>L254*0.3</f>
        <v>6246.1379999999999</v>
      </c>
      <c r="O254" s="3">
        <f>(IF(L254&lt;4172.98,0,MIN(L254*0.3,L254-4172.98)))-M254</f>
        <v>5.6480000000001382</v>
      </c>
      <c r="P254" s="6">
        <v>46784</v>
      </c>
      <c r="Q254" t="s">
        <v>141</v>
      </c>
      <c r="S254" s="3" t="s">
        <v>69</v>
      </c>
      <c r="Z254" s="181">
        <v>2</v>
      </c>
    </row>
    <row r="255" spans="1:26">
      <c r="A255" s="12">
        <v>23413818</v>
      </c>
      <c r="B255" s="13">
        <v>46240</v>
      </c>
      <c r="C255" s="14">
        <v>0.11936342592592593</v>
      </c>
      <c r="D255" s="15"/>
      <c r="E255" s="16">
        <v>5216121118058</v>
      </c>
      <c r="F255" s="15"/>
      <c r="G255" s="15"/>
      <c r="H255" s="17">
        <v>22836403752</v>
      </c>
      <c r="I255" s="15"/>
      <c r="J255" s="18"/>
      <c r="K255" t="s">
        <v>54</v>
      </c>
      <c r="L255" s="3">
        <f>20308.32-10548</f>
        <v>9760.32</v>
      </c>
      <c r="M255" s="3">
        <v>848</v>
      </c>
      <c r="N255" s="3">
        <f>L255*0.3</f>
        <v>2928.096</v>
      </c>
      <c r="O255" s="3">
        <f>(IF(L255&lt;4172.98,0,MIN(L255*0.3,L255-4172.98)))-M255</f>
        <v>2080.096</v>
      </c>
      <c r="S255" s="3" t="s">
        <v>95</v>
      </c>
      <c r="T255" s="48">
        <v>46240</v>
      </c>
      <c r="Z255" s="181">
        <v>1</v>
      </c>
    </row>
    <row r="256" spans="1:26" hidden="1">
      <c r="A256" s="12">
        <v>23419262</v>
      </c>
      <c r="B256" s="13">
        <v>46240</v>
      </c>
      <c r="C256" s="14">
        <v>0.34251157407407407</v>
      </c>
      <c r="D256" s="15"/>
      <c r="E256" s="16">
        <v>5215638178769</v>
      </c>
      <c r="F256" s="15"/>
      <c r="G256" s="15"/>
      <c r="H256" s="17">
        <v>42806035095</v>
      </c>
      <c r="I256" s="15"/>
      <c r="J256" s="18"/>
      <c r="K256" t="s">
        <v>30</v>
      </c>
      <c r="L256" s="3">
        <v>23242.2</v>
      </c>
      <c r="M256" s="3">
        <v>6972.66</v>
      </c>
      <c r="N256" s="3">
        <f>L256*0.3</f>
        <v>6972.66</v>
      </c>
      <c r="O256" s="3">
        <f>(IF(L256&lt;4172.98,0,MIN(L256*0.3,L256-4172.98)))-M256</f>
        <v>0</v>
      </c>
      <c r="P256" s="6">
        <v>46631</v>
      </c>
      <c r="Q256" t="s">
        <v>75</v>
      </c>
      <c r="S256" s="3" t="s">
        <v>69</v>
      </c>
      <c r="Z256" s="181">
        <v>2</v>
      </c>
    </row>
    <row r="257" spans="1:26">
      <c r="A257" s="12">
        <v>23418786</v>
      </c>
      <c r="B257" s="13">
        <v>46240</v>
      </c>
      <c r="C257" s="14">
        <v>0.35333333333333333</v>
      </c>
      <c r="D257" s="15"/>
      <c r="E257" s="16">
        <v>6681068609</v>
      </c>
      <c r="F257" s="15"/>
      <c r="G257" s="15"/>
      <c r="H257" s="17">
        <v>23735402762</v>
      </c>
      <c r="I257" s="15"/>
      <c r="J257" s="18"/>
      <c r="K257" t="s">
        <v>38</v>
      </c>
      <c r="L257" s="3">
        <v>9891.0400000000009</v>
      </c>
      <c r="M257" s="3">
        <v>2301.7600000000002</v>
      </c>
      <c r="N257" s="3">
        <f>L257*0.3</f>
        <v>2967.3120000000004</v>
      </c>
      <c r="O257" s="3">
        <f>(IF(L257&lt;4172.98,0,MIN(L257*0.3,L257-4172.98)))-M257</f>
        <v>665.55200000000013</v>
      </c>
      <c r="P257" s="6">
        <v>46844</v>
      </c>
      <c r="Q257" t="s">
        <v>59</v>
      </c>
      <c r="S257" s="3" t="s">
        <v>266</v>
      </c>
      <c r="T257" s="48">
        <v>46240</v>
      </c>
      <c r="Z257" s="181">
        <v>2</v>
      </c>
    </row>
    <row r="258" spans="1:26" hidden="1">
      <c r="A258" s="12">
        <v>23420000</v>
      </c>
      <c r="B258" s="13">
        <v>46240</v>
      </c>
      <c r="C258" s="14">
        <v>0.3634027777777778</v>
      </c>
      <c r="D258" s="15"/>
      <c r="E258" s="16">
        <v>5215528006830</v>
      </c>
      <c r="F258" s="15"/>
      <c r="G258" s="15" t="s">
        <v>305</v>
      </c>
      <c r="H258" s="17"/>
      <c r="I258" s="15"/>
      <c r="J258" s="18"/>
      <c r="K258" t="s">
        <v>30</v>
      </c>
      <c r="L258" s="3">
        <f>20308.32-10548</f>
        <v>9760.32</v>
      </c>
      <c r="M258" s="3">
        <v>2923.81</v>
      </c>
      <c r="N258" s="3">
        <f>L258*0.3</f>
        <v>2928.096</v>
      </c>
      <c r="O258" s="3">
        <f>(IF(L258&lt;4172.98,0,MIN(L258*0.3,L258-4172.98)))-M258</f>
        <v>4.2860000000000582</v>
      </c>
      <c r="P258" s="6">
        <v>46966</v>
      </c>
      <c r="Q258" t="s">
        <v>57</v>
      </c>
      <c r="S258" s="3" t="s">
        <v>69</v>
      </c>
      <c r="Z258" s="181">
        <v>2</v>
      </c>
    </row>
    <row r="259" spans="1:26" hidden="1">
      <c r="A259" s="30">
        <v>23420498</v>
      </c>
      <c r="B259" s="31">
        <v>46240</v>
      </c>
      <c r="C259" s="32">
        <v>0.37805555555555553</v>
      </c>
      <c r="D259" s="33" t="s">
        <v>306</v>
      </c>
      <c r="E259" s="34">
        <v>9841184495</v>
      </c>
      <c r="F259" s="33"/>
      <c r="G259" s="33"/>
      <c r="H259" s="35">
        <v>83967618287</v>
      </c>
      <c r="I259" s="33"/>
      <c r="J259" s="36"/>
      <c r="K259" t="s">
        <v>58</v>
      </c>
      <c r="L259" s="3">
        <v>4172.99</v>
      </c>
      <c r="N259" s="3">
        <f>L259*0.3</f>
        <v>1251.8969999999999</v>
      </c>
      <c r="O259" s="3">
        <f>(IF(L259&lt;4172.98,0,MIN(L259*0.3,L259-4172.98)))-M259</f>
        <v>1.0000000000218279E-2</v>
      </c>
      <c r="S259" s="3" t="s">
        <v>69</v>
      </c>
      <c r="Z259" s="181">
        <v>1</v>
      </c>
    </row>
    <row r="260" spans="1:26" hidden="1">
      <c r="A260" s="30">
        <v>23421576</v>
      </c>
      <c r="B260" s="31">
        <v>46240</v>
      </c>
      <c r="C260" s="32">
        <v>0.40189814814814817</v>
      </c>
      <c r="D260" s="33" t="s">
        <v>307</v>
      </c>
      <c r="E260" s="34">
        <v>5216461231793</v>
      </c>
      <c r="F260" s="33"/>
      <c r="G260" s="33" t="s">
        <v>308</v>
      </c>
      <c r="H260" s="35"/>
      <c r="I260" s="33"/>
      <c r="J260" s="36"/>
      <c r="K260" t="s">
        <v>189</v>
      </c>
      <c r="N260" s="3">
        <f>L260*0.3</f>
        <v>0</v>
      </c>
      <c r="O260" s="3">
        <f>(IF(L260&lt;4172.98,0,MIN(L260*0.3,L260-4172.98)))-M260</f>
        <v>0</v>
      </c>
      <c r="S260" s="3" t="s">
        <v>69</v>
      </c>
      <c r="Z260" s="181">
        <v>1</v>
      </c>
    </row>
    <row r="261" spans="1:26">
      <c r="A261" s="12">
        <v>23421662</v>
      </c>
      <c r="B261" s="13">
        <v>46240</v>
      </c>
      <c r="C261" s="14">
        <v>0.40728009259259257</v>
      </c>
      <c r="D261" s="15"/>
      <c r="E261" s="16">
        <v>5217712408876</v>
      </c>
      <c r="F261" s="15"/>
      <c r="G261" s="15" t="s">
        <v>309</v>
      </c>
      <c r="H261" s="17"/>
      <c r="I261" s="15"/>
      <c r="J261" s="18"/>
      <c r="K261" t="s">
        <v>54</v>
      </c>
      <c r="L261" s="3">
        <f>38155.48+879</f>
        <v>39034.480000000003</v>
      </c>
      <c r="M261" s="3">
        <v>879</v>
      </c>
      <c r="N261" s="3">
        <f>L261*0.3</f>
        <v>11710.344000000001</v>
      </c>
      <c r="O261" s="3">
        <f>(IF(L261&lt;4172.98,0,MIN(L261*0.3,L261-4172.98)))-M261</f>
        <v>10831.344000000001</v>
      </c>
      <c r="S261" s="3" t="s">
        <v>98</v>
      </c>
      <c r="T261" s="48">
        <v>46240</v>
      </c>
      <c r="Z261" s="181">
        <v>1</v>
      </c>
    </row>
    <row r="262" spans="1:26" hidden="1">
      <c r="A262" s="30">
        <v>23421852</v>
      </c>
      <c r="B262" s="31">
        <v>46240</v>
      </c>
      <c r="C262" s="32">
        <v>0.40836805555555555</v>
      </c>
      <c r="D262" s="33" t="s">
        <v>310</v>
      </c>
      <c r="E262" s="34">
        <v>5216442465963</v>
      </c>
      <c r="F262" s="33"/>
      <c r="G262" s="33" t="s">
        <v>311</v>
      </c>
      <c r="H262" s="35"/>
      <c r="I262" s="33"/>
      <c r="J262" s="36"/>
      <c r="K262" t="s">
        <v>30</v>
      </c>
      <c r="L262" s="3">
        <v>11029.03</v>
      </c>
      <c r="M262" s="3">
        <v>3308.04</v>
      </c>
      <c r="N262" s="3">
        <f>L262*0.3</f>
        <v>3308.7090000000003</v>
      </c>
      <c r="O262" s="3">
        <f>(IF(L262&lt;4172.98,0,MIN(L262*0.3,L262-4172.98)))-M262</f>
        <v>0.66900000000032378</v>
      </c>
      <c r="P262" s="6">
        <v>46844</v>
      </c>
      <c r="Q262" t="s">
        <v>206</v>
      </c>
      <c r="S262" s="3" t="s">
        <v>69</v>
      </c>
      <c r="Z262" s="181">
        <v>2</v>
      </c>
    </row>
    <row r="263" spans="1:26">
      <c r="A263" s="12">
        <v>23422306</v>
      </c>
      <c r="B263" s="13">
        <v>46240</v>
      </c>
      <c r="C263" s="14">
        <v>0.41935185185185186</v>
      </c>
      <c r="D263" s="15"/>
      <c r="E263" s="16">
        <v>5215533145145</v>
      </c>
      <c r="F263" s="15"/>
      <c r="G263" s="15" t="s">
        <v>312</v>
      </c>
      <c r="H263" s="17"/>
      <c r="I263" s="15"/>
      <c r="J263" s="18"/>
      <c r="K263" t="s">
        <v>54</v>
      </c>
      <c r="L263" s="3">
        <v>38515.160000000003</v>
      </c>
      <c r="M263" s="3">
        <v>9809.51</v>
      </c>
      <c r="N263" s="3">
        <f>L263*0.3</f>
        <v>11554.548000000001</v>
      </c>
      <c r="O263" s="3">
        <f>(IF(L263&lt;4172.98,0,MIN(L263*0.3,L263-4172.98)))-M263</f>
        <v>1745.0380000000005</v>
      </c>
      <c r="P263" s="6">
        <v>46266</v>
      </c>
      <c r="Q263" t="s">
        <v>75</v>
      </c>
      <c r="S263" s="3" t="s">
        <v>55</v>
      </c>
      <c r="T263" s="48">
        <v>46240</v>
      </c>
      <c r="Z263" s="181">
        <v>2</v>
      </c>
    </row>
    <row r="264" spans="1:26" hidden="1">
      <c r="A264" s="30">
        <v>23422316</v>
      </c>
      <c r="B264" s="31">
        <v>46240</v>
      </c>
      <c r="C264" s="32">
        <v>0.41983796296296294</v>
      </c>
      <c r="D264" s="33"/>
      <c r="E264" s="34">
        <v>0</v>
      </c>
      <c r="F264" s="33"/>
      <c r="G264" s="33"/>
      <c r="H264" s="35">
        <v>72925002056</v>
      </c>
      <c r="I264" s="33"/>
      <c r="J264" s="36"/>
      <c r="K264" t="s">
        <v>58</v>
      </c>
      <c r="L264" s="3">
        <v>3952.35</v>
      </c>
      <c r="N264" s="3">
        <f>L264*0.3</f>
        <v>1185.7049999999999</v>
      </c>
      <c r="O264" s="3">
        <f>(IF(L264&lt;4172.98,0,MIN(L264*0.3,L264-4172.98)))-M264</f>
        <v>0</v>
      </c>
      <c r="S264" s="3" t="s">
        <v>69</v>
      </c>
      <c r="Z264" s="181">
        <v>1</v>
      </c>
    </row>
    <row r="265" spans="1:26" hidden="1">
      <c r="A265" s="12">
        <v>23423158</v>
      </c>
      <c r="B265" s="13">
        <v>46240</v>
      </c>
      <c r="C265" s="14">
        <v>0.45135416666666667</v>
      </c>
      <c r="D265" s="15"/>
      <c r="E265" s="16">
        <v>5219993313889</v>
      </c>
      <c r="F265" s="15"/>
      <c r="G265" s="15" t="s">
        <v>313</v>
      </c>
      <c r="H265" s="17"/>
      <c r="I265" s="15"/>
      <c r="J265" s="18"/>
      <c r="K265" t="s">
        <v>32</v>
      </c>
      <c r="N265" s="3">
        <f t="shared" ref="N265:N266" si="18">L265*0.3</f>
        <v>0</v>
      </c>
      <c r="O265" s="3">
        <f>(IF(L265&lt;4172.98,0,MIN(L265*0.3,L265-4172.98)))-M265</f>
        <v>0</v>
      </c>
      <c r="S265" s="3" t="s">
        <v>69</v>
      </c>
      <c r="Z265" s="181">
        <v>0</v>
      </c>
    </row>
    <row r="266" spans="1:26" hidden="1">
      <c r="A266" s="30">
        <v>23423644</v>
      </c>
      <c r="B266" s="31">
        <v>46240</v>
      </c>
      <c r="C266" s="32">
        <v>0.46004629629629629</v>
      </c>
      <c r="D266" s="33"/>
      <c r="E266" s="34">
        <v>5219988602193</v>
      </c>
      <c r="F266" s="33"/>
      <c r="G266" s="33" t="s">
        <v>314</v>
      </c>
      <c r="H266" s="35"/>
      <c r="I266" s="33"/>
      <c r="J266" s="36"/>
      <c r="K266" t="s">
        <v>32</v>
      </c>
      <c r="N266" s="3">
        <f t="shared" si="18"/>
        <v>0</v>
      </c>
      <c r="O266" s="3">
        <f>(IF(L266&lt;4172.98,0,MIN(L266*0.3,L266-4172.98)))-M266</f>
        <v>0</v>
      </c>
      <c r="S266" s="3" t="s">
        <v>69</v>
      </c>
      <c r="Z266" s="181">
        <v>0</v>
      </c>
    </row>
    <row r="267" spans="1:26" hidden="1">
      <c r="A267" s="30">
        <v>23424150</v>
      </c>
      <c r="B267" s="31">
        <v>46240</v>
      </c>
      <c r="C267" s="32">
        <v>0.47030092592592593</v>
      </c>
      <c r="D267" s="33"/>
      <c r="E267" s="34">
        <v>5545833843</v>
      </c>
      <c r="F267" s="33"/>
      <c r="G267" s="33" t="s">
        <v>315</v>
      </c>
      <c r="H267" s="35"/>
      <c r="I267" s="33"/>
      <c r="J267" s="36"/>
      <c r="K267" t="s">
        <v>30</v>
      </c>
      <c r="L267" s="3">
        <v>19483.68</v>
      </c>
      <c r="M267" s="3">
        <v>5828.63</v>
      </c>
      <c r="N267" s="3">
        <f>L267*0.3</f>
        <v>5845.1040000000003</v>
      </c>
      <c r="O267" s="3">
        <f>(IF(L267&lt;4172.98,0,MIN(L267*0.3,L267-4172.98)))-M267</f>
        <v>16.47400000000016</v>
      </c>
      <c r="P267" s="6">
        <v>46478</v>
      </c>
      <c r="Q267" t="s">
        <v>59</v>
      </c>
      <c r="S267" s="3" t="s">
        <v>69</v>
      </c>
      <c r="Z267" s="181">
        <v>2</v>
      </c>
    </row>
    <row r="268" spans="1:26" hidden="1">
      <c r="A268" s="30">
        <v>23409484</v>
      </c>
      <c r="B268" s="31">
        <v>46240</v>
      </c>
      <c r="C268" s="32">
        <v>0.50261574074074078</v>
      </c>
      <c r="D268" s="33" t="s">
        <v>316</v>
      </c>
      <c r="E268" s="34">
        <v>5218119075701</v>
      </c>
      <c r="F268" s="33"/>
      <c r="G268" s="33"/>
      <c r="H268" s="35">
        <v>43765921549</v>
      </c>
      <c r="I268" s="33"/>
      <c r="J268" s="36"/>
      <c r="K268" t="s">
        <v>58</v>
      </c>
      <c r="L268" s="3">
        <v>3482.44</v>
      </c>
      <c r="M268" s="3">
        <v>879</v>
      </c>
      <c r="N268" s="3">
        <f>L268*0.3</f>
        <v>1044.732</v>
      </c>
      <c r="O268" s="3">
        <f>(IF(L268&lt;4172.98,0,MIN(L268*0.3,L268-4172.98)))-M268</f>
        <v>-879</v>
      </c>
      <c r="S268" s="53" t="s">
        <v>69</v>
      </c>
      <c r="Z268" s="181">
        <v>1</v>
      </c>
    </row>
    <row r="269" spans="1:26" hidden="1">
      <c r="A269" s="30">
        <v>23425078</v>
      </c>
      <c r="B269" s="31">
        <v>46240</v>
      </c>
      <c r="C269" s="32">
        <v>0.49898148148148147</v>
      </c>
      <c r="D269" s="33"/>
      <c r="E269" s="34">
        <v>5216181108947</v>
      </c>
      <c r="F269" s="33"/>
      <c r="G269" s="33" t="s">
        <v>317</v>
      </c>
      <c r="H269" s="35">
        <v>31856819011</v>
      </c>
      <c r="I269" s="33"/>
      <c r="J269" s="36"/>
      <c r="K269" t="s">
        <v>30</v>
      </c>
      <c r="L269" s="3">
        <v>8181.55</v>
      </c>
      <c r="M269" s="3">
        <v>2367.12</v>
      </c>
      <c r="N269" s="3">
        <f>L269*0.3</f>
        <v>2454.4650000000001</v>
      </c>
      <c r="O269" s="3">
        <f>(IF(L269&lt;4172.98,0,MIN(L269*0.3,L269-4172.98)))-M269</f>
        <v>87.345000000000255</v>
      </c>
      <c r="P269" s="6">
        <v>46478</v>
      </c>
      <c r="Q269" t="s">
        <v>206</v>
      </c>
      <c r="S269" s="3" t="s">
        <v>69</v>
      </c>
      <c r="Z269" s="181">
        <v>2</v>
      </c>
    </row>
    <row r="270" spans="1:26" hidden="1">
      <c r="A270" s="30">
        <v>23425182</v>
      </c>
      <c r="B270" s="31">
        <v>46240</v>
      </c>
      <c r="C270" s="32">
        <v>0.51087962962962963</v>
      </c>
      <c r="D270" s="33"/>
      <c r="E270" s="34">
        <v>5217711789608</v>
      </c>
      <c r="F270" s="33"/>
      <c r="G270" s="33" t="s">
        <v>318</v>
      </c>
      <c r="H270" s="35"/>
      <c r="I270" s="33"/>
      <c r="J270" s="36"/>
      <c r="K270" t="s">
        <v>32</v>
      </c>
      <c r="N270" s="3">
        <f>L270*0.3</f>
        <v>0</v>
      </c>
      <c r="O270" s="3">
        <f>(IF(L270&lt;4172.98,0,MIN(L270*0.3,L270-4172.98)))-M270</f>
        <v>0</v>
      </c>
      <c r="S270" s="3" t="s">
        <v>69</v>
      </c>
      <c r="Z270" s="181">
        <v>0</v>
      </c>
    </row>
    <row r="271" spans="1:26">
      <c r="A271" s="30">
        <v>23425438</v>
      </c>
      <c r="B271" s="31">
        <v>46240</v>
      </c>
      <c r="C271" s="32">
        <v>0.51282407407407404</v>
      </c>
      <c r="D271" s="33"/>
      <c r="E271" s="34">
        <v>5213511280040</v>
      </c>
      <c r="F271" s="33"/>
      <c r="G271" s="33" t="s">
        <v>319</v>
      </c>
      <c r="H271" s="35"/>
      <c r="I271" s="33"/>
      <c r="J271" s="36"/>
      <c r="K271" t="s">
        <v>54</v>
      </c>
      <c r="L271" s="3">
        <f>6268.73+848</f>
        <v>7116.73</v>
      </c>
      <c r="M271" s="3">
        <v>848</v>
      </c>
      <c r="N271" s="3">
        <f>L271*0.3</f>
        <v>2135.0189999999998</v>
      </c>
      <c r="O271" s="3">
        <f>(IF(L271&lt;4172.98,0,MIN(L271*0.3,L271-4172.98)))-M271</f>
        <v>1287.0189999999998</v>
      </c>
      <c r="S271" s="3" t="s">
        <v>62</v>
      </c>
      <c r="T271" s="48">
        <v>46240</v>
      </c>
      <c r="Z271" s="181">
        <v>1</v>
      </c>
    </row>
    <row r="272" spans="1:26" hidden="1">
      <c r="A272" s="30">
        <v>23426290</v>
      </c>
      <c r="B272" s="31">
        <v>46240</v>
      </c>
      <c r="C272" s="32">
        <v>0.5328356481481481</v>
      </c>
      <c r="D272" s="33"/>
      <c r="E272" s="34">
        <v>5213326666536</v>
      </c>
      <c r="F272" s="33"/>
      <c r="G272" s="33" t="s">
        <v>320</v>
      </c>
      <c r="H272" s="35" t="s">
        <v>321</v>
      </c>
      <c r="I272" s="33"/>
      <c r="J272" s="36"/>
      <c r="K272" t="s">
        <v>30</v>
      </c>
      <c r="L272" s="3">
        <v>15276.7</v>
      </c>
      <c r="M272" s="3">
        <v>4405.6099999999997</v>
      </c>
      <c r="N272" s="3">
        <f>L272*0.3</f>
        <v>4583.01</v>
      </c>
      <c r="O272" s="3">
        <f>(IF(L272&lt;4172.98,0,MIN(L272*0.3,L272-4172.98)))-M272</f>
        <v>177.40000000000055</v>
      </c>
      <c r="P272" s="6">
        <v>46266</v>
      </c>
      <c r="Q272" t="s">
        <v>166</v>
      </c>
      <c r="S272" s="3" t="s">
        <v>69</v>
      </c>
      <c r="Z272" s="181">
        <v>2</v>
      </c>
    </row>
    <row r="273" spans="1:26" hidden="1">
      <c r="A273" s="30">
        <v>23423512</v>
      </c>
      <c r="B273" s="31">
        <v>46240</v>
      </c>
      <c r="C273" s="32">
        <v>0.54396990740740736</v>
      </c>
      <c r="D273" s="33" t="s">
        <v>322</v>
      </c>
      <c r="E273" s="34">
        <v>5212711273595</v>
      </c>
      <c r="F273" s="33"/>
      <c r="G273" s="33"/>
      <c r="H273" s="35" t="s">
        <v>323</v>
      </c>
      <c r="I273" s="33"/>
      <c r="J273" s="36"/>
      <c r="K273" t="s">
        <v>30</v>
      </c>
      <c r="L273" s="3">
        <v>7363.38</v>
      </c>
      <c r="M273" s="3">
        <v>2197.15</v>
      </c>
      <c r="N273" s="3">
        <f>L273*0.3</f>
        <v>2209.0140000000001</v>
      </c>
      <c r="O273" s="3">
        <f>(IF(L273&lt;4172.98,0,MIN(L273*0.3,L273-4172.98)))-M273</f>
        <v>11.864000000000033</v>
      </c>
      <c r="P273" s="6">
        <v>46935</v>
      </c>
      <c r="Q273" t="s">
        <v>43</v>
      </c>
      <c r="S273" s="53" t="s">
        <v>69</v>
      </c>
      <c r="Z273" s="181">
        <v>2</v>
      </c>
    </row>
    <row r="274" spans="1:26" hidden="1">
      <c r="A274" s="12">
        <v>23428286</v>
      </c>
      <c r="B274" s="13">
        <v>46240</v>
      </c>
      <c r="C274" s="14">
        <v>0.58789351851851857</v>
      </c>
      <c r="D274" s="15"/>
      <c r="E274" s="16">
        <v>5212212723601</v>
      </c>
      <c r="F274" s="15"/>
      <c r="G274" s="15" t="s">
        <v>324</v>
      </c>
      <c r="H274" s="17" t="s">
        <v>325</v>
      </c>
      <c r="I274" s="15"/>
      <c r="J274" s="18"/>
      <c r="K274" t="s">
        <v>58</v>
      </c>
      <c r="L274" s="3">
        <v>3632.17</v>
      </c>
      <c r="M274" s="3">
        <v>879</v>
      </c>
      <c r="N274" s="3">
        <f>L274*0.3</f>
        <v>1089.6510000000001</v>
      </c>
      <c r="O274" s="3">
        <f>(IF(L274&lt;4172.98,0,MIN(L274*0.3,L274-4172.98)))-M274</f>
        <v>-879</v>
      </c>
      <c r="S274" s="3" t="s">
        <v>69</v>
      </c>
      <c r="Z274" s="181">
        <v>1</v>
      </c>
    </row>
    <row r="275" spans="1:26" hidden="1">
      <c r="A275" s="30">
        <v>23427892</v>
      </c>
      <c r="B275" s="31">
        <v>46240</v>
      </c>
      <c r="C275" s="32">
        <v>0.58833333333333337</v>
      </c>
      <c r="D275" s="33"/>
      <c r="E275" s="34">
        <v>6568153205</v>
      </c>
      <c r="F275" s="33"/>
      <c r="G275" s="33"/>
      <c r="H275" s="35">
        <v>33826507593</v>
      </c>
      <c r="I275" s="33"/>
      <c r="J275" s="36"/>
      <c r="K275" t="s">
        <v>30</v>
      </c>
      <c r="L275" s="3">
        <v>9760.32</v>
      </c>
      <c r="M275" s="3">
        <v>2823.89</v>
      </c>
      <c r="N275" s="3">
        <f>L275*0.3</f>
        <v>2928.096</v>
      </c>
      <c r="O275" s="3">
        <f>(IF(L275&lt;4172.98,0,MIN(L275*0.3,L275-4172.98)))-M275</f>
        <v>104.20600000000013</v>
      </c>
      <c r="P275" s="6">
        <v>46692</v>
      </c>
      <c r="Q275" t="s">
        <v>206</v>
      </c>
      <c r="S275" s="3" t="s">
        <v>69</v>
      </c>
      <c r="Z275" s="181">
        <v>2</v>
      </c>
    </row>
    <row r="276" spans="1:26" hidden="1">
      <c r="A276" s="30">
        <v>23428458</v>
      </c>
      <c r="B276" s="31">
        <v>46240</v>
      </c>
      <c r="C276" s="32">
        <v>0.59233796296296293</v>
      </c>
      <c r="D276" s="33"/>
      <c r="E276" s="34">
        <v>5212294497377</v>
      </c>
      <c r="F276" s="33"/>
      <c r="G276" s="33" t="s">
        <v>326</v>
      </c>
      <c r="H276" s="35"/>
      <c r="I276" s="33"/>
      <c r="J276" s="36"/>
      <c r="K276" t="s">
        <v>30</v>
      </c>
      <c r="L276" s="3">
        <f>5639.08+2281.43</f>
        <v>7920.51</v>
      </c>
      <c r="M276" s="3">
        <v>2281.4299999999998</v>
      </c>
      <c r="N276" s="3">
        <f>L276*0.3</f>
        <v>2376.1529999999998</v>
      </c>
      <c r="O276" s="3">
        <f>(IF(L276&lt;4172.98,0,MIN(L276*0.3,L276-4172.98)))-M276</f>
        <v>94.722999999999956</v>
      </c>
      <c r="P276" s="6">
        <v>46722</v>
      </c>
      <c r="Q276" t="s">
        <v>47</v>
      </c>
      <c r="S276" s="3" t="s">
        <v>69</v>
      </c>
      <c r="Z276" s="181">
        <v>2</v>
      </c>
    </row>
    <row r="277" spans="1:26">
      <c r="A277" s="12">
        <v>23428904</v>
      </c>
      <c r="B277" s="13">
        <v>46240</v>
      </c>
      <c r="C277" s="14">
        <v>0.60236111111111112</v>
      </c>
      <c r="D277" s="15"/>
      <c r="E277" s="16">
        <v>5218443901297</v>
      </c>
      <c r="F277" s="15"/>
      <c r="G277" s="15"/>
      <c r="H277" s="17">
        <v>43745645630</v>
      </c>
      <c r="I277" s="15"/>
      <c r="J277" s="18"/>
      <c r="K277" t="s">
        <v>27</v>
      </c>
      <c r="L277" s="3">
        <v>24663</v>
      </c>
      <c r="M277" s="3">
        <v>7395.65</v>
      </c>
      <c r="N277" s="3">
        <f>L277*0.3</f>
        <v>7398.9</v>
      </c>
      <c r="O277" s="3">
        <f>(IF(L277&lt;4172.98,0,MIN(L277*0.3,L277-4172.98)))-M277</f>
        <v>3.25</v>
      </c>
      <c r="P277" s="6">
        <v>46235</v>
      </c>
      <c r="Q277" t="s">
        <v>206</v>
      </c>
      <c r="S277" s="3" t="s">
        <v>63</v>
      </c>
      <c r="T277" s="48">
        <v>46240</v>
      </c>
      <c r="Z277" s="181">
        <v>2</v>
      </c>
    </row>
    <row r="278" spans="1:26">
      <c r="A278" s="30">
        <v>23428494</v>
      </c>
      <c r="B278" s="31">
        <v>46240</v>
      </c>
      <c r="C278" s="32">
        <v>0.60521990740740739</v>
      </c>
      <c r="D278" s="33"/>
      <c r="E278" s="34">
        <v>5213111584554</v>
      </c>
      <c r="F278" s="33"/>
      <c r="G278" s="33"/>
      <c r="H278" s="35">
        <v>55815903731</v>
      </c>
      <c r="I278" s="33"/>
      <c r="J278" s="36"/>
      <c r="K278" t="s">
        <v>107</v>
      </c>
      <c r="L278" s="3">
        <f>6547.66+107.72+1665.04+206.98+685.88</f>
        <v>9213.2799999999988</v>
      </c>
      <c r="M278" s="59">
        <f>107.72+1665.04+206.98+685.88</f>
        <v>2665.62</v>
      </c>
      <c r="N278" s="3">
        <f>L278*0.3</f>
        <v>2763.9839999999995</v>
      </c>
      <c r="O278" s="3">
        <f>(IF(L278&lt;4172.98,0,MIN(L278*0.3,L278-4172.98)))-M278</f>
        <v>98.363999999999578</v>
      </c>
      <c r="P278" s="6">
        <v>46235</v>
      </c>
      <c r="Q278" t="s">
        <v>59</v>
      </c>
      <c r="S278" s="3" t="s">
        <v>327</v>
      </c>
      <c r="T278" s="48">
        <v>46240</v>
      </c>
      <c r="Z278" s="181">
        <v>2</v>
      </c>
    </row>
    <row r="279" spans="1:26">
      <c r="A279" s="30">
        <v>23429158</v>
      </c>
      <c r="B279" s="31">
        <v>46240</v>
      </c>
      <c r="C279" s="32">
        <v>0.60875000000000001</v>
      </c>
      <c r="D279" s="33"/>
      <c r="E279" s="34">
        <v>6532078191</v>
      </c>
      <c r="F279" s="33"/>
      <c r="G279" s="33" t="s">
        <v>328</v>
      </c>
      <c r="H279" s="35"/>
      <c r="I279" s="33"/>
      <c r="J279" s="36"/>
      <c r="K279" t="s">
        <v>38</v>
      </c>
      <c r="L279" s="3">
        <f>5383.86+879</f>
        <v>6262.86</v>
      </c>
      <c r="M279" s="3">
        <v>879</v>
      </c>
      <c r="N279" s="3">
        <f>L279*0.3</f>
        <v>1878.8579999999997</v>
      </c>
      <c r="O279" s="3">
        <f>(IF(L279&lt;4172.98,0,MIN(L279*0.3,L279-4172.98)))-M279</f>
        <v>999.85799999999972</v>
      </c>
      <c r="S279" s="3" t="s">
        <v>271</v>
      </c>
      <c r="T279" s="48">
        <v>46240</v>
      </c>
      <c r="Z279" s="181">
        <v>1</v>
      </c>
    </row>
    <row r="280" spans="1:26">
      <c r="A280" s="30">
        <v>23429224</v>
      </c>
      <c r="B280" s="31">
        <v>46240</v>
      </c>
      <c r="C280" s="32">
        <v>0.61531250000000004</v>
      </c>
      <c r="D280" s="33" t="s">
        <v>329</v>
      </c>
      <c r="E280" s="34">
        <v>5214341127351</v>
      </c>
      <c r="F280" s="33"/>
      <c r="G280" s="33" t="s">
        <v>330</v>
      </c>
      <c r="H280" s="35">
        <v>53816411788</v>
      </c>
      <c r="I280" s="33"/>
      <c r="J280" s="36"/>
      <c r="K280" t="s">
        <v>54</v>
      </c>
      <c r="L280" s="3">
        <v>9760.32</v>
      </c>
      <c r="N280" s="3">
        <f>L280*0.3</f>
        <v>2928.096</v>
      </c>
      <c r="O280" s="3">
        <f>(IF(L280&lt;4172.98,0,MIN(L280*0.3,L280-4172.98)))-M280</f>
        <v>2928.096</v>
      </c>
      <c r="S280" s="3" t="s">
        <v>98</v>
      </c>
      <c r="T280" s="48">
        <v>46240</v>
      </c>
      <c r="Z280" s="181">
        <v>1</v>
      </c>
    </row>
    <row r="281" spans="1:26">
      <c r="A281" s="30">
        <v>23429532</v>
      </c>
      <c r="B281" s="31">
        <v>46240</v>
      </c>
      <c r="C281" s="32">
        <v>0.61937500000000001</v>
      </c>
      <c r="D281" s="33"/>
      <c r="E281" s="34">
        <v>5213333198824</v>
      </c>
      <c r="F281" s="33"/>
      <c r="G281" s="33"/>
      <c r="H281" s="35">
        <v>24956424923</v>
      </c>
      <c r="I281" s="33"/>
      <c r="J281" s="36"/>
      <c r="K281" t="s">
        <v>54</v>
      </c>
      <c r="L281" s="3">
        <v>9081.52</v>
      </c>
      <c r="M281" s="3">
        <v>1477.82</v>
      </c>
      <c r="N281" s="3">
        <f>L281*0.3</f>
        <v>2724.4560000000001</v>
      </c>
      <c r="O281" s="3">
        <f>(IF(L281&lt;4172.98,0,MIN(L281*0.3,L281-4172.98)))-M281</f>
        <v>1246.6360000000002</v>
      </c>
      <c r="P281" s="6">
        <v>46600</v>
      </c>
      <c r="Q281" t="s">
        <v>206</v>
      </c>
      <c r="S281" s="3" t="s">
        <v>28</v>
      </c>
      <c r="T281" s="48">
        <v>46240</v>
      </c>
      <c r="Z281" s="181">
        <v>2</v>
      </c>
    </row>
    <row r="282" spans="1:26">
      <c r="A282" s="12">
        <v>23429506</v>
      </c>
      <c r="B282" s="13">
        <v>46240</v>
      </c>
      <c r="C282" s="14">
        <v>0.6305439814814815</v>
      </c>
      <c r="D282" s="15"/>
      <c r="E282" s="16">
        <v>5214761411403</v>
      </c>
      <c r="F282" s="15"/>
      <c r="G282" s="15"/>
      <c r="H282" s="17" t="s">
        <v>331</v>
      </c>
      <c r="I282" s="15"/>
      <c r="J282" s="18"/>
      <c r="K282" t="s">
        <v>27</v>
      </c>
      <c r="L282" s="3">
        <v>25640.77</v>
      </c>
      <c r="M282" s="3">
        <v>7110.5</v>
      </c>
      <c r="N282" s="3">
        <f>L282*0.3</f>
        <v>7692.2309999999998</v>
      </c>
      <c r="O282" s="3">
        <f>(IF(L282&lt;4172.98,0,MIN(L282*0.3,L282-4172.98)))-M282</f>
        <v>581.73099999999977</v>
      </c>
      <c r="P282" s="6">
        <v>45809</v>
      </c>
      <c r="Q282" t="s">
        <v>166</v>
      </c>
      <c r="S282" s="3" t="s">
        <v>95</v>
      </c>
      <c r="T282" s="48">
        <v>46240</v>
      </c>
      <c r="Z282" s="181">
        <v>2</v>
      </c>
    </row>
    <row r="283" spans="1:26" hidden="1">
      <c r="A283" s="30">
        <v>23429514</v>
      </c>
      <c r="B283" s="31">
        <v>46240</v>
      </c>
      <c r="C283" s="32">
        <v>0.63109953703703703</v>
      </c>
      <c r="D283" s="33"/>
      <c r="E283" s="34"/>
      <c r="F283" s="33"/>
      <c r="G283" s="33"/>
      <c r="H283" s="35">
        <v>23796214635</v>
      </c>
      <c r="I283" s="33"/>
      <c r="J283" s="36"/>
      <c r="K283" t="s">
        <v>58</v>
      </c>
      <c r="L283" s="3">
        <v>4379.26</v>
      </c>
      <c r="N283" s="3">
        <f>L283*0.3</f>
        <v>1313.778</v>
      </c>
      <c r="O283" s="3">
        <f>(IF(L283&lt;4172.98,0,MIN(L283*0.3,L283-4172.98)))-M283</f>
        <v>206.28000000000065</v>
      </c>
      <c r="S283" s="3" t="s">
        <v>69</v>
      </c>
      <c r="Z283" s="181">
        <v>1</v>
      </c>
    </row>
    <row r="284" spans="1:26" hidden="1">
      <c r="A284" s="30">
        <v>23430058</v>
      </c>
      <c r="B284" s="31">
        <v>46240</v>
      </c>
      <c r="C284" s="32">
        <v>0.63814814814814813</v>
      </c>
      <c r="D284" s="33"/>
      <c r="E284" s="34">
        <v>5213339023908</v>
      </c>
      <c r="F284" s="33"/>
      <c r="G284" s="33"/>
      <c r="H284" s="35">
        <v>54806329980</v>
      </c>
      <c r="I284" s="33"/>
      <c r="J284" s="36"/>
      <c r="K284" t="s">
        <v>30</v>
      </c>
      <c r="L284" s="3">
        <v>10171.24</v>
      </c>
      <c r="M284" s="3">
        <v>3050.91</v>
      </c>
      <c r="N284" s="3">
        <f>L284*0.3</f>
        <v>3051.3719999999998</v>
      </c>
      <c r="O284" s="3">
        <f>(IF(L284&lt;4172.98,0,MIN(L284*0.3,L284-4172.98)))-M284</f>
        <v>0.46199999999998909</v>
      </c>
      <c r="P284" s="6">
        <v>46661</v>
      </c>
      <c r="Q284" t="s">
        <v>57</v>
      </c>
      <c r="S284" s="3" t="s">
        <v>69</v>
      </c>
      <c r="Z284" s="181">
        <v>2</v>
      </c>
    </row>
    <row r="285" spans="1:26" hidden="1">
      <c r="A285" s="30">
        <v>23430428</v>
      </c>
      <c r="B285" s="31">
        <v>46240</v>
      </c>
      <c r="C285" s="32">
        <v>0.64717592592592588</v>
      </c>
      <c r="D285" s="33"/>
      <c r="E285" s="34">
        <v>0</v>
      </c>
      <c r="F285" s="33"/>
      <c r="G285" s="33"/>
      <c r="H285" s="35">
        <v>33904806800</v>
      </c>
      <c r="I285" s="33"/>
      <c r="J285" s="36"/>
      <c r="K285" t="s">
        <v>30</v>
      </c>
      <c r="L285" s="3">
        <v>4554.84</v>
      </c>
      <c r="M285" s="3">
        <v>770.72</v>
      </c>
      <c r="N285" s="3">
        <f>L285*0.3</f>
        <v>1366.452</v>
      </c>
      <c r="O285" s="3">
        <f>(IF(L285&lt;4172.98,0,MIN(L285*0.3,L285-4172.98)))-M285</f>
        <v>-388.85999999999945</v>
      </c>
      <c r="P285" s="6">
        <v>46478</v>
      </c>
      <c r="Q285" t="s">
        <v>332</v>
      </c>
      <c r="S285" s="3" t="s">
        <v>69</v>
      </c>
      <c r="Z285" s="181">
        <v>2</v>
      </c>
    </row>
    <row r="286" spans="1:26" hidden="1">
      <c r="A286" s="30">
        <v>23430862</v>
      </c>
      <c r="B286" s="31">
        <v>46240</v>
      </c>
      <c r="C286" s="32">
        <v>0.66144675925925922</v>
      </c>
      <c r="D286" s="33"/>
      <c r="E286" s="34">
        <v>0</v>
      </c>
      <c r="F286" s="33"/>
      <c r="G286" s="33"/>
      <c r="H286" s="35" t="s">
        <v>333</v>
      </c>
      <c r="I286" s="33"/>
      <c r="J286" s="36"/>
      <c r="K286" t="s">
        <v>30</v>
      </c>
      <c r="L286" s="3">
        <v>6262.86</v>
      </c>
      <c r="M286" s="3">
        <v>1874.71</v>
      </c>
      <c r="N286" s="3">
        <f>L286*0.3</f>
        <v>1878.8579999999997</v>
      </c>
      <c r="O286" s="3">
        <f>(IF(L286&lt;4172.98,0,MIN(L286*0.3,L286-4172.98)))-M286</f>
        <v>4.1479999999996835</v>
      </c>
      <c r="P286" s="6">
        <v>46753</v>
      </c>
      <c r="Q286" t="s">
        <v>334</v>
      </c>
      <c r="S286" s="3" t="s">
        <v>69</v>
      </c>
      <c r="Z286" s="181">
        <v>2</v>
      </c>
    </row>
    <row r="287" spans="1:26" hidden="1">
      <c r="A287" s="30">
        <v>23431132</v>
      </c>
      <c r="B287" s="31">
        <v>46240</v>
      </c>
      <c r="C287" s="32">
        <v>0.67795138888888884</v>
      </c>
      <c r="D287" s="33"/>
      <c r="E287" s="34">
        <v>5218333315901</v>
      </c>
      <c r="F287" s="33"/>
      <c r="G287" s="33"/>
      <c r="H287" s="35" t="s">
        <v>335</v>
      </c>
      <c r="I287" s="33"/>
      <c r="J287" s="36"/>
      <c r="K287" t="s">
        <v>30</v>
      </c>
      <c r="L287" s="3">
        <v>9760.32</v>
      </c>
      <c r="M287" s="3">
        <v>2823.5</v>
      </c>
      <c r="N287" s="3">
        <f>L287*0.3</f>
        <v>2928.096</v>
      </c>
      <c r="O287" s="3">
        <f>(IF(L287&lt;4172.98,0,MIN(L287*0.3,L287-4172.98)))-M287</f>
        <v>104.596</v>
      </c>
      <c r="P287" s="6">
        <v>46631</v>
      </c>
      <c r="Q287" t="s">
        <v>73</v>
      </c>
      <c r="S287" s="3" t="s">
        <v>69</v>
      </c>
      <c r="Z287" s="181">
        <v>2</v>
      </c>
    </row>
    <row r="288" spans="1:26">
      <c r="A288" s="30">
        <v>23431992</v>
      </c>
      <c r="B288" s="31">
        <v>46240</v>
      </c>
      <c r="C288" s="32">
        <v>0.6967592592592593</v>
      </c>
      <c r="D288" s="33"/>
      <c r="E288" s="34">
        <v>5218184991487</v>
      </c>
      <c r="F288" s="33"/>
      <c r="G288" s="33"/>
      <c r="H288" s="35" t="s">
        <v>336</v>
      </c>
      <c r="I288" s="33"/>
      <c r="J288" s="36"/>
      <c r="K288" t="s">
        <v>27</v>
      </c>
      <c r="L288" s="3">
        <v>10974.52</v>
      </c>
      <c r="M288" s="3">
        <v>3044.01</v>
      </c>
      <c r="N288" s="3">
        <f>L288*0.3</f>
        <v>3292.3560000000002</v>
      </c>
      <c r="O288" s="3">
        <f>(IF(L288&lt;4172.98,0,MIN(L288*0.3,L288-4172.98)))-M288</f>
        <v>248.346</v>
      </c>
      <c r="P288" s="6">
        <v>46174</v>
      </c>
      <c r="Q288" t="s">
        <v>166</v>
      </c>
      <c r="S288" s="3" t="s">
        <v>98</v>
      </c>
      <c r="T288" s="48">
        <v>46240</v>
      </c>
      <c r="Z288" s="181">
        <v>2</v>
      </c>
    </row>
    <row r="289" spans="1:26" hidden="1">
      <c r="A289" s="30">
        <v>23431984</v>
      </c>
      <c r="B289" s="31">
        <v>46240</v>
      </c>
      <c r="C289" s="32">
        <v>0.71092592592592596</v>
      </c>
      <c r="D289" s="33"/>
      <c r="E289" s="34">
        <v>0</v>
      </c>
      <c r="F289" s="33"/>
      <c r="G289" s="33"/>
      <c r="H289" s="35" t="s">
        <v>337</v>
      </c>
      <c r="I289" s="33"/>
      <c r="J289" s="36"/>
      <c r="K289" t="s">
        <v>30</v>
      </c>
      <c r="L289" s="3">
        <f>6937.32+1975+848</f>
        <v>9760.32</v>
      </c>
      <c r="M289" s="3">
        <f>1975+848</f>
        <v>2823</v>
      </c>
      <c r="N289" s="3">
        <f>L289*0.3</f>
        <v>2928.096</v>
      </c>
      <c r="O289" s="3">
        <f>(IF(L289&lt;4172.98,0,MIN(L289*0.3,L289-4172.98)))-M289</f>
        <v>105.096</v>
      </c>
      <c r="P289" s="6">
        <v>46753</v>
      </c>
      <c r="Q289" t="s">
        <v>206</v>
      </c>
      <c r="R289" s="3">
        <v>1975</v>
      </c>
      <c r="S289" s="3" t="s">
        <v>69</v>
      </c>
      <c r="Z289" s="181">
        <v>2</v>
      </c>
    </row>
    <row r="290" spans="1:26">
      <c r="A290" s="12">
        <v>23432592</v>
      </c>
      <c r="B290" s="13">
        <v>46240</v>
      </c>
      <c r="C290" s="14">
        <v>0.72056712962962965</v>
      </c>
      <c r="D290" s="15"/>
      <c r="E290" s="16">
        <v>5216562148071</v>
      </c>
      <c r="F290" s="15"/>
      <c r="G290" s="15"/>
      <c r="H290" s="17">
        <v>33876701815</v>
      </c>
      <c r="I290" s="15"/>
      <c r="J290" s="18"/>
      <c r="K290" t="s">
        <v>107</v>
      </c>
      <c r="L290" s="3">
        <f>12684.82+208.66+4413.88+538.78</f>
        <v>17846.14</v>
      </c>
      <c r="M290" s="3">
        <f>208.66+4413.88+538.78</f>
        <v>5161.32</v>
      </c>
      <c r="N290" s="3">
        <f t="shared" ref="N290:N294" si="19">L290*0.3</f>
        <v>5353.8419999999996</v>
      </c>
      <c r="O290" s="3">
        <f>(IF(L290&lt;4172.98,0,MIN(L290*0.3,L290-4172.98)))-M290</f>
        <v>192.52199999999993</v>
      </c>
      <c r="P290" s="6">
        <v>46174</v>
      </c>
      <c r="Q290" t="s">
        <v>59</v>
      </c>
      <c r="R290" s="3">
        <v>538.78</v>
      </c>
      <c r="S290" s="3" t="s">
        <v>266</v>
      </c>
      <c r="T290" s="48">
        <v>46240</v>
      </c>
      <c r="Z290" s="181">
        <v>2</v>
      </c>
    </row>
    <row r="291" spans="1:26" hidden="1">
      <c r="A291" s="12">
        <v>23432614</v>
      </c>
      <c r="B291" s="13">
        <v>46240</v>
      </c>
      <c r="C291" s="14">
        <v>0.72201388888888884</v>
      </c>
      <c r="D291" s="15"/>
      <c r="E291" s="16">
        <v>5218143758586</v>
      </c>
      <c r="F291" s="15"/>
      <c r="G291" s="15" t="s">
        <v>338</v>
      </c>
      <c r="H291" s="17" t="s">
        <v>339</v>
      </c>
      <c r="I291" s="15"/>
      <c r="J291" s="18"/>
      <c r="K291" t="s">
        <v>30</v>
      </c>
      <c r="L291" s="3">
        <v>9759.52</v>
      </c>
      <c r="M291" s="3">
        <v>2923.24</v>
      </c>
      <c r="N291" s="3">
        <f t="shared" si="19"/>
        <v>2927.8560000000002</v>
      </c>
      <c r="O291" s="3">
        <f>(IF(L291&lt;4172.98,0,MIN(L291*0.3,L291-4172.98)))-M291</f>
        <v>4.6160000000004402</v>
      </c>
      <c r="P291" s="6">
        <v>46813</v>
      </c>
      <c r="Q291" t="s">
        <v>206</v>
      </c>
      <c r="R291" s="3">
        <v>1852.03</v>
      </c>
      <c r="S291" s="3" t="s">
        <v>69</v>
      </c>
      <c r="Z291" s="181">
        <v>2</v>
      </c>
    </row>
    <row r="292" spans="1:26" hidden="1">
      <c r="A292" s="12">
        <v>23432794</v>
      </c>
      <c r="B292" s="13">
        <v>46240</v>
      </c>
      <c r="C292" s="14">
        <v>0.72488425925925926</v>
      </c>
      <c r="D292" s="15"/>
      <c r="E292" s="16">
        <v>5214641594627</v>
      </c>
      <c r="F292" s="15"/>
      <c r="G292" s="15"/>
      <c r="H292" s="17">
        <v>12988308693</v>
      </c>
      <c r="I292" s="15"/>
      <c r="J292" s="18"/>
      <c r="K292" t="s">
        <v>32</v>
      </c>
      <c r="N292" s="3">
        <f t="shared" si="19"/>
        <v>0</v>
      </c>
      <c r="O292" s="3">
        <f>(IF(L292&lt;4172.98,0,MIN(L292*0.3,L292-4172.98)))-M292</f>
        <v>0</v>
      </c>
      <c r="S292" s="3" t="s">
        <v>69</v>
      </c>
      <c r="Z292" s="181">
        <v>0</v>
      </c>
    </row>
    <row r="293" spans="1:26" hidden="1">
      <c r="A293" s="12">
        <v>23432822</v>
      </c>
      <c r="B293" s="13">
        <v>46240</v>
      </c>
      <c r="C293" s="14">
        <v>0.72635416666666663</v>
      </c>
      <c r="D293" s="15"/>
      <c r="E293" s="16">
        <v>5483581357</v>
      </c>
      <c r="F293" s="15"/>
      <c r="G293" s="15"/>
      <c r="H293" s="17">
        <v>54835813574</v>
      </c>
      <c r="I293" s="15"/>
      <c r="J293" s="18"/>
      <c r="K293" t="s">
        <v>58</v>
      </c>
      <c r="L293" s="3">
        <v>4342.43</v>
      </c>
      <c r="N293" s="3">
        <f t="shared" si="19"/>
        <v>1302.729</v>
      </c>
      <c r="O293" s="3">
        <f>(IF(L293&lt;4172.98,0,MIN(L293*0.3,L293-4172.98)))-M293</f>
        <v>169.45000000000073</v>
      </c>
      <c r="S293" s="3" t="s">
        <v>69</v>
      </c>
      <c r="Z293" s="181">
        <v>1</v>
      </c>
    </row>
    <row r="294" spans="1:26" hidden="1">
      <c r="A294" s="30">
        <v>23432532</v>
      </c>
      <c r="B294" s="31">
        <v>46240</v>
      </c>
      <c r="C294" s="32">
        <v>0.72718749999999999</v>
      </c>
      <c r="D294" s="33" t="s">
        <v>340</v>
      </c>
      <c r="E294" s="34">
        <v>5216683236174</v>
      </c>
      <c r="F294" s="33"/>
      <c r="G294" s="33"/>
      <c r="H294" s="35" t="s">
        <v>341</v>
      </c>
      <c r="I294" s="33"/>
      <c r="J294" s="36"/>
      <c r="K294" t="s">
        <v>58</v>
      </c>
      <c r="L294" s="3">
        <v>3879.3</v>
      </c>
      <c r="N294" s="3">
        <f t="shared" si="19"/>
        <v>1163.79</v>
      </c>
      <c r="O294" s="3">
        <f>(IF(L294&lt;4172.98,0,MIN(L294*0.3,L294-4172.98)))-M294</f>
        <v>0</v>
      </c>
      <c r="S294" s="3" t="s">
        <v>69</v>
      </c>
      <c r="Z294" s="181">
        <v>1</v>
      </c>
    </row>
    <row r="295" spans="1:26" hidden="1">
      <c r="A295" s="30">
        <v>23433064</v>
      </c>
      <c r="B295" s="31">
        <v>46240</v>
      </c>
      <c r="C295" s="32">
        <v>0.73849537037037039</v>
      </c>
      <c r="D295" s="33"/>
      <c r="E295" s="34">
        <v>5217761359350</v>
      </c>
      <c r="F295" s="33"/>
      <c r="G295" s="33"/>
      <c r="H295" s="35">
        <v>42836318982</v>
      </c>
      <c r="I295" s="33"/>
      <c r="J295" s="36"/>
      <c r="K295" t="s">
        <v>30</v>
      </c>
      <c r="L295" s="3">
        <f>6567.74+2513.78</f>
        <v>9081.52</v>
      </c>
      <c r="M295" s="3">
        <v>2513.7800000000002</v>
      </c>
      <c r="N295" s="3">
        <f>L295*0.3</f>
        <v>2724.4560000000001</v>
      </c>
      <c r="O295" s="3">
        <f>(IF(L295&lt;4172.98,0,MIN(L295*0.3,L295-4172.98)))-M295</f>
        <v>210.67599999999993</v>
      </c>
      <c r="P295" s="6">
        <v>46266</v>
      </c>
      <c r="Q295" t="s">
        <v>57</v>
      </c>
      <c r="R295" s="3">
        <v>2513.7800000000002</v>
      </c>
      <c r="S295" s="3" t="s">
        <v>69</v>
      </c>
      <c r="Z295" s="181">
        <v>2</v>
      </c>
    </row>
    <row r="296" spans="1:26" hidden="1">
      <c r="A296" s="12">
        <v>23433092</v>
      </c>
      <c r="B296" s="13">
        <v>46240</v>
      </c>
      <c r="C296" s="14">
        <v>0.75017361111111114</v>
      </c>
      <c r="D296" s="15"/>
      <c r="E296" s="16">
        <v>6691479546</v>
      </c>
      <c r="F296" s="15"/>
      <c r="G296" s="15"/>
      <c r="H296" s="17">
        <v>23715505253</v>
      </c>
      <c r="I296" s="15"/>
      <c r="J296" s="18"/>
      <c r="K296" t="s">
        <v>58</v>
      </c>
      <c r="L296" s="3">
        <v>3961.31</v>
      </c>
      <c r="N296" s="3">
        <f t="shared" ref="N296:N297" si="20">L296*0.3</f>
        <v>1188.393</v>
      </c>
      <c r="O296" s="3">
        <f>(IF(L296&lt;4172.98,0,MIN(L296*0.3,L296-4172.98)))-M296</f>
        <v>0</v>
      </c>
      <c r="S296" s="3" t="s">
        <v>69</v>
      </c>
      <c r="Z296" s="181">
        <v>1</v>
      </c>
    </row>
    <row r="297" spans="1:26" hidden="1">
      <c r="A297" s="30">
        <v>23433294</v>
      </c>
      <c r="B297" s="31">
        <v>46240</v>
      </c>
      <c r="C297" s="32">
        <v>0.74921296296296291</v>
      </c>
      <c r="D297" s="33"/>
      <c r="E297" s="34">
        <v>5213329626246</v>
      </c>
      <c r="F297" s="33"/>
      <c r="G297" s="33" t="s">
        <v>342</v>
      </c>
      <c r="H297" s="35">
        <v>54796259858</v>
      </c>
      <c r="I297" s="33"/>
      <c r="J297" s="36"/>
      <c r="K297" t="s">
        <v>30</v>
      </c>
      <c r="L297" s="3">
        <v>7116.13</v>
      </c>
      <c r="M297" s="3">
        <v>2059.04</v>
      </c>
      <c r="N297" s="3">
        <f t="shared" si="20"/>
        <v>2134.8389999999999</v>
      </c>
      <c r="O297" s="3">
        <f>(IF(L297&lt;4172.98,0,MIN(L297*0.3,L297-4172.98)))-M297</f>
        <v>75.798999999999978</v>
      </c>
      <c r="P297" s="6">
        <v>46722</v>
      </c>
      <c r="Q297" t="s">
        <v>75</v>
      </c>
      <c r="R297">
        <v>2059.04</v>
      </c>
      <c r="S297" s="3" t="s">
        <v>69</v>
      </c>
      <c r="T297" s="50"/>
      <c r="Z297" s="181">
        <v>2</v>
      </c>
    </row>
    <row r="298" spans="1:26" hidden="1">
      <c r="A298" s="12">
        <v>23433632</v>
      </c>
      <c r="B298" s="13">
        <v>46240</v>
      </c>
      <c r="C298" s="14">
        <v>0.75988425925925929</v>
      </c>
      <c r="D298" s="15"/>
      <c r="E298" s="16">
        <v>0</v>
      </c>
      <c r="F298" s="15"/>
      <c r="G298" s="15"/>
      <c r="H298" s="17" t="s">
        <v>343</v>
      </c>
      <c r="I298" s="15"/>
      <c r="J298" s="18">
        <v>1</v>
      </c>
      <c r="K298" t="s">
        <v>30</v>
      </c>
      <c r="L298" s="3">
        <f>8573.44+848+2809.58</f>
        <v>12231.02</v>
      </c>
      <c r="M298" s="3">
        <f>848+2809.58</f>
        <v>3657.58</v>
      </c>
      <c r="N298" s="3">
        <f>L298*0.3</f>
        <v>3669.306</v>
      </c>
      <c r="O298" s="3">
        <f>(IF(L298&lt;4172.98,0,MIN(L298*0.3,L298-4172.98)))-M298</f>
        <v>11.726000000000113</v>
      </c>
      <c r="P298" s="6">
        <v>46784</v>
      </c>
      <c r="Q298" t="s">
        <v>43</v>
      </c>
      <c r="R298" s="3">
        <v>2809.58</v>
      </c>
      <c r="S298" s="3" t="s">
        <v>69</v>
      </c>
      <c r="Z298" s="181">
        <v>2</v>
      </c>
    </row>
    <row r="299" spans="1:26" hidden="1">
      <c r="A299" s="12">
        <v>23434776</v>
      </c>
      <c r="B299" s="13">
        <v>46240</v>
      </c>
      <c r="C299" s="14">
        <v>0.81099537037037039</v>
      </c>
      <c r="D299" s="15"/>
      <c r="E299" s="16">
        <v>5214623351745</v>
      </c>
      <c r="F299" s="15"/>
      <c r="G299" s="15" t="s">
        <v>344</v>
      </c>
      <c r="H299" s="17"/>
      <c r="I299" s="15"/>
      <c r="J299" s="18">
        <v>1</v>
      </c>
      <c r="K299" t="s">
        <v>32</v>
      </c>
      <c r="N299" s="3">
        <f>L299*0.3</f>
        <v>0</v>
      </c>
      <c r="O299" s="3">
        <f>(IF(L299&lt;4172.98,0,MIN(L299*0.3,L299-4172.98)))-M299</f>
        <v>0</v>
      </c>
      <c r="S299" s="3" t="s">
        <v>69</v>
      </c>
      <c r="Z299" s="181">
        <v>0</v>
      </c>
    </row>
    <row r="300" spans="1:26" hidden="1">
      <c r="A300" s="12">
        <v>23435274</v>
      </c>
      <c r="B300" s="13">
        <v>46240</v>
      </c>
      <c r="C300" s="14">
        <v>0.83521990740740737</v>
      </c>
      <c r="D300" s="15"/>
      <c r="E300" s="16">
        <v>5215644541528</v>
      </c>
      <c r="F300" s="15"/>
      <c r="G300" s="15" t="s">
        <v>345</v>
      </c>
      <c r="H300" s="17" t="s">
        <v>346</v>
      </c>
      <c r="I300" s="15"/>
      <c r="J300" s="18">
        <v>1</v>
      </c>
      <c r="K300" t="s">
        <v>58</v>
      </c>
      <c r="L300" s="3">
        <v>4342.43</v>
      </c>
      <c r="N300" s="3">
        <f>L300*0.3</f>
        <v>1302.729</v>
      </c>
      <c r="O300" s="3">
        <f>(IF(L300&lt;4172.98,0,MIN(L300*0.3,L300-4172.98)))-M300</f>
        <v>169.45000000000073</v>
      </c>
      <c r="S300" s="3" t="s">
        <v>69</v>
      </c>
      <c r="Z300" s="181">
        <v>1</v>
      </c>
    </row>
    <row r="301" spans="1:26">
      <c r="A301" s="12">
        <v>23435326</v>
      </c>
      <c r="B301" s="13">
        <v>46240</v>
      </c>
      <c r="C301" s="14">
        <v>0.83908564814814812</v>
      </c>
      <c r="D301" s="15"/>
      <c r="E301" s="16">
        <v>5218129337196</v>
      </c>
      <c r="F301" s="15"/>
      <c r="G301" s="15" t="s">
        <v>347</v>
      </c>
      <c r="H301" s="17">
        <v>32876425573</v>
      </c>
      <c r="I301" s="15"/>
      <c r="J301" s="18">
        <v>1</v>
      </c>
      <c r="K301" t="s">
        <v>54</v>
      </c>
      <c r="L301" s="3">
        <v>30718.15</v>
      </c>
      <c r="M301" s="3">
        <v>7042.37</v>
      </c>
      <c r="N301" s="3">
        <f>L301*0.3</f>
        <v>9215.4449999999997</v>
      </c>
      <c r="O301" s="3">
        <f>(IF(L301&lt;4172.98,0,MIN(L301*0.3,L301-4172.98)))-M301</f>
        <v>2173.0749999999998</v>
      </c>
      <c r="P301" s="6">
        <v>46692</v>
      </c>
      <c r="Q301" t="s">
        <v>166</v>
      </c>
      <c r="R301" s="3">
        <v>7042.3</v>
      </c>
      <c r="S301" s="3" t="s">
        <v>348</v>
      </c>
      <c r="T301" s="48">
        <v>46241</v>
      </c>
      <c r="Z301" s="181">
        <v>2</v>
      </c>
    </row>
    <row r="302" spans="1:26" hidden="1">
      <c r="A302" s="12">
        <v>23435404</v>
      </c>
      <c r="B302" s="13">
        <v>46240</v>
      </c>
      <c r="C302" s="14">
        <v>0.83886574074074072</v>
      </c>
      <c r="D302" s="15"/>
      <c r="E302" s="16">
        <v>5217221108408</v>
      </c>
      <c r="F302" s="15"/>
      <c r="G302" s="15" t="s">
        <v>349</v>
      </c>
      <c r="H302" s="17"/>
      <c r="I302" s="15"/>
      <c r="J302" s="18">
        <v>1</v>
      </c>
      <c r="K302" t="s">
        <v>32</v>
      </c>
      <c r="N302" s="3">
        <f>L302*0.3</f>
        <v>0</v>
      </c>
      <c r="O302" s="3">
        <f>(IF(L302&lt;4172.98,0,MIN(L302*0.3,L302-4172.98)))-M302</f>
        <v>0</v>
      </c>
      <c r="S302" s="3" t="s">
        <v>69</v>
      </c>
      <c r="Z302" s="181">
        <v>0</v>
      </c>
    </row>
    <row r="303" spans="1:26" hidden="1">
      <c r="A303" s="30">
        <v>23435412</v>
      </c>
      <c r="B303" s="31">
        <v>46240</v>
      </c>
      <c r="C303" s="32">
        <v>0.84422453703703704</v>
      </c>
      <c r="D303" s="33"/>
      <c r="E303" s="34">
        <v>5214437310778</v>
      </c>
      <c r="F303" s="33"/>
      <c r="G303" s="33" t="s">
        <v>350</v>
      </c>
      <c r="H303" s="35"/>
      <c r="I303" s="33"/>
      <c r="J303" s="36">
        <v>1</v>
      </c>
      <c r="K303" t="s">
        <v>30</v>
      </c>
      <c r="L303" s="3">
        <v>9081.52</v>
      </c>
      <c r="M303" s="3">
        <v>2627.5</v>
      </c>
      <c r="N303" s="3">
        <f>L303*0.3</f>
        <v>2724.4560000000001</v>
      </c>
      <c r="O303" s="3">
        <f>(IF(L303&lt;4172.98,0,MIN(L303*0.3,L303-4172.98)))-M303</f>
        <v>96.956000000000131</v>
      </c>
      <c r="P303" s="6">
        <v>46447</v>
      </c>
      <c r="Q303" t="s">
        <v>206</v>
      </c>
      <c r="R303" s="3">
        <v>2627.5</v>
      </c>
      <c r="S303" s="3" t="s">
        <v>69</v>
      </c>
      <c r="Z303" s="181">
        <v>2</v>
      </c>
    </row>
    <row r="304" spans="1:26" hidden="1">
      <c r="A304" s="12">
        <v>23436240</v>
      </c>
      <c r="B304" s="13">
        <v>46240</v>
      </c>
      <c r="C304" s="14">
        <v>0.88099537037037035</v>
      </c>
      <c r="D304" s="15"/>
      <c r="E304" s="16">
        <v>5215579587445</v>
      </c>
      <c r="F304" s="15"/>
      <c r="G304" s="15"/>
      <c r="H304" s="17" t="s">
        <v>351</v>
      </c>
      <c r="I304" s="15"/>
      <c r="J304" s="18">
        <v>1</v>
      </c>
      <c r="K304" t="s">
        <v>58</v>
      </c>
      <c r="L304" s="3">
        <f>3018.25+848</f>
        <v>3866.25</v>
      </c>
      <c r="M304" s="3">
        <v>848</v>
      </c>
      <c r="N304" s="3">
        <f>L304*0.3</f>
        <v>1159.875</v>
      </c>
      <c r="O304" s="3">
        <f>(IF(L304&lt;4172.98,0,MIN(L304*0.3,L304-4172.98)))-M304</f>
        <v>-848</v>
      </c>
      <c r="S304" s="3" t="s">
        <v>69</v>
      </c>
      <c r="Z304" s="181">
        <v>1</v>
      </c>
    </row>
    <row r="305" spans="1:26">
      <c r="A305" s="12">
        <v>23436306</v>
      </c>
      <c r="B305" s="13">
        <v>46240</v>
      </c>
      <c r="C305" s="14">
        <v>0.88490740740740736</v>
      </c>
      <c r="D305" s="15"/>
      <c r="E305" s="16">
        <v>5216862807723</v>
      </c>
      <c r="F305" s="15"/>
      <c r="G305" s="15"/>
      <c r="H305" s="17">
        <v>23826460133</v>
      </c>
      <c r="I305" s="15"/>
      <c r="J305" s="18">
        <v>1</v>
      </c>
      <c r="K305" t="s">
        <v>27</v>
      </c>
      <c r="L305" s="3">
        <v>9081.52</v>
      </c>
      <c r="M305" s="3">
        <v>2520.56</v>
      </c>
      <c r="N305" s="3">
        <f>L305*0.3</f>
        <v>2724.4560000000001</v>
      </c>
      <c r="O305" s="3">
        <f>(IF(L305&lt;4172.98,0,MIN(L305*0.3,L305-4172.98)))-M305</f>
        <v>203.89600000000019</v>
      </c>
      <c r="P305" s="6">
        <v>46204</v>
      </c>
      <c r="Q305" s="6" t="s">
        <v>206</v>
      </c>
      <c r="R305" s="3">
        <v>1679.56</v>
      </c>
      <c r="S305" s="3" t="s">
        <v>62</v>
      </c>
      <c r="T305" s="48">
        <v>46241</v>
      </c>
      <c r="Z305" s="181">
        <v>2</v>
      </c>
    </row>
    <row r="306" spans="1:26">
      <c r="A306" s="12">
        <v>23436420</v>
      </c>
      <c r="B306" s="13">
        <v>46240</v>
      </c>
      <c r="C306" s="14">
        <v>0.89484953703703707</v>
      </c>
      <c r="D306" s="15"/>
      <c r="E306" s="16">
        <v>5219868663339</v>
      </c>
      <c r="F306" s="15"/>
      <c r="G306" s="15"/>
      <c r="H306" s="17">
        <v>84826411542</v>
      </c>
      <c r="I306" s="15"/>
      <c r="J306" s="18">
        <v>1</v>
      </c>
      <c r="K306" t="s">
        <v>38</v>
      </c>
      <c r="L306" s="3">
        <v>27818.639999999999</v>
      </c>
      <c r="M306" s="3">
        <v>7684.83</v>
      </c>
      <c r="N306" s="3">
        <f>L306*0.3</f>
        <v>8345.5919999999987</v>
      </c>
      <c r="O306" s="3">
        <f>(IF(L306&lt;4172.98,0,MIN(L306*0.3,L306-4172.98)))-M306</f>
        <v>660.76199999999881</v>
      </c>
      <c r="P306" s="6">
        <v>46357</v>
      </c>
      <c r="Q306" t="s">
        <v>80</v>
      </c>
      <c r="S306" s="3" t="s">
        <v>271</v>
      </c>
      <c r="T306" s="48">
        <v>46241</v>
      </c>
      <c r="Z306" s="181">
        <v>2</v>
      </c>
    </row>
    <row r="307" spans="1:26" hidden="1">
      <c r="A307" s="30">
        <v>23439538</v>
      </c>
      <c r="B307" s="31">
        <v>46240</v>
      </c>
      <c r="C307" s="32">
        <v>0.98353009259259261</v>
      </c>
      <c r="D307" s="33"/>
      <c r="E307" s="34">
        <v>5219511183080</v>
      </c>
      <c r="F307" s="33"/>
      <c r="G307" s="33"/>
      <c r="H307" s="35" t="s">
        <v>352</v>
      </c>
      <c r="I307" s="33"/>
      <c r="J307" s="36">
        <v>1</v>
      </c>
      <c r="K307" t="s">
        <v>30</v>
      </c>
      <c r="L307" s="3">
        <v>5055.87</v>
      </c>
      <c r="M307" s="3">
        <v>1299.18</v>
      </c>
      <c r="N307" s="3">
        <f>L307*0.3</f>
        <v>1516.761</v>
      </c>
      <c r="O307" s="3">
        <f>(IF(L307&lt;4172.98,0,MIN(L307*0.3,L307-4172.98)))-M307</f>
        <v>-416.28999999999974</v>
      </c>
      <c r="P307" s="6">
        <v>46813</v>
      </c>
      <c r="Q307" t="s">
        <v>75</v>
      </c>
      <c r="R307" s="3">
        <v>1299.18</v>
      </c>
      <c r="S307" s="3" t="s">
        <v>69</v>
      </c>
      <c r="Z307" s="181">
        <v>2</v>
      </c>
    </row>
    <row r="308" spans="1:26" hidden="1">
      <c r="A308" s="12">
        <v>23439840</v>
      </c>
      <c r="B308" s="13">
        <v>46241</v>
      </c>
      <c r="C308" s="14">
        <v>2.5752314814814815E-2</v>
      </c>
      <c r="D308" s="15"/>
      <c r="E308" s="16">
        <v>5214464110266</v>
      </c>
      <c r="F308" s="15"/>
      <c r="G308" s="15" t="s">
        <v>353</v>
      </c>
      <c r="H308" s="17"/>
      <c r="I308" s="15"/>
      <c r="J308" s="18"/>
      <c r="K308" t="s">
        <v>32</v>
      </c>
      <c r="N308" s="3">
        <f>L308*0.3</f>
        <v>0</v>
      </c>
      <c r="O308" s="3">
        <f>(IF(L308&lt;4172.98,0,MIN(L308*0.3,L308-4172.98)))-M308</f>
        <v>0</v>
      </c>
      <c r="S308" s="3" t="s">
        <v>69</v>
      </c>
      <c r="Z308" s="181">
        <v>0</v>
      </c>
    </row>
    <row r="309" spans="1:26" hidden="1">
      <c r="A309" s="12">
        <v>23439912</v>
      </c>
      <c r="B309" s="13">
        <v>46241</v>
      </c>
      <c r="C309" s="14">
        <v>4.8078703703703707E-2</v>
      </c>
      <c r="D309" s="15"/>
      <c r="E309" s="16">
        <v>33896465482</v>
      </c>
      <c r="F309" s="15"/>
      <c r="G309" s="15"/>
      <c r="H309" s="17">
        <v>33896465482</v>
      </c>
      <c r="I309" s="15"/>
      <c r="J309" s="18"/>
      <c r="K309" t="s">
        <v>30</v>
      </c>
      <c r="L309" s="3">
        <v>9760.32</v>
      </c>
      <c r="M309" s="3">
        <v>2917.79</v>
      </c>
      <c r="N309" s="3">
        <f>L309*0.3</f>
        <v>2928.096</v>
      </c>
      <c r="O309" s="3">
        <f>(IF(L309&lt;4172.98,0,MIN(L309*0.3,L309-4172.98)))-M309</f>
        <v>10.30600000000004</v>
      </c>
      <c r="P309" s="6">
        <v>46753</v>
      </c>
      <c r="Q309" t="s">
        <v>57</v>
      </c>
      <c r="R309" s="3">
        <v>606.79999999999995</v>
      </c>
      <c r="S309" s="3" t="s">
        <v>69</v>
      </c>
      <c r="Z309" s="181">
        <v>2</v>
      </c>
    </row>
    <row r="310" spans="1:26" hidden="1">
      <c r="A310" s="12">
        <v>23439954</v>
      </c>
      <c r="B310" s="13">
        <v>46241</v>
      </c>
      <c r="C310" s="14">
        <v>5.9293981481481482E-2</v>
      </c>
      <c r="D310" s="15"/>
      <c r="E310" s="16">
        <v>5214441192686</v>
      </c>
      <c r="F310" s="15"/>
      <c r="G310" s="15"/>
      <c r="H310" s="17">
        <v>41937406720</v>
      </c>
      <c r="I310" s="15"/>
      <c r="J310" s="18"/>
      <c r="K310" t="s">
        <v>51</v>
      </c>
      <c r="N310" s="3">
        <f>L310*0.3</f>
        <v>0</v>
      </c>
      <c r="O310" s="3">
        <f>(IF(L310&lt;4172.98,0,MIN(L310*0.3,L310-4172.98)))-M310</f>
        <v>0</v>
      </c>
      <c r="S310" s="3" t="s">
        <v>69</v>
      </c>
      <c r="Z310" s="181">
        <v>1</v>
      </c>
    </row>
    <row r="311" spans="1:26">
      <c r="A311" s="12">
        <v>23440238</v>
      </c>
      <c r="B311" s="13">
        <v>46241</v>
      </c>
      <c r="C311" s="14">
        <v>9.3645833333333331E-2</v>
      </c>
      <c r="D311" s="15"/>
      <c r="E311" s="16">
        <v>5218711353121</v>
      </c>
      <c r="F311" s="15"/>
      <c r="G311" s="15"/>
      <c r="H311" s="17">
        <v>32866103016</v>
      </c>
      <c r="I311" s="15"/>
      <c r="J311" s="18"/>
      <c r="K311" t="s">
        <v>27</v>
      </c>
      <c r="L311" s="3">
        <v>28885.18</v>
      </c>
      <c r="M311" s="3">
        <v>8665.2000000000007</v>
      </c>
      <c r="N311" s="3">
        <f>L311*0.3</f>
        <v>8665.5540000000001</v>
      </c>
      <c r="O311" s="3">
        <f>(IF(L311&lt;4172.98,0,MIN(L311*0.3,L311-4172.98)))-M311</f>
        <v>0.35399999999935972</v>
      </c>
      <c r="P311" s="6">
        <v>46235</v>
      </c>
      <c r="Q311" t="s">
        <v>75</v>
      </c>
      <c r="R311" s="3">
        <v>8019.49</v>
      </c>
      <c r="S311" s="3" t="s">
        <v>348</v>
      </c>
      <c r="T311" s="48">
        <v>46241</v>
      </c>
      <c r="Z311" s="181">
        <v>2</v>
      </c>
    </row>
    <row r="312" spans="1:26">
      <c r="A312" s="12">
        <v>23446224</v>
      </c>
      <c r="B312" s="13">
        <v>46241</v>
      </c>
      <c r="C312" s="14">
        <v>0.3135648148148148</v>
      </c>
      <c r="D312" s="15"/>
      <c r="E312" s="16">
        <v>5216183010005</v>
      </c>
      <c r="F312" s="15"/>
      <c r="G312" s="15"/>
      <c r="H312" s="17">
        <v>31776003019</v>
      </c>
      <c r="I312" s="15"/>
      <c r="J312" s="18"/>
      <c r="K312" t="s">
        <v>107</v>
      </c>
      <c r="L312" s="3">
        <v>5617.63</v>
      </c>
      <c r="M312" s="3">
        <v>1326.22</v>
      </c>
      <c r="N312" s="3">
        <f>L312*0.3</f>
        <v>1685.289</v>
      </c>
      <c r="O312" s="3">
        <f>(IF(L312&lt;4172.98,0,MIN(L312*0.3,L312-4172.98)))-M312</f>
        <v>118.43000000000052</v>
      </c>
      <c r="P312" s="6">
        <v>45717</v>
      </c>
      <c r="Q312" t="s">
        <v>59</v>
      </c>
      <c r="R312" s="3">
        <v>567.84</v>
      </c>
      <c r="S312" s="3" t="s">
        <v>266</v>
      </c>
      <c r="T312" s="48">
        <v>46241</v>
      </c>
      <c r="Z312" s="181">
        <v>2</v>
      </c>
    </row>
    <row r="313" spans="1:26">
      <c r="A313" s="12">
        <v>23447794</v>
      </c>
      <c r="B313" s="13">
        <v>46241</v>
      </c>
      <c r="C313" s="14">
        <v>0.35491898148148149</v>
      </c>
      <c r="D313" s="15"/>
      <c r="E313" s="16">
        <v>5214448051689</v>
      </c>
      <c r="F313" s="15"/>
      <c r="G313" s="15"/>
      <c r="H313" s="17" t="s">
        <v>354</v>
      </c>
      <c r="I313" s="15"/>
      <c r="J313" s="18"/>
      <c r="K313" t="s">
        <v>54</v>
      </c>
      <c r="L313" s="3">
        <v>8784.2900000000009</v>
      </c>
      <c r="N313" s="3">
        <f>L313*0.3</f>
        <v>2635.2870000000003</v>
      </c>
      <c r="O313" s="3">
        <f>(IF(L313&lt;4172.98,0,MIN(L313*0.3,L313-4172.98)))-M313</f>
        <v>2635.2870000000003</v>
      </c>
      <c r="S313" s="3" t="s">
        <v>62</v>
      </c>
      <c r="T313" s="48">
        <v>46241</v>
      </c>
      <c r="Z313" s="181">
        <v>1</v>
      </c>
    </row>
    <row r="314" spans="1:26">
      <c r="A314" s="30">
        <v>23448778</v>
      </c>
      <c r="B314" s="31">
        <v>46241</v>
      </c>
      <c r="C314" s="32">
        <v>0.38153935185185184</v>
      </c>
      <c r="D314" s="33" t="s">
        <v>355</v>
      </c>
      <c r="E314" s="34">
        <v>5218661356547</v>
      </c>
      <c r="F314" s="33"/>
      <c r="G314" s="33" t="s">
        <v>356</v>
      </c>
      <c r="H314" s="35">
        <v>32078922393</v>
      </c>
      <c r="I314" s="33"/>
      <c r="J314" s="36"/>
      <c r="K314" t="s">
        <v>54</v>
      </c>
      <c r="L314" s="3">
        <v>10905.19</v>
      </c>
      <c r="N314" s="3">
        <f>L314*0.3</f>
        <v>3271.5570000000002</v>
      </c>
      <c r="O314" s="3">
        <f>(IF(L314&lt;4172.98,0,MIN(L314*0.3,L314-4172.98)))-M314</f>
        <v>3271.5570000000002</v>
      </c>
      <c r="S314" s="3" t="s">
        <v>55</v>
      </c>
      <c r="T314" s="48">
        <v>46241</v>
      </c>
      <c r="Z314" s="181">
        <v>1</v>
      </c>
    </row>
    <row r="315" spans="1:26" hidden="1">
      <c r="A315" s="12">
        <v>23449564</v>
      </c>
      <c r="B315" s="13">
        <v>46241</v>
      </c>
      <c r="C315" s="14">
        <v>0.40733796296296299</v>
      </c>
      <c r="D315" s="15"/>
      <c r="E315" s="16">
        <v>5219993404248</v>
      </c>
      <c r="F315" s="15"/>
      <c r="G315" s="15" t="s">
        <v>357</v>
      </c>
      <c r="H315" s="17"/>
      <c r="I315" s="15"/>
      <c r="J315" s="18"/>
      <c r="K315" t="s">
        <v>32</v>
      </c>
      <c r="N315" s="3">
        <f>L315*0.3</f>
        <v>0</v>
      </c>
      <c r="O315" s="3">
        <f>(IF(L315&lt;4172.98,0,MIN(L315*0.3,L315-4172.98)))-M315</f>
        <v>0</v>
      </c>
      <c r="S315" s="3" t="s">
        <v>69</v>
      </c>
      <c r="Z315" s="181">
        <v>0</v>
      </c>
    </row>
    <row r="316" spans="1:26">
      <c r="A316" s="30">
        <v>23449984</v>
      </c>
      <c r="B316" s="31">
        <v>46241</v>
      </c>
      <c r="C316" s="32">
        <v>0.41023148148148147</v>
      </c>
      <c r="D316" s="33"/>
      <c r="E316" s="34">
        <v>5218721096932</v>
      </c>
      <c r="F316" s="33"/>
      <c r="G316" s="33"/>
      <c r="H316" s="35">
        <v>32776013883</v>
      </c>
      <c r="I316" s="33"/>
      <c r="J316" s="36"/>
      <c r="K316" t="s">
        <v>54</v>
      </c>
      <c r="L316" s="3">
        <v>8554.24</v>
      </c>
      <c r="M316" s="3">
        <v>848</v>
      </c>
      <c r="N316" s="3">
        <f>L316*0.3</f>
        <v>2566.2719999999999</v>
      </c>
      <c r="O316" s="3">
        <f>(IF(L316&lt;4172.98,0,MIN(L316*0.3,L316-4172.98)))-M316</f>
        <v>1718.2719999999999</v>
      </c>
      <c r="S316" s="3" t="s">
        <v>358</v>
      </c>
      <c r="T316" s="48">
        <v>46241</v>
      </c>
      <c r="Z316" s="181">
        <v>1</v>
      </c>
    </row>
    <row r="317" spans="1:26">
      <c r="A317" s="30">
        <v>23451164</v>
      </c>
      <c r="B317" s="31">
        <v>46241</v>
      </c>
      <c r="C317" s="32">
        <v>0.44197916666666665</v>
      </c>
      <c r="D317" s="33"/>
      <c r="E317" s="34">
        <v>5218727789653</v>
      </c>
      <c r="F317" s="33"/>
      <c r="G317" s="33" t="s">
        <v>359</v>
      </c>
      <c r="H317" s="35"/>
      <c r="I317" s="33"/>
      <c r="J317" s="36"/>
      <c r="K317" t="s">
        <v>54</v>
      </c>
      <c r="L317" s="3">
        <f>10896.28+848</f>
        <v>11744.28</v>
      </c>
      <c r="M317" s="3">
        <v>848</v>
      </c>
      <c r="N317" s="3">
        <f>L317*0.3</f>
        <v>3523.2840000000001</v>
      </c>
      <c r="O317" s="3">
        <f>(IF(L317&lt;4172.98,0,MIN(L317*0.3,L317-4172.98)))-M317</f>
        <v>2675.2840000000001</v>
      </c>
      <c r="S317" s="3" t="s">
        <v>55</v>
      </c>
      <c r="T317" s="48">
        <v>46241</v>
      </c>
      <c r="Z317" s="181">
        <v>1</v>
      </c>
    </row>
    <row r="318" spans="1:26" hidden="1">
      <c r="A318" s="30">
        <v>23304572</v>
      </c>
      <c r="B318" s="31">
        <v>46241</v>
      </c>
      <c r="C318" s="32">
        <v>0.44399305555555557</v>
      </c>
      <c r="D318" s="33" t="s">
        <v>360</v>
      </c>
      <c r="E318" s="34">
        <v>5214921035228</v>
      </c>
      <c r="F318" s="33"/>
      <c r="G318" s="33" t="s">
        <v>361</v>
      </c>
      <c r="H318" s="35"/>
      <c r="I318" s="33"/>
      <c r="J318" s="36"/>
      <c r="K318" t="s">
        <v>30</v>
      </c>
      <c r="L318" s="3">
        <v>11924.52</v>
      </c>
      <c r="M318" s="3">
        <v>3575.53</v>
      </c>
      <c r="N318" s="3">
        <f>L318*0.3</f>
        <v>3577.3560000000002</v>
      </c>
      <c r="O318" s="3">
        <f>(IF(L318&lt;4172.98,0,MIN(L318*0.3,L318-4172.98)))-M318</f>
        <v>1.8260000000000218</v>
      </c>
      <c r="P318" s="6">
        <v>46661</v>
      </c>
      <c r="Q318" t="s">
        <v>206</v>
      </c>
      <c r="R318" s="3">
        <v>3450</v>
      </c>
      <c r="S318" s="53" t="s">
        <v>69</v>
      </c>
      <c r="Z318" s="181">
        <v>2</v>
      </c>
    </row>
    <row r="319" spans="1:26">
      <c r="A319" s="30">
        <v>23407274</v>
      </c>
      <c r="B319" s="31">
        <v>46241</v>
      </c>
      <c r="C319" s="32">
        <v>0.4460763888888889</v>
      </c>
      <c r="D319" s="33" t="s">
        <v>362</v>
      </c>
      <c r="E319" s="34">
        <v>5213111610555</v>
      </c>
      <c r="F319" s="33"/>
      <c r="G319" s="33" t="s">
        <v>363</v>
      </c>
      <c r="H319" s="35" t="s">
        <v>364</v>
      </c>
      <c r="I319" s="33"/>
      <c r="J319" s="36"/>
      <c r="K319" t="s">
        <v>27</v>
      </c>
      <c r="L319" s="3">
        <f>4332.71+1202.72</f>
        <v>5535.43</v>
      </c>
      <c r="M319" s="3">
        <v>1202.72</v>
      </c>
      <c r="N319" s="3">
        <f>L319*0.3</f>
        <v>1660.6290000000001</v>
      </c>
      <c r="O319" s="3">
        <f>(IF(L319&lt;4172.98,0,MIN(L319*0.3,L319-4172.98)))-M319</f>
        <v>159.7300000000007</v>
      </c>
      <c r="P319" s="6">
        <v>46023</v>
      </c>
      <c r="Q319" t="s">
        <v>184</v>
      </c>
      <c r="R319" s="3">
        <v>1202.72</v>
      </c>
      <c r="S319" s="53" t="s">
        <v>358</v>
      </c>
      <c r="T319" s="48">
        <v>46241</v>
      </c>
      <c r="Z319" s="181">
        <v>2</v>
      </c>
    </row>
    <row r="320" spans="1:26" hidden="1">
      <c r="A320" s="30">
        <v>23451072</v>
      </c>
      <c r="B320" s="31">
        <v>46241</v>
      </c>
      <c r="C320" s="32">
        <v>0.44567129629629632</v>
      </c>
      <c r="D320" s="33"/>
      <c r="E320" s="34">
        <v>5216462599333</v>
      </c>
      <c r="F320" s="33"/>
      <c r="G320" s="33"/>
      <c r="H320" s="35">
        <v>21895600266</v>
      </c>
      <c r="I320" s="33"/>
      <c r="J320" s="36"/>
      <c r="K320" t="s">
        <v>58</v>
      </c>
      <c r="L320" s="3">
        <v>4199.87</v>
      </c>
      <c r="N320" s="3">
        <f>L320*0.3</f>
        <v>1259.961</v>
      </c>
      <c r="O320" s="3">
        <f>(IF(L320&lt;4172.98,0,MIN(L320*0.3,L320-4172.98)))-M320</f>
        <v>26.890000000000327</v>
      </c>
      <c r="S320" s="3" t="s">
        <v>69</v>
      </c>
      <c r="Z320" s="181">
        <v>1</v>
      </c>
    </row>
    <row r="321" spans="1:26" hidden="1">
      <c r="A321" s="30">
        <v>23451510</v>
      </c>
      <c r="B321" s="31">
        <v>46241</v>
      </c>
      <c r="C321" s="32">
        <v>0.45145833333333335</v>
      </c>
      <c r="D321" s="33" t="s">
        <v>365</v>
      </c>
      <c r="E321" s="34">
        <v>5219935900673</v>
      </c>
      <c r="F321" s="33"/>
      <c r="G321" s="33" t="s">
        <v>366</v>
      </c>
      <c r="H321" s="35"/>
      <c r="I321" s="33"/>
      <c r="J321" s="36"/>
      <c r="K321" t="s">
        <v>30</v>
      </c>
      <c r="L321" s="3">
        <v>7562.57</v>
      </c>
      <c r="M321" s="3">
        <v>2138.14</v>
      </c>
      <c r="N321" s="3">
        <f>L321*0.3</f>
        <v>2268.7709999999997</v>
      </c>
      <c r="O321" s="3">
        <f>(IF(L321&lt;4172.98,0,MIN(L321*0.3,L321-4172.98)))-M321</f>
        <v>130.63099999999986</v>
      </c>
      <c r="P321" s="6">
        <v>46447</v>
      </c>
      <c r="Q321" t="s">
        <v>43</v>
      </c>
      <c r="R321" s="3">
        <v>2138.14</v>
      </c>
      <c r="S321" s="53" t="s">
        <v>69</v>
      </c>
      <c r="Z321" s="181">
        <v>2</v>
      </c>
    </row>
    <row r="322" spans="1:26">
      <c r="A322" s="30">
        <v>23452660</v>
      </c>
      <c r="B322" s="31">
        <v>46241</v>
      </c>
      <c r="C322" s="32">
        <v>0.48364583333333333</v>
      </c>
      <c r="D322" s="33"/>
      <c r="E322" s="34">
        <v>5215618023153</v>
      </c>
      <c r="F322" s="33"/>
      <c r="G322" s="33" t="s">
        <v>367</v>
      </c>
      <c r="H322" s="35"/>
      <c r="I322" s="33"/>
      <c r="J322" s="36"/>
      <c r="K322" t="s">
        <v>54</v>
      </c>
      <c r="L322" s="3">
        <v>11512.25</v>
      </c>
      <c r="N322" s="3">
        <f>L322*0.3</f>
        <v>3453.6749999999997</v>
      </c>
      <c r="O322" s="3">
        <f>(IF(L322&lt;4172.98,0,MIN(L322*0.3,L322-4172.98)))-M322</f>
        <v>3453.6749999999997</v>
      </c>
      <c r="S322" s="3" t="s">
        <v>35</v>
      </c>
      <c r="T322" s="48">
        <v>46241</v>
      </c>
      <c r="U322" t="s">
        <v>368</v>
      </c>
      <c r="Z322" s="181">
        <v>1</v>
      </c>
    </row>
    <row r="323" spans="1:26" hidden="1">
      <c r="A323" s="30">
        <v>23453382</v>
      </c>
      <c r="B323" s="31">
        <v>46241</v>
      </c>
      <c r="C323" s="32">
        <v>0.48747685185185186</v>
      </c>
      <c r="D323" s="33"/>
      <c r="E323" s="34">
        <v>5215649706946</v>
      </c>
      <c r="F323" s="33"/>
      <c r="G323" s="33" t="s">
        <v>369</v>
      </c>
      <c r="H323" s="35"/>
      <c r="I323" s="33"/>
      <c r="J323" s="36"/>
      <c r="K323" t="s">
        <v>30</v>
      </c>
      <c r="L323" s="3">
        <v>9760.32</v>
      </c>
      <c r="M323" s="3">
        <v>2790.56</v>
      </c>
      <c r="N323" s="3">
        <f>L323*0.3</f>
        <v>2928.096</v>
      </c>
      <c r="O323" s="3">
        <f>(IF(L323&lt;4172.98,0,MIN(L323*0.3,L323-4172.98)))-M323</f>
        <v>137.53600000000006</v>
      </c>
      <c r="P323" s="6">
        <v>46722</v>
      </c>
      <c r="Q323" t="s">
        <v>73</v>
      </c>
      <c r="R323" s="3">
        <v>2790.56</v>
      </c>
      <c r="S323" s="3" t="s">
        <v>69</v>
      </c>
      <c r="Z323" s="181">
        <v>2</v>
      </c>
    </row>
    <row r="324" spans="1:26" hidden="1">
      <c r="A324" s="30">
        <v>23453696</v>
      </c>
      <c r="B324" s="31">
        <v>46241</v>
      </c>
      <c r="C324" s="32">
        <v>0.50037037037037035</v>
      </c>
      <c r="D324" s="33"/>
      <c r="E324" s="34">
        <v>5217831463731</v>
      </c>
      <c r="F324" s="33"/>
      <c r="G324" s="33"/>
      <c r="H324" s="35" t="s">
        <v>370</v>
      </c>
      <c r="I324" s="33"/>
      <c r="J324" s="36"/>
      <c r="K324" t="s">
        <v>32</v>
      </c>
      <c r="N324" s="3">
        <f>L324*0.3</f>
        <v>0</v>
      </c>
      <c r="O324" s="3">
        <f>(IF(L324&lt;4172.98,0,MIN(L324*0.3,L324-4172.98)))-M324</f>
        <v>0</v>
      </c>
      <c r="S324" s="3" t="s">
        <v>69</v>
      </c>
      <c r="Z324" s="181">
        <v>0</v>
      </c>
    </row>
    <row r="325" spans="1:26" hidden="1">
      <c r="A325" s="30">
        <v>23453502</v>
      </c>
      <c r="B325" s="31">
        <v>46241</v>
      </c>
      <c r="C325" s="32">
        <v>0.50557870370370372</v>
      </c>
      <c r="D325" s="33" t="s">
        <v>371</v>
      </c>
      <c r="E325" s="34">
        <v>5214521953206</v>
      </c>
      <c r="F325" s="33"/>
      <c r="G325" s="33" t="s">
        <v>372</v>
      </c>
      <c r="H325" s="35"/>
      <c r="I325" s="33"/>
      <c r="J325" s="36"/>
      <c r="K325" t="s">
        <v>30</v>
      </c>
      <c r="L325" s="3">
        <v>4813.6899999999996</v>
      </c>
      <c r="M325" s="3">
        <v>640</v>
      </c>
      <c r="N325" s="3">
        <f>L325*0.3</f>
        <v>1444.1069999999997</v>
      </c>
      <c r="O325" s="3">
        <f>(IF(L325&lt;4172.98,0,MIN(L325*0.3,L325-4172.98)))-M325</f>
        <v>0.71000000000003638</v>
      </c>
      <c r="P325" s="6">
        <v>46813</v>
      </c>
      <c r="Q325" t="s">
        <v>206</v>
      </c>
      <c r="R325" s="3">
        <v>640</v>
      </c>
      <c r="S325" s="3" t="s">
        <v>69</v>
      </c>
      <c r="Z325" s="181">
        <v>2</v>
      </c>
    </row>
    <row r="326" spans="1:26">
      <c r="A326" s="12">
        <v>23453970</v>
      </c>
      <c r="B326" s="13">
        <v>46241</v>
      </c>
      <c r="C326" s="14">
        <v>0.50877314814814811</v>
      </c>
      <c r="D326" s="15"/>
      <c r="E326" s="16">
        <v>5214491152858</v>
      </c>
      <c r="F326" s="15"/>
      <c r="G326" s="15"/>
      <c r="H326" s="17">
        <v>51927356314</v>
      </c>
      <c r="I326" s="15"/>
      <c r="J326" s="18"/>
      <c r="K326" t="s">
        <v>107</v>
      </c>
      <c r="L326" s="3">
        <v>4642.3999999999996</v>
      </c>
      <c r="M326" s="3">
        <v>459.57</v>
      </c>
      <c r="N326" s="3">
        <f>L326*0.3</f>
        <v>1392.7199999999998</v>
      </c>
      <c r="O326" s="3">
        <f>(IF(L326&lt;4172.98,0,MIN(L326*0.3,L326-4172.98)))-M326</f>
        <v>9.8500000000000796</v>
      </c>
      <c r="P326" s="6">
        <v>45413</v>
      </c>
      <c r="Q326" t="s">
        <v>75</v>
      </c>
      <c r="R326" s="3">
        <v>459.57</v>
      </c>
      <c r="S326" s="3" t="s">
        <v>266</v>
      </c>
      <c r="T326" s="48">
        <v>46241</v>
      </c>
      <c r="Z326" s="181">
        <v>2</v>
      </c>
    </row>
    <row r="327" spans="1:26">
      <c r="A327" s="30">
        <v>23454120</v>
      </c>
      <c r="B327" s="31">
        <v>46241</v>
      </c>
      <c r="C327" s="32">
        <v>0.51009259259259254</v>
      </c>
      <c r="D327" s="33"/>
      <c r="E327" s="34">
        <v>5219624005713</v>
      </c>
      <c r="F327" s="33"/>
      <c r="G327" s="33"/>
      <c r="H327" s="35">
        <v>71937607902</v>
      </c>
      <c r="I327" s="33"/>
      <c r="J327" s="36"/>
      <c r="K327" t="s">
        <v>38</v>
      </c>
      <c r="L327" s="3">
        <v>5371.7</v>
      </c>
      <c r="N327" s="3">
        <f>L327*0.3</f>
        <v>1611.51</v>
      </c>
      <c r="O327" s="3">
        <f>(IF(L327&lt;4172.98,0,MIN(L327*0.3,L327-4172.98)))-M327</f>
        <v>1198.7200000000003</v>
      </c>
      <c r="S327" s="3" t="s">
        <v>271</v>
      </c>
      <c r="T327" s="48">
        <v>46241</v>
      </c>
      <c r="Z327" s="181">
        <v>1</v>
      </c>
    </row>
    <row r="328" spans="1:26">
      <c r="A328" s="12">
        <v>23453938</v>
      </c>
      <c r="B328" s="13">
        <v>46241</v>
      </c>
      <c r="C328" s="14">
        <v>0.51253472222222218</v>
      </c>
      <c r="D328" s="15"/>
      <c r="E328" s="16">
        <v>5218661023983</v>
      </c>
      <c r="F328" s="15"/>
      <c r="G328" s="15"/>
      <c r="H328" s="17" t="s">
        <v>373</v>
      </c>
      <c r="I328" s="15"/>
      <c r="J328" s="18"/>
      <c r="K328" t="s">
        <v>34</v>
      </c>
      <c r="L328" s="3">
        <v>11950.52</v>
      </c>
      <c r="M328" s="3">
        <v>3571.58</v>
      </c>
      <c r="N328" s="3">
        <f>L328*0.3</f>
        <v>3585.1559999999999</v>
      </c>
      <c r="O328" s="3">
        <f>(IF(L328&lt;4172.98,0,MIN(L328*0.3,L328-4172.98)))-M328</f>
        <v>13.576000000000022</v>
      </c>
      <c r="P328" s="6">
        <v>45444</v>
      </c>
      <c r="Q328" t="s">
        <v>141</v>
      </c>
      <c r="R328" s="3">
        <f>557.38+562.89+375.26</f>
        <v>1495.53</v>
      </c>
      <c r="S328" s="3" t="s">
        <v>35</v>
      </c>
      <c r="T328" s="48">
        <v>46241</v>
      </c>
      <c r="Z328" s="181">
        <v>2</v>
      </c>
    </row>
    <row r="329" spans="1:26" hidden="1">
      <c r="A329" s="30">
        <v>23454304</v>
      </c>
      <c r="B329" s="31">
        <v>46241</v>
      </c>
      <c r="C329" s="32">
        <v>0.51410879629629624</v>
      </c>
      <c r="D329" s="33"/>
      <c r="E329" s="34">
        <v>5216623663643</v>
      </c>
      <c r="F329" s="33"/>
      <c r="G329" s="33" t="s">
        <v>374</v>
      </c>
      <c r="H329" s="35">
        <v>24866601446</v>
      </c>
      <c r="I329" s="33"/>
      <c r="J329" s="36"/>
      <c r="K329" t="s">
        <v>189</v>
      </c>
      <c r="N329" s="3">
        <f>L329*0.3</f>
        <v>0</v>
      </c>
      <c r="O329" s="3">
        <f>(IF(L329&lt;4172.98,0,MIN(L329*0.3,L329-4172.98)))-M329</f>
        <v>0</v>
      </c>
      <c r="S329" s="3" t="s">
        <v>69</v>
      </c>
      <c r="Z329" s="181">
        <v>1</v>
      </c>
    </row>
    <row r="330" spans="1:26" hidden="1">
      <c r="A330" s="30">
        <v>23454868</v>
      </c>
      <c r="B330" s="31">
        <v>46241</v>
      </c>
      <c r="C330" s="32">
        <v>0.53075231481481477</v>
      </c>
      <c r="D330" s="33"/>
      <c r="E330" s="34">
        <v>5219985786261</v>
      </c>
      <c r="F330" s="33"/>
      <c r="G330" s="33"/>
      <c r="H330" s="35">
        <v>82886979200</v>
      </c>
      <c r="I330" s="33"/>
      <c r="J330" s="36"/>
      <c r="K330" t="s">
        <v>32</v>
      </c>
      <c r="N330" s="3">
        <f>L330*0.3</f>
        <v>0</v>
      </c>
      <c r="O330" s="3">
        <f>(IF(L330&lt;4172.98,0,MIN(L330*0.3,L330-4172.98)))-M330</f>
        <v>0</v>
      </c>
      <c r="S330" s="3" t="s">
        <v>69</v>
      </c>
      <c r="Z330" s="181">
        <v>0</v>
      </c>
    </row>
    <row r="331" spans="1:26" hidden="1">
      <c r="A331" s="30">
        <v>23456404</v>
      </c>
      <c r="B331" s="31">
        <v>46241</v>
      </c>
      <c r="C331" s="32">
        <v>0.58594907407407404</v>
      </c>
      <c r="D331" s="33"/>
      <c r="E331" s="34">
        <v>5214281021575</v>
      </c>
      <c r="F331" s="33"/>
      <c r="G331" s="33"/>
      <c r="H331" s="35">
        <v>41038712018</v>
      </c>
      <c r="I331" s="33"/>
      <c r="J331" s="36"/>
      <c r="K331" t="s">
        <v>51</v>
      </c>
      <c r="N331" s="3">
        <f>L331*0.3</f>
        <v>0</v>
      </c>
      <c r="O331" s="3">
        <f>(IF(L331&lt;4172.98,0,MIN(L331*0.3,L331-4172.98)))-M331</f>
        <v>0</v>
      </c>
      <c r="S331" s="3" t="s">
        <v>69</v>
      </c>
      <c r="Z331" s="181">
        <v>1</v>
      </c>
    </row>
    <row r="332" spans="1:26" hidden="1">
      <c r="A332" s="30">
        <v>23456460</v>
      </c>
      <c r="B332" s="31">
        <v>46241</v>
      </c>
      <c r="C332" s="32">
        <v>0.59108796296296295</v>
      </c>
      <c r="D332" s="33"/>
      <c r="E332" s="34">
        <v>5218443683787</v>
      </c>
      <c r="F332" s="33"/>
      <c r="G332" s="33"/>
      <c r="H332" s="35">
        <v>60907395937</v>
      </c>
      <c r="I332" s="33"/>
      <c r="J332" s="36"/>
      <c r="K332" t="s">
        <v>30</v>
      </c>
      <c r="L332" s="3">
        <v>6920.09</v>
      </c>
      <c r="M332" s="3">
        <v>1990.24</v>
      </c>
      <c r="N332" s="3">
        <f>L332*0.3</f>
        <v>2076.027</v>
      </c>
      <c r="O332" s="3">
        <f>(IF(L332&lt;4172.98,0,MIN(L332*0.3,L332-4172.98)))-M332</f>
        <v>85.787000000000035</v>
      </c>
      <c r="P332" s="6">
        <v>46722</v>
      </c>
      <c r="Q332" t="s">
        <v>375</v>
      </c>
      <c r="R332" s="3">
        <v>1990.03</v>
      </c>
      <c r="S332" s="3" t="s">
        <v>69</v>
      </c>
      <c r="Z332" s="181">
        <v>2</v>
      </c>
    </row>
    <row r="333" spans="1:26" hidden="1">
      <c r="A333" s="30">
        <v>23457542</v>
      </c>
      <c r="B333" s="31">
        <v>46241</v>
      </c>
      <c r="C333" s="32">
        <v>0.60709490740740746</v>
      </c>
      <c r="D333" s="33"/>
      <c r="E333" s="34">
        <v>5217831376237</v>
      </c>
      <c r="F333" s="33"/>
      <c r="G333" s="33"/>
      <c r="H333" s="35">
        <v>65796407628</v>
      </c>
      <c r="I333" s="33"/>
      <c r="J333" s="36"/>
      <c r="K333" t="s">
        <v>51</v>
      </c>
      <c r="N333" s="3">
        <f>L333*0.3</f>
        <v>0</v>
      </c>
      <c r="O333" s="3">
        <f>(IF(L333&lt;4172.98,0,MIN(L333*0.3,L333-4172.98)))-M333</f>
        <v>0</v>
      </c>
      <c r="S333" s="3" t="s">
        <v>69</v>
      </c>
      <c r="Z333" s="181">
        <v>1</v>
      </c>
    </row>
    <row r="334" spans="1:26" hidden="1">
      <c r="A334" s="30">
        <v>23457846</v>
      </c>
      <c r="B334" s="31">
        <v>46241</v>
      </c>
      <c r="C334" s="32">
        <v>0.61325231481481479</v>
      </c>
      <c r="D334" s="33"/>
      <c r="E334" s="34">
        <v>5218287680102</v>
      </c>
      <c r="F334" s="33"/>
      <c r="G334" s="33"/>
      <c r="H334" s="35">
        <v>43806229605</v>
      </c>
      <c r="I334" s="33"/>
      <c r="J334" s="36"/>
      <c r="K334" t="s">
        <v>30</v>
      </c>
      <c r="L334" s="3">
        <v>7116.73</v>
      </c>
      <c r="M334" s="3">
        <v>2110.7800000000002</v>
      </c>
      <c r="N334" s="3">
        <f>L334*0.3</f>
        <v>2135.0189999999998</v>
      </c>
      <c r="O334" s="3">
        <f>(IF(L334&lt;4172.98,0,MIN(L334*0.3,L334-4172.98)))-M334</f>
        <v>24.238999999999578</v>
      </c>
      <c r="P334" s="6">
        <v>46784</v>
      </c>
      <c r="Q334" t="s">
        <v>206</v>
      </c>
      <c r="R334" s="3">
        <v>988</v>
      </c>
      <c r="S334" s="3" t="s">
        <v>69</v>
      </c>
      <c r="Z334" s="181">
        <v>2</v>
      </c>
    </row>
    <row r="335" spans="1:26" hidden="1">
      <c r="A335" s="12">
        <v>23458752</v>
      </c>
      <c r="B335" s="13">
        <v>46241</v>
      </c>
      <c r="C335" s="14">
        <v>0.64401620370370372</v>
      </c>
      <c r="D335" s="15"/>
      <c r="E335" s="16">
        <v>5216453310440</v>
      </c>
      <c r="F335" s="15"/>
      <c r="G335" s="15"/>
      <c r="H335" s="17" t="s">
        <v>376</v>
      </c>
      <c r="I335" s="15"/>
      <c r="J335" s="18"/>
      <c r="K335" t="s">
        <v>32</v>
      </c>
      <c r="N335" s="3">
        <f>L335*0.3</f>
        <v>0</v>
      </c>
      <c r="O335" s="3">
        <f>(IF(L335&lt;4172.98,0,MIN(L335*0.3,L335-4172.98)))-M335</f>
        <v>0</v>
      </c>
      <c r="S335" s="3" t="s">
        <v>69</v>
      </c>
      <c r="Z335" s="181">
        <v>0</v>
      </c>
    </row>
    <row r="336" spans="1:26" hidden="1">
      <c r="A336" s="30">
        <v>23459048</v>
      </c>
      <c r="B336" s="31">
        <v>46241</v>
      </c>
      <c r="C336" s="32">
        <v>0.65549768518518514</v>
      </c>
      <c r="D336" s="33" t="s">
        <v>377</v>
      </c>
      <c r="E336" s="34">
        <v>5219811875557</v>
      </c>
      <c r="F336" s="33"/>
      <c r="G336" s="33" t="s">
        <v>378</v>
      </c>
      <c r="H336" s="35"/>
      <c r="I336" s="33"/>
      <c r="J336" s="36"/>
      <c r="K336" t="s">
        <v>32</v>
      </c>
      <c r="N336" s="3">
        <f>L336*0.3</f>
        <v>0</v>
      </c>
      <c r="O336" s="3">
        <f>(IF(L336&lt;4172.98,0,MIN(L336*0.3,L336-4172.98)))-M336</f>
        <v>0</v>
      </c>
      <c r="S336" s="3" t="s">
        <v>69</v>
      </c>
      <c r="Z336" s="181">
        <v>0</v>
      </c>
    </row>
    <row r="337" spans="1:26">
      <c r="A337" s="12">
        <v>23459610</v>
      </c>
      <c r="B337" s="13">
        <v>46241</v>
      </c>
      <c r="C337" s="14">
        <v>0.67630787037037032</v>
      </c>
      <c r="D337" s="15"/>
      <c r="E337" s="16">
        <v>5216688610459</v>
      </c>
      <c r="F337" s="15"/>
      <c r="G337" s="15"/>
      <c r="H337" s="17">
        <v>23796311407</v>
      </c>
      <c r="I337" s="15"/>
      <c r="J337" s="18"/>
      <c r="K337" t="s">
        <v>27</v>
      </c>
      <c r="L337" s="3">
        <f>26613.73+913.32+10423.79</f>
        <v>37950.839999999997</v>
      </c>
      <c r="M337" s="3">
        <f>10423.79+913.32</f>
        <v>11337.11</v>
      </c>
      <c r="N337" s="3">
        <f>L337*0.3</f>
        <v>11385.251999999999</v>
      </c>
      <c r="O337" s="3">
        <f>(IF(L337&lt;4172.98,0,MIN(L337*0.3,L337-4172.98)))-M337</f>
        <v>48.141999999998006</v>
      </c>
      <c r="P337" s="6">
        <v>46235</v>
      </c>
      <c r="Q337" t="s">
        <v>59</v>
      </c>
      <c r="R337" s="3">
        <v>10423.790000000001</v>
      </c>
      <c r="S337" s="3" t="s">
        <v>348</v>
      </c>
      <c r="T337" s="48">
        <v>46241</v>
      </c>
      <c r="Z337" s="181">
        <v>2</v>
      </c>
    </row>
    <row r="338" spans="1:26" hidden="1">
      <c r="A338" s="30">
        <v>23459606</v>
      </c>
      <c r="B338" s="31">
        <v>46241</v>
      </c>
      <c r="C338" s="32">
        <v>0.67634259259259255</v>
      </c>
      <c r="D338" s="33"/>
      <c r="E338" s="34">
        <v>5212741759112</v>
      </c>
      <c r="F338" s="33"/>
      <c r="G338" s="33"/>
      <c r="H338" s="35">
        <v>67947102298</v>
      </c>
      <c r="I338" s="33"/>
      <c r="J338" s="36"/>
      <c r="K338" t="s">
        <v>51</v>
      </c>
      <c r="N338" s="3">
        <f>L338*0.3</f>
        <v>0</v>
      </c>
      <c r="O338" s="3">
        <f>(IF(L338&lt;4172.98,0,MIN(L338*0.3,L338-4172.98)))-M338</f>
        <v>0</v>
      </c>
      <c r="S338" s="3" t="s">
        <v>69</v>
      </c>
      <c r="Z338" s="181">
        <v>1</v>
      </c>
    </row>
    <row r="339" spans="1:26" hidden="1">
      <c r="A339" s="30">
        <v>23459644</v>
      </c>
      <c r="B339" s="31">
        <v>46241</v>
      </c>
      <c r="C339" s="32">
        <v>0.67849537037037033</v>
      </c>
      <c r="D339" s="33"/>
      <c r="E339" s="34">
        <v>5218333890091</v>
      </c>
      <c r="F339" s="33"/>
      <c r="G339" s="33" t="s">
        <v>379</v>
      </c>
      <c r="H339" s="35"/>
      <c r="I339" s="33"/>
      <c r="J339" s="36"/>
      <c r="K339" t="s">
        <v>32</v>
      </c>
      <c r="N339" s="3">
        <f>L339*0.3</f>
        <v>0</v>
      </c>
      <c r="O339" s="3">
        <f>(IF(L339&lt;4172.98,0,MIN(L339*0.3,L339-4172.98)))-M339</f>
        <v>0</v>
      </c>
      <c r="S339" s="3" t="s">
        <v>69</v>
      </c>
      <c r="Z339" s="181">
        <v>0</v>
      </c>
    </row>
    <row r="340" spans="1:26" hidden="1">
      <c r="A340" s="12">
        <v>23459654</v>
      </c>
      <c r="B340" s="13">
        <v>46241</v>
      </c>
      <c r="C340" s="14">
        <v>0.68356481481481479</v>
      </c>
      <c r="D340" s="15"/>
      <c r="E340" s="16">
        <v>5216644915757</v>
      </c>
      <c r="F340" s="15"/>
      <c r="G340" s="15" t="s">
        <v>380</v>
      </c>
      <c r="H340" s="17">
        <v>25068937793</v>
      </c>
      <c r="I340" s="15"/>
      <c r="J340" s="18"/>
      <c r="K340" t="s">
        <v>51</v>
      </c>
      <c r="N340" s="3">
        <f>L340*0.3</f>
        <v>0</v>
      </c>
      <c r="O340" s="3">
        <f>(IF(L340&lt;4172.98,0,MIN(L340*0.3,L340-4172.98)))-M340</f>
        <v>0</v>
      </c>
      <c r="S340" s="3" t="s">
        <v>69</v>
      </c>
      <c r="Z340" s="181">
        <v>1</v>
      </c>
    </row>
    <row r="341" spans="1:26" hidden="1">
      <c r="A341" s="30">
        <v>23459790</v>
      </c>
      <c r="B341" s="31">
        <v>46241</v>
      </c>
      <c r="C341" s="32">
        <v>0.68425925925925923</v>
      </c>
      <c r="D341" s="33"/>
      <c r="E341" s="34">
        <v>5218448694139</v>
      </c>
      <c r="F341" s="33"/>
      <c r="G341" s="33" t="s">
        <v>381</v>
      </c>
      <c r="H341" s="35" t="s">
        <v>382</v>
      </c>
      <c r="I341" s="33"/>
      <c r="J341" s="36"/>
      <c r="K341" t="s">
        <v>30</v>
      </c>
      <c r="L341" s="3">
        <v>5055.88</v>
      </c>
      <c r="M341" s="3">
        <v>1296.6400000000001</v>
      </c>
      <c r="N341" s="3">
        <f>L341*0.3</f>
        <v>1516.7639999999999</v>
      </c>
      <c r="O341" s="3">
        <f>(IF(L341&lt;4172.98,0,MIN(L341*0.3,L341-4172.98)))-M341</f>
        <v>-413.73999999999955</v>
      </c>
      <c r="P341" s="6">
        <v>46357</v>
      </c>
      <c r="Q341" t="s">
        <v>47</v>
      </c>
      <c r="R341" s="3">
        <v>421.6</v>
      </c>
      <c r="S341" s="3" t="s">
        <v>69</v>
      </c>
      <c r="Z341" s="181">
        <v>2</v>
      </c>
    </row>
    <row r="342" spans="1:26">
      <c r="A342" s="30">
        <v>23459842</v>
      </c>
      <c r="B342" s="31">
        <v>46241</v>
      </c>
      <c r="C342" s="32">
        <v>0.68630787037037033</v>
      </c>
      <c r="D342" s="33"/>
      <c r="E342" s="34">
        <v>5215574610319</v>
      </c>
      <c r="F342" s="33"/>
      <c r="G342" s="33" t="s">
        <v>383</v>
      </c>
      <c r="H342" s="35" t="s">
        <v>384</v>
      </c>
      <c r="I342" s="33"/>
      <c r="J342" s="36"/>
      <c r="K342" t="s">
        <v>27</v>
      </c>
      <c r="L342" s="3">
        <v>29381.03</v>
      </c>
      <c r="M342" s="3">
        <v>8157.22</v>
      </c>
      <c r="N342" s="3">
        <f>L342*0.3</f>
        <v>8814.3089999999993</v>
      </c>
      <c r="O342" s="3">
        <f>(IF(L342&lt;4172.98,0,MIN(L342*0.3,L342-4172.98)))-M342</f>
        <v>657.08899999999903</v>
      </c>
      <c r="P342" s="6">
        <v>46235</v>
      </c>
      <c r="Q342" t="s">
        <v>75</v>
      </c>
      <c r="R342" s="3">
        <v>8157.22</v>
      </c>
      <c r="S342" s="3" t="s">
        <v>62</v>
      </c>
      <c r="T342" s="48">
        <v>46241</v>
      </c>
      <c r="Z342" s="181">
        <v>2</v>
      </c>
    </row>
    <row r="343" spans="1:26" hidden="1">
      <c r="A343" s="30">
        <v>23459914</v>
      </c>
      <c r="B343" s="31">
        <v>46241</v>
      </c>
      <c r="C343" s="32">
        <v>0.69406250000000003</v>
      </c>
      <c r="D343" s="33" t="s">
        <v>385</v>
      </c>
      <c r="E343" s="34">
        <v>5219981801881</v>
      </c>
      <c r="F343" s="33"/>
      <c r="G343" s="33" t="s">
        <v>386</v>
      </c>
      <c r="H343" s="35"/>
      <c r="I343" s="33"/>
      <c r="J343" s="36"/>
      <c r="K343" t="s">
        <v>30</v>
      </c>
      <c r="L343" s="3">
        <v>7116.73</v>
      </c>
      <c r="M343" s="3">
        <v>2058.12</v>
      </c>
      <c r="N343" s="3">
        <f>L343*0.3</f>
        <v>2135.0189999999998</v>
      </c>
      <c r="O343" s="3">
        <f>(IF(L343&lt;4172.98,0,MIN(L343*0.3,L343-4172.98)))-M343</f>
        <v>76.898999999999887</v>
      </c>
      <c r="P343" s="6">
        <v>46478</v>
      </c>
      <c r="Q343" t="s">
        <v>75</v>
      </c>
      <c r="R343" s="3">
        <v>1920</v>
      </c>
      <c r="S343" s="3" t="s">
        <v>69</v>
      </c>
      <c r="Z343" s="181">
        <v>2</v>
      </c>
    </row>
    <row r="344" spans="1:26" hidden="1">
      <c r="A344" s="30">
        <v>23460120</v>
      </c>
      <c r="B344" s="31">
        <v>46241</v>
      </c>
      <c r="C344" s="32">
        <v>0.70068287037037036</v>
      </c>
      <c r="D344" s="33"/>
      <c r="E344" s="34">
        <v>5215657764312</v>
      </c>
      <c r="F344" s="33"/>
      <c r="G344" s="33" t="s">
        <v>387</v>
      </c>
      <c r="H344" s="35"/>
      <c r="I344" s="33"/>
      <c r="J344" s="36"/>
      <c r="K344" t="s">
        <v>30</v>
      </c>
      <c r="L344" s="3">
        <f>7270.44+291+2371+318.03+135.09</f>
        <v>10385.56</v>
      </c>
      <c r="M344" s="3">
        <f>291+2371+318.03+135.09</f>
        <v>3115.12</v>
      </c>
      <c r="N344" s="3">
        <f>L344*0.3</f>
        <v>3115.6679999999997</v>
      </c>
      <c r="O344" s="3">
        <f>(IF(L344&lt;4172.98,0,MIN(L344*0.3,L344-4172.98)))-M344</f>
        <v>0.54799999999977445</v>
      </c>
      <c r="P344" s="6">
        <v>46419</v>
      </c>
      <c r="Q344" t="s">
        <v>59</v>
      </c>
      <c r="R344" s="3">
        <v>2371</v>
      </c>
      <c r="S344" s="3" t="s">
        <v>69</v>
      </c>
      <c r="Z344" s="181">
        <v>2</v>
      </c>
    </row>
    <row r="345" spans="1:26" hidden="1">
      <c r="A345" s="30">
        <v>23460326</v>
      </c>
      <c r="B345" s="31">
        <v>46241</v>
      </c>
      <c r="C345" s="32">
        <v>0.71108796296296295</v>
      </c>
      <c r="D345" s="33"/>
      <c r="E345" s="34">
        <v>5216673610265</v>
      </c>
      <c r="F345" s="33"/>
      <c r="G345" s="33"/>
      <c r="H345" s="35" t="s">
        <v>388</v>
      </c>
      <c r="I345" s="33"/>
      <c r="J345" s="36"/>
      <c r="K345" t="s">
        <v>30</v>
      </c>
      <c r="L345" s="3">
        <f>4385.03+909+847.85+120.98</f>
        <v>6262.86</v>
      </c>
      <c r="M345" s="3">
        <f>909+847.85+120.98</f>
        <v>1877.83</v>
      </c>
      <c r="N345" s="3">
        <f>L345*0.3</f>
        <v>1878.8579999999997</v>
      </c>
      <c r="O345" s="3">
        <f>(IF(L345&lt;4172.98,0,MIN(L345*0.3,L345-4172.98)))-M345</f>
        <v>1.0279999999997926</v>
      </c>
      <c r="P345" s="6">
        <v>46508</v>
      </c>
      <c r="Q345" t="s">
        <v>47</v>
      </c>
      <c r="R345" s="3">
        <v>847.85</v>
      </c>
      <c r="S345" s="3" t="s">
        <v>69</v>
      </c>
      <c r="Z345" s="181">
        <v>2</v>
      </c>
    </row>
    <row r="346" spans="1:26">
      <c r="A346" s="12">
        <v>23460532</v>
      </c>
      <c r="B346" s="13">
        <v>46241</v>
      </c>
      <c r="C346" s="14">
        <v>0.72491898148148148</v>
      </c>
      <c r="D346" s="15"/>
      <c r="E346" s="16">
        <v>5218131163865</v>
      </c>
      <c r="F346" s="15"/>
      <c r="G346" s="15"/>
      <c r="H346" s="17">
        <v>43755613452</v>
      </c>
      <c r="I346" s="15"/>
      <c r="J346" s="18"/>
      <c r="K346" t="s">
        <v>27</v>
      </c>
      <c r="L346" s="3">
        <f>18287.49+5062.28</f>
        <v>23349.77</v>
      </c>
      <c r="M346" s="3">
        <v>5062.28</v>
      </c>
      <c r="N346" s="3">
        <f>L346*0.3</f>
        <v>7004.9309999999996</v>
      </c>
      <c r="O346" s="3">
        <f>(IF(L346&lt;4172.98,0,MIN(L346*0.3,L346-4172.98)))-M346</f>
        <v>1942.6509999999998</v>
      </c>
      <c r="P346" s="6">
        <v>45413</v>
      </c>
      <c r="Q346" t="s">
        <v>210</v>
      </c>
      <c r="R346" s="3">
        <v>5062.28</v>
      </c>
      <c r="S346" s="3" t="s">
        <v>348</v>
      </c>
      <c r="T346" s="48">
        <v>46241</v>
      </c>
      <c r="Z346" s="181">
        <v>2</v>
      </c>
    </row>
    <row r="347" spans="1:26" hidden="1">
      <c r="A347" s="30">
        <v>23460626</v>
      </c>
      <c r="B347" s="31">
        <v>46241</v>
      </c>
      <c r="C347" s="32">
        <v>0.72746527777777781</v>
      </c>
      <c r="D347" s="33"/>
      <c r="E347" s="34">
        <v>5219211823435</v>
      </c>
      <c r="F347" s="33"/>
      <c r="G347" s="33"/>
      <c r="H347" s="35">
        <v>67906750954</v>
      </c>
      <c r="I347" s="33"/>
      <c r="J347" s="36"/>
      <c r="K347" t="s">
        <v>30</v>
      </c>
      <c r="L347" s="4">
        <v>6411.47</v>
      </c>
      <c r="M347" s="4">
        <v>1920.14</v>
      </c>
      <c r="N347" s="3">
        <f>L347*0.3</f>
        <v>1923.441</v>
      </c>
      <c r="O347" s="3">
        <f>(IF(L347&lt;4172.98,0,MIN(L347*0.3,L347-4172.98)))-M347</f>
        <v>3.3009999999999309</v>
      </c>
      <c r="P347" s="6">
        <v>46844</v>
      </c>
      <c r="Q347" t="s">
        <v>43</v>
      </c>
      <c r="R347" s="3">
        <v>1490.62</v>
      </c>
      <c r="S347" s="3" t="s">
        <v>69</v>
      </c>
      <c r="Z347" s="181">
        <v>2</v>
      </c>
    </row>
    <row r="348" spans="1:26" hidden="1">
      <c r="A348" s="12">
        <v>23460782</v>
      </c>
      <c r="B348" s="13">
        <v>46241</v>
      </c>
      <c r="C348" s="14">
        <v>0.74246527777777782</v>
      </c>
      <c r="D348" s="15"/>
      <c r="E348" s="16">
        <v>5216863183939</v>
      </c>
      <c r="F348" s="15"/>
      <c r="G348" s="15"/>
      <c r="H348" s="17">
        <v>24796208197</v>
      </c>
      <c r="I348" s="15"/>
      <c r="J348" s="18"/>
      <c r="K348" t="s">
        <v>30</v>
      </c>
      <c r="L348" s="3">
        <f>6561.83+2519.69</f>
        <v>9081.52</v>
      </c>
      <c r="M348" s="3">
        <v>2519.69</v>
      </c>
      <c r="N348" s="3">
        <f t="shared" ref="N348:N349" si="21">L348*0.3</f>
        <v>2724.4560000000001</v>
      </c>
      <c r="O348" s="3">
        <f>(IF(L348&lt;4172.98,0,MIN(L348*0.3,L348-4172.98)))-M348</f>
        <v>204.76600000000008</v>
      </c>
      <c r="P348" s="6">
        <v>46266</v>
      </c>
      <c r="Q348" t="s">
        <v>184</v>
      </c>
      <c r="R348" s="3">
        <v>2519.69</v>
      </c>
      <c r="S348" s="3" t="s">
        <v>69</v>
      </c>
      <c r="Z348" s="181">
        <v>2</v>
      </c>
    </row>
    <row r="349" spans="1:26" hidden="1">
      <c r="A349" s="30">
        <v>23460966</v>
      </c>
      <c r="B349" s="31">
        <v>46241</v>
      </c>
      <c r="C349" s="32">
        <v>0.74530092592592589</v>
      </c>
      <c r="D349" s="33" t="s">
        <v>389</v>
      </c>
      <c r="E349" s="34">
        <v>5216561457747</v>
      </c>
      <c r="F349" s="33"/>
      <c r="G349" s="33" t="s">
        <v>390</v>
      </c>
      <c r="H349" s="35" t="s">
        <v>391</v>
      </c>
      <c r="I349" s="33"/>
      <c r="J349" s="36"/>
      <c r="K349" t="s">
        <v>30</v>
      </c>
      <c r="L349" s="3">
        <v>8759.7099999999991</v>
      </c>
      <c r="M349" s="3">
        <f>2511.76</f>
        <v>2511.7600000000002</v>
      </c>
      <c r="N349" s="3">
        <f t="shared" si="21"/>
        <v>2627.9129999999996</v>
      </c>
      <c r="O349" s="3">
        <f>(IF(L349&lt;4172.98,0,MIN(L349*0.3,L349-4172.98)))-M349</f>
        <v>116.15299999999934</v>
      </c>
      <c r="P349" s="6">
        <v>46631</v>
      </c>
      <c r="Q349" t="s">
        <v>206</v>
      </c>
      <c r="R349" s="3">
        <v>2511.7600000000002</v>
      </c>
      <c r="S349" s="3" t="s">
        <v>69</v>
      </c>
      <c r="Z349" s="181">
        <v>2</v>
      </c>
    </row>
    <row r="350" spans="1:26" hidden="1">
      <c r="A350" s="12">
        <v>23461142</v>
      </c>
      <c r="B350" s="13">
        <v>46241</v>
      </c>
      <c r="C350" s="14">
        <v>0.75142361111111111</v>
      </c>
      <c r="D350" s="15" t="s">
        <v>392</v>
      </c>
      <c r="E350" s="16">
        <v>5212711236882</v>
      </c>
      <c r="F350" s="15"/>
      <c r="G350" s="15"/>
      <c r="H350" s="17" t="s">
        <v>393</v>
      </c>
      <c r="I350" s="15"/>
      <c r="J350" s="18"/>
      <c r="K350" t="s">
        <v>30</v>
      </c>
      <c r="L350" s="3">
        <v>7226.18</v>
      </c>
      <c r="M350" s="3">
        <v>2054.29</v>
      </c>
      <c r="N350" s="3">
        <f t="shared" ref="N350:N351" si="22">L350*0.3</f>
        <v>2167.8539999999998</v>
      </c>
      <c r="O350" s="3">
        <f>(IF(L350&lt;4172.98,0,MIN(L350*0.3,L350-4172.98)))-M350</f>
        <v>113.56399999999985</v>
      </c>
      <c r="P350" s="6">
        <v>46508</v>
      </c>
      <c r="Q350" t="s">
        <v>47</v>
      </c>
      <c r="R350" s="3">
        <v>2054.29</v>
      </c>
      <c r="S350" s="3" t="s">
        <v>69</v>
      </c>
      <c r="Z350" s="181">
        <v>2</v>
      </c>
    </row>
    <row r="351" spans="1:26">
      <c r="A351" s="30">
        <v>23461088</v>
      </c>
      <c r="B351" s="31">
        <v>46241</v>
      </c>
      <c r="C351" s="32">
        <v>0.75166666666666671</v>
      </c>
      <c r="D351" s="33"/>
      <c r="E351" s="34">
        <v>5216647152840</v>
      </c>
      <c r="F351" s="33"/>
      <c r="G351" s="33"/>
      <c r="H351" s="35">
        <v>21755804933</v>
      </c>
      <c r="I351" s="33"/>
      <c r="J351" s="36"/>
      <c r="K351" t="s">
        <v>38</v>
      </c>
      <c r="L351" s="3">
        <f>4497.06+947.1</f>
        <v>5444.1600000000008</v>
      </c>
      <c r="M351" s="3">
        <v>947.1</v>
      </c>
      <c r="N351" s="3">
        <f t="shared" si="22"/>
        <v>1633.2480000000003</v>
      </c>
      <c r="O351" s="3">
        <f>(IF(L351&lt;4172.98,0,MIN(L351*0.3,L351-4172.98)))-M351</f>
        <v>324.08000000000118</v>
      </c>
      <c r="P351" s="6">
        <v>46388</v>
      </c>
      <c r="Q351" t="s">
        <v>43</v>
      </c>
      <c r="R351" s="3">
        <v>947.1</v>
      </c>
      <c r="S351" s="3" t="s">
        <v>271</v>
      </c>
      <c r="T351" s="48">
        <v>46241</v>
      </c>
      <c r="U351" s="85"/>
      <c r="Z351" s="181">
        <v>2</v>
      </c>
    </row>
    <row r="352" spans="1:26">
      <c r="A352" s="12">
        <v>23461252</v>
      </c>
      <c r="B352" s="13">
        <v>46241</v>
      </c>
      <c r="C352" s="14">
        <v>0.76312500000000005</v>
      </c>
      <c r="D352" s="15"/>
      <c r="E352" s="16">
        <v>5219811074141</v>
      </c>
      <c r="F352" s="15"/>
      <c r="G352" s="15"/>
      <c r="H352" s="17">
        <v>81795201755</v>
      </c>
      <c r="I352" s="15"/>
      <c r="J352" s="18">
        <v>1</v>
      </c>
      <c r="K352" t="s">
        <v>54</v>
      </c>
      <c r="L352" s="3">
        <v>40464.800000000003</v>
      </c>
      <c r="N352" s="3">
        <f t="shared" ref="N352:N355" si="23">L352*0.3</f>
        <v>12139.44</v>
      </c>
      <c r="O352" s="3">
        <f>(IF(L352&lt;4172.98,0,MIN(L352*0.3,L352-4172.98)))-M352</f>
        <v>12139.44</v>
      </c>
      <c r="S352" s="3" t="s">
        <v>348</v>
      </c>
      <c r="T352" s="48">
        <v>46242</v>
      </c>
      <c r="Z352" s="181">
        <v>1</v>
      </c>
    </row>
    <row r="353" spans="1:26" hidden="1">
      <c r="A353" s="12">
        <v>23461474</v>
      </c>
      <c r="B353" s="13">
        <v>46241</v>
      </c>
      <c r="C353" s="14">
        <v>0.76918981481481485</v>
      </c>
      <c r="D353" s="15"/>
      <c r="E353" s="16">
        <v>5213318942996</v>
      </c>
      <c r="F353" s="15"/>
      <c r="G353" s="15"/>
      <c r="H353" s="17">
        <v>54967400398</v>
      </c>
      <c r="I353" s="15"/>
      <c r="J353" s="18">
        <v>1</v>
      </c>
      <c r="K353" t="s">
        <v>51</v>
      </c>
      <c r="N353" s="3">
        <f t="shared" si="23"/>
        <v>0</v>
      </c>
      <c r="O353" s="3">
        <f>(IF(L353&lt;4172.98,0,MIN(L353*0.3,L353-4172.98)))-M353</f>
        <v>0</v>
      </c>
      <c r="S353" s="3" t="s">
        <v>69</v>
      </c>
      <c r="Z353" s="181">
        <v>1</v>
      </c>
    </row>
    <row r="354" spans="1:26">
      <c r="A354" s="12">
        <v>23461636</v>
      </c>
      <c r="B354" s="13">
        <v>46241</v>
      </c>
      <c r="C354" s="14">
        <v>0.78070601851851851</v>
      </c>
      <c r="D354" s="15"/>
      <c r="E354" s="16">
        <v>5213333936798</v>
      </c>
      <c r="F354" s="15"/>
      <c r="G354" s="15"/>
      <c r="H354" s="17">
        <v>11906617177</v>
      </c>
      <c r="I354" s="15"/>
      <c r="J354" s="18">
        <v>1</v>
      </c>
      <c r="K354" t="s">
        <v>54</v>
      </c>
      <c r="L354" s="3">
        <v>11029.03</v>
      </c>
      <c r="M354" s="3">
        <v>1611.06</v>
      </c>
      <c r="N354" s="3">
        <f t="shared" si="23"/>
        <v>3308.7090000000003</v>
      </c>
      <c r="O354" s="3">
        <f>(IF(L354&lt;4172.98,0,MIN(L354*0.3,L354-4172.98)))-M354</f>
        <v>1697.6490000000003</v>
      </c>
      <c r="P354" s="6">
        <v>46935</v>
      </c>
      <c r="Q354" t="s">
        <v>75</v>
      </c>
      <c r="R354" s="3">
        <v>1611.06</v>
      </c>
      <c r="S354" s="3" t="s">
        <v>62</v>
      </c>
      <c r="T354" s="48">
        <v>46242</v>
      </c>
      <c r="Z354" s="181">
        <v>2</v>
      </c>
    </row>
    <row r="355" spans="1:26" hidden="1">
      <c r="A355" s="30">
        <v>23461770</v>
      </c>
      <c r="B355" s="31">
        <v>46241</v>
      </c>
      <c r="C355" s="32">
        <v>0.78270833333333334</v>
      </c>
      <c r="D355" s="33"/>
      <c r="E355" s="34">
        <v>5216311680920</v>
      </c>
      <c r="F355" s="33"/>
      <c r="G355" s="33"/>
      <c r="H355" s="35">
        <v>75806310720</v>
      </c>
      <c r="I355" s="33"/>
      <c r="J355" s="36">
        <v>1</v>
      </c>
      <c r="K355" t="s">
        <v>30</v>
      </c>
      <c r="L355" s="3">
        <v>9081.52</v>
      </c>
      <c r="M355" s="3">
        <v>2627.5</v>
      </c>
      <c r="N355" s="3">
        <f t="shared" si="23"/>
        <v>2724.4560000000001</v>
      </c>
      <c r="O355" s="3">
        <f>(IF(L355&lt;4172.98,0,MIN(L355*0.3,L355-4172.98)))-M355</f>
        <v>96.956000000000131</v>
      </c>
      <c r="P355" s="6">
        <v>46419</v>
      </c>
      <c r="Q355" t="s">
        <v>75</v>
      </c>
      <c r="R355" s="3">
        <v>2627.5</v>
      </c>
      <c r="S355" s="3" t="s">
        <v>69</v>
      </c>
      <c r="Z355" s="181">
        <v>2</v>
      </c>
    </row>
    <row r="356" spans="1:26">
      <c r="A356" s="30">
        <v>23461806</v>
      </c>
      <c r="B356" s="31">
        <v>46241</v>
      </c>
      <c r="C356" s="32">
        <v>0.78483796296296293</v>
      </c>
      <c r="D356" s="33"/>
      <c r="E356" s="34">
        <v>5219711376838</v>
      </c>
      <c r="F356" s="33"/>
      <c r="G356" s="33" t="s">
        <v>394</v>
      </c>
      <c r="H356" s="35"/>
      <c r="I356" s="33"/>
      <c r="J356" s="36">
        <v>1</v>
      </c>
      <c r="K356" t="s">
        <v>54</v>
      </c>
      <c r="L356" s="3">
        <v>5812.31</v>
      </c>
      <c r="N356" s="3">
        <f>L356*0.3</f>
        <v>1743.693</v>
      </c>
      <c r="O356" s="3">
        <f>(IF(L356&lt;4172.98,0,MIN(L356*0.3,L356-4172.98)))-M356</f>
        <v>1639.3300000000008</v>
      </c>
      <c r="S356" s="3" t="s">
        <v>35</v>
      </c>
      <c r="T356" s="48">
        <v>46242</v>
      </c>
      <c r="U356" t="s">
        <v>368</v>
      </c>
      <c r="Z356" s="181">
        <v>1</v>
      </c>
    </row>
    <row r="357" spans="1:26" hidden="1">
      <c r="A357" s="12">
        <v>23461756</v>
      </c>
      <c r="B357" s="13">
        <v>46241</v>
      </c>
      <c r="C357" s="14">
        <v>0.78495370370370365</v>
      </c>
      <c r="D357" s="15"/>
      <c r="E357" s="16">
        <v>5212228232352</v>
      </c>
      <c r="F357" s="15"/>
      <c r="G357" s="15"/>
      <c r="H357" s="17" t="s">
        <v>395</v>
      </c>
      <c r="I357" s="15"/>
      <c r="J357" s="18">
        <v>1</v>
      </c>
      <c r="K357" t="s">
        <v>51</v>
      </c>
      <c r="N357" s="3">
        <f t="shared" ref="N357:N365" si="24">L357*0.3</f>
        <v>0</v>
      </c>
      <c r="O357" s="3">
        <f>(IF(L357&lt;4172.98,0,MIN(L357*0.3,L357-4172.98)))-M357</f>
        <v>0</v>
      </c>
      <c r="S357" s="3" t="s">
        <v>69</v>
      </c>
      <c r="Z357" s="181">
        <v>1</v>
      </c>
    </row>
    <row r="358" spans="1:26" hidden="1">
      <c r="A358" s="12">
        <v>23462012</v>
      </c>
      <c r="B358" s="13">
        <v>46241</v>
      </c>
      <c r="C358" s="14">
        <v>0.79413194444444446</v>
      </c>
      <c r="D358" s="15"/>
      <c r="E358" s="16">
        <v>5216643309165</v>
      </c>
      <c r="F358" s="15"/>
      <c r="G358" s="15"/>
      <c r="H358" s="17">
        <v>21906016379</v>
      </c>
      <c r="I358" s="15"/>
      <c r="J358" s="18">
        <v>1</v>
      </c>
      <c r="K358" t="s">
        <v>30</v>
      </c>
      <c r="L358" s="3">
        <v>6460.14</v>
      </c>
      <c r="M358" s="3">
        <v>1861.8</v>
      </c>
      <c r="N358" s="3">
        <f t="shared" si="24"/>
        <v>1938.0419999999999</v>
      </c>
      <c r="O358" s="3">
        <f>(IF(L358&lt;4172.98,0,MIN(L358*0.3,L358-4172.98)))-M358</f>
        <v>76.241999999999962</v>
      </c>
      <c r="P358" s="6">
        <v>46692</v>
      </c>
      <c r="Q358" t="s">
        <v>141</v>
      </c>
      <c r="R358" s="3">
        <v>1861.8</v>
      </c>
      <c r="S358" s="3" t="s">
        <v>69</v>
      </c>
      <c r="Z358" s="181">
        <v>2</v>
      </c>
    </row>
    <row r="359" spans="1:26" hidden="1">
      <c r="A359" s="12">
        <v>23462208</v>
      </c>
      <c r="B359" s="13">
        <v>46241</v>
      </c>
      <c r="C359" s="14">
        <v>0.80420138888888892</v>
      </c>
      <c r="D359" s="15"/>
      <c r="E359" s="16">
        <v>5214611887792</v>
      </c>
      <c r="F359" s="15"/>
      <c r="G359" s="15"/>
      <c r="H359" s="17" t="s">
        <v>396</v>
      </c>
      <c r="I359" s="15"/>
      <c r="J359" s="18">
        <v>1</v>
      </c>
      <c r="K359" t="s">
        <v>30</v>
      </c>
      <c r="L359" s="3">
        <v>7116.73</v>
      </c>
      <c r="M359" s="3">
        <v>2058</v>
      </c>
      <c r="N359" s="3">
        <f t="shared" si="24"/>
        <v>2135.0189999999998</v>
      </c>
      <c r="O359" s="3">
        <f>(IF(L359&lt;4172.98,0,MIN(L359*0.3,L359-4172.98)))-M359</f>
        <v>77.018999999999778</v>
      </c>
      <c r="P359" s="6">
        <v>46631</v>
      </c>
      <c r="Q359" t="s">
        <v>47</v>
      </c>
      <c r="R359" s="3">
        <v>2058</v>
      </c>
      <c r="S359" s="3" t="s">
        <v>69</v>
      </c>
      <c r="Z359" s="181">
        <v>2</v>
      </c>
    </row>
    <row r="360" spans="1:26" hidden="1">
      <c r="A360" s="12">
        <v>23462454</v>
      </c>
      <c r="B360" s="13">
        <v>46241</v>
      </c>
      <c r="C360" s="14">
        <v>0.81741898148148151</v>
      </c>
      <c r="D360" s="15"/>
      <c r="E360" s="16">
        <v>5213333926028</v>
      </c>
      <c r="F360" s="15"/>
      <c r="G360" s="15"/>
      <c r="H360" s="17" t="s">
        <v>397</v>
      </c>
      <c r="I360" s="15"/>
      <c r="J360" s="18">
        <v>1</v>
      </c>
      <c r="K360" t="s">
        <v>58</v>
      </c>
      <c r="L360" s="3">
        <v>3437</v>
      </c>
      <c r="N360" s="3">
        <f t="shared" si="24"/>
        <v>1031.0999999999999</v>
      </c>
      <c r="O360" s="3">
        <f>(IF(L360&lt;4172.98,0,MIN(L360*0.3,L360-4172.98)))-M360</f>
        <v>0</v>
      </c>
      <c r="S360" s="3" t="s">
        <v>69</v>
      </c>
      <c r="Z360" s="181">
        <v>1</v>
      </c>
    </row>
    <row r="361" spans="1:26" hidden="1">
      <c r="A361" s="12">
        <v>23462864</v>
      </c>
      <c r="B361" s="13">
        <v>46241</v>
      </c>
      <c r="C361" s="14">
        <v>0.84393518518518518</v>
      </c>
      <c r="D361" s="15"/>
      <c r="E361" s="16">
        <v>5212293738187</v>
      </c>
      <c r="F361" s="15"/>
      <c r="G361" s="15"/>
      <c r="H361" s="17">
        <v>11796166095</v>
      </c>
      <c r="I361" s="15"/>
      <c r="J361" s="18">
        <v>1</v>
      </c>
      <c r="K361" t="s">
        <v>189</v>
      </c>
      <c r="N361" s="3">
        <f t="shared" si="24"/>
        <v>0</v>
      </c>
      <c r="O361" s="3">
        <f>(IF(L361&lt;4172.98,0,MIN(L361*0.3,L361-4172.98)))-M361</f>
        <v>0</v>
      </c>
      <c r="S361" s="3" t="s">
        <v>69</v>
      </c>
      <c r="Z361" s="181">
        <v>1</v>
      </c>
    </row>
    <row r="362" spans="1:26" hidden="1">
      <c r="A362" s="12">
        <v>23462898</v>
      </c>
      <c r="B362" s="13">
        <v>46241</v>
      </c>
      <c r="C362" s="14">
        <v>0.84430555555555553</v>
      </c>
      <c r="D362" s="15"/>
      <c r="E362" s="16">
        <v>5215620588574</v>
      </c>
      <c r="F362" s="15"/>
      <c r="G362" s="15" t="s">
        <v>398</v>
      </c>
      <c r="H362" s="17"/>
      <c r="I362" s="15"/>
      <c r="J362" s="18">
        <v>1</v>
      </c>
      <c r="K362" t="s">
        <v>32</v>
      </c>
      <c r="N362" s="3">
        <f t="shared" si="24"/>
        <v>0</v>
      </c>
      <c r="O362" s="3">
        <f>(IF(L362&lt;4172.98,0,MIN(L362*0.3,L362-4172.98)))-M362</f>
        <v>0</v>
      </c>
      <c r="S362" s="3" t="s">
        <v>69</v>
      </c>
      <c r="Z362" s="181">
        <v>0</v>
      </c>
    </row>
    <row r="363" spans="1:26">
      <c r="A363" s="12">
        <v>23463744</v>
      </c>
      <c r="B363" s="13">
        <v>46241</v>
      </c>
      <c r="C363" s="14">
        <v>0.90456018518518522</v>
      </c>
      <c r="D363" s="15"/>
      <c r="E363" s="16">
        <v>5217828881035</v>
      </c>
      <c r="F363" s="15"/>
      <c r="G363" s="15"/>
      <c r="H363" s="17" t="s">
        <v>399</v>
      </c>
      <c r="I363" s="15"/>
      <c r="J363" s="18">
        <v>1</v>
      </c>
      <c r="K363" t="s">
        <v>38</v>
      </c>
      <c r="L363" s="3">
        <f>31496.21+4724.43</f>
        <v>36220.639999999999</v>
      </c>
      <c r="M363" s="3">
        <f>8689+420.09+921.55+447.74</f>
        <v>10478.379999999999</v>
      </c>
      <c r="N363" s="3">
        <f t="shared" si="24"/>
        <v>10866.191999999999</v>
      </c>
      <c r="O363" s="3">
        <f>(IF(L363&lt;4172.98,0,MIN(L363*0.3,L363-4172.98)))-M363</f>
        <v>387.8119999999999</v>
      </c>
      <c r="P363" s="6">
        <v>46357</v>
      </c>
      <c r="Q363" t="s">
        <v>206</v>
      </c>
      <c r="R363" s="3">
        <v>447.74</v>
      </c>
      <c r="S363" s="3" t="s">
        <v>266</v>
      </c>
      <c r="T363" s="48">
        <v>46242</v>
      </c>
      <c r="Z363" s="181">
        <v>2</v>
      </c>
    </row>
    <row r="364" spans="1:26">
      <c r="A364" s="12">
        <v>23463790</v>
      </c>
      <c r="B364" s="13">
        <v>46241</v>
      </c>
      <c r="C364" s="14">
        <v>0.9122569444444445</v>
      </c>
      <c r="D364" s="15"/>
      <c r="E364" s="16">
        <v>5212411720323</v>
      </c>
      <c r="F364" s="15"/>
      <c r="G364" s="15" t="s">
        <v>400</v>
      </c>
      <c r="H364" s="17"/>
      <c r="I364" s="15"/>
      <c r="J364" s="18">
        <v>1</v>
      </c>
      <c r="K364" t="s">
        <v>54</v>
      </c>
      <c r="L364" s="3">
        <v>5930.73</v>
      </c>
      <c r="N364" s="3">
        <f t="shared" si="24"/>
        <v>1779.2189999999998</v>
      </c>
      <c r="O364" s="3">
        <f>(IF(L364&lt;4172.98,0,MIN(L364*0.3,L364-4172.98)))-M364</f>
        <v>1757.75</v>
      </c>
      <c r="S364" s="3" t="s">
        <v>62</v>
      </c>
      <c r="T364" s="48">
        <v>46242</v>
      </c>
      <c r="Z364" s="181">
        <v>1</v>
      </c>
    </row>
    <row r="365" spans="1:26" hidden="1">
      <c r="A365" s="30">
        <v>23465014</v>
      </c>
      <c r="B365" s="31">
        <v>46242</v>
      </c>
      <c r="C365" s="32">
        <v>7.6064814814814821E-2</v>
      </c>
      <c r="D365" s="33"/>
      <c r="E365" s="34">
        <v>5215525390373</v>
      </c>
      <c r="F365" s="33"/>
      <c r="G365" s="33"/>
      <c r="H365" s="35">
        <v>75806244788</v>
      </c>
      <c r="I365" s="33"/>
      <c r="J365" s="36">
        <v>1</v>
      </c>
      <c r="K365" t="s">
        <v>30</v>
      </c>
      <c r="L365" s="3">
        <f>5185.75+958.73+1256.63</f>
        <v>7401.11</v>
      </c>
      <c r="M365" s="3">
        <f>958.73+1256.63</f>
        <v>2215.36</v>
      </c>
      <c r="N365" s="3">
        <f t="shared" si="24"/>
        <v>2220.3329999999996</v>
      </c>
      <c r="O365" s="3">
        <f>(IF(L365&lt;4172.98,0,MIN(L365*0.3,L365-4172.98)))-M365</f>
        <v>4.9729999999995016</v>
      </c>
      <c r="P365" s="6">
        <v>46874</v>
      </c>
      <c r="Q365" t="s">
        <v>75</v>
      </c>
      <c r="R365" s="3">
        <v>1256.6300000000001</v>
      </c>
      <c r="S365" s="3" t="s">
        <v>69</v>
      </c>
      <c r="Z365" s="181">
        <v>2</v>
      </c>
    </row>
    <row r="366" spans="1:26">
      <c r="A366" s="12">
        <v>23465238</v>
      </c>
      <c r="B366" s="13">
        <v>46242</v>
      </c>
      <c r="C366" s="14">
        <v>0.13268518518518518</v>
      </c>
      <c r="D366" s="15" t="s">
        <v>401</v>
      </c>
      <c r="E366" s="16">
        <v>5216391203684</v>
      </c>
      <c r="F366" s="15"/>
      <c r="G366" s="15" t="s">
        <v>402</v>
      </c>
      <c r="H366" s="17" t="s">
        <v>403</v>
      </c>
      <c r="I366" s="15"/>
      <c r="J366" s="18"/>
      <c r="K366" t="s">
        <v>38</v>
      </c>
      <c r="L366" s="3">
        <v>4813.6899999999996</v>
      </c>
      <c r="N366" s="3">
        <f t="shared" ref="N366:N370" si="25">L366*0.3</f>
        <v>1444.1069999999997</v>
      </c>
      <c r="O366" s="3">
        <f>(IF(L366&lt;4172.98,0,MIN(L366*0.3,L366-4172.98)))-M366</f>
        <v>640.71</v>
      </c>
      <c r="S366" s="3" t="s">
        <v>266</v>
      </c>
      <c r="T366" s="48">
        <v>46242</v>
      </c>
      <c r="Z366" s="181">
        <v>1</v>
      </c>
    </row>
    <row r="367" spans="1:26" hidden="1">
      <c r="A367" s="12">
        <v>23467666</v>
      </c>
      <c r="B367" s="13">
        <v>46242</v>
      </c>
      <c r="C367" s="14">
        <v>0.2963425925925926</v>
      </c>
      <c r="D367" s="15"/>
      <c r="E367" s="16">
        <v>5216442579537</v>
      </c>
      <c r="F367" s="15"/>
      <c r="G367" s="15" t="s">
        <v>404</v>
      </c>
      <c r="H367" s="17"/>
      <c r="I367" s="15"/>
      <c r="J367" s="18"/>
      <c r="K367" t="s">
        <v>32</v>
      </c>
      <c r="N367" s="3">
        <f t="shared" si="25"/>
        <v>0</v>
      </c>
      <c r="O367" s="3">
        <f>(IF(L367&lt;4172.98,0,MIN(L367*0.3,L367-4172.98)))-M367</f>
        <v>0</v>
      </c>
      <c r="S367" s="3" t="s">
        <v>69</v>
      </c>
      <c r="Z367" s="181">
        <v>0</v>
      </c>
    </row>
    <row r="368" spans="1:26" hidden="1">
      <c r="A368" s="12">
        <v>23468448</v>
      </c>
      <c r="B368" s="13">
        <v>46242</v>
      </c>
      <c r="C368" s="14">
        <v>0.32645833333333335</v>
      </c>
      <c r="D368" s="15"/>
      <c r="E368" s="16">
        <v>5214441420296</v>
      </c>
      <c r="F368" s="15"/>
      <c r="G368" s="15"/>
      <c r="H368" s="17">
        <v>41926809694</v>
      </c>
      <c r="I368" s="15"/>
      <c r="J368" s="18"/>
      <c r="K368" t="s">
        <v>32</v>
      </c>
      <c r="N368" s="3">
        <f t="shared" si="25"/>
        <v>0</v>
      </c>
      <c r="O368" s="3">
        <f>(IF(L368&lt;4172.98,0,MIN(L368*0.3,L368-4172.98)))-M368</f>
        <v>0</v>
      </c>
      <c r="S368" s="3" t="s">
        <v>69</v>
      </c>
      <c r="Z368" s="181">
        <v>0</v>
      </c>
    </row>
    <row r="369" spans="1:26" hidden="1">
      <c r="A369" s="12">
        <v>23469488</v>
      </c>
      <c r="B369" s="13">
        <v>46242</v>
      </c>
      <c r="C369" s="14">
        <v>0.35784722222222221</v>
      </c>
      <c r="D369" s="15" t="s">
        <v>405</v>
      </c>
      <c r="E369" s="16">
        <v>5216391483734</v>
      </c>
      <c r="F369" s="15"/>
      <c r="G369" s="15"/>
      <c r="H369" s="17" t="s">
        <v>406</v>
      </c>
      <c r="I369" s="15"/>
      <c r="J369" s="18"/>
      <c r="K369" t="s">
        <v>30</v>
      </c>
      <c r="L369" s="3">
        <v>8131.77</v>
      </c>
      <c r="M369" s="3">
        <v>2439.5300000000002</v>
      </c>
      <c r="N369" s="3">
        <f t="shared" si="25"/>
        <v>2439.5309999999999</v>
      </c>
      <c r="O369" s="3">
        <f>(IF(L369&lt;4172.98,0,MIN(L369*0.3,L369-4172.98)))-M369</f>
        <v>9.9999999974897946E-4</v>
      </c>
      <c r="S369" s="3" t="s">
        <v>69</v>
      </c>
      <c r="Z369" s="181">
        <v>1</v>
      </c>
    </row>
    <row r="370" spans="1:26" hidden="1">
      <c r="A370" s="30">
        <v>23470056</v>
      </c>
      <c r="B370" s="31">
        <v>46242</v>
      </c>
      <c r="C370" s="32">
        <v>0.37195601851851851</v>
      </c>
      <c r="D370" s="33"/>
      <c r="E370" s="34">
        <v>5216645818444</v>
      </c>
      <c r="F370" s="33"/>
      <c r="G370" s="33"/>
      <c r="H370" s="35">
        <v>84765800168</v>
      </c>
      <c r="I370" s="33"/>
      <c r="J370" s="36"/>
      <c r="K370" t="s">
        <v>58</v>
      </c>
      <c r="L370" s="3">
        <f>4095.92+848</f>
        <v>4943.92</v>
      </c>
      <c r="M370" s="3">
        <v>848</v>
      </c>
      <c r="N370" s="3">
        <f t="shared" si="25"/>
        <v>1483.1759999999999</v>
      </c>
      <c r="O370" s="3">
        <f>(IF(L370&lt;4172.98,0,MIN(L370*0.3,L370-4172.98)))-M370</f>
        <v>-77.059999999999491</v>
      </c>
      <c r="P370" s="6">
        <v>46539</v>
      </c>
      <c r="Q370" t="s">
        <v>75</v>
      </c>
      <c r="R370" s="3">
        <v>1480.95</v>
      </c>
      <c r="S370" s="3" t="s">
        <v>69</v>
      </c>
      <c r="Z370" s="181">
        <v>2</v>
      </c>
    </row>
    <row r="371" spans="1:26" hidden="1">
      <c r="A371" s="30">
        <v>23407898</v>
      </c>
      <c r="B371" s="31">
        <v>46242</v>
      </c>
      <c r="C371" s="32">
        <v>0.38445601851851852</v>
      </c>
      <c r="D371" s="33" t="s">
        <v>407</v>
      </c>
      <c r="E371" s="34">
        <v>5215515328247</v>
      </c>
      <c r="F371" s="33"/>
      <c r="G371" s="33" t="s">
        <v>408</v>
      </c>
      <c r="H371" s="35" t="s">
        <v>409</v>
      </c>
      <c r="I371" s="33"/>
      <c r="J371" s="36"/>
      <c r="K371" t="s">
        <v>32</v>
      </c>
      <c r="N371" s="3">
        <f>L371*0.3</f>
        <v>0</v>
      </c>
      <c r="O371" s="3">
        <f>(IF(L371&lt;4172.98,0,MIN(L371*0.3,L371-4172.98)))-M371</f>
        <v>0</v>
      </c>
      <c r="S371" s="53" t="s">
        <v>69</v>
      </c>
      <c r="Z371" s="181">
        <v>0</v>
      </c>
    </row>
    <row r="372" spans="1:26">
      <c r="A372" s="30">
        <v>23449594</v>
      </c>
      <c r="B372" s="31">
        <v>46242</v>
      </c>
      <c r="C372" s="32">
        <v>0.38644675925925925</v>
      </c>
      <c r="D372" s="33" t="s">
        <v>410</v>
      </c>
      <c r="E372" s="34">
        <v>5215561718755</v>
      </c>
      <c r="F372" s="33"/>
      <c r="G372" s="33" t="s">
        <v>411</v>
      </c>
      <c r="H372" s="35"/>
      <c r="I372" s="33"/>
      <c r="J372" s="36"/>
      <c r="K372" t="s">
        <v>38</v>
      </c>
      <c r="L372" s="3">
        <f>11329.06+998.6+3171.03</f>
        <v>15498.69</v>
      </c>
      <c r="M372" s="3">
        <f>3171.03+998.6</f>
        <v>4169.63</v>
      </c>
      <c r="N372" s="3">
        <f>L372*0.3</f>
        <v>4649.607</v>
      </c>
      <c r="O372" s="3">
        <f>(IF(L372&lt;4172.98,0,MIN(L372*0.3,L372-4172.98)))-M372</f>
        <v>479.97699999999986</v>
      </c>
      <c r="P372" s="6">
        <v>46266</v>
      </c>
      <c r="Q372" t="s">
        <v>80</v>
      </c>
      <c r="R372" s="3">
        <v>3171.03</v>
      </c>
      <c r="S372" s="53" t="s">
        <v>271</v>
      </c>
      <c r="T372" s="48">
        <v>46242</v>
      </c>
      <c r="Z372" s="181">
        <v>2</v>
      </c>
    </row>
    <row r="373" spans="1:26" hidden="1">
      <c r="A373" s="30">
        <v>23470472</v>
      </c>
      <c r="B373" s="31">
        <v>46242</v>
      </c>
      <c r="C373" s="32">
        <v>0.38884259259259257</v>
      </c>
      <c r="D373" s="33"/>
      <c r="E373" s="34">
        <v>5218125796593</v>
      </c>
      <c r="F373" s="33"/>
      <c r="G373" s="33" t="s">
        <v>412</v>
      </c>
      <c r="H373" s="35"/>
      <c r="I373" s="33"/>
      <c r="J373" s="36"/>
      <c r="K373" t="s">
        <v>32</v>
      </c>
      <c r="N373" s="3">
        <f>L373*0.3</f>
        <v>0</v>
      </c>
      <c r="O373" s="3">
        <f>(IF(L373&lt;4172.98,0,MIN(L373*0.3,L373-4172.98)))-M373</f>
        <v>0</v>
      </c>
      <c r="S373" s="3" t="s">
        <v>69</v>
      </c>
      <c r="Z373" s="181">
        <v>0</v>
      </c>
    </row>
    <row r="374" spans="1:26" hidden="1">
      <c r="A374" s="30">
        <v>23471374</v>
      </c>
      <c r="B374" s="31">
        <v>46242</v>
      </c>
      <c r="C374" s="32">
        <v>0.41432870370370373</v>
      </c>
      <c r="D374" s="33" t="s">
        <v>413</v>
      </c>
      <c r="E374" s="34">
        <v>5217224218512</v>
      </c>
      <c r="F374" s="33"/>
      <c r="G374" s="33" t="s">
        <v>414</v>
      </c>
      <c r="H374" s="35" t="s">
        <v>415</v>
      </c>
      <c r="I374" s="33"/>
      <c r="J374" s="36"/>
      <c r="K374" t="s">
        <v>58</v>
      </c>
      <c r="L374" s="3">
        <v>4342.43</v>
      </c>
      <c r="N374" s="3">
        <f>L374*0.3</f>
        <v>1302.729</v>
      </c>
      <c r="O374" s="3">
        <f>(IF(L374&lt;4172.98,0,MIN(L374*0.3,L374-4172.98)))-M374</f>
        <v>169.45000000000073</v>
      </c>
      <c r="S374" s="3" t="s">
        <v>69</v>
      </c>
      <c r="Z374" s="181">
        <v>1</v>
      </c>
    </row>
    <row r="375" spans="1:26" hidden="1">
      <c r="A375" s="30">
        <v>23471930</v>
      </c>
      <c r="B375" s="31">
        <v>46242</v>
      </c>
      <c r="C375" s="32">
        <v>0.43344907407407407</v>
      </c>
      <c r="D375" s="33"/>
      <c r="E375" s="34">
        <v>5217971404689</v>
      </c>
      <c r="F375" s="33"/>
      <c r="G375" s="33" t="s">
        <v>416</v>
      </c>
      <c r="H375" s="35"/>
      <c r="I375" s="33"/>
      <c r="J375" s="36"/>
      <c r="K375" t="s">
        <v>32</v>
      </c>
      <c r="N375" s="3">
        <f>L375*0.3</f>
        <v>0</v>
      </c>
      <c r="O375" s="3">
        <f>(IF(L375&lt;4172.98,0,MIN(L375*0.3,L375-4172.98)))-M375</f>
        <v>0</v>
      </c>
      <c r="S375" s="3" t="s">
        <v>69</v>
      </c>
      <c r="Z375" s="181">
        <v>0</v>
      </c>
    </row>
    <row r="376" spans="1:26" hidden="1">
      <c r="A376" s="30">
        <v>23472034</v>
      </c>
      <c r="B376" s="31">
        <v>46242</v>
      </c>
      <c r="C376" s="32">
        <v>0.44003472222222223</v>
      </c>
      <c r="D376" s="33"/>
      <c r="E376" s="34">
        <v>5218121606892</v>
      </c>
      <c r="F376" s="33"/>
      <c r="G376" s="33"/>
      <c r="H376" s="35">
        <v>43876990912</v>
      </c>
      <c r="I376" s="33"/>
      <c r="J376" s="36"/>
      <c r="K376" t="s">
        <v>51</v>
      </c>
      <c r="N376" s="3">
        <f>L376*0.3</f>
        <v>0</v>
      </c>
      <c r="O376" s="3">
        <f>(IF(L376&lt;4172.98,0,MIN(L376*0.3,L376-4172.98)))-M376</f>
        <v>0</v>
      </c>
      <c r="S376" s="3" t="s">
        <v>69</v>
      </c>
      <c r="Z376" s="181">
        <v>1</v>
      </c>
    </row>
    <row r="377" spans="1:26" hidden="1">
      <c r="A377" s="12">
        <v>23472802</v>
      </c>
      <c r="B377" s="13">
        <v>46242</v>
      </c>
      <c r="C377" s="14">
        <v>0.4739814814814815</v>
      </c>
      <c r="D377" s="15"/>
      <c r="E377" s="16">
        <v>5216671847236</v>
      </c>
      <c r="F377" s="15"/>
      <c r="G377" s="15"/>
      <c r="H377" s="17">
        <v>53866104259</v>
      </c>
      <c r="I377" s="15"/>
      <c r="J377" s="18"/>
      <c r="K377" t="s">
        <v>30</v>
      </c>
      <c r="L377" s="3">
        <v>6262.86</v>
      </c>
      <c r="M377" s="3">
        <v>1863.29</v>
      </c>
      <c r="N377" s="3">
        <f>L377*0.3</f>
        <v>1878.8579999999997</v>
      </c>
      <c r="O377" s="3">
        <f>(IF(L377&lt;4172.98,0,MIN(L377*0.3,L377-4172.98)))-M377</f>
        <v>15.567999999999756</v>
      </c>
      <c r="P377" s="6">
        <v>46419</v>
      </c>
      <c r="Q377" t="s">
        <v>59</v>
      </c>
      <c r="R377" s="3">
        <v>1610</v>
      </c>
      <c r="S377" s="3" t="s">
        <v>69</v>
      </c>
      <c r="Z377" s="181">
        <v>2</v>
      </c>
    </row>
    <row r="378" spans="1:26">
      <c r="A378" s="30">
        <v>23472932</v>
      </c>
      <c r="B378" s="31">
        <v>46242</v>
      </c>
      <c r="C378" s="32">
        <v>0.47439814814814812</v>
      </c>
      <c r="D378" s="33"/>
      <c r="E378" s="34">
        <v>5215518722830</v>
      </c>
      <c r="F378" s="33"/>
      <c r="G378" s="33" t="s">
        <v>417</v>
      </c>
      <c r="H378" s="35" t="s">
        <v>418</v>
      </c>
      <c r="I378" s="33"/>
      <c r="J378" s="36"/>
      <c r="K378" t="s">
        <v>27</v>
      </c>
      <c r="L378" s="3">
        <v>7116.73</v>
      </c>
      <c r="M378" s="3">
        <v>2134</v>
      </c>
      <c r="N378" s="3">
        <f>L378*0.3</f>
        <v>2135.0189999999998</v>
      </c>
      <c r="O378" s="3">
        <f>(IF(L378&lt;4172.98,0,MIN(L378*0.3,L378-4172.98)))-M378</f>
        <v>1.0189999999997781</v>
      </c>
      <c r="P378" s="6">
        <v>45627</v>
      </c>
      <c r="Q378" t="s">
        <v>80</v>
      </c>
      <c r="R378" s="3">
        <v>1747.63</v>
      </c>
      <c r="S378" s="3" t="s">
        <v>348</v>
      </c>
      <c r="T378" s="48">
        <v>46242</v>
      </c>
      <c r="Z378" s="181">
        <v>2</v>
      </c>
    </row>
    <row r="379" spans="1:26">
      <c r="A379" s="12">
        <v>23472988</v>
      </c>
      <c r="B379" s="13">
        <v>46242</v>
      </c>
      <c r="C379" s="14">
        <v>0.47708333333333336</v>
      </c>
      <c r="D379" s="15"/>
      <c r="E379" s="16">
        <v>5218661719015</v>
      </c>
      <c r="F379" s="15"/>
      <c r="G379" s="15"/>
      <c r="H379" s="17" t="s">
        <v>419</v>
      </c>
      <c r="I379" s="15"/>
      <c r="J379" s="18"/>
      <c r="K379" t="s">
        <v>54</v>
      </c>
      <c r="L379" s="3">
        <v>13338.27</v>
      </c>
      <c r="N379" s="3">
        <f>L379*0.3</f>
        <v>4001.4809999999998</v>
      </c>
      <c r="O379" s="3">
        <f>(IF(L379&lt;4172.98,0,MIN(L379*0.3,L379-4172.98)))-M379</f>
        <v>4001.4809999999998</v>
      </c>
      <c r="S379" s="3" t="s">
        <v>348</v>
      </c>
      <c r="T379" s="48">
        <v>46242</v>
      </c>
      <c r="Z379" s="181">
        <v>1</v>
      </c>
    </row>
    <row r="380" spans="1:26" hidden="1">
      <c r="A380" s="30">
        <v>23472922</v>
      </c>
      <c r="B380" s="31">
        <v>46242</v>
      </c>
      <c r="C380" s="32">
        <v>0.48067129629629629</v>
      </c>
      <c r="D380" s="33"/>
      <c r="E380" s="34">
        <v>5215510694878</v>
      </c>
      <c r="F380" s="33"/>
      <c r="G380" s="33" t="s">
        <v>420</v>
      </c>
      <c r="H380" s="35"/>
      <c r="I380" s="33"/>
      <c r="J380" s="36"/>
      <c r="K380" t="s">
        <v>30</v>
      </c>
      <c r="L380" s="3">
        <v>7116.73</v>
      </c>
      <c r="M380" s="3">
        <v>2058.0100000000002</v>
      </c>
      <c r="N380" s="3">
        <f>L380*0.3</f>
        <v>2135.0189999999998</v>
      </c>
      <c r="O380" s="3">
        <f>(IF(L380&lt;4172.98,0,MIN(L380*0.3,L380-4172.98)))-M380</f>
        <v>77.00899999999956</v>
      </c>
      <c r="P380" s="6">
        <v>46600</v>
      </c>
      <c r="Q380" t="s">
        <v>421</v>
      </c>
      <c r="R380" s="3">
        <v>2058.0100000000002</v>
      </c>
      <c r="S380" s="3" t="s">
        <v>69</v>
      </c>
      <c r="Z380" s="181">
        <v>2</v>
      </c>
    </row>
    <row r="381" spans="1:26" hidden="1">
      <c r="A381" s="30">
        <v>23473240</v>
      </c>
      <c r="B381" s="31">
        <v>46242</v>
      </c>
      <c r="C381" s="32">
        <v>0.49201388888888886</v>
      </c>
      <c r="D381" s="33"/>
      <c r="E381" s="34">
        <v>5219983038682</v>
      </c>
      <c r="F381" s="33"/>
      <c r="G381" s="33"/>
      <c r="H381" s="35" t="s">
        <v>422</v>
      </c>
      <c r="I381" s="33"/>
      <c r="J381" s="36"/>
      <c r="K381" t="s">
        <v>58</v>
      </c>
      <c r="L381" s="3">
        <v>3818.93</v>
      </c>
      <c r="N381" s="3">
        <f>L381*0.3</f>
        <v>1145.6789999999999</v>
      </c>
      <c r="O381" s="3">
        <f>(IF(L381&lt;4172.98,0,MIN(L381*0.3,L381-4172.98)))-M381</f>
        <v>0</v>
      </c>
      <c r="S381" s="3" t="s">
        <v>69</v>
      </c>
      <c r="Z381" s="181">
        <v>1</v>
      </c>
    </row>
    <row r="382" spans="1:26" hidden="1">
      <c r="A382" s="30">
        <v>23473852</v>
      </c>
      <c r="B382" s="31">
        <v>46242</v>
      </c>
      <c r="C382" s="32">
        <v>0.5199421296296296</v>
      </c>
      <c r="D382" s="33"/>
      <c r="E382" s="34">
        <v>5218334355808</v>
      </c>
      <c r="F382" s="33"/>
      <c r="G382" s="33" t="s">
        <v>423</v>
      </c>
      <c r="H382" s="35"/>
      <c r="I382" s="33"/>
      <c r="J382" s="36"/>
      <c r="K382" t="s">
        <v>32</v>
      </c>
      <c r="N382" s="3">
        <f>L382*0.3</f>
        <v>0</v>
      </c>
      <c r="O382" s="3">
        <f>(IF(L382&lt;4172.98,0,MIN(L382*0.3,L382-4172.98)))-M382</f>
        <v>0</v>
      </c>
      <c r="S382" s="3" t="s">
        <v>69</v>
      </c>
      <c r="Z382" s="181">
        <v>0</v>
      </c>
    </row>
    <row r="383" spans="1:26">
      <c r="A383" s="30">
        <v>23474020</v>
      </c>
      <c r="B383" s="31">
        <v>46242</v>
      </c>
      <c r="C383" s="32">
        <v>0.52379629629629632</v>
      </c>
      <c r="D383" s="33"/>
      <c r="E383" s="34">
        <v>5218713780653</v>
      </c>
      <c r="F383" s="33"/>
      <c r="G383" s="33" t="s">
        <v>424</v>
      </c>
      <c r="H383" s="35" t="s">
        <v>425</v>
      </c>
      <c r="I383" s="33"/>
      <c r="J383" s="36"/>
      <c r="K383" t="s">
        <v>27</v>
      </c>
      <c r="L383" s="3">
        <v>5542.22</v>
      </c>
      <c r="M383" s="3">
        <v>1354.16</v>
      </c>
      <c r="N383" s="3">
        <f>L383*0.3</f>
        <v>1662.6659999999999</v>
      </c>
      <c r="O383" s="3">
        <f>(IF(L383&lt;4172.98,0,MIN(L383*0.3,L383-4172.98)))-M383</f>
        <v>15.080000000000609</v>
      </c>
      <c r="P383" s="6">
        <v>46174</v>
      </c>
      <c r="Q383" t="s">
        <v>206</v>
      </c>
      <c r="R383" s="3">
        <v>1354.16</v>
      </c>
      <c r="S383" s="3" t="s">
        <v>62</v>
      </c>
      <c r="T383" s="48">
        <v>46242</v>
      </c>
      <c r="Z383" s="181">
        <v>2</v>
      </c>
    </row>
    <row r="384" spans="1:26" hidden="1">
      <c r="A384" s="30">
        <v>23474038</v>
      </c>
      <c r="B384" s="31">
        <v>46242</v>
      </c>
      <c r="C384" s="32">
        <v>0.5289814814814815</v>
      </c>
      <c r="D384" s="33"/>
      <c r="E384" s="34">
        <v>5215662079030</v>
      </c>
      <c r="F384" s="33"/>
      <c r="G384" s="33"/>
      <c r="H384" s="35" t="s">
        <v>426</v>
      </c>
      <c r="I384" s="33"/>
      <c r="J384" s="36"/>
      <c r="K384" t="s">
        <v>58</v>
      </c>
      <c r="L384" s="3">
        <f>3934.69+879</f>
        <v>4813.6900000000005</v>
      </c>
      <c r="M384" s="3">
        <v>879</v>
      </c>
      <c r="N384" s="3">
        <f>L384*0.3</f>
        <v>1444.1070000000002</v>
      </c>
      <c r="O384" s="3">
        <f>(IF(L384&lt;4172.98,0,MIN(L384*0.3,L384-4172.98)))-M384</f>
        <v>-238.28999999999905</v>
      </c>
      <c r="S384" s="3" t="s">
        <v>69</v>
      </c>
      <c r="Z384" s="181">
        <v>1</v>
      </c>
    </row>
    <row r="385" spans="1:26" hidden="1">
      <c r="A385" s="30">
        <v>23474296</v>
      </c>
      <c r="B385" s="31">
        <v>46242</v>
      </c>
      <c r="C385" s="32">
        <v>0.53328703703703706</v>
      </c>
      <c r="D385" s="33"/>
      <c r="E385" s="34"/>
      <c r="F385" s="33"/>
      <c r="G385" s="33" t="s">
        <v>76</v>
      </c>
      <c r="H385" s="35"/>
      <c r="I385" s="33"/>
      <c r="J385" s="36"/>
      <c r="K385" t="s">
        <v>30</v>
      </c>
      <c r="L385" s="3">
        <v>9760.32</v>
      </c>
      <c r="M385" s="3">
        <v>2823.87</v>
      </c>
      <c r="N385" s="3">
        <f>L385*0.3</f>
        <v>2928.096</v>
      </c>
      <c r="O385" s="3">
        <f>(IF(L385&lt;4172.98,0,MIN(L385*0.3,L385-4172.98)))-M385</f>
        <v>104.22600000000011</v>
      </c>
      <c r="P385" s="6">
        <v>46539</v>
      </c>
      <c r="Q385" t="s">
        <v>427</v>
      </c>
      <c r="R385" s="3">
        <v>2823.87</v>
      </c>
      <c r="S385" s="3" t="s">
        <v>69</v>
      </c>
      <c r="Z385" s="181">
        <v>2</v>
      </c>
    </row>
    <row r="386" spans="1:26" hidden="1">
      <c r="A386" s="30">
        <v>23474658</v>
      </c>
      <c r="B386" s="31">
        <v>46242</v>
      </c>
      <c r="C386" s="32">
        <v>0.55280092592592589</v>
      </c>
      <c r="D386" s="33"/>
      <c r="E386" s="34">
        <v>5218110505838</v>
      </c>
      <c r="F386" s="33"/>
      <c r="G386" s="33"/>
      <c r="H386" s="35" t="s">
        <v>428</v>
      </c>
      <c r="I386" s="33"/>
      <c r="J386" s="36"/>
      <c r="K386" t="s">
        <v>58</v>
      </c>
      <c r="L386" s="3">
        <v>3704.53</v>
      </c>
      <c r="N386" s="3">
        <f>L386*0.3</f>
        <v>1111.3589999999999</v>
      </c>
      <c r="O386" s="3">
        <f>(IF(L386&lt;4172.98,0,MIN(L386*0.3,L386-4172.98)))-M386</f>
        <v>0</v>
      </c>
      <c r="S386" s="3" t="s">
        <v>69</v>
      </c>
      <c r="Z386" s="181">
        <v>1</v>
      </c>
    </row>
    <row r="387" spans="1:26">
      <c r="A387" s="30">
        <v>23474828</v>
      </c>
      <c r="B387" s="31">
        <v>46242</v>
      </c>
      <c r="C387" s="32">
        <v>0.55792824074074077</v>
      </c>
      <c r="D387" s="33" t="s">
        <v>429</v>
      </c>
      <c r="E387" s="34">
        <v>5216673312457</v>
      </c>
      <c r="F387" s="33"/>
      <c r="G387" s="33"/>
      <c r="H387" s="35">
        <v>23776023089</v>
      </c>
      <c r="I387" s="33"/>
      <c r="J387" s="36"/>
      <c r="K387" t="s">
        <v>38</v>
      </c>
      <c r="L387" s="3">
        <v>38761.22</v>
      </c>
      <c r="M387" s="3">
        <v>10635</v>
      </c>
      <c r="N387" s="3">
        <f>L387*0.3</f>
        <v>11628.366</v>
      </c>
      <c r="O387" s="3">
        <f>(IF(L387&lt;4172.98,0,MIN(L387*0.3,L387-4172.98)))-M387</f>
        <v>993.36599999999999</v>
      </c>
      <c r="P387" s="6">
        <v>46722</v>
      </c>
      <c r="Q387" t="s">
        <v>75</v>
      </c>
      <c r="S387" s="3" t="s">
        <v>271</v>
      </c>
      <c r="T387" s="48">
        <v>46242</v>
      </c>
      <c r="Z387" s="181">
        <v>2</v>
      </c>
    </row>
    <row r="388" spans="1:26" hidden="1">
      <c r="A388" s="30">
        <v>23474842</v>
      </c>
      <c r="B388" s="31">
        <v>46242</v>
      </c>
      <c r="C388" s="32">
        <v>0.56504629629629632</v>
      </c>
      <c r="D388" s="33"/>
      <c r="E388" s="34">
        <v>5214931119573</v>
      </c>
      <c r="F388" s="33"/>
      <c r="G388" s="33"/>
      <c r="H388" s="35">
        <v>34067601566</v>
      </c>
      <c r="I388" s="33"/>
      <c r="J388" s="36"/>
      <c r="K388" t="s">
        <v>189</v>
      </c>
      <c r="N388" s="3">
        <f>L388*0.3</f>
        <v>0</v>
      </c>
      <c r="O388" s="3">
        <f>(IF(L388&lt;4172.98,0,MIN(L388*0.3,L388-4172.98)))-M388</f>
        <v>0</v>
      </c>
      <c r="S388" s="3" t="s">
        <v>69</v>
      </c>
      <c r="Z388" s="181">
        <v>1</v>
      </c>
    </row>
    <row r="389" spans="1:26" hidden="1">
      <c r="A389" s="12">
        <v>23474988</v>
      </c>
      <c r="B389" s="13">
        <v>46242</v>
      </c>
      <c r="C389" s="14">
        <v>0.57128472222222226</v>
      </c>
      <c r="D389" s="15" t="s">
        <v>430</v>
      </c>
      <c r="E389" s="16">
        <v>5214411151220</v>
      </c>
      <c r="F389" s="15"/>
      <c r="G389" s="15" t="s">
        <v>431</v>
      </c>
      <c r="H389" s="17"/>
      <c r="I389" s="15"/>
      <c r="J389" s="18"/>
      <c r="K389" t="s">
        <v>32</v>
      </c>
      <c r="N389" s="3">
        <f t="shared" ref="N389:N390" si="26">L389*0.3</f>
        <v>0</v>
      </c>
      <c r="O389" s="3">
        <f>(IF(L389&lt;4172.98,0,MIN(L389*0.3,L389-4172.98)))-M389</f>
        <v>0</v>
      </c>
      <c r="S389" s="3" t="s">
        <v>69</v>
      </c>
      <c r="Z389" s="181">
        <v>0</v>
      </c>
    </row>
    <row r="390" spans="1:26" hidden="1">
      <c r="A390" s="30">
        <v>23475018</v>
      </c>
      <c r="B390" s="31">
        <v>46242</v>
      </c>
      <c r="C390" s="32">
        <v>0.57256944444444446</v>
      </c>
      <c r="D390" s="33" t="s">
        <v>432</v>
      </c>
      <c r="E390" s="34">
        <v>5215573574189</v>
      </c>
      <c r="F390" s="33"/>
      <c r="G390" s="33" t="s">
        <v>433</v>
      </c>
      <c r="H390" s="35"/>
      <c r="I390" s="33"/>
      <c r="J390" s="36"/>
      <c r="K390" t="s">
        <v>32</v>
      </c>
      <c r="N390" s="3">
        <f t="shared" si="26"/>
        <v>0</v>
      </c>
      <c r="O390" s="3">
        <f>(IF(L390&lt;4172.98,0,MIN(L390*0.3,L390-4172.98)))-M390</f>
        <v>0</v>
      </c>
      <c r="S390" s="3" t="s">
        <v>69</v>
      </c>
      <c r="Z390" s="181">
        <v>0</v>
      </c>
    </row>
    <row r="391" spans="1:26" hidden="1">
      <c r="A391" s="30">
        <v>23475180</v>
      </c>
      <c r="B391" s="31">
        <v>46242</v>
      </c>
      <c r="C391" s="32">
        <v>0.57943287037037039</v>
      </c>
      <c r="D391" s="33"/>
      <c r="E391" s="34">
        <v>5214442617494</v>
      </c>
      <c r="F391" s="33"/>
      <c r="G391" s="33"/>
      <c r="H391" s="35">
        <v>41018400659</v>
      </c>
      <c r="I391" s="33"/>
      <c r="J391" s="36"/>
      <c r="K391" t="s">
        <v>30</v>
      </c>
      <c r="L391" s="3">
        <v>8083.38</v>
      </c>
      <c r="M391" s="3">
        <v>2416.71</v>
      </c>
      <c r="N391" s="3">
        <f>L391*0.3</f>
        <v>2425.0140000000001</v>
      </c>
      <c r="O391" s="3">
        <f>(IF(L391&lt;4172.98,0,MIN(L391*0.3,L391-4172.98)))-M391</f>
        <v>8.3040000000000873</v>
      </c>
      <c r="P391" s="6">
        <v>46935</v>
      </c>
      <c r="Q391" t="s">
        <v>73</v>
      </c>
      <c r="R391" s="3">
        <v>2416.71</v>
      </c>
      <c r="S391" s="3" t="s">
        <v>69</v>
      </c>
      <c r="Z391" s="181">
        <v>2</v>
      </c>
    </row>
    <row r="392" spans="1:26">
      <c r="A392" s="12">
        <v>23475308</v>
      </c>
      <c r="B392" s="13">
        <v>46242</v>
      </c>
      <c r="C392" s="14">
        <v>0.58368055555555554</v>
      </c>
      <c r="D392" s="15" t="s">
        <v>434</v>
      </c>
      <c r="E392" s="16">
        <v>5216692512174</v>
      </c>
      <c r="F392" s="15"/>
      <c r="G392" s="15" t="s">
        <v>435</v>
      </c>
      <c r="H392" s="17"/>
      <c r="I392" s="15"/>
      <c r="J392" s="18"/>
      <c r="K392" t="s">
        <v>107</v>
      </c>
      <c r="L392" s="3">
        <v>7920.51</v>
      </c>
      <c r="M392" s="3">
        <v>2196.6999999999998</v>
      </c>
      <c r="N392" s="3">
        <f t="shared" ref="N392:N418" si="27">L392*0.3</f>
        <v>2376.1529999999998</v>
      </c>
      <c r="O392" s="3">
        <f>(IF(L392&lt;4172.98,0,MIN(L392*0.3,L392-4172.98)))-M392</f>
        <v>179.45299999999997</v>
      </c>
      <c r="P392" s="6">
        <v>46174</v>
      </c>
      <c r="Q392" t="s">
        <v>206</v>
      </c>
      <c r="R392" s="3">
        <v>1063.4100000000001</v>
      </c>
      <c r="S392" s="3" t="s">
        <v>271</v>
      </c>
      <c r="T392" s="48">
        <v>46244</v>
      </c>
      <c r="Z392" s="181">
        <v>2</v>
      </c>
    </row>
    <row r="393" spans="1:26" hidden="1">
      <c r="A393" s="12">
        <v>23475578</v>
      </c>
      <c r="B393" s="13">
        <v>46242</v>
      </c>
      <c r="C393" s="14">
        <v>0.59638888888888886</v>
      </c>
      <c r="D393" s="15"/>
      <c r="E393" s="16">
        <v>5218333441474</v>
      </c>
      <c r="F393" s="15"/>
      <c r="G393" s="15" t="s">
        <v>436</v>
      </c>
      <c r="H393" s="17">
        <v>49846533310</v>
      </c>
      <c r="I393" s="15"/>
      <c r="J393" s="18"/>
      <c r="K393" t="s">
        <v>30</v>
      </c>
      <c r="L393" s="3">
        <v>6262.86</v>
      </c>
      <c r="M393" s="3">
        <v>1809.64</v>
      </c>
      <c r="N393" s="3">
        <f t="shared" si="27"/>
        <v>1878.8579999999997</v>
      </c>
      <c r="O393" s="3">
        <f>(IF(L393&lt;4172.98,0,MIN(L393*0.3,L393-4172.98)))-M393</f>
        <v>69.21799999999962</v>
      </c>
      <c r="P393" s="6">
        <v>46419</v>
      </c>
      <c r="Q393" t="s">
        <v>75</v>
      </c>
      <c r="R393" s="3">
        <v>602.9</v>
      </c>
      <c r="S393" s="3" t="s">
        <v>69</v>
      </c>
      <c r="Z393" s="181">
        <v>2</v>
      </c>
    </row>
    <row r="394" spans="1:26" hidden="1">
      <c r="A394" s="12">
        <v>23475698</v>
      </c>
      <c r="B394" s="13">
        <v>46242</v>
      </c>
      <c r="C394" s="14">
        <v>0.6048958333333333</v>
      </c>
      <c r="D394" s="15"/>
      <c r="E394" s="16">
        <v>5215647567925</v>
      </c>
      <c r="F394" s="15"/>
      <c r="G394" s="15" t="s">
        <v>437</v>
      </c>
      <c r="H394" s="17"/>
      <c r="I394" s="15"/>
      <c r="J394" s="18"/>
      <c r="K394" t="s">
        <v>32</v>
      </c>
      <c r="N394" s="3">
        <f t="shared" si="27"/>
        <v>0</v>
      </c>
      <c r="O394" s="3">
        <f>(IF(L394&lt;4172.98,0,MIN(L394*0.3,L394-4172.98)))-M394</f>
        <v>0</v>
      </c>
      <c r="S394" s="3" t="s">
        <v>69</v>
      </c>
      <c r="Z394" s="181">
        <v>0</v>
      </c>
    </row>
    <row r="395" spans="1:26" hidden="1">
      <c r="A395" s="12">
        <v>23475914</v>
      </c>
      <c r="B395" s="13">
        <v>46242</v>
      </c>
      <c r="C395" s="14">
        <v>0.61449074074074073</v>
      </c>
      <c r="D395" s="15"/>
      <c r="E395" s="16">
        <v>5214421719307</v>
      </c>
      <c r="F395" s="15"/>
      <c r="G395" s="15" t="s">
        <v>438</v>
      </c>
      <c r="H395" s="17"/>
      <c r="I395" s="15"/>
      <c r="J395" s="18"/>
      <c r="K395" t="s">
        <v>32</v>
      </c>
      <c r="N395" s="3">
        <f t="shared" si="27"/>
        <v>0</v>
      </c>
      <c r="O395" s="3">
        <f>(IF(L395&lt;4172.98,0,MIN(L395*0.3,L395-4172.98)))-M395</f>
        <v>0</v>
      </c>
      <c r="S395" s="3" t="s">
        <v>69</v>
      </c>
      <c r="Z395" s="181">
        <v>0</v>
      </c>
    </row>
    <row r="396" spans="1:26" hidden="1">
      <c r="A396" s="12">
        <v>23476234</v>
      </c>
      <c r="B396" s="13">
        <v>46242</v>
      </c>
      <c r="C396" s="14">
        <v>0.63359953703703709</v>
      </c>
      <c r="D396" s="15"/>
      <c r="E396" s="16">
        <v>5212214405381</v>
      </c>
      <c r="F396" s="15"/>
      <c r="G396" s="15"/>
      <c r="H396" s="17">
        <v>62897033254</v>
      </c>
      <c r="I396" s="15"/>
      <c r="J396" s="18"/>
      <c r="K396" t="s">
        <v>58</v>
      </c>
      <c r="L396" s="3">
        <v>4172.99</v>
      </c>
      <c r="N396" s="3">
        <f t="shared" si="27"/>
        <v>1251.8969999999999</v>
      </c>
      <c r="O396" s="3">
        <f>(IF(L396&lt;4172.98,0,MIN(L396*0.3,L396-4172.98)))-M396</f>
        <v>1.0000000000218279E-2</v>
      </c>
      <c r="S396" s="3" t="s">
        <v>69</v>
      </c>
      <c r="Z396" s="181">
        <v>1</v>
      </c>
    </row>
    <row r="397" spans="1:26" hidden="1">
      <c r="A397" s="12">
        <v>23476486</v>
      </c>
      <c r="B397" s="13">
        <v>46242</v>
      </c>
      <c r="C397" s="14">
        <v>0.6472106481481481</v>
      </c>
      <c r="D397" s="15"/>
      <c r="E397" s="16">
        <v>5214776576396</v>
      </c>
      <c r="F397" s="15"/>
      <c r="G397" s="15" t="s">
        <v>439</v>
      </c>
      <c r="H397" s="17"/>
      <c r="I397" s="15"/>
      <c r="J397" s="18"/>
      <c r="K397" t="s">
        <v>189</v>
      </c>
      <c r="N397" s="3">
        <f t="shared" si="27"/>
        <v>0</v>
      </c>
      <c r="O397" s="3">
        <f>(IF(L397&lt;4172.98,0,MIN(L397*0.3,L397-4172.98)))-M397</f>
        <v>0</v>
      </c>
      <c r="S397" s="3" t="s">
        <v>69</v>
      </c>
      <c r="Z397" s="181">
        <v>1</v>
      </c>
    </row>
    <row r="398" spans="1:26" hidden="1">
      <c r="A398" s="12">
        <v>23477038</v>
      </c>
      <c r="B398" s="13">
        <v>46242</v>
      </c>
      <c r="C398" s="14">
        <v>0.67256944444444444</v>
      </c>
      <c r="D398" s="15"/>
      <c r="E398" s="16">
        <v>5214624280417</v>
      </c>
      <c r="F398" s="15"/>
      <c r="G398" s="15" t="s">
        <v>440</v>
      </c>
      <c r="H398" s="17"/>
      <c r="I398" s="15"/>
      <c r="J398" s="18"/>
      <c r="K398" t="s">
        <v>189</v>
      </c>
      <c r="N398" s="3">
        <f t="shared" si="27"/>
        <v>0</v>
      </c>
      <c r="O398" s="3">
        <f>(IF(L398&lt;4172.98,0,MIN(L398*0.3,L398-4172.98)))-M398</f>
        <v>0</v>
      </c>
      <c r="S398" s="3" t="s">
        <v>69</v>
      </c>
      <c r="Z398" s="181">
        <v>1</v>
      </c>
    </row>
    <row r="399" spans="1:26" hidden="1">
      <c r="A399" s="12">
        <v>23477082</v>
      </c>
      <c r="B399" s="13">
        <v>46242</v>
      </c>
      <c r="C399" s="14">
        <v>0.68674768518518514</v>
      </c>
      <c r="D399" s="15"/>
      <c r="E399" s="16">
        <v>5213313619365</v>
      </c>
      <c r="F399" s="15"/>
      <c r="G399" s="15" t="s">
        <v>441</v>
      </c>
      <c r="H399" s="17">
        <v>54765924342</v>
      </c>
      <c r="I399" s="15"/>
      <c r="J399" s="18"/>
      <c r="K399" t="s">
        <v>30</v>
      </c>
      <c r="L399" s="3">
        <v>5617.63</v>
      </c>
      <c r="M399" s="3">
        <v>1335</v>
      </c>
      <c r="N399" s="3">
        <f t="shared" si="27"/>
        <v>1685.289</v>
      </c>
      <c r="O399" s="3">
        <f>(IF(L399&lt;4172.98,0,MIN(L399*0.3,L399-4172.98)))-M399</f>
        <v>109.65000000000055</v>
      </c>
      <c r="P399" s="6">
        <v>46266</v>
      </c>
      <c r="Q399" t="s">
        <v>80</v>
      </c>
      <c r="R399" s="3">
        <v>748</v>
      </c>
      <c r="S399" s="3" t="s">
        <v>69</v>
      </c>
      <c r="Z399" s="181">
        <v>2</v>
      </c>
    </row>
    <row r="400" spans="1:26" hidden="1">
      <c r="A400" s="12">
        <v>23477244</v>
      </c>
      <c r="B400" s="13">
        <v>46242</v>
      </c>
      <c r="C400" s="14">
        <v>0.68746527777777777</v>
      </c>
      <c r="D400" s="15"/>
      <c r="E400" s="16">
        <v>5213342881434</v>
      </c>
      <c r="F400" s="15"/>
      <c r="G400" s="15" t="s">
        <v>442</v>
      </c>
      <c r="H400" s="17"/>
      <c r="I400" s="15"/>
      <c r="J400" s="18"/>
      <c r="K400" t="s">
        <v>32</v>
      </c>
      <c r="N400" s="3">
        <f t="shared" si="27"/>
        <v>0</v>
      </c>
      <c r="O400" s="3">
        <f>(IF(L400&lt;4172.98,0,MIN(L400*0.3,L400-4172.98)))-M400</f>
        <v>0</v>
      </c>
      <c r="S400" s="3" t="s">
        <v>69</v>
      </c>
      <c r="Z400" s="181">
        <v>0</v>
      </c>
    </row>
    <row r="401" spans="1:26" hidden="1">
      <c r="A401" s="12">
        <v>23477730</v>
      </c>
      <c r="B401" s="13">
        <v>46242</v>
      </c>
      <c r="C401" s="14">
        <v>0.71199074074074076</v>
      </c>
      <c r="D401" s="15" t="s">
        <v>443</v>
      </c>
      <c r="E401" s="16">
        <v>5214776152901</v>
      </c>
      <c r="F401" s="15"/>
      <c r="G401" s="15" t="s">
        <v>444</v>
      </c>
      <c r="H401" s="17">
        <v>12936228761</v>
      </c>
      <c r="I401" s="15"/>
      <c r="J401" s="18"/>
      <c r="K401" t="s">
        <v>30</v>
      </c>
      <c r="L401" s="3">
        <v>8539.89</v>
      </c>
      <c r="M401" s="3">
        <v>2559.7800000000002</v>
      </c>
      <c r="N401" s="3">
        <f t="shared" si="27"/>
        <v>2561.9669999999996</v>
      </c>
      <c r="O401" s="3">
        <f>(IF(L401&lt;4172.98,0,MIN(L401*0.3,L401-4172.98)))-M401</f>
        <v>2.1869999999994434</v>
      </c>
      <c r="P401" s="6">
        <v>46296</v>
      </c>
      <c r="Q401" t="s">
        <v>141</v>
      </c>
      <c r="R401" s="3">
        <v>2364</v>
      </c>
      <c r="S401" s="3" t="s">
        <v>69</v>
      </c>
      <c r="Z401" s="181">
        <v>2</v>
      </c>
    </row>
    <row r="402" spans="1:26">
      <c r="A402" s="12">
        <v>23477858</v>
      </c>
      <c r="B402" s="13">
        <v>46242</v>
      </c>
      <c r="C402" s="14">
        <v>0.72320601851851851</v>
      </c>
      <c r="D402" s="15" t="s">
        <v>445</v>
      </c>
      <c r="E402" s="16">
        <v>5216182223602</v>
      </c>
      <c r="F402" s="15"/>
      <c r="G402" s="15"/>
      <c r="H402" s="17" t="s">
        <v>446</v>
      </c>
      <c r="I402" s="15"/>
      <c r="J402" s="18"/>
      <c r="K402" t="s">
        <v>54</v>
      </c>
      <c r="L402" s="3">
        <f>10150+879</f>
        <v>11029</v>
      </c>
      <c r="M402" s="3">
        <v>879</v>
      </c>
      <c r="N402" s="3">
        <f t="shared" si="27"/>
        <v>3308.7</v>
      </c>
      <c r="O402" s="3">
        <f>(IF(L402&lt;4172.98,0,MIN(L402*0.3,L402-4172.98)))-M402</f>
        <v>2429.6999999999998</v>
      </c>
      <c r="S402" s="3" t="s">
        <v>55</v>
      </c>
      <c r="T402" s="48">
        <v>46243</v>
      </c>
      <c r="Z402" s="181">
        <v>1</v>
      </c>
    </row>
    <row r="403" spans="1:26">
      <c r="A403" s="12">
        <v>23477822</v>
      </c>
      <c r="B403" s="13">
        <v>46242</v>
      </c>
      <c r="C403" s="14">
        <v>0.72464120370370366</v>
      </c>
      <c r="D403" s="15"/>
      <c r="E403" s="16">
        <v>5215514511524</v>
      </c>
      <c r="F403" s="15"/>
      <c r="G403" s="15" t="s">
        <v>447</v>
      </c>
      <c r="H403" s="17"/>
      <c r="I403" s="15"/>
      <c r="J403" s="18"/>
      <c r="K403" t="s">
        <v>54</v>
      </c>
      <c r="L403" s="3">
        <v>6035.58</v>
      </c>
      <c r="N403" s="3">
        <f t="shared" si="27"/>
        <v>1810.674</v>
      </c>
      <c r="O403" s="3">
        <f>(IF(L403&lt;4172.98,0,MIN(L403*0.3,L403-4172.98)))-M403</f>
        <v>1810.674</v>
      </c>
      <c r="S403" s="3" t="s">
        <v>358</v>
      </c>
      <c r="T403" s="48">
        <v>46243</v>
      </c>
      <c r="Z403" s="181">
        <v>1</v>
      </c>
    </row>
    <row r="404" spans="1:26" hidden="1">
      <c r="A404" s="12">
        <v>23478300</v>
      </c>
      <c r="B404" s="13">
        <v>46242</v>
      </c>
      <c r="C404" s="14">
        <v>0.74035879629629631</v>
      </c>
      <c r="D404" s="15"/>
      <c r="E404" s="16">
        <v>5216441219907</v>
      </c>
      <c r="F404" s="15"/>
      <c r="G404" s="15"/>
      <c r="H404" s="17">
        <v>24765712385</v>
      </c>
      <c r="I404" s="15"/>
      <c r="J404" s="18"/>
      <c r="K404" t="s">
        <v>30</v>
      </c>
      <c r="L404" s="3">
        <f>6986.47+2684</f>
        <v>9670.4700000000012</v>
      </c>
      <c r="M404" s="3">
        <v>2684</v>
      </c>
      <c r="N404" s="3">
        <f t="shared" si="27"/>
        <v>2901.1410000000001</v>
      </c>
      <c r="O404" s="3">
        <f>(IF(L404&lt;4172.98,0,MIN(L404*0.3,L404-4172.98)))-M404</f>
        <v>217.14100000000008</v>
      </c>
      <c r="P404" s="6">
        <v>46357</v>
      </c>
      <c r="Q404" t="s">
        <v>59</v>
      </c>
      <c r="R404" s="3">
        <v>2684</v>
      </c>
      <c r="S404" s="3" t="s">
        <v>69</v>
      </c>
      <c r="Z404" s="181">
        <v>2</v>
      </c>
    </row>
    <row r="405" spans="1:26">
      <c r="A405" s="12">
        <v>23478728</v>
      </c>
      <c r="B405" s="13">
        <v>46242</v>
      </c>
      <c r="C405" s="14">
        <v>0.76615740740740745</v>
      </c>
      <c r="D405" s="15"/>
      <c r="E405" s="16">
        <v>5213319062373</v>
      </c>
      <c r="F405" s="15"/>
      <c r="G405" s="15"/>
      <c r="H405" s="17" t="s">
        <v>448</v>
      </c>
      <c r="I405" s="15"/>
      <c r="J405" s="18"/>
      <c r="K405" t="s">
        <v>54</v>
      </c>
      <c r="L405" s="3">
        <f>28364.11-17727.57</f>
        <v>10636.54</v>
      </c>
      <c r="N405" s="3">
        <f t="shared" si="27"/>
        <v>3190.962</v>
      </c>
      <c r="O405" s="3">
        <f>(IF(L405&lt;4172.98,0,MIN(L405*0.3,L405-4172.98)))-M405</f>
        <v>3190.962</v>
      </c>
      <c r="S405" s="3" t="s">
        <v>348</v>
      </c>
      <c r="T405" s="48">
        <v>46243</v>
      </c>
      <c r="Z405" s="181">
        <v>1</v>
      </c>
    </row>
    <row r="406" spans="1:26" hidden="1">
      <c r="A406" s="12">
        <v>23478898</v>
      </c>
      <c r="B406" s="13">
        <v>46242</v>
      </c>
      <c r="C406" s="14">
        <v>0.7798032407407407</v>
      </c>
      <c r="D406" s="15"/>
      <c r="E406" s="16">
        <v>5218711732771</v>
      </c>
      <c r="F406" s="15"/>
      <c r="G406" s="15" t="s">
        <v>449</v>
      </c>
      <c r="H406" s="17"/>
      <c r="I406" s="15"/>
      <c r="J406" s="18"/>
      <c r="K406" t="s">
        <v>58</v>
      </c>
      <c r="L406" s="3">
        <v>3477.49</v>
      </c>
      <c r="N406" s="3">
        <f t="shared" si="27"/>
        <v>1043.2469999999998</v>
      </c>
      <c r="O406" s="3">
        <f>(IF(L406&lt;4172.98,0,MIN(L406*0.3,L406-4172.98)))-M406</f>
        <v>0</v>
      </c>
      <c r="S406" s="3" t="s">
        <v>69</v>
      </c>
      <c r="Z406" s="181">
        <v>1</v>
      </c>
    </row>
    <row r="407" spans="1:26">
      <c r="A407" s="12">
        <v>23479232</v>
      </c>
      <c r="B407" s="13">
        <v>46242</v>
      </c>
      <c r="C407" s="14">
        <v>0.79765046296296294</v>
      </c>
      <c r="D407" s="15"/>
      <c r="E407" s="16">
        <v>5216691603500</v>
      </c>
      <c r="F407" s="15"/>
      <c r="G407" s="15"/>
      <c r="H407" s="87">
        <v>23826440341</v>
      </c>
      <c r="I407" s="88"/>
      <c r="J407" s="89"/>
      <c r="K407" s="90" t="s">
        <v>54</v>
      </c>
      <c r="L407" s="91">
        <v>28324.25</v>
      </c>
      <c r="M407" s="91"/>
      <c r="N407" s="91">
        <f t="shared" si="27"/>
        <v>8497.2749999999996</v>
      </c>
      <c r="O407" s="91">
        <f>(IF(L407&lt;4172.98,0,MIN(L407*0.3,L407-4172.98)))-M407</f>
        <v>8497.2749999999996</v>
      </c>
      <c r="P407" s="90"/>
      <c r="Q407" s="90"/>
      <c r="R407" s="91"/>
      <c r="S407" t="s">
        <v>348</v>
      </c>
      <c r="T407" s="48">
        <v>46243</v>
      </c>
      <c r="Z407" s="181">
        <v>1</v>
      </c>
    </row>
    <row r="408" spans="1:26" hidden="1">
      <c r="A408" s="12">
        <v>23479234</v>
      </c>
      <c r="B408" s="13">
        <v>46242</v>
      </c>
      <c r="C408" s="14">
        <v>0.80072916666666671</v>
      </c>
      <c r="D408" s="15"/>
      <c r="E408" s="16">
        <v>5214949428253</v>
      </c>
      <c r="F408" s="15"/>
      <c r="G408" s="15" t="s">
        <v>450</v>
      </c>
      <c r="H408" s="17"/>
      <c r="I408" s="15"/>
      <c r="J408" s="18"/>
      <c r="K408" t="s">
        <v>58</v>
      </c>
      <c r="L408" s="3">
        <v>3154.24</v>
      </c>
      <c r="N408" s="3">
        <f t="shared" si="27"/>
        <v>946.27199999999993</v>
      </c>
      <c r="O408" s="3">
        <f>(IF(L408&lt;4172.98,0,MIN(L408*0.3,L408-4172.98)))-M408</f>
        <v>0</v>
      </c>
      <c r="S408" s="3" t="s">
        <v>69</v>
      </c>
      <c r="Z408" s="181">
        <v>1</v>
      </c>
    </row>
    <row r="409" spans="1:26" hidden="1">
      <c r="A409" s="12">
        <v>23479494</v>
      </c>
      <c r="B409" s="13">
        <v>46242</v>
      </c>
      <c r="C409" s="14">
        <v>0.83013888888888887</v>
      </c>
      <c r="D409" s="15"/>
      <c r="E409" s="16">
        <v>5214422827892</v>
      </c>
      <c r="F409" s="15"/>
      <c r="G409" s="15" t="s">
        <v>451</v>
      </c>
      <c r="H409" s="17"/>
      <c r="I409" s="15"/>
      <c r="J409" s="18"/>
      <c r="K409" t="s">
        <v>30</v>
      </c>
      <c r="L409" s="3">
        <f>4337.8+1667.1</f>
        <v>6004.9</v>
      </c>
      <c r="M409" s="3">
        <v>1667.1</v>
      </c>
      <c r="N409" s="3">
        <f t="shared" si="27"/>
        <v>1801.4699999999998</v>
      </c>
      <c r="O409" s="3">
        <f>(IF(L409&lt;4172.98,0,MIN(L409*0.3,L409-4172.98)))-M409</f>
        <v>134.36999999999989</v>
      </c>
      <c r="P409" s="6">
        <v>46388</v>
      </c>
      <c r="Q409" t="s">
        <v>75</v>
      </c>
      <c r="S409" s="3" t="s">
        <v>69</v>
      </c>
      <c r="Z409" s="181">
        <v>2</v>
      </c>
    </row>
    <row r="410" spans="1:26" hidden="1">
      <c r="A410" s="12">
        <v>23480460</v>
      </c>
      <c r="B410" s="13">
        <v>46242</v>
      </c>
      <c r="C410" s="14">
        <v>0.88918981481481485</v>
      </c>
      <c r="D410" s="15" t="s">
        <v>452</v>
      </c>
      <c r="E410" s="16">
        <v>5213326832134</v>
      </c>
      <c r="F410" s="15"/>
      <c r="G410" s="15" t="s">
        <v>453</v>
      </c>
      <c r="H410" s="17"/>
      <c r="I410" s="15"/>
      <c r="J410" s="18"/>
      <c r="K410" t="s">
        <v>32</v>
      </c>
      <c r="N410" s="3">
        <f t="shared" si="27"/>
        <v>0</v>
      </c>
      <c r="O410" s="3">
        <f>(IF(L410&lt;4172.98,0,MIN(L410*0.3,L410-4172.98)))-M410</f>
        <v>0</v>
      </c>
      <c r="S410" s="3" t="s">
        <v>69</v>
      </c>
      <c r="Z410" s="181">
        <v>0</v>
      </c>
    </row>
    <row r="411" spans="1:26" hidden="1">
      <c r="A411" s="12">
        <v>23480886</v>
      </c>
      <c r="B411" s="13">
        <v>46242</v>
      </c>
      <c r="C411" s="14">
        <v>0.92701388888888892</v>
      </c>
      <c r="D411" s="15"/>
      <c r="E411" s="16">
        <v>5213921277337</v>
      </c>
      <c r="F411" s="15"/>
      <c r="G411" s="15" t="s">
        <v>454</v>
      </c>
      <c r="H411" s="17" t="s">
        <v>455</v>
      </c>
      <c r="I411" s="15"/>
      <c r="J411" s="18"/>
      <c r="K411" t="s">
        <v>30</v>
      </c>
      <c r="L411" s="3">
        <f>5631.26+2289.25</f>
        <v>7920.51</v>
      </c>
      <c r="M411" s="3">
        <f>2289.25</f>
        <v>2289.25</v>
      </c>
      <c r="N411" s="3">
        <f t="shared" si="27"/>
        <v>2376.1529999999998</v>
      </c>
      <c r="O411" s="3">
        <f>(IF(L411&lt;4172.98,0,MIN(L411*0.3,L411-4172.98)))-M411</f>
        <v>86.902999999999793</v>
      </c>
      <c r="P411" s="6">
        <v>46753</v>
      </c>
      <c r="Q411" t="s">
        <v>75</v>
      </c>
      <c r="S411" s="3" t="s">
        <v>69</v>
      </c>
      <c r="Z411" s="181">
        <v>2</v>
      </c>
    </row>
    <row r="412" spans="1:26" hidden="1">
      <c r="A412" s="12">
        <v>23481250</v>
      </c>
      <c r="B412" s="13">
        <v>46242</v>
      </c>
      <c r="C412" s="14">
        <v>0.97047453703703701</v>
      </c>
      <c r="D412" s="15"/>
      <c r="E412" s="16">
        <v>5213141481668</v>
      </c>
      <c r="F412" s="15"/>
      <c r="G412" s="15"/>
      <c r="H412" s="17" t="s">
        <v>456</v>
      </c>
      <c r="I412" s="15"/>
      <c r="J412" s="18"/>
      <c r="K412" t="s">
        <v>58</v>
      </c>
      <c r="L412" s="3">
        <v>2191.6999999999998</v>
      </c>
      <c r="N412" s="3">
        <f t="shared" si="27"/>
        <v>657.50999999999988</v>
      </c>
      <c r="O412" s="3">
        <f>(IF(L412&lt;4172.98,0,MIN(L412*0.3,L412-4172.98)))-M412</f>
        <v>0</v>
      </c>
      <c r="S412" s="3" t="s">
        <v>69</v>
      </c>
      <c r="Z412" s="181">
        <v>1</v>
      </c>
    </row>
    <row r="413" spans="1:26" hidden="1">
      <c r="A413" s="12">
        <v>23481180</v>
      </c>
      <c r="B413" s="13">
        <v>46242</v>
      </c>
      <c r="C413" s="14">
        <v>0.9728472222222222</v>
      </c>
      <c r="D413" s="15"/>
      <c r="E413" s="16">
        <v>5215577282024</v>
      </c>
      <c r="F413" s="15"/>
      <c r="G413" s="15" t="s">
        <v>457</v>
      </c>
      <c r="H413" s="17"/>
      <c r="I413" s="15"/>
      <c r="J413" s="18"/>
      <c r="K413" t="s">
        <v>32</v>
      </c>
      <c r="N413" s="3">
        <f t="shared" si="27"/>
        <v>0</v>
      </c>
      <c r="O413" s="3">
        <f>(IF(L413&lt;4172.98,0,MIN(L413*0.3,L413-4172.98)))-M413</f>
        <v>0</v>
      </c>
      <c r="S413" s="3" t="s">
        <v>69</v>
      </c>
      <c r="Z413" s="181">
        <v>0</v>
      </c>
    </row>
    <row r="414" spans="1:26" hidden="1">
      <c r="A414" s="12">
        <v>23483122</v>
      </c>
      <c r="B414" s="13">
        <v>46243</v>
      </c>
      <c r="C414" s="14">
        <v>0.27664351851851854</v>
      </c>
      <c r="D414" s="15"/>
      <c r="E414" s="16">
        <v>5216641980087</v>
      </c>
      <c r="F414" s="15"/>
      <c r="G414" s="15"/>
      <c r="H414" s="17" t="s">
        <v>458</v>
      </c>
      <c r="I414" s="15"/>
      <c r="J414" s="18"/>
      <c r="K414" t="s">
        <v>58</v>
      </c>
      <c r="L414" s="3">
        <f>3021.36+848</f>
        <v>3869.36</v>
      </c>
      <c r="M414" s="3">
        <v>848</v>
      </c>
      <c r="N414" s="3">
        <f t="shared" si="27"/>
        <v>1160.808</v>
      </c>
      <c r="O414" s="3">
        <f>(IF(L414&lt;4172.98,0,MIN(L414*0.3,L414-4172.98)))-M414</f>
        <v>-848</v>
      </c>
      <c r="S414" s="3" t="s">
        <v>69</v>
      </c>
      <c r="Z414" s="181">
        <v>1</v>
      </c>
    </row>
    <row r="415" spans="1:26" hidden="1">
      <c r="A415" s="12">
        <v>23483750</v>
      </c>
      <c r="B415" s="13">
        <v>46243</v>
      </c>
      <c r="C415" s="14">
        <v>0.31681712962962966</v>
      </c>
      <c r="D415" s="15"/>
      <c r="E415" s="16">
        <v>5215518850850</v>
      </c>
      <c r="F415" s="15"/>
      <c r="G415" s="15"/>
      <c r="H415" s="17" t="s">
        <v>459</v>
      </c>
      <c r="I415" s="15"/>
      <c r="J415" s="18"/>
      <c r="K415" t="s">
        <v>58</v>
      </c>
      <c r="L415" s="3">
        <f>3965.69 +848</f>
        <v>4813.6900000000005</v>
      </c>
      <c r="M415" s="3">
        <v>848</v>
      </c>
      <c r="N415" s="3">
        <f t="shared" si="27"/>
        <v>1444.1070000000002</v>
      </c>
      <c r="O415" s="3">
        <f>(IF(L415&lt;4172.98,0,MIN(L415*0.3,L415-4172.98)))-M415</f>
        <v>-207.28999999999905</v>
      </c>
      <c r="S415" s="3" t="s">
        <v>69</v>
      </c>
      <c r="Z415" s="181">
        <v>1</v>
      </c>
    </row>
    <row r="416" spans="1:26" hidden="1">
      <c r="A416" s="12">
        <v>23484704</v>
      </c>
      <c r="B416" s="13">
        <v>46243</v>
      </c>
      <c r="C416" s="14">
        <v>0.34270833333333334</v>
      </c>
      <c r="D416" s="15" t="s">
        <v>460</v>
      </c>
      <c r="E416" s="16">
        <v>5218713798299</v>
      </c>
      <c r="F416" s="15"/>
      <c r="G416" s="15" t="s">
        <v>461</v>
      </c>
      <c r="H416" s="17"/>
      <c r="I416" s="15"/>
      <c r="J416" s="18"/>
      <c r="K416" t="s">
        <v>30</v>
      </c>
      <c r="L416" s="3">
        <f>6560.17+2521.35</f>
        <v>9081.52</v>
      </c>
      <c r="M416" s="3">
        <v>2521.35</v>
      </c>
      <c r="N416" s="3">
        <f t="shared" si="27"/>
        <v>2724.4560000000001</v>
      </c>
      <c r="O416" s="3">
        <f>(IF(L416&lt;4172.98,0,MIN(L416*0.3,L416-4172.98)))-M416</f>
        <v>203.10600000000022</v>
      </c>
      <c r="P416" s="6">
        <v>46357</v>
      </c>
      <c r="Q416" t="s">
        <v>206</v>
      </c>
      <c r="S416" s="3" t="s">
        <v>69</v>
      </c>
      <c r="Z416" s="181">
        <v>2</v>
      </c>
    </row>
    <row r="417" spans="1:26" hidden="1">
      <c r="A417" s="12">
        <v>23484746</v>
      </c>
      <c r="B417" s="13">
        <v>46243</v>
      </c>
      <c r="C417" s="14">
        <v>0.35366898148148146</v>
      </c>
      <c r="D417" s="15"/>
      <c r="E417" s="16">
        <v>5213312649472</v>
      </c>
      <c r="F417" s="15"/>
      <c r="G417" s="15" t="s">
        <v>462</v>
      </c>
      <c r="H417" s="17"/>
      <c r="I417" s="15"/>
      <c r="J417" s="18"/>
      <c r="K417" t="s">
        <v>32</v>
      </c>
      <c r="N417" s="3">
        <f t="shared" si="27"/>
        <v>0</v>
      </c>
      <c r="O417" s="3">
        <f>(IF(L417&lt;4172.98,0,MIN(L417*0.3,L417-4172.98)))-M417</f>
        <v>0</v>
      </c>
      <c r="S417" s="3" t="s">
        <v>69</v>
      </c>
      <c r="Z417" s="181">
        <v>0</v>
      </c>
    </row>
    <row r="418" spans="1:26" hidden="1">
      <c r="A418" s="30">
        <v>23485344</v>
      </c>
      <c r="B418" s="31">
        <v>46243</v>
      </c>
      <c r="C418" s="32">
        <v>0.37885416666666666</v>
      </c>
      <c r="D418" s="33"/>
      <c r="E418" s="34">
        <v>5214492128920</v>
      </c>
      <c r="F418" s="33"/>
      <c r="G418" s="33" t="s">
        <v>463</v>
      </c>
      <c r="H418" s="35"/>
      <c r="I418" s="33"/>
      <c r="J418" s="36"/>
      <c r="K418" t="s">
        <v>32</v>
      </c>
      <c r="N418" s="3">
        <f t="shared" si="27"/>
        <v>0</v>
      </c>
      <c r="O418" s="3">
        <f>(IF(L418&lt;4172.98,0,MIN(L418*0.3,L418-4172.98)))-M418</f>
        <v>0</v>
      </c>
      <c r="S418" s="3" t="s">
        <v>69</v>
      </c>
      <c r="Z418" s="181">
        <v>0</v>
      </c>
    </row>
    <row r="419" spans="1:26" hidden="1">
      <c r="A419" s="12">
        <v>23485796</v>
      </c>
      <c r="B419" s="13">
        <v>46243</v>
      </c>
      <c r="C419" s="14">
        <v>0.39428240740740739</v>
      </c>
      <c r="D419" s="15"/>
      <c r="E419" s="16">
        <v>5215573269766</v>
      </c>
      <c r="F419" s="15"/>
      <c r="G419" s="15" t="s">
        <v>464</v>
      </c>
      <c r="H419" s="17"/>
      <c r="I419" s="15"/>
      <c r="J419" s="18"/>
      <c r="K419" t="s">
        <v>189</v>
      </c>
      <c r="N419" s="3">
        <f t="shared" ref="N419:N422" si="28">L419*0.3</f>
        <v>0</v>
      </c>
      <c r="O419" s="3">
        <f>(IF(L419&lt;4172.98,0,MIN(L419*0.3,L419-4172.98)))-M419</f>
        <v>0</v>
      </c>
      <c r="S419" s="3" t="s">
        <v>69</v>
      </c>
      <c r="Z419" s="181">
        <v>1</v>
      </c>
    </row>
    <row r="420" spans="1:26" hidden="1">
      <c r="A420" s="12">
        <v>23485886</v>
      </c>
      <c r="B420" s="13">
        <v>46243</v>
      </c>
      <c r="C420" s="14">
        <v>0.39648148148148149</v>
      </c>
      <c r="D420" s="15"/>
      <c r="E420" s="16">
        <v>5215651644977</v>
      </c>
      <c r="F420" s="15"/>
      <c r="G420" s="15" t="s">
        <v>465</v>
      </c>
      <c r="H420" s="17"/>
      <c r="I420" s="15"/>
      <c r="J420" s="18"/>
      <c r="K420" t="s">
        <v>58</v>
      </c>
      <c r="L420" s="3">
        <v>1729.98</v>
      </c>
      <c r="N420" s="3">
        <f t="shared" si="28"/>
        <v>518.99400000000003</v>
      </c>
      <c r="O420" s="3">
        <f>(IF(L420&lt;4172.98,0,MIN(L420*0.3,L420-4172.98)))-M420</f>
        <v>0</v>
      </c>
      <c r="S420" s="3" t="s">
        <v>69</v>
      </c>
      <c r="Z420" s="181">
        <v>1</v>
      </c>
    </row>
    <row r="421" spans="1:26" hidden="1">
      <c r="A421" s="12">
        <v>23485610</v>
      </c>
      <c r="B421" s="13">
        <v>46243</v>
      </c>
      <c r="C421" s="14">
        <v>0.39660879629629631</v>
      </c>
      <c r="D421" s="15" t="s">
        <v>466</v>
      </c>
      <c r="E421" s="16">
        <v>5215630216111</v>
      </c>
      <c r="F421" s="15"/>
      <c r="G421" s="15" t="s">
        <v>467</v>
      </c>
      <c r="H421" s="17">
        <v>17816221430</v>
      </c>
      <c r="I421" s="15"/>
      <c r="J421" s="18"/>
      <c r="K421" t="s">
        <v>30</v>
      </c>
      <c r="L421" s="3">
        <f>6359.21+2722.32</f>
        <v>9081.5300000000007</v>
      </c>
      <c r="M421" s="3">
        <f>2722.31</f>
        <v>2722.31</v>
      </c>
      <c r="N421" s="3">
        <f t="shared" si="28"/>
        <v>2724.4590000000003</v>
      </c>
      <c r="O421" s="3">
        <f>(IF(L421&lt;4172.98,0,MIN(L421*0.3,L421-4172.98)))-M421</f>
        <v>2.149000000000342</v>
      </c>
      <c r="P421" s="6">
        <v>46966</v>
      </c>
      <c r="Q421" t="s">
        <v>421</v>
      </c>
      <c r="R421" s="3">
        <v>2722.31</v>
      </c>
      <c r="S421" s="3" t="s">
        <v>69</v>
      </c>
      <c r="Z421" s="181">
        <v>2</v>
      </c>
    </row>
    <row r="422" spans="1:26" hidden="1">
      <c r="A422" s="30">
        <v>23485808</v>
      </c>
      <c r="B422" s="31">
        <v>46243</v>
      </c>
      <c r="C422" s="32">
        <v>0.39978009259259262</v>
      </c>
      <c r="D422" s="33"/>
      <c r="E422" s="34">
        <v>5213117437221</v>
      </c>
      <c r="F422" s="33"/>
      <c r="G422" s="33" t="s">
        <v>468</v>
      </c>
      <c r="H422" s="35"/>
      <c r="I422" s="33"/>
      <c r="J422" s="86"/>
      <c r="K422" t="s">
        <v>32</v>
      </c>
      <c r="N422" s="3">
        <f t="shared" si="28"/>
        <v>0</v>
      </c>
      <c r="O422" s="3">
        <f>(IF(L422&lt;4172.98,0,MIN(L422*0.3,L422-4172.98)))-M422</f>
        <v>0</v>
      </c>
      <c r="S422" s="3" t="s">
        <v>69</v>
      </c>
      <c r="Z422" s="181">
        <v>0</v>
      </c>
    </row>
    <row r="423" spans="1:26">
      <c r="A423" s="12">
        <v>23486082</v>
      </c>
      <c r="B423" s="13">
        <v>46243</v>
      </c>
      <c r="C423" s="14">
        <v>0.4064814814814815</v>
      </c>
      <c r="D423" s="15"/>
      <c r="E423" s="16">
        <v>5214421570885</v>
      </c>
      <c r="F423" s="15"/>
      <c r="G423" s="15"/>
      <c r="H423" s="17">
        <v>51684710521</v>
      </c>
      <c r="I423" s="15"/>
      <c r="J423" s="18"/>
      <c r="K423" t="s">
        <v>54</v>
      </c>
      <c r="L423" s="3">
        <f>22539.49+386.89</f>
        <v>22926.38</v>
      </c>
      <c r="M423" s="3">
        <v>389.89</v>
      </c>
      <c r="N423" s="3">
        <f t="shared" ref="N423:N442" si="29">L423*0.3</f>
        <v>6877.9139999999998</v>
      </c>
      <c r="O423" s="3">
        <f>(IF(L423&lt;4172.98,0,MIN(L423*0.3,L423-4172.98)))-M423</f>
        <v>6488.0239999999994</v>
      </c>
      <c r="P423" s="6">
        <v>45717</v>
      </c>
      <c r="Q423" t="s">
        <v>59</v>
      </c>
      <c r="R423" s="3">
        <v>386.89</v>
      </c>
      <c r="S423" s="3" t="s">
        <v>348</v>
      </c>
      <c r="T423" s="48">
        <v>46243</v>
      </c>
      <c r="Z423" s="181">
        <v>2</v>
      </c>
    </row>
    <row r="424" spans="1:26" hidden="1">
      <c r="A424" s="12">
        <v>23485846</v>
      </c>
      <c r="B424" s="13">
        <v>46243</v>
      </c>
      <c r="C424" s="14">
        <v>0.40664351851851854</v>
      </c>
      <c r="D424" s="15"/>
      <c r="E424" s="16">
        <v>5215591472157</v>
      </c>
      <c r="F424" s="15"/>
      <c r="G424" s="15"/>
      <c r="H424" s="17">
        <v>63816408155</v>
      </c>
      <c r="I424" s="15"/>
      <c r="J424" s="18"/>
      <c r="K424" t="s">
        <v>30</v>
      </c>
      <c r="L424" s="3">
        <f>6359.21+626.34+758.04+967.22+370.71</f>
        <v>9081.5199999999986</v>
      </c>
      <c r="M424" s="3">
        <f>626.34+758.04+967.22+370.71</f>
        <v>2722.3100000000004</v>
      </c>
      <c r="N424" s="3">
        <f t="shared" si="29"/>
        <v>2724.4559999999997</v>
      </c>
      <c r="O424" s="3">
        <f>(IF(L424&lt;4172.98,0,MIN(L424*0.3,L424-4172.98)))-M424</f>
        <v>2.145999999999276</v>
      </c>
      <c r="P424" s="6">
        <v>46692</v>
      </c>
      <c r="Q424" t="s">
        <v>43</v>
      </c>
      <c r="R424" s="3">
        <v>370.71</v>
      </c>
      <c r="S424" s="3" t="s">
        <v>69</v>
      </c>
      <c r="Z424" s="181">
        <v>2</v>
      </c>
    </row>
    <row r="425" spans="1:26" hidden="1">
      <c r="A425" s="12">
        <v>23485986</v>
      </c>
      <c r="B425" s="13">
        <v>46243</v>
      </c>
      <c r="C425" s="14">
        <v>0.40824074074074074</v>
      </c>
      <c r="D425" s="15"/>
      <c r="E425" s="16">
        <v>5214442071342</v>
      </c>
      <c r="F425" s="15"/>
      <c r="G425" s="15" t="s">
        <v>469</v>
      </c>
      <c r="H425" s="17"/>
      <c r="I425" s="15"/>
      <c r="J425" s="18"/>
      <c r="K425" t="s">
        <v>58</v>
      </c>
      <c r="L425" s="3">
        <v>2200.71</v>
      </c>
      <c r="N425" s="3">
        <f t="shared" si="29"/>
        <v>660.21299999999997</v>
      </c>
      <c r="O425" s="3">
        <f>(IF(L425&lt;4172.98,0,MIN(L425*0.3,L425-4172.98)))-M425</f>
        <v>0</v>
      </c>
      <c r="S425" s="3" t="s">
        <v>69</v>
      </c>
      <c r="Z425" s="181">
        <v>1</v>
      </c>
    </row>
    <row r="426" spans="1:26" hidden="1">
      <c r="A426" s="12">
        <v>23486194</v>
      </c>
      <c r="B426" s="13">
        <v>46243</v>
      </c>
      <c r="C426" s="14">
        <v>0.41488425925925926</v>
      </c>
      <c r="D426" s="15"/>
      <c r="E426" s="16">
        <v>5218711037714</v>
      </c>
      <c r="F426" s="15"/>
      <c r="G426" s="15"/>
      <c r="H426" s="17">
        <v>31846612153</v>
      </c>
      <c r="I426" s="15"/>
      <c r="J426" s="18"/>
      <c r="K426" t="s">
        <v>58</v>
      </c>
      <c r="L426" s="3">
        <v>3776.54</v>
      </c>
      <c r="N426" s="3">
        <f t="shared" si="29"/>
        <v>1132.962</v>
      </c>
      <c r="O426" s="3">
        <f>(IF(L426&lt;4172.98,0,MIN(L426*0.3,L426-4172.98)))-M426</f>
        <v>0</v>
      </c>
      <c r="S426" s="3" t="s">
        <v>69</v>
      </c>
      <c r="Z426" s="181">
        <v>1</v>
      </c>
    </row>
    <row r="427" spans="1:26">
      <c r="A427" s="12">
        <v>23486284</v>
      </c>
      <c r="B427" s="13">
        <v>46243</v>
      </c>
      <c r="C427" s="14">
        <v>0.42123842592592592</v>
      </c>
      <c r="D427" s="15"/>
      <c r="E427" s="16">
        <v>5215657672365</v>
      </c>
      <c r="F427" s="15"/>
      <c r="G427" s="15"/>
      <c r="H427" s="17">
        <v>42826605836</v>
      </c>
      <c r="I427" s="15"/>
      <c r="J427" s="18"/>
      <c r="K427" t="s">
        <v>54</v>
      </c>
      <c r="L427" s="3">
        <v>10636.54</v>
      </c>
      <c r="N427" s="3">
        <f t="shared" si="29"/>
        <v>3190.962</v>
      </c>
      <c r="O427" s="3">
        <f>(IF(L427&lt;4172.98,0,MIN(L427*0.3,L427-4172.98)))-M427</f>
        <v>3190.962</v>
      </c>
      <c r="S427" s="3" t="s">
        <v>55</v>
      </c>
      <c r="T427" s="48">
        <v>46243</v>
      </c>
      <c r="Z427" s="181">
        <v>1</v>
      </c>
    </row>
    <row r="428" spans="1:26" hidden="1">
      <c r="A428" s="12">
        <v>23486448</v>
      </c>
      <c r="B428" s="13">
        <v>46243</v>
      </c>
      <c r="C428" s="14">
        <v>0.42331018518518521</v>
      </c>
      <c r="D428" s="15"/>
      <c r="E428" s="16">
        <v>5216562250415</v>
      </c>
      <c r="F428" s="15"/>
      <c r="G428" s="15"/>
      <c r="H428" s="17" t="s">
        <v>470</v>
      </c>
      <c r="I428" s="15"/>
      <c r="J428" s="18"/>
      <c r="K428" t="s">
        <v>30</v>
      </c>
      <c r="L428" s="3">
        <f>4180.04+1153.51+284.08</f>
        <v>5617.63</v>
      </c>
      <c r="M428" s="3">
        <f>1153.51+284.08</f>
        <v>1437.59</v>
      </c>
      <c r="N428" s="3">
        <f t="shared" si="29"/>
        <v>1685.289</v>
      </c>
      <c r="O428" s="3">
        <f>(IF(L428&lt;4172.98,0,MIN(L428*0.3,L428-4172.98)))-M428</f>
        <v>7.0600000000006276</v>
      </c>
      <c r="P428" s="6">
        <v>46935</v>
      </c>
      <c r="Q428" t="s">
        <v>43</v>
      </c>
      <c r="R428" s="3">
        <v>1153.51</v>
      </c>
      <c r="S428" s="3" t="s">
        <v>69</v>
      </c>
      <c r="Z428" s="181">
        <v>2</v>
      </c>
    </row>
    <row r="429" spans="1:26">
      <c r="A429" s="12">
        <v>23486486</v>
      </c>
      <c r="B429" s="13">
        <v>46243</v>
      </c>
      <c r="C429" s="14">
        <v>0.43337962962962961</v>
      </c>
      <c r="D429" s="15"/>
      <c r="E429" s="16">
        <v>5216142273945</v>
      </c>
      <c r="F429" s="15"/>
      <c r="G429" s="15"/>
      <c r="H429" s="17" t="s">
        <v>471</v>
      </c>
      <c r="I429" s="15"/>
      <c r="J429" s="18"/>
      <c r="K429" t="s">
        <v>38</v>
      </c>
      <c r="L429" s="3">
        <v>6446</v>
      </c>
      <c r="M429" s="3">
        <v>848</v>
      </c>
      <c r="N429" s="3">
        <f t="shared" si="29"/>
        <v>1933.8</v>
      </c>
      <c r="O429" s="3">
        <f>(IF(L429&lt;4172.98,0,MIN(L429*0.3,L429-4172.98)))-M429</f>
        <v>1085.8</v>
      </c>
      <c r="S429" s="3" t="s">
        <v>327</v>
      </c>
      <c r="T429" s="48">
        <v>46243</v>
      </c>
      <c r="Z429" s="181">
        <v>1</v>
      </c>
    </row>
    <row r="430" spans="1:26">
      <c r="A430" s="12">
        <v>23486616</v>
      </c>
      <c r="B430" s="13">
        <v>46243</v>
      </c>
      <c r="C430" s="14">
        <v>0.43626157407407407</v>
      </c>
      <c r="D430" s="15"/>
      <c r="E430" s="16">
        <v>5214775263234</v>
      </c>
      <c r="F430" s="15"/>
      <c r="G430" s="15"/>
      <c r="H430" s="17">
        <v>1287660433</v>
      </c>
      <c r="I430" s="15"/>
      <c r="J430" s="18"/>
      <c r="K430" t="s">
        <v>27</v>
      </c>
      <c r="L430" s="3">
        <f>4545.24+1480.1</f>
        <v>6025.34</v>
      </c>
      <c r="M430" s="3">
        <v>1480.1</v>
      </c>
      <c r="N430" s="3">
        <f t="shared" si="29"/>
        <v>1807.6020000000001</v>
      </c>
      <c r="O430" s="3">
        <f>(IF(L430&lt;4172.98,0,MIN(L430*0.3,L430-4172.98)))-M430</f>
        <v>327.50200000000018</v>
      </c>
      <c r="P430" s="6">
        <v>45474</v>
      </c>
      <c r="Q430" t="s">
        <v>421</v>
      </c>
      <c r="R430" s="3">
        <v>1480.1</v>
      </c>
      <c r="S430" s="3" t="s">
        <v>358</v>
      </c>
      <c r="T430" s="48">
        <v>46243</v>
      </c>
      <c r="Z430" s="181">
        <v>2</v>
      </c>
    </row>
    <row r="431" spans="1:26" hidden="1">
      <c r="A431" s="12">
        <v>23487114</v>
      </c>
      <c r="B431" s="13">
        <v>46243</v>
      </c>
      <c r="C431" s="14">
        <v>0.45738425925925924</v>
      </c>
      <c r="D431" s="15" t="s">
        <v>472</v>
      </c>
      <c r="E431" s="16">
        <v>5216674307568</v>
      </c>
      <c r="F431" s="15"/>
      <c r="G431" s="15"/>
      <c r="H431" s="17">
        <v>23967978570</v>
      </c>
      <c r="I431" s="15"/>
      <c r="J431" s="18"/>
      <c r="K431" t="s">
        <v>58</v>
      </c>
      <c r="L431" s="3">
        <v>2273.36</v>
      </c>
      <c r="N431" s="3">
        <f t="shared" si="29"/>
        <v>682.00800000000004</v>
      </c>
      <c r="O431" s="3">
        <f>(IF(L431&lt;4172.98,0,MIN(L431*0.3,L431-4172.98)))-M431</f>
        <v>0</v>
      </c>
      <c r="S431" s="3" t="s">
        <v>69</v>
      </c>
      <c r="Z431" s="181">
        <v>1</v>
      </c>
    </row>
    <row r="432" spans="1:26">
      <c r="A432" s="12">
        <v>23487218</v>
      </c>
      <c r="B432" s="13">
        <v>46243</v>
      </c>
      <c r="C432" s="14">
        <v>0.46443287037037034</v>
      </c>
      <c r="D432" s="15"/>
      <c r="E432" s="16">
        <v>5218999373008</v>
      </c>
      <c r="F432" s="15"/>
      <c r="G432" s="15"/>
      <c r="H432" s="17">
        <v>49856819476</v>
      </c>
      <c r="I432" s="15"/>
      <c r="J432" s="18"/>
      <c r="K432" t="s">
        <v>54</v>
      </c>
      <c r="L432" s="3">
        <v>8793.09</v>
      </c>
      <c r="N432" s="3">
        <f t="shared" si="29"/>
        <v>2637.9270000000001</v>
      </c>
      <c r="O432" s="3">
        <f>(IF(L432&lt;4172.98,0,MIN(L432*0.3,L432-4172.98)))-M432</f>
        <v>2637.9270000000001</v>
      </c>
      <c r="S432" s="3" t="s">
        <v>55</v>
      </c>
      <c r="T432" s="48">
        <v>46243</v>
      </c>
      <c r="Z432" s="181">
        <v>1</v>
      </c>
    </row>
    <row r="433" spans="1:26" hidden="1">
      <c r="A433" s="12">
        <v>23487898</v>
      </c>
      <c r="B433" s="13">
        <v>46243</v>
      </c>
      <c r="C433" s="14">
        <v>0.49040509259259257</v>
      </c>
      <c r="D433" s="15"/>
      <c r="E433" s="16">
        <v>5216981178710</v>
      </c>
      <c r="F433" s="15"/>
      <c r="G433" s="15"/>
      <c r="H433" s="17">
        <v>23806312247</v>
      </c>
      <c r="I433" s="15"/>
      <c r="J433" s="18"/>
      <c r="K433" t="s">
        <v>30</v>
      </c>
      <c r="L433" s="3">
        <f>6566.3+2515.22</f>
        <v>9081.52</v>
      </c>
      <c r="M433" s="3">
        <v>2515.2199999999998</v>
      </c>
      <c r="N433" s="3">
        <f t="shared" si="29"/>
        <v>2724.4560000000001</v>
      </c>
      <c r="O433" s="3">
        <f>(IF(L433&lt;4172.98,0,MIN(L433*0.3,L433-4172.98)))-M433</f>
        <v>209.23600000000033</v>
      </c>
      <c r="P433" s="6">
        <v>46447</v>
      </c>
      <c r="Q433" t="s">
        <v>75</v>
      </c>
      <c r="R433" s="3">
        <v>2515.2199999999998</v>
      </c>
      <c r="S433" s="3" t="s">
        <v>69</v>
      </c>
      <c r="Z433" s="181">
        <v>2</v>
      </c>
    </row>
    <row r="434" spans="1:26" hidden="1">
      <c r="A434" s="12">
        <v>23488468</v>
      </c>
      <c r="B434" s="13">
        <v>46243</v>
      </c>
      <c r="C434" s="14">
        <v>0.51807870370370368</v>
      </c>
      <c r="D434" s="15"/>
      <c r="E434" s="16">
        <v>5219717270701</v>
      </c>
      <c r="F434" s="15"/>
      <c r="G434" s="15" t="s">
        <v>473</v>
      </c>
      <c r="H434" s="17"/>
      <c r="I434" s="15"/>
      <c r="J434" s="18"/>
      <c r="K434" t="s">
        <v>32</v>
      </c>
      <c r="N434" s="3">
        <f t="shared" si="29"/>
        <v>0</v>
      </c>
      <c r="O434" s="3">
        <f>(IF(L434&lt;4172.98,0,MIN(L434*0.3,L434-4172.98)))-M434</f>
        <v>0</v>
      </c>
      <c r="S434" s="3" t="s">
        <v>69</v>
      </c>
      <c r="Z434" s="181">
        <v>0</v>
      </c>
    </row>
    <row r="435" spans="1:26" hidden="1">
      <c r="A435" s="12">
        <v>23488380</v>
      </c>
      <c r="B435" s="13">
        <v>46243</v>
      </c>
      <c r="C435" s="14">
        <v>0.51822916666666663</v>
      </c>
      <c r="D435" s="15"/>
      <c r="E435" s="16">
        <v>5215540220233</v>
      </c>
      <c r="F435" s="15"/>
      <c r="G435" s="15"/>
      <c r="H435" s="17">
        <v>1684907007</v>
      </c>
      <c r="I435" s="15"/>
      <c r="J435" s="18"/>
      <c r="K435" t="s">
        <v>32</v>
      </c>
      <c r="N435" s="3">
        <f t="shared" si="29"/>
        <v>0</v>
      </c>
      <c r="O435" s="3">
        <f>(IF(L435&lt;4172.98,0,MIN(L435*0.3,L435-4172.98)))-M435</f>
        <v>0</v>
      </c>
      <c r="S435" s="3" t="s">
        <v>69</v>
      </c>
      <c r="Z435" s="181">
        <v>0</v>
      </c>
    </row>
    <row r="436" spans="1:26" hidden="1">
      <c r="A436" s="12">
        <v>23488724</v>
      </c>
      <c r="B436" s="13">
        <v>46243</v>
      </c>
      <c r="C436" s="14">
        <v>0.53105324074074078</v>
      </c>
      <c r="D436" s="15"/>
      <c r="E436" s="16">
        <v>5214621152919</v>
      </c>
      <c r="F436" s="15"/>
      <c r="G436" s="15"/>
      <c r="H436" s="17">
        <v>12867301348</v>
      </c>
      <c r="I436" s="15"/>
      <c r="J436" s="18"/>
      <c r="K436" t="s">
        <v>30</v>
      </c>
      <c r="L436" s="3">
        <v>5460.56</v>
      </c>
      <c r="M436" s="3">
        <v>1240.76</v>
      </c>
      <c r="N436" s="3">
        <f t="shared" si="29"/>
        <v>1638.1680000000001</v>
      </c>
      <c r="O436" s="3">
        <f>(IF(L436&lt;4172.98,0,MIN(L436*0.3,L436-4172.98)))-M436</f>
        <v>46.820000000000846</v>
      </c>
      <c r="P436" s="6">
        <v>46478</v>
      </c>
      <c r="Q436" t="s">
        <v>47</v>
      </c>
      <c r="R436" s="3">
        <v>1240.76</v>
      </c>
      <c r="S436" s="3" t="s">
        <v>69</v>
      </c>
      <c r="Z436" s="181">
        <v>2</v>
      </c>
    </row>
    <row r="437" spans="1:26" hidden="1">
      <c r="A437" s="12">
        <v>23489376</v>
      </c>
      <c r="B437" s="13">
        <v>46243</v>
      </c>
      <c r="C437" s="14">
        <v>0.56049768518518517</v>
      </c>
      <c r="D437" s="15"/>
      <c r="E437" s="16">
        <v>5216567440183</v>
      </c>
      <c r="F437" s="15"/>
      <c r="G437" s="15" t="s">
        <v>474</v>
      </c>
      <c r="H437" s="17"/>
      <c r="I437" s="15"/>
      <c r="J437" s="18"/>
      <c r="K437" t="s">
        <v>32</v>
      </c>
      <c r="N437" s="3">
        <f t="shared" si="29"/>
        <v>0</v>
      </c>
      <c r="O437" s="3">
        <f>(IF(L437&lt;4172.98,0,MIN(L437*0.3,L437-4172.98)))-M437</f>
        <v>0</v>
      </c>
      <c r="S437" s="3" t="s">
        <v>69</v>
      </c>
      <c r="Z437" s="181">
        <v>0</v>
      </c>
    </row>
    <row r="438" spans="1:26" hidden="1">
      <c r="A438" s="12">
        <v>23489400</v>
      </c>
      <c r="B438" s="13">
        <v>46243</v>
      </c>
      <c r="C438" s="14">
        <v>0.56216435185185187</v>
      </c>
      <c r="D438" s="15"/>
      <c r="E438" s="16">
        <v>5217773277073</v>
      </c>
      <c r="F438" s="15"/>
      <c r="G438" s="15"/>
      <c r="H438" s="17">
        <v>15855901748</v>
      </c>
      <c r="I438" s="15"/>
      <c r="J438" s="18"/>
      <c r="K438" t="s">
        <v>30</v>
      </c>
      <c r="L438" s="3">
        <f>6950.37+2809.95</f>
        <v>9760.32</v>
      </c>
      <c r="M438" s="3">
        <v>2809.95</v>
      </c>
      <c r="N438" s="3">
        <f t="shared" si="29"/>
        <v>2928.096</v>
      </c>
      <c r="O438" s="3">
        <f>(IF(L438&lt;4172.98,0,MIN(L438*0.3,L438-4172.98)))-M438</f>
        <v>118.14600000000019</v>
      </c>
      <c r="P438" s="6">
        <v>46539</v>
      </c>
      <c r="Q438" t="s">
        <v>141</v>
      </c>
      <c r="R438" s="3">
        <v>2809.95</v>
      </c>
      <c r="S438" s="3" t="s">
        <v>69</v>
      </c>
      <c r="Z438" s="181">
        <v>2</v>
      </c>
    </row>
    <row r="439" spans="1:26" hidden="1">
      <c r="A439" s="12">
        <v>23489288</v>
      </c>
      <c r="B439" s="13">
        <v>46243</v>
      </c>
      <c r="C439" s="14">
        <v>0.56511574074074078</v>
      </c>
      <c r="D439" s="15"/>
      <c r="E439" s="16">
        <v>5215632385204</v>
      </c>
      <c r="F439" s="15"/>
      <c r="G439" s="15" t="s">
        <v>475</v>
      </c>
      <c r="H439" s="17"/>
      <c r="I439" s="15"/>
      <c r="J439" s="18"/>
      <c r="K439" t="s">
        <v>32</v>
      </c>
      <c r="N439" s="3">
        <f t="shared" si="29"/>
        <v>0</v>
      </c>
      <c r="O439" s="3">
        <f>(IF(L439&lt;4172.98,0,MIN(L439*0.3,L439-4172.98)))-M439</f>
        <v>0</v>
      </c>
      <c r="S439" s="3" t="s">
        <v>69</v>
      </c>
      <c r="Z439" s="181">
        <v>0</v>
      </c>
    </row>
    <row r="440" spans="1:26">
      <c r="A440" s="12">
        <v>23489342</v>
      </c>
      <c r="B440" s="13">
        <v>46243</v>
      </c>
      <c r="C440" s="14">
        <v>0.56806712962962957</v>
      </c>
      <c r="D440" s="15"/>
      <c r="E440" s="16">
        <v>5213312988091</v>
      </c>
      <c r="F440" s="15"/>
      <c r="G440" s="15" t="s">
        <v>476</v>
      </c>
      <c r="H440" s="17"/>
      <c r="I440" s="15"/>
      <c r="J440" s="18"/>
      <c r="K440" t="s">
        <v>54</v>
      </c>
      <c r="L440" s="3">
        <v>5456.85</v>
      </c>
      <c r="N440" s="3">
        <f t="shared" si="29"/>
        <v>1637.0550000000001</v>
      </c>
      <c r="O440" s="3">
        <f>(IF(L440&lt;4172.98,0,MIN(L440*0.3,L440-4172.98)))-M440</f>
        <v>1283.8700000000008</v>
      </c>
      <c r="S440" s="3" t="s">
        <v>358</v>
      </c>
      <c r="T440" s="48">
        <v>46243</v>
      </c>
      <c r="Z440" s="181">
        <v>1</v>
      </c>
    </row>
    <row r="441" spans="1:26" hidden="1">
      <c r="A441" s="12">
        <v>23489968</v>
      </c>
      <c r="B441" s="13">
        <v>46243</v>
      </c>
      <c r="C441" s="14">
        <v>0.59452546296296294</v>
      </c>
      <c r="D441" s="15"/>
      <c r="E441" s="16">
        <v>5214811069292</v>
      </c>
      <c r="F441" s="15"/>
      <c r="G441" s="15"/>
      <c r="H441" s="17" t="s">
        <v>477</v>
      </c>
      <c r="I441" s="15"/>
      <c r="J441" s="18"/>
      <c r="K441" t="s">
        <v>30</v>
      </c>
      <c r="L441" s="3">
        <f>5280.33+77.84+2181</f>
        <v>7539.17</v>
      </c>
      <c r="M441" s="3">
        <f>2181+77.84</f>
        <v>2258.84</v>
      </c>
      <c r="N441" s="3">
        <f t="shared" si="29"/>
        <v>2261.7509999999997</v>
      </c>
      <c r="O441" s="3">
        <f>(IF(L441&lt;4172.98,0,MIN(L441*0.3,L441-4172.98)))-M441</f>
        <v>2.9109999999996035</v>
      </c>
      <c r="P441" s="6">
        <v>46661</v>
      </c>
      <c r="Q441" t="s">
        <v>332</v>
      </c>
      <c r="R441" s="3">
        <v>2181</v>
      </c>
      <c r="S441" s="3" t="s">
        <v>69</v>
      </c>
      <c r="Z441" s="181">
        <v>2</v>
      </c>
    </row>
    <row r="442" spans="1:26">
      <c r="A442" s="30">
        <v>23490054</v>
      </c>
      <c r="B442" s="31">
        <v>46243</v>
      </c>
      <c r="C442" s="32">
        <v>0.5951967592592593</v>
      </c>
      <c r="D442" s="33"/>
      <c r="E442" s="34">
        <v>5219988704337</v>
      </c>
      <c r="F442" s="33"/>
      <c r="G442" s="33"/>
      <c r="H442" s="35">
        <v>45896556573</v>
      </c>
      <c r="I442" s="33"/>
      <c r="J442" s="36"/>
      <c r="K442" t="s">
        <v>54</v>
      </c>
      <c r="L442" s="3">
        <f>75694.88-60033.87</f>
        <v>15661.010000000002</v>
      </c>
      <c r="N442" s="3">
        <f t="shared" si="29"/>
        <v>4698.3030000000008</v>
      </c>
      <c r="O442" s="3">
        <f>(IF(L442&lt;4172.98,0,MIN(L442*0.3,L442-4172.98)))-M442</f>
        <v>4698.3030000000008</v>
      </c>
      <c r="S442" s="3" t="s">
        <v>348</v>
      </c>
      <c r="T442" s="48">
        <v>46243</v>
      </c>
      <c r="U442" s="85"/>
      <c r="Z442" s="181">
        <v>1</v>
      </c>
    </row>
    <row r="443" spans="1:26" hidden="1">
      <c r="A443" s="12">
        <v>23490128</v>
      </c>
      <c r="B443" s="13">
        <v>46243</v>
      </c>
      <c r="C443" s="14">
        <v>0.60971064814814813</v>
      </c>
      <c r="D443" s="15"/>
      <c r="E443" s="16">
        <v>5215612188704</v>
      </c>
      <c r="F443" s="15"/>
      <c r="G443" s="15" t="s">
        <v>478</v>
      </c>
      <c r="H443" s="17"/>
      <c r="I443" s="15"/>
      <c r="J443" s="18">
        <v>1</v>
      </c>
      <c r="K443" t="s">
        <v>30</v>
      </c>
      <c r="L443" s="3">
        <v>8539.89</v>
      </c>
      <c r="M443" s="3">
        <v>2470.39</v>
      </c>
      <c r="N443" s="3">
        <f t="shared" ref="N443:N451" si="30">L443*0.3</f>
        <v>2561.9669999999996</v>
      </c>
      <c r="O443" s="3">
        <f>(IF(L443&lt;4172.98,0,MIN(L443*0.3,L443-4172.98)))-M443</f>
        <v>91.576999999999771</v>
      </c>
      <c r="P443" s="6">
        <v>46692</v>
      </c>
      <c r="Q443" t="s">
        <v>75</v>
      </c>
      <c r="R443" s="3">
        <v>2248.9699999999998</v>
      </c>
      <c r="S443" s="3" t="s">
        <v>69</v>
      </c>
      <c r="Z443" s="181">
        <v>2</v>
      </c>
    </row>
    <row r="444" spans="1:26" hidden="1">
      <c r="A444" s="12">
        <v>23490274</v>
      </c>
      <c r="B444" s="13">
        <v>46243</v>
      </c>
      <c r="C444" s="14">
        <v>0.61298611111111112</v>
      </c>
      <c r="D444" s="15"/>
      <c r="E444" s="16">
        <v>5218661226763</v>
      </c>
      <c r="F444" s="15"/>
      <c r="G444" s="15"/>
      <c r="H444" s="17">
        <v>32745620610</v>
      </c>
      <c r="I444" s="15"/>
      <c r="J444" s="18">
        <v>1</v>
      </c>
      <c r="K444" t="s">
        <v>30</v>
      </c>
      <c r="L444" s="3">
        <v>35031.699999999997</v>
      </c>
      <c r="M444" s="3">
        <v>10507.22</v>
      </c>
      <c r="N444" s="3">
        <f t="shared" si="30"/>
        <v>10509.509999999998</v>
      </c>
      <c r="O444" s="3">
        <f>(IF(L444&lt;4172.98,0,MIN(L444*0.3,L444-4172.98)))-M444</f>
        <v>2.2899999999990541</v>
      </c>
      <c r="P444" s="6">
        <v>46447</v>
      </c>
      <c r="Q444" t="s">
        <v>59</v>
      </c>
      <c r="R444" s="3">
        <v>1535.21</v>
      </c>
      <c r="S444" s="3" t="s">
        <v>69</v>
      </c>
      <c r="Z444" s="181">
        <v>2</v>
      </c>
    </row>
    <row r="445" spans="1:26">
      <c r="A445" s="12">
        <v>23490340</v>
      </c>
      <c r="B445" s="13">
        <v>46243</v>
      </c>
      <c r="C445" s="14">
        <v>0.62121527777777774</v>
      </c>
      <c r="D445" s="15"/>
      <c r="E445" s="16">
        <v>5218117943679</v>
      </c>
      <c r="F445" s="15"/>
      <c r="G445" s="15" t="s">
        <v>479</v>
      </c>
      <c r="H445" s="17">
        <v>43816428445</v>
      </c>
      <c r="I445" s="15"/>
      <c r="J445" s="18">
        <v>1</v>
      </c>
      <c r="K445" t="s">
        <v>54</v>
      </c>
      <c r="L445" s="3">
        <v>9760.32</v>
      </c>
      <c r="N445" s="3">
        <f t="shared" si="30"/>
        <v>2928.096</v>
      </c>
      <c r="O445" s="3">
        <f>(IF(L445&lt;4172.98,0,MIN(L445*0.3,L445-4172.98)))-M445</f>
        <v>2928.096</v>
      </c>
      <c r="S445" s="3" t="s">
        <v>348</v>
      </c>
      <c r="T445" s="48">
        <v>46244</v>
      </c>
      <c r="Z445" s="181">
        <v>1</v>
      </c>
    </row>
    <row r="446" spans="1:26" hidden="1">
      <c r="A446" s="12">
        <v>23490276</v>
      </c>
      <c r="B446" s="13">
        <v>46243</v>
      </c>
      <c r="C446" s="14">
        <v>0.62268518518518523</v>
      </c>
      <c r="D446" s="15"/>
      <c r="E446" s="16">
        <v>5216395493293</v>
      </c>
      <c r="F446" s="15"/>
      <c r="G446" s="15"/>
      <c r="H446" s="17">
        <v>33805709574</v>
      </c>
      <c r="I446" s="15"/>
      <c r="J446" s="18">
        <v>1</v>
      </c>
      <c r="K446" t="s">
        <v>58</v>
      </c>
      <c r="L446" s="3">
        <v>4199.87</v>
      </c>
      <c r="N446" s="3">
        <f t="shared" si="30"/>
        <v>1259.961</v>
      </c>
      <c r="O446" s="3">
        <f>(IF(L446&lt;4172.98,0,MIN(L446*0.3,L446-4172.98)))-M446</f>
        <v>26.890000000000327</v>
      </c>
      <c r="S446" s="3" t="s">
        <v>69</v>
      </c>
      <c r="Z446" s="181">
        <v>1</v>
      </c>
    </row>
    <row r="447" spans="1:26" hidden="1">
      <c r="A447" s="12">
        <v>23490508</v>
      </c>
      <c r="B447" s="13">
        <v>46243</v>
      </c>
      <c r="C447" s="14">
        <v>0.62296296296296294</v>
      </c>
      <c r="D447" s="15" t="s">
        <v>480</v>
      </c>
      <c r="E447" s="16">
        <v>5214433281116</v>
      </c>
      <c r="F447" s="15"/>
      <c r="G447" s="15" t="s">
        <v>481</v>
      </c>
      <c r="H447" s="17"/>
      <c r="I447" s="15"/>
      <c r="J447" s="18">
        <v>1</v>
      </c>
      <c r="K447" t="s">
        <v>30</v>
      </c>
      <c r="L447" s="3">
        <v>9760.32</v>
      </c>
      <c r="M447" s="3">
        <v>2925.06</v>
      </c>
      <c r="N447" s="3">
        <f t="shared" si="30"/>
        <v>2928.096</v>
      </c>
      <c r="O447" s="3">
        <f>(IF(L447&lt;4172.98,0,MIN(L447*0.3,L447-4172.98)))-M447</f>
        <v>3.0360000000000582</v>
      </c>
      <c r="P447" s="6">
        <v>46874</v>
      </c>
      <c r="Q447" t="s">
        <v>43</v>
      </c>
      <c r="R447" s="3">
        <v>2013.24</v>
      </c>
      <c r="S447" s="3" t="s">
        <v>69</v>
      </c>
      <c r="Z447" s="181">
        <v>2</v>
      </c>
    </row>
    <row r="448" spans="1:26" hidden="1">
      <c r="A448" s="12">
        <v>23490506</v>
      </c>
      <c r="B448" s="13">
        <v>46243</v>
      </c>
      <c r="C448" s="14">
        <v>0.62556712962962968</v>
      </c>
      <c r="D448" s="15" t="s">
        <v>482</v>
      </c>
      <c r="E448" s="16">
        <v>5219613178567</v>
      </c>
      <c r="F448" s="15"/>
      <c r="G448" s="15" t="s">
        <v>483</v>
      </c>
      <c r="H448" s="17"/>
      <c r="I448" s="15"/>
      <c r="J448" s="18">
        <v>1</v>
      </c>
      <c r="K448" t="s">
        <v>58</v>
      </c>
      <c r="L448" s="3">
        <f>3463.43+879</f>
        <v>4342.43</v>
      </c>
      <c r="M448" s="3">
        <v>879</v>
      </c>
      <c r="N448" s="3">
        <f t="shared" si="30"/>
        <v>1302.729</v>
      </c>
      <c r="O448" s="3">
        <f>(IF(L448&lt;4172.98,0,MIN(L448*0.3,L448-4172.98)))-M448</f>
        <v>-709.54999999999927</v>
      </c>
      <c r="S448" s="3" t="s">
        <v>69</v>
      </c>
      <c r="Z448" s="181">
        <v>1</v>
      </c>
    </row>
    <row r="449" spans="1:26" hidden="1">
      <c r="A449" s="12">
        <v>23490514</v>
      </c>
      <c r="B449" s="13">
        <v>46243</v>
      </c>
      <c r="C449" s="14">
        <v>0.62671296296296297</v>
      </c>
      <c r="D449" s="15"/>
      <c r="E449" s="16">
        <v>8132365817</v>
      </c>
      <c r="F449" s="15"/>
      <c r="G449" s="15" t="s">
        <v>484</v>
      </c>
      <c r="H449" s="17"/>
      <c r="I449" s="15"/>
      <c r="J449" s="18">
        <v>1</v>
      </c>
      <c r="K449" t="s">
        <v>32</v>
      </c>
      <c r="N449" s="3">
        <f t="shared" si="30"/>
        <v>0</v>
      </c>
      <c r="O449" s="3">
        <f>(IF(L449&lt;4172.98,0,MIN(L449*0.3,L449-4172.98)))-M449</f>
        <v>0</v>
      </c>
      <c r="S449" s="3" t="s">
        <v>69</v>
      </c>
      <c r="Z449" s="181">
        <v>0</v>
      </c>
    </row>
    <row r="450" spans="1:26" hidden="1">
      <c r="A450" s="12">
        <v>23490974</v>
      </c>
      <c r="B450" s="13">
        <v>46243</v>
      </c>
      <c r="C450" s="14">
        <v>0.64290509259259254</v>
      </c>
      <c r="D450" s="15"/>
      <c r="E450" s="16">
        <v>5218110743773</v>
      </c>
      <c r="F450" s="15"/>
      <c r="G450" s="15"/>
      <c r="H450" s="17">
        <v>43826462020</v>
      </c>
      <c r="I450" s="15"/>
      <c r="J450" s="18">
        <v>1</v>
      </c>
      <c r="K450" t="s">
        <v>51</v>
      </c>
      <c r="N450" s="3">
        <f t="shared" si="30"/>
        <v>0</v>
      </c>
      <c r="O450" s="3">
        <f>(IF(L450&lt;4172.98,0,MIN(L450*0.3,L450-4172.98)))-M450</f>
        <v>0</v>
      </c>
      <c r="S450" s="3" t="s">
        <v>69</v>
      </c>
      <c r="Z450" s="181">
        <v>1</v>
      </c>
    </row>
    <row r="451" spans="1:26" hidden="1">
      <c r="A451" s="30">
        <v>23491486</v>
      </c>
      <c r="B451" s="31">
        <v>46243</v>
      </c>
      <c r="C451" s="32">
        <v>0.67540509259259263</v>
      </c>
      <c r="D451" s="33"/>
      <c r="E451" s="34">
        <v>5214531310064</v>
      </c>
      <c r="F451" s="33"/>
      <c r="G451" s="33" t="s">
        <v>485</v>
      </c>
      <c r="H451" s="35"/>
      <c r="I451" s="33"/>
      <c r="J451" s="36">
        <v>1</v>
      </c>
      <c r="K451" t="s">
        <v>32</v>
      </c>
      <c r="N451" s="3">
        <f t="shared" si="30"/>
        <v>0</v>
      </c>
      <c r="O451" s="3">
        <f>(IF(L451&lt;4172.98,0,MIN(L451*0.3,L451-4172.98)))-M451</f>
        <v>0</v>
      </c>
      <c r="S451" s="3" t="s">
        <v>69</v>
      </c>
      <c r="Z451" s="181">
        <v>0</v>
      </c>
    </row>
    <row r="452" spans="1:26" hidden="1">
      <c r="A452" s="12">
        <v>23491730</v>
      </c>
      <c r="B452" s="13">
        <v>46243</v>
      </c>
      <c r="C452" s="14">
        <v>0.68759259259259264</v>
      </c>
      <c r="D452" s="15"/>
      <c r="E452" s="16">
        <v>5215635257153</v>
      </c>
      <c r="F452" s="15"/>
      <c r="G452" s="15"/>
      <c r="H452" s="17" t="s">
        <v>486</v>
      </c>
      <c r="I452" s="15"/>
      <c r="J452" s="18">
        <v>1</v>
      </c>
      <c r="K452" t="s">
        <v>32</v>
      </c>
      <c r="N452" s="3">
        <f t="shared" ref="N452:N459" si="31">L452*0.3</f>
        <v>0</v>
      </c>
      <c r="O452" s="3">
        <f>(IF(L452&lt;4172.98,0,MIN(L452*0.3,L452-4172.98)))-M452</f>
        <v>0</v>
      </c>
      <c r="S452" s="3" t="s">
        <v>69</v>
      </c>
      <c r="Z452" s="181">
        <v>0</v>
      </c>
    </row>
    <row r="453" spans="1:26" hidden="1">
      <c r="A453" s="12">
        <v>23492336</v>
      </c>
      <c r="B453" s="13">
        <v>46243</v>
      </c>
      <c r="C453" s="14">
        <v>0.71583333333333332</v>
      </c>
      <c r="D453" s="15"/>
      <c r="E453" s="16">
        <v>5216622398422</v>
      </c>
      <c r="F453" s="15"/>
      <c r="G453" s="15" t="s">
        <v>487</v>
      </c>
      <c r="H453" s="17" t="s">
        <v>488</v>
      </c>
      <c r="I453" s="15"/>
      <c r="J453" s="18">
        <v>1</v>
      </c>
      <c r="K453" t="s">
        <v>30</v>
      </c>
      <c r="L453" s="3">
        <v>5617.63</v>
      </c>
      <c r="M453" s="3">
        <v>1444.64</v>
      </c>
      <c r="N453" s="3">
        <f t="shared" si="31"/>
        <v>1685.289</v>
      </c>
      <c r="O453" s="3">
        <f>(IF(L453&lt;4172.98,0,MIN(L453*0.3,L453-4172.98)))-M453</f>
        <v>1.0000000000445652E-2</v>
      </c>
      <c r="P453" s="6">
        <v>46357</v>
      </c>
      <c r="Q453" t="s">
        <v>141</v>
      </c>
      <c r="R453" s="3">
        <v>752.19</v>
      </c>
      <c r="S453" s="3" t="s">
        <v>69</v>
      </c>
      <c r="Z453" s="181">
        <v>2</v>
      </c>
    </row>
    <row r="454" spans="1:26" hidden="1">
      <c r="A454" s="12">
        <v>23492324</v>
      </c>
      <c r="B454" s="13">
        <v>46243</v>
      </c>
      <c r="C454" s="14">
        <v>0.71812500000000001</v>
      </c>
      <c r="D454" s="15"/>
      <c r="E454" s="16">
        <v>5215542844916</v>
      </c>
      <c r="F454" s="15"/>
      <c r="G454" s="15" t="s">
        <v>489</v>
      </c>
      <c r="H454" s="17"/>
      <c r="I454" s="15"/>
      <c r="J454" s="18">
        <v>1</v>
      </c>
      <c r="K454" t="s">
        <v>30</v>
      </c>
      <c r="L454" s="3">
        <v>7920.51</v>
      </c>
      <c r="M454" s="3">
        <v>2288.7600000000002</v>
      </c>
      <c r="N454" s="3">
        <f t="shared" si="31"/>
        <v>2376.1529999999998</v>
      </c>
      <c r="O454" s="3">
        <f>(IF(L454&lt;4172.98,0,MIN(L454*0.3,L454-4172.98)))-M454</f>
        <v>87.392999999999574</v>
      </c>
      <c r="P454" s="6">
        <v>46539</v>
      </c>
      <c r="Q454" t="s">
        <v>59</v>
      </c>
      <c r="R454" s="3">
        <v>2100</v>
      </c>
      <c r="S454" s="3" t="s">
        <v>69</v>
      </c>
      <c r="Z454" s="181">
        <v>2</v>
      </c>
    </row>
    <row r="455" spans="1:26">
      <c r="A455" s="12">
        <v>23492964</v>
      </c>
      <c r="B455" s="13">
        <v>46243</v>
      </c>
      <c r="C455" s="14">
        <v>0.73645833333333333</v>
      </c>
      <c r="D455" s="15" t="s">
        <v>490</v>
      </c>
      <c r="E455" s="16">
        <v>5218140142243</v>
      </c>
      <c r="F455" s="15"/>
      <c r="G455" s="15" t="s">
        <v>491</v>
      </c>
      <c r="H455" s="17">
        <v>43806362893</v>
      </c>
      <c r="I455" s="15"/>
      <c r="J455" s="18">
        <v>1</v>
      </c>
      <c r="K455" t="s">
        <v>54</v>
      </c>
      <c r="L455" s="3">
        <v>9081.52</v>
      </c>
      <c r="N455" s="3">
        <f t="shared" si="31"/>
        <v>2724.4560000000001</v>
      </c>
      <c r="O455" s="3">
        <f>(IF(L455&lt;4172.98,0,MIN(L455*0.3,L455-4172.98)))-M455</f>
        <v>2724.4560000000001</v>
      </c>
      <c r="S455" s="3" t="s">
        <v>62</v>
      </c>
      <c r="T455" s="48">
        <v>46244</v>
      </c>
      <c r="Z455" s="181">
        <v>1</v>
      </c>
    </row>
    <row r="456" spans="1:26" hidden="1">
      <c r="A456" s="12">
        <v>23492980</v>
      </c>
      <c r="B456" s="13">
        <v>46243</v>
      </c>
      <c r="C456" s="14">
        <v>0.73898148148148146</v>
      </c>
      <c r="D456" s="15"/>
      <c r="E456" s="16">
        <v>5216681960289</v>
      </c>
      <c r="F456" s="15"/>
      <c r="G456" s="15" t="s">
        <v>492</v>
      </c>
      <c r="H456" s="17"/>
      <c r="I456" s="15"/>
      <c r="J456" s="18">
        <v>1</v>
      </c>
      <c r="K456" t="s">
        <v>30</v>
      </c>
      <c r="L456" s="3">
        <v>9081.52</v>
      </c>
      <c r="M456" s="3">
        <v>2625.63</v>
      </c>
      <c r="N456" s="3">
        <f t="shared" si="31"/>
        <v>2724.4560000000001</v>
      </c>
      <c r="O456" s="3">
        <f>(IF(L456&lt;4172.98,0,MIN(L456*0.3,L456-4172.98)))-M456</f>
        <v>98.826000000000022</v>
      </c>
      <c r="P456" s="6">
        <v>46266</v>
      </c>
      <c r="Q456" t="s">
        <v>493</v>
      </c>
      <c r="R456" s="3">
        <v>1425.42</v>
      </c>
      <c r="S456" s="3" t="s">
        <v>69</v>
      </c>
      <c r="Z456" s="181">
        <v>2</v>
      </c>
    </row>
    <row r="457" spans="1:26" hidden="1">
      <c r="A457" s="12">
        <v>23493012</v>
      </c>
      <c r="B457" s="13">
        <v>46243</v>
      </c>
      <c r="C457" s="14">
        <v>0.75075231481481486</v>
      </c>
      <c r="D457" s="15" t="s">
        <v>494</v>
      </c>
      <c r="E457" s="16">
        <v>5214447021138</v>
      </c>
      <c r="F457" s="15"/>
      <c r="G457" s="15" t="s">
        <v>495</v>
      </c>
      <c r="H457" s="17">
        <v>12048013721</v>
      </c>
      <c r="I457" s="15"/>
      <c r="J457" s="18">
        <v>1</v>
      </c>
      <c r="K457" t="s">
        <v>51</v>
      </c>
      <c r="N457" s="3">
        <f t="shared" si="31"/>
        <v>0</v>
      </c>
      <c r="O457" s="3">
        <f>(IF(L457&lt;4172.98,0,MIN(L457*0.3,L457-4172.98)))-M457</f>
        <v>0</v>
      </c>
      <c r="S457" s="3" t="s">
        <v>69</v>
      </c>
      <c r="Z457" s="181">
        <v>1</v>
      </c>
    </row>
    <row r="458" spans="1:26" hidden="1">
      <c r="A458" s="12">
        <v>23493318</v>
      </c>
      <c r="B458" s="13">
        <v>46243</v>
      </c>
      <c r="C458" s="14">
        <v>0.75186342592592592</v>
      </c>
      <c r="D458" s="15"/>
      <c r="E458" s="16">
        <v>5215569827015</v>
      </c>
      <c r="F458" s="15"/>
      <c r="G458" s="15" t="s">
        <v>496</v>
      </c>
      <c r="H458" s="17"/>
      <c r="I458" s="15"/>
      <c r="J458" s="18">
        <v>1</v>
      </c>
      <c r="K458" t="s">
        <v>32</v>
      </c>
      <c r="N458" s="3">
        <f t="shared" si="31"/>
        <v>0</v>
      </c>
      <c r="O458" s="3">
        <f>(IF(L458&lt;4172.98,0,MIN(L458*0.3,L458-4172.98)))-M458</f>
        <v>0</v>
      </c>
      <c r="S458" s="3" t="s">
        <v>69</v>
      </c>
      <c r="Z458" s="181">
        <v>0</v>
      </c>
    </row>
    <row r="459" spans="1:26" hidden="1">
      <c r="A459" s="30">
        <v>23493338</v>
      </c>
      <c r="B459" s="31">
        <v>46243</v>
      </c>
      <c r="C459" s="32">
        <v>0.75265046296296301</v>
      </c>
      <c r="D459" s="33"/>
      <c r="E459" s="34">
        <v>5219933302711</v>
      </c>
      <c r="F459" s="33"/>
      <c r="G459" s="33"/>
      <c r="H459" s="35">
        <v>83886943832</v>
      </c>
      <c r="I459" s="33"/>
      <c r="J459" s="36">
        <v>1</v>
      </c>
      <c r="K459" t="s">
        <v>58</v>
      </c>
      <c r="L459" s="3">
        <v>3551.62</v>
      </c>
      <c r="N459" s="3">
        <f t="shared" si="31"/>
        <v>1065.4859999999999</v>
      </c>
      <c r="O459" s="3">
        <f>(IF(L459&lt;4172.98,0,MIN(L459*0.3,L459-4172.98)))-M459</f>
        <v>0</v>
      </c>
      <c r="S459" s="3" t="s">
        <v>69</v>
      </c>
      <c r="Z459" s="181">
        <v>1</v>
      </c>
    </row>
    <row r="460" spans="1:26" hidden="1">
      <c r="A460" s="12">
        <v>23493370</v>
      </c>
      <c r="B460" s="13">
        <v>46243</v>
      </c>
      <c r="C460" s="14">
        <v>0.75312500000000004</v>
      </c>
      <c r="D460" s="15"/>
      <c r="E460" s="16">
        <v>5215578920703</v>
      </c>
      <c r="F460" s="15"/>
      <c r="G460" s="15"/>
      <c r="H460" s="17" t="s">
        <v>497</v>
      </c>
      <c r="I460" s="15"/>
      <c r="J460" s="18">
        <v>1</v>
      </c>
      <c r="K460" t="s">
        <v>30</v>
      </c>
      <c r="L460" s="3">
        <v>7116.73</v>
      </c>
      <c r="M460" s="3">
        <v>1857.66</v>
      </c>
      <c r="N460" s="3">
        <f t="shared" ref="N460:N467" si="32">L460*0.3</f>
        <v>2135.0189999999998</v>
      </c>
      <c r="O460" s="3">
        <f>(IF(L460&lt;4172.98,0,MIN(L460*0.3,L460-4172.98)))-M460</f>
        <v>277.3589999999997</v>
      </c>
      <c r="P460" s="6">
        <v>46447</v>
      </c>
      <c r="Q460" t="s">
        <v>75</v>
      </c>
      <c r="R460" s="3">
        <v>1857.66</v>
      </c>
      <c r="S460" s="3" t="s">
        <v>69</v>
      </c>
      <c r="Z460" s="181">
        <v>2</v>
      </c>
    </row>
    <row r="461" spans="1:26" hidden="1">
      <c r="A461" s="12">
        <v>23493464</v>
      </c>
      <c r="B461" s="13">
        <v>46243</v>
      </c>
      <c r="C461" s="14">
        <v>0.76324074074074078</v>
      </c>
      <c r="D461" s="15" t="s">
        <v>498</v>
      </c>
      <c r="E461" s="16">
        <v>5214421680110</v>
      </c>
      <c r="F461" s="15"/>
      <c r="G461" s="15" t="s">
        <v>499</v>
      </c>
      <c r="H461" s="17"/>
      <c r="I461" s="15"/>
      <c r="J461" s="18">
        <v>1</v>
      </c>
      <c r="K461" t="s">
        <v>32</v>
      </c>
      <c r="N461" s="3">
        <f>L461*0.3</f>
        <v>0</v>
      </c>
      <c r="O461" s="3">
        <f>(IF(L461&lt;4172.98,0,MIN(L461*0.3,L461-4172.98)))-M461</f>
        <v>0</v>
      </c>
      <c r="P461" s="6"/>
      <c r="S461" s="3" t="s">
        <v>69</v>
      </c>
      <c r="Z461" s="181">
        <v>0</v>
      </c>
    </row>
    <row r="462" spans="1:26" hidden="1">
      <c r="A462" s="12">
        <v>23493710</v>
      </c>
      <c r="B462" s="13">
        <v>46243</v>
      </c>
      <c r="C462" s="14">
        <v>0.77194444444444443</v>
      </c>
      <c r="D462" s="15"/>
      <c r="E462" s="16">
        <v>5215559172193</v>
      </c>
      <c r="F462" s="15"/>
      <c r="G462" s="15"/>
      <c r="H462" s="17">
        <v>63826206276</v>
      </c>
      <c r="I462" s="15"/>
      <c r="J462" s="18">
        <v>1</v>
      </c>
      <c r="K462" t="s">
        <v>30</v>
      </c>
      <c r="L462" s="3">
        <v>7116.73</v>
      </c>
      <c r="M462" s="3">
        <v>2058.1799999999998</v>
      </c>
      <c r="N462" s="3">
        <f t="shared" si="32"/>
        <v>2135.0189999999998</v>
      </c>
      <c r="O462" s="3">
        <f>(IF(L462&lt;4172.98,0,MIN(L462*0.3,L462-4172.98)))-M462</f>
        <v>76.838999999999942</v>
      </c>
      <c r="P462" s="6">
        <v>46508</v>
      </c>
      <c r="Q462" t="s">
        <v>421</v>
      </c>
      <c r="R462" s="3">
        <v>2058.1799999999998</v>
      </c>
      <c r="S462" s="3" t="s">
        <v>69</v>
      </c>
      <c r="Z462" s="181">
        <v>2</v>
      </c>
    </row>
    <row r="463" spans="1:26" hidden="1">
      <c r="A463" s="12">
        <v>23493852</v>
      </c>
      <c r="B463" s="13">
        <v>46243</v>
      </c>
      <c r="C463" s="14">
        <v>0.77790509259259255</v>
      </c>
      <c r="D463" s="15"/>
      <c r="E463" s="16">
        <v>5216673887473</v>
      </c>
      <c r="F463" s="15"/>
      <c r="G463" s="15"/>
      <c r="H463" s="17">
        <v>72926520874</v>
      </c>
      <c r="I463" s="15"/>
      <c r="J463" s="18">
        <v>1</v>
      </c>
      <c r="K463" t="s">
        <v>30</v>
      </c>
      <c r="L463" s="3">
        <v>9760.32</v>
      </c>
      <c r="M463" s="3">
        <v>2820.61</v>
      </c>
      <c r="N463" s="3">
        <f t="shared" si="32"/>
        <v>2928.096</v>
      </c>
      <c r="O463" s="3">
        <f>(IF(L463&lt;4172.98,0,MIN(L463*0.3,L463-4172.98)))-M463</f>
        <v>107.48599999999988</v>
      </c>
      <c r="P463" s="6">
        <v>46539</v>
      </c>
      <c r="Q463" t="s">
        <v>206</v>
      </c>
      <c r="R463" s="3">
        <v>2820.61</v>
      </c>
      <c r="S463" s="3" t="s">
        <v>69</v>
      </c>
      <c r="Z463" s="181">
        <v>2</v>
      </c>
    </row>
    <row r="464" spans="1:26">
      <c r="A464" s="12">
        <v>23494478</v>
      </c>
      <c r="B464" s="13">
        <v>46243</v>
      </c>
      <c r="C464" s="14">
        <v>0.81559027777777782</v>
      </c>
      <c r="D464" s="15"/>
      <c r="E464" s="16">
        <v>5217352330485</v>
      </c>
      <c r="F464" s="15"/>
      <c r="G464" s="15"/>
      <c r="H464" s="17" t="s">
        <v>500</v>
      </c>
      <c r="I464" s="15"/>
      <c r="J464" s="18">
        <v>1</v>
      </c>
      <c r="K464" t="s">
        <v>27</v>
      </c>
      <c r="L464" s="3">
        <v>6017.23</v>
      </c>
      <c r="M464" s="3">
        <v>1803.14</v>
      </c>
      <c r="N464" s="3">
        <f>L464*0.3</f>
        <v>1805.1689999999999</v>
      </c>
      <c r="O464" s="3">
        <f>(IF(L464&lt;4172.98,0,MIN(L464*0.3,L464-4172.98)))-M464</f>
        <v>2.028999999999769</v>
      </c>
      <c r="P464" s="6">
        <v>46174</v>
      </c>
      <c r="Q464" t="s">
        <v>47</v>
      </c>
      <c r="R464" s="3">
        <v>1350</v>
      </c>
      <c r="S464" s="3" t="s">
        <v>358</v>
      </c>
      <c r="T464" s="48">
        <v>46244</v>
      </c>
      <c r="Z464" s="181">
        <v>2</v>
      </c>
    </row>
    <row r="465" spans="1:26">
      <c r="A465" s="12">
        <v>23494530</v>
      </c>
      <c r="B465" s="13">
        <v>46243</v>
      </c>
      <c r="C465" s="14">
        <v>0.81915509259259256</v>
      </c>
      <c r="D465" s="15"/>
      <c r="E465" s="16">
        <v>5216142415188</v>
      </c>
      <c r="F465" s="15"/>
      <c r="G465" s="15"/>
      <c r="H465" s="17">
        <v>33836537473</v>
      </c>
      <c r="I465" s="15"/>
      <c r="J465" s="18">
        <v>1</v>
      </c>
      <c r="K465" t="s">
        <v>54</v>
      </c>
      <c r="L465" s="3">
        <v>11567.35</v>
      </c>
      <c r="N465" s="3">
        <f t="shared" si="32"/>
        <v>3470.2049999999999</v>
      </c>
      <c r="O465" s="3">
        <f>(IF(L465&lt;4172.98,0,MIN(L465*0.3,L465-4172.98)))-M465</f>
        <v>3470.2049999999999</v>
      </c>
      <c r="S465" s="3" t="s">
        <v>55</v>
      </c>
      <c r="T465" s="48">
        <v>46244</v>
      </c>
      <c r="Z465" s="181">
        <v>1</v>
      </c>
    </row>
    <row r="466" spans="1:26" hidden="1">
      <c r="A466" s="12">
        <v>23494896</v>
      </c>
      <c r="B466" s="13">
        <v>46243</v>
      </c>
      <c r="C466" s="14">
        <v>0.83052083333333337</v>
      </c>
      <c r="D466" s="15"/>
      <c r="E466" s="16">
        <v>5214747389170</v>
      </c>
      <c r="F466" s="15"/>
      <c r="G466" s="15" t="s">
        <v>501</v>
      </c>
      <c r="H466" s="17"/>
      <c r="I466" s="15"/>
      <c r="J466" s="18">
        <v>1</v>
      </c>
      <c r="K466" t="s">
        <v>30</v>
      </c>
      <c r="L466" s="3">
        <v>9760.32</v>
      </c>
      <c r="M466" s="3">
        <v>2809.95</v>
      </c>
      <c r="N466" s="3">
        <f t="shared" si="32"/>
        <v>2928.096</v>
      </c>
      <c r="O466" s="3">
        <f>(IF(L466&lt;4172.98,0,MIN(L466*0.3,L466-4172.98)))-M466</f>
        <v>118.14600000000019</v>
      </c>
      <c r="P466" s="6">
        <v>46692</v>
      </c>
      <c r="Q466" t="s">
        <v>141</v>
      </c>
      <c r="R466" s="3">
        <v>2809.95</v>
      </c>
      <c r="S466" s="3" t="s">
        <v>69</v>
      </c>
      <c r="Z466" s="181">
        <v>2</v>
      </c>
    </row>
    <row r="467" spans="1:26">
      <c r="A467" s="30">
        <v>23495726</v>
      </c>
      <c r="B467" s="31">
        <v>46243</v>
      </c>
      <c r="C467" s="32">
        <v>0.87982638888888887</v>
      </c>
      <c r="D467" s="33"/>
      <c r="E467" s="34">
        <v>5216631114088</v>
      </c>
      <c r="F467" s="33"/>
      <c r="G467" s="33"/>
      <c r="H467" s="35">
        <v>62816517072</v>
      </c>
      <c r="I467" s="33"/>
      <c r="J467" s="36"/>
      <c r="K467" t="s">
        <v>54</v>
      </c>
      <c r="L467" s="3">
        <f>33984.41-10548</f>
        <v>23436.410000000003</v>
      </c>
      <c r="M467" s="3">
        <v>848</v>
      </c>
      <c r="N467" s="3">
        <f t="shared" si="32"/>
        <v>7030.9230000000007</v>
      </c>
      <c r="O467" s="3">
        <f>(IF(L467&lt;4172.98,0,MIN(L467*0.3,L467-4172.98)))-M467</f>
        <v>6182.9230000000007</v>
      </c>
      <c r="S467" s="3" t="s">
        <v>348</v>
      </c>
      <c r="T467" s="48">
        <v>46244</v>
      </c>
      <c r="Z467" s="181">
        <v>1</v>
      </c>
    </row>
    <row r="468" spans="1:26">
      <c r="A468" s="12">
        <v>23496458</v>
      </c>
      <c r="B468" s="13">
        <v>46243</v>
      </c>
      <c r="C468" s="14">
        <v>0.91287037037037033</v>
      </c>
      <c r="D468" s="15" t="s">
        <v>502</v>
      </c>
      <c r="E468" s="16">
        <v>5213131115962</v>
      </c>
      <c r="F468" s="15"/>
      <c r="G468" s="15" t="s">
        <v>503</v>
      </c>
      <c r="H468" s="17" t="s">
        <v>504</v>
      </c>
      <c r="I468" s="15"/>
      <c r="J468" s="18"/>
      <c r="K468" t="s">
        <v>54</v>
      </c>
      <c r="L468" s="3">
        <v>10636.54</v>
      </c>
      <c r="N468" s="3">
        <f t="shared" ref="N468:N475" si="33">L468*0.3</f>
        <v>3190.962</v>
      </c>
      <c r="O468" s="3">
        <f>(IF(L468&lt;4172.98,0,MIN(L468*0.3,L468-4172.98)))-M468</f>
        <v>3190.962</v>
      </c>
      <c r="S468" s="3" t="s">
        <v>348</v>
      </c>
      <c r="T468" s="48">
        <v>46244</v>
      </c>
      <c r="Z468" s="181">
        <v>1</v>
      </c>
    </row>
    <row r="469" spans="1:26">
      <c r="A469" s="12">
        <v>23496572</v>
      </c>
      <c r="B469" s="13">
        <v>46243</v>
      </c>
      <c r="C469" s="14">
        <v>0.91711805555555559</v>
      </c>
      <c r="D469" s="15" t="s">
        <v>505</v>
      </c>
      <c r="E469" s="16">
        <v>5212761074892</v>
      </c>
      <c r="F469" s="15"/>
      <c r="G469" s="15" t="s">
        <v>506</v>
      </c>
      <c r="H469" s="17">
        <v>42836516544</v>
      </c>
      <c r="I469" s="15"/>
      <c r="J469" s="18"/>
      <c r="K469" t="s">
        <v>54</v>
      </c>
      <c r="L469" s="3">
        <v>9760.32</v>
      </c>
      <c r="N469" s="3">
        <f t="shared" si="33"/>
        <v>2928.096</v>
      </c>
      <c r="O469" s="3">
        <f>(IF(L469&lt;4172.98,0,MIN(L469*0.3,L469-4172.98)))-M469</f>
        <v>2928.096</v>
      </c>
      <c r="S469" s="3" t="s">
        <v>62</v>
      </c>
      <c r="T469" s="48">
        <v>46244</v>
      </c>
      <c r="Z469" s="181">
        <v>1</v>
      </c>
    </row>
    <row r="470" spans="1:26" hidden="1">
      <c r="A470" s="12">
        <v>23496850</v>
      </c>
      <c r="B470" s="13">
        <v>46243</v>
      </c>
      <c r="C470" s="14">
        <v>0.95160879629629624</v>
      </c>
      <c r="D470" s="15"/>
      <c r="E470" s="16">
        <v>5214778058714</v>
      </c>
      <c r="F470" s="15"/>
      <c r="G470" s="15" t="s">
        <v>507</v>
      </c>
      <c r="H470" s="17"/>
      <c r="I470" s="15"/>
      <c r="J470" s="18"/>
      <c r="K470" t="s">
        <v>32</v>
      </c>
      <c r="N470" s="3">
        <f t="shared" si="33"/>
        <v>0</v>
      </c>
      <c r="O470" s="3">
        <f>(IF(L470&lt;4172.98,0,MIN(L470*0.3,L470-4172.98)))-M470</f>
        <v>0</v>
      </c>
      <c r="S470" s="3" t="s">
        <v>69</v>
      </c>
      <c r="Z470" s="181">
        <v>0</v>
      </c>
    </row>
    <row r="471" spans="1:26" hidden="1">
      <c r="A471" s="12">
        <v>23498246</v>
      </c>
      <c r="B471" s="13">
        <v>46244</v>
      </c>
      <c r="C471" s="14">
        <v>6.5486111111111106E-2</v>
      </c>
      <c r="D471" s="15"/>
      <c r="E471" s="16">
        <v>5219997436450</v>
      </c>
      <c r="F471" s="15"/>
      <c r="G471" s="15"/>
      <c r="H471" s="17">
        <v>83634700021</v>
      </c>
      <c r="I471" s="15"/>
      <c r="J471" s="18"/>
      <c r="K471" t="s">
        <v>30</v>
      </c>
      <c r="L471" s="3">
        <f>7556.15+420+2656</f>
        <v>10632.15</v>
      </c>
      <c r="M471" s="3">
        <f>420+2656</f>
        <v>3076</v>
      </c>
      <c r="N471" s="3">
        <f t="shared" si="33"/>
        <v>3189.645</v>
      </c>
      <c r="O471" s="3">
        <f>(IF(L471&lt;4172.98,0,MIN(L471*0.3,L471-4172.98)))-M471</f>
        <v>113.64499999999998</v>
      </c>
      <c r="P471" s="6">
        <v>46539</v>
      </c>
      <c r="Q471" t="s">
        <v>421</v>
      </c>
      <c r="R471" s="3">
        <v>2656</v>
      </c>
      <c r="S471" s="3" t="s">
        <v>69</v>
      </c>
      <c r="Z471" s="181">
        <v>2</v>
      </c>
    </row>
    <row r="472" spans="1:26" hidden="1">
      <c r="A472" s="12">
        <v>23499502</v>
      </c>
      <c r="B472" s="13">
        <v>46244</v>
      </c>
      <c r="C472" s="14">
        <v>8.3229166666666674E-2</v>
      </c>
      <c r="D472" s="15"/>
      <c r="E472" s="16">
        <v>5214611297895</v>
      </c>
      <c r="F472" s="15"/>
      <c r="G472" s="15" t="s">
        <v>508</v>
      </c>
      <c r="H472" s="17"/>
      <c r="I472" s="15"/>
      <c r="J472" s="18"/>
      <c r="K472" t="s">
        <v>30</v>
      </c>
      <c r="L472" s="3">
        <f>6854.9+2905.42</f>
        <v>9760.32</v>
      </c>
      <c r="M472" s="3">
        <v>2905.42</v>
      </c>
      <c r="N472" s="3">
        <f t="shared" si="33"/>
        <v>2928.096</v>
      </c>
      <c r="O472" s="3">
        <f>(IF(L472&lt;4172.98,0,MIN(L472*0.3,L472-4172.98)))-M472</f>
        <v>22.675999999999931</v>
      </c>
      <c r="P472" s="6">
        <v>46905</v>
      </c>
      <c r="Q472" t="s">
        <v>57</v>
      </c>
      <c r="R472" s="3">
        <v>2905.42</v>
      </c>
      <c r="S472" s="3" t="s">
        <v>69</v>
      </c>
      <c r="Z472" s="181">
        <v>2</v>
      </c>
    </row>
    <row r="473" spans="1:26" hidden="1">
      <c r="A473" s="12">
        <v>23504778</v>
      </c>
      <c r="B473" s="13">
        <v>46244</v>
      </c>
      <c r="C473" s="14">
        <v>0.31309027777777776</v>
      </c>
      <c r="D473" s="15"/>
      <c r="E473" s="16">
        <v>5215538813308</v>
      </c>
      <c r="F473" s="15"/>
      <c r="G473" s="15" t="s">
        <v>509</v>
      </c>
      <c r="H473" s="17"/>
      <c r="I473" s="15"/>
      <c r="J473" s="18"/>
      <c r="K473" t="s">
        <v>30</v>
      </c>
      <c r="L473" s="3">
        <f>8855.99+2702+1089.95</f>
        <v>12647.94</v>
      </c>
      <c r="M473" s="3">
        <f>2702+1089.95</f>
        <v>3791.95</v>
      </c>
      <c r="N473" s="3">
        <f t="shared" si="33"/>
        <v>3794.3820000000001</v>
      </c>
      <c r="O473" s="3">
        <f>(IF(L473&lt;4172.98,0,MIN(L473*0.3,L473-4172.98)))-M473</f>
        <v>2.4320000000002437</v>
      </c>
      <c r="P473" s="6">
        <v>46784</v>
      </c>
      <c r="Q473" t="s">
        <v>510</v>
      </c>
      <c r="R473" s="3">
        <v>2702</v>
      </c>
      <c r="S473" s="3" t="s">
        <v>69</v>
      </c>
      <c r="Z473" s="181">
        <v>2</v>
      </c>
    </row>
    <row r="474" spans="1:26">
      <c r="A474" s="12">
        <v>23505370</v>
      </c>
      <c r="B474" s="13">
        <v>46244</v>
      </c>
      <c r="C474" s="14">
        <v>0.32506944444444447</v>
      </c>
      <c r="D474" s="15" t="s">
        <v>511</v>
      </c>
      <c r="E474" s="16">
        <v>5216121673419</v>
      </c>
      <c r="F474" s="15"/>
      <c r="G474" s="15" t="s">
        <v>512</v>
      </c>
      <c r="H474" s="17">
        <v>22917305934</v>
      </c>
      <c r="I474" s="15"/>
      <c r="J474" s="18"/>
      <c r="K474" t="s">
        <v>54</v>
      </c>
      <c r="L474" s="3">
        <v>19705.919999999998</v>
      </c>
      <c r="N474" s="3">
        <f t="shared" si="33"/>
        <v>5911.7759999999989</v>
      </c>
      <c r="O474" s="3">
        <f>(IF(L474&lt;4172.98,0,MIN(L474*0.3,L474-4172.98)))-M474</f>
        <v>5911.7759999999989</v>
      </c>
      <c r="S474" s="3" t="s">
        <v>55</v>
      </c>
      <c r="T474" s="48">
        <v>46244</v>
      </c>
      <c r="Z474" s="181">
        <v>1</v>
      </c>
    </row>
    <row r="475" spans="1:26" hidden="1">
      <c r="A475" s="30">
        <v>23505614</v>
      </c>
      <c r="B475" s="31">
        <v>46244</v>
      </c>
      <c r="C475" s="32">
        <v>0.33925925925925926</v>
      </c>
      <c r="D475" s="33"/>
      <c r="E475" s="34">
        <v>5219191603641</v>
      </c>
      <c r="F475" s="33"/>
      <c r="G475" s="33" t="s">
        <v>513</v>
      </c>
      <c r="H475" s="35"/>
      <c r="I475" s="33"/>
      <c r="J475" s="36"/>
      <c r="K475" t="s">
        <v>32</v>
      </c>
      <c r="N475" s="3">
        <f t="shared" si="33"/>
        <v>0</v>
      </c>
      <c r="O475" s="3">
        <f>(IF(L475&lt;4172.98,0,MIN(L475*0.3,L475-4172.98)))-M475</f>
        <v>0</v>
      </c>
      <c r="S475" s="3" t="s">
        <v>69</v>
      </c>
      <c r="Z475" s="181">
        <v>0</v>
      </c>
    </row>
    <row r="476" spans="1:26" hidden="1">
      <c r="A476" s="12">
        <v>23505828</v>
      </c>
      <c r="B476" s="13">
        <v>46244</v>
      </c>
      <c r="C476" s="14">
        <v>0.34752314814814816</v>
      </c>
      <c r="D476" s="15"/>
      <c r="E476" s="16">
        <v>5214641252662</v>
      </c>
      <c r="F476" s="15"/>
      <c r="G476" s="15" t="s">
        <v>514</v>
      </c>
      <c r="H476" s="17"/>
      <c r="I476" s="15"/>
      <c r="J476" s="18"/>
      <c r="K476" t="s">
        <v>32</v>
      </c>
      <c r="N476" s="3">
        <f t="shared" ref="N476:N479" si="34">L476*0.3</f>
        <v>0</v>
      </c>
      <c r="O476" s="3">
        <f>(IF(L476&lt;4172.98,0,MIN(L476*0.3,L476-4172.98)))-M476</f>
        <v>0</v>
      </c>
      <c r="S476" s="3" t="s">
        <v>69</v>
      </c>
      <c r="Z476" s="181">
        <v>0</v>
      </c>
    </row>
    <row r="477" spans="1:26" hidden="1">
      <c r="A477" s="12">
        <v>23506782</v>
      </c>
      <c r="B477" s="13">
        <v>46244</v>
      </c>
      <c r="C477" s="14">
        <v>0.35991898148148149</v>
      </c>
      <c r="D477" s="15"/>
      <c r="E477" s="16">
        <v>5219996500773</v>
      </c>
      <c r="F477" s="15"/>
      <c r="G477" s="15"/>
      <c r="H477" s="17" t="s">
        <v>515</v>
      </c>
      <c r="I477" s="15"/>
      <c r="J477" s="18"/>
      <c r="K477" t="s">
        <v>30</v>
      </c>
      <c r="L477" s="3">
        <v>7920.51</v>
      </c>
      <c r="M477" s="3">
        <v>2373.77</v>
      </c>
      <c r="N477" s="3">
        <f t="shared" si="34"/>
        <v>2376.1529999999998</v>
      </c>
      <c r="O477" s="3">
        <f>(IF(L477&lt;4172.98,0,MIN(L477*0.3,L477-4172.98)))-M477</f>
        <v>2.3829999999998108</v>
      </c>
      <c r="P477" s="6">
        <v>46874</v>
      </c>
      <c r="Q477" t="s">
        <v>47</v>
      </c>
      <c r="R477" s="3">
        <v>1228.52</v>
      </c>
      <c r="S477" s="3" t="s">
        <v>69</v>
      </c>
      <c r="Z477" s="181">
        <v>2</v>
      </c>
    </row>
    <row r="478" spans="1:26" hidden="1">
      <c r="A478" s="12">
        <v>23505844</v>
      </c>
      <c r="B478" s="13">
        <v>46244</v>
      </c>
      <c r="C478" s="14">
        <v>0.36420138888888887</v>
      </c>
      <c r="D478" s="15"/>
      <c r="E478" s="16"/>
      <c r="F478" s="15"/>
      <c r="G478" s="15"/>
      <c r="H478" s="17">
        <v>43836506832</v>
      </c>
      <c r="I478" s="15"/>
      <c r="J478" s="18"/>
      <c r="K478" t="s">
        <v>30</v>
      </c>
      <c r="L478" s="3">
        <f>9031.59+3676.86</f>
        <v>12708.45</v>
      </c>
      <c r="M478" s="3">
        <v>3676.86</v>
      </c>
      <c r="N478" s="3">
        <f t="shared" si="34"/>
        <v>3812.5349999999999</v>
      </c>
      <c r="O478" s="3">
        <f>(IF(L478&lt;4172.98,0,MIN(L478*0.3,L478-4172.98)))-M478</f>
        <v>135.67499999999973</v>
      </c>
      <c r="P478" s="6">
        <v>46722</v>
      </c>
      <c r="Q478" t="s">
        <v>47</v>
      </c>
      <c r="R478" s="3">
        <v>3676.86</v>
      </c>
      <c r="S478" s="3" t="s">
        <v>69</v>
      </c>
      <c r="Z478" s="181">
        <v>2</v>
      </c>
    </row>
    <row r="479" spans="1:26" hidden="1">
      <c r="A479" s="30">
        <v>23507290</v>
      </c>
      <c r="B479" s="31">
        <v>46244</v>
      </c>
      <c r="C479" s="32">
        <v>0.36862268518518521</v>
      </c>
      <c r="D479" s="33" t="s">
        <v>516</v>
      </c>
      <c r="E479" s="34">
        <v>5218712736611</v>
      </c>
      <c r="F479" s="33"/>
      <c r="G479" s="33"/>
      <c r="H479" s="35" t="s">
        <v>517</v>
      </c>
      <c r="I479" s="33"/>
      <c r="J479" s="36"/>
      <c r="K479" t="s">
        <v>30</v>
      </c>
      <c r="L479" s="3">
        <v>16391.48</v>
      </c>
      <c r="M479" s="3">
        <f>174.11+2859.75+1881.41</f>
        <v>4915.2700000000004</v>
      </c>
      <c r="N479" s="3">
        <f t="shared" si="34"/>
        <v>4917.4439999999995</v>
      </c>
      <c r="O479" s="3">
        <f>(IF(L479&lt;4172.98,0,MIN(L479*0.3,L479-4172.98)))-M479</f>
        <v>2.1739999999990687</v>
      </c>
      <c r="P479" s="6">
        <v>46569</v>
      </c>
      <c r="Q479" t="s">
        <v>47</v>
      </c>
      <c r="R479" s="3">
        <v>1881.41</v>
      </c>
      <c r="S479" s="3" t="s">
        <v>69</v>
      </c>
      <c r="Z479" s="181">
        <v>2</v>
      </c>
    </row>
    <row r="480" spans="1:26" hidden="1">
      <c r="A480" s="12">
        <v>23506600</v>
      </c>
      <c r="B480" s="13">
        <v>46244</v>
      </c>
      <c r="C480" s="14">
        <v>0.38430555555555557</v>
      </c>
      <c r="D480" s="15" t="s">
        <v>518</v>
      </c>
      <c r="E480" s="16"/>
      <c r="F480" s="15"/>
      <c r="G480" s="15"/>
      <c r="H480" s="17" t="s">
        <v>519</v>
      </c>
      <c r="I480" s="15"/>
      <c r="J480" s="18"/>
      <c r="K480" t="s">
        <v>30</v>
      </c>
      <c r="L480" s="3">
        <f>8469.83+1103.05</f>
        <v>9572.8799999999992</v>
      </c>
      <c r="M480" s="3">
        <f>1103.05+1762.63</f>
        <v>2865.6800000000003</v>
      </c>
      <c r="N480" s="3">
        <f t="shared" ref="N480:N482" si="35">L480*0.3</f>
        <v>2871.8639999999996</v>
      </c>
      <c r="O480" s="3">
        <f>(IF(L480&lt;4172.98,0,MIN(L480*0.3,L480-4172.98)))-M480</f>
        <v>6.183999999999287</v>
      </c>
      <c r="P480" s="6">
        <v>46935</v>
      </c>
      <c r="Q480" t="s">
        <v>206</v>
      </c>
      <c r="R480" s="3">
        <v>1103.05</v>
      </c>
      <c r="S480" s="3" t="s">
        <v>69</v>
      </c>
      <c r="Z480" s="181">
        <v>2</v>
      </c>
    </row>
    <row r="481" spans="1:26" hidden="1">
      <c r="A481" s="12">
        <v>23508228</v>
      </c>
      <c r="B481" s="13">
        <v>46244</v>
      </c>
      <c r="C481" s="14">
        <v>0.38545138888888891</v>
      </c>
      <c r="D481" s="15"/>
      <c r="E481" s="16">
        <v>5212431300349</v>
      </c>
      <c r="F481" s="15"/>
      <c r="G481" s="15" t="s">
        <v>520</v>
      </c>
      <c r="H481" s="17"/>
      <c r="I481" s="15"/>
      <c r="J481" s="18"/>
      <c r="K481" t="s">
        <v>32</v>
      </c>
      <c r="N481" s="3">
        <f t="shared" si="35"/>
        <v>0</v>
      </c>
      <c r="O481" s="3">
        <f>(IF(L481&lt;4172.98,0,MIN(L481*0.3,L481-4172.98)))-M481</f>
        <v>0</v>
      </c>
      <c r="S481" s="3" t="s">
        <v>69</v>
      </c>
      <c r="Z481" s="181">
        <v>0</v>
      </c>
    </row>
    <row r="482" spans="1:26">
      <c r="A482" s="30">
        <v>23509134</v>
      </c>
      <c r="B482" s="31">
        <v>46244</v>
      </c>
      <c r="C482" s="32">
        <v>0.39159722222222221</v>
      </c>
      <c r="D482" s="33"/>
      <c r="E482" s="34">
        <v>5215511261639</v>
      </c>
      <c r="F482" s="33"/>
      <c r="G482" s="33" t="s">
        <v>521</v>
      </c>
      <c r="H482" s="35">
        <v>64805807571</v>
      </c>
      <c r="I482" s="33"/>
      <c r="J482" s="36"/>
      <c r="K482" t="s">
        <v>107</v>
      </c>
      <c r="L482" s="3">
        <f>4436.33+1181.3</f>
        <v>5617.63</v>
      </c>
      <c r="M482" s="3">
        <v>1181.3</v>
      </c>
      <c r="N482" s="3">
        <f t="shared" si="35"/>
        <v>1685.289</v>
      </c>
      <c r="O482" s="3">
        <f>(IF(L482&lt;4172.98,0,MIN(L482*0.3,L482-4172.98)))-M482</f>
        <v>263.35000000000059</v>
      </c>
      <c r="P482" s="6">
        <v>45689</v>
      </c>
      <c r="Q482" t="s">
        <v>421</v>
      </c>
      <c r="R482" s="3">
        <v>1181.3</v>
      </c>
      <c r="S482" s="3" t="s">
        <v>271</v>
      </c>
      <c r="T482" s="48">
        <v>46244</v>
      </c>
      <c r="Z482" s="181">
        <v>2</v>
      </c>
    </row>
    <row r="483" spans="1:26" hidden="1">
      <c r="A483" s="30">
        <v>23451770</v>
      </c>
      <c r="B483" s="31">
        <v>46244</v>
      </c>
      <c r="C483" s="32">
        <v>0.39923611111111112</v>
      </c>
      <c r="D483" s="33" t="s">
        <v>522</v>
      </c>
      <c r="E483" s="34">
        <v>5214111001511</v>
      </c>
      <c r="F483" s="33"/>
      <c r="G483" s="33"/>
      <c r="H483" s="35">
        <v>63119224614</v>
      </c>
      <c r="I483" s="33"/>
      <c r="J483" s="36"/>
      <c r="K483" t="s">
        <v>51</v>
      </c>
      <c r="N483" s="3">
        <f>L483*0.3</f>
        <v>0</v>
      </c>
      <c r="O483" s="3">
        <f>(IF(L483&lt;4172.98,0,MIN(L483*0.3,L483-4172.98)))-M483</f>
        <v>0</v>
      </c>
      <c r="S483" s="53" t="s">
        <v>69</v>
      </c>
      <c r="Z483" s="181">
        <v>1</v>
      </c>
    </row>
    <row r="484" spans="1:26" hidden="1">
      <c r="A484" s="30">
        <v>23509582</v>
      </c>
      <c r="B484" s="31">
        <v>46244</v>
      </c>
      <c r="C484" s="32">
        <v>0.40606481481481482</v>
      </c>
      <c r="D484" s="33"/>
      <c r="E484" s="34">
        <v>5215525147289</v>
      </c>
      <c r="F484" s="33"/>
      <c r="G484" s="33"/>
      <c r="H484" s="35" t="s">
        <v>523</v>
      </c>
      <c r="I484" s="33"/>
      <c r="J484" s="36"/>
      <c r="K484" t="s">
        <v>30</v>
      </c>
      <c r="L484" s="3">
        <f>22725.52+478.11+4068.39+5171.68</f>
        <v>32443.7</v>
      </c>
      <c r="M484" s="3">
        <f>478.11+4068.39+5171.68</f>
        <v>9718.18</v>
      </c>
      <c r="N484" s="3">
        <f>L484*0.3</f>
        <v>9733.11</v>
      </c>
      <c r="O484" s="3">
        <f>(IF(L484&lt;4172.98,0,MIN(L484*0.3,L484-4172.98)))-M484</f>
        <v>14.930000000000291</v>
      </c>
      <c r="P484" s="6">
        <v>46661</v>
      </c>
      <c r="Q484" t="s">
        <v>141</v>
      </c>
      <c r="R484" s="3">
        <v>5171.68</v>
      </c>
      <c r="S484" s="3" t="s">
        <v>69</v>
      </c>
      <c r="Z484" s="181">
        <v>2</v>
      </c>
    </row>
    <row r="485" spans="1:26">
      <c r="A485" s="12">
        <v>23510100</v>
      </c>
      <c r="B485" s="13">
        <v>46244</v>
      </c>
      <c r="C485" s="14">
        <v>0.41806712962962961</v>
      </c>
      <c r="D485" s="15"/>
      <c r="E485" s="16">
        <v>5218446709580</v>
      </c>
      <c r="F485" s="15"/>
      <c r="G485" s="15" t="s">
        <v>524</v>
      </c>
      <c r="H485" s="17" t="s">
        <v>525</v>
      </c>
      <c r="I485" s="15"/>
      <c r="J485" s="18"/>
      <c r="K485" t="s">
        <v>38</v>
      </c>
      <c r="L485" s="3">
        <v>4725.08</v>
      </c>
      <c r="N485" s="3">
        <f t="shared" ref="N485:N486" si="36">L485*0.3</f>
        <v>1417.5239999999999</v>
      </c>
      <c r="O485" s="3">
        <f>(IF(L485&lt;4172.98,0,MIN(L485*0.3,L485-4172.98)))-M485</f>
        <v>552.10000000000036</v>
      </c>
      <c r="S485" s="3" t="s">
        <v>266</v>
      </c>
      <c r="T485" s="48">
        <v>46244</v>
      </c>
      <c r="Z485" s="181">
        <v>1</v>
      </c>
    </row>
    <row r="486" spans="1:26" hidden="1">
      <c r="A486" s="30">
        <v>23510740</v>
      </c>
      <c r="B486" s="31">
        <v>46244</v>
      </c>
      <c r="C486" s="32">
        <v>0.42902777777777779</v>
      </c>
      <c r="D486" s="33"/>
      <c r="E486" s="34">
        <v>5218992308895</v>
      </c>
      <c r="F486" s="33"/>
      <c r="G486" s="33"/>
      <c r="H486" s="35" t="s">
        <v>526</v>
      </c>
      <c r="I486" s="33"/>
      <c r="J486" s="36"/>
      <c r="K486" t="s">
        <v>58</v>
      </c>
      <c r="L486" s="3">
        <v>4336.66</v>
      </c>
      <c r="N486" s="3">
        <f t="shared" si="36"/>
        <v>1300.9979999999998</v>
      </c>
      <c r="O486" s="3">
        <f>(IF(L486&lt;4172.98,0,MIN(L486*0.3,L486-4172.98)))-M486</f>
        <v>163.68000000000029</v>
      </c>
      <c r="S486" s="3" t="s">
        <v>69</v>
      </c>
      <c r="Z486" s="181">
        <v>1</v>
      </c>
    </row>
    <row r="487" spans="1:26" hidden="1">
      <c r="A487" s="30">
        <v>23479100</v>
      </c>
      <c r="B487" s="31">
        <v>46244</v>
      </c>
      <c r="C487" s="32">
        <v>0.44083333333333335</v>
      </c>
      <c r="D487" s="33" t="s">
        <v>527</v>
      </c>
      <c r="E487" s="34">
        <v>5216371400462</v>
      </c>
      <c r="F487" s="33"/>
      <c r="G487" s="33" t="s">
        <v>528</v>
      </c>
      <c r="H487" s="35"/>
      <c r="I487" s="33"/>
      <c r="J487" s="36"/>
      <c r="K487" t="s">
        <v>32</v>
      </c>
      <c r="N487" s="3">
        <f>L487*0.3</f>
        <v>0</v>
      </c>
      <c r="O487" s="3">
        <f>(IF(L487&lt;4172.98,0,MIN(L487*0.3,L487-4172.98)))-M487</f>
        <v>0</v>
      </c>
      <c r="S487" s="53" t="s">
        <v>69</v>
      </c>
      <c r="Z487" s="181">
        <v>0</v>
      </c>
    </row>
    <row r="488" spans="1:26" hidden="1">
      <c r="A488" s="30">
        <v>23511392</v>
      </c>
      <c r="B488" s="31">
        <v>46244</v>
      </c>
      <c r="C488" s="32">
        <v>0.44568287037037035</v>
      </c>
      <c r="D488" s="33"/>
      <c r="E488" s="34">
        <v>5213222355371</v>
      </c>
      <c r="F488" s="33"/>
      <c r="G488" s="33" t="s">
        <v>529</v>
      </c>
      <c r="H488" s="35" t="s">
        <v>530</v>
      </c>
      <c r="I488" s="33"/>
      <c r="J488" s="36"/>
      <c r="K488" t="s">
        <v>30</v>
      </c>
      <c r="L488" s="3">
        <f>6950.12+2976.01</f>
        <v>9926.130000000001</v>
      </c>
      <c r="M488" s="3">
        <v>2976.01</v>
      </c>
      <c r="N488" s="3">
        <f>L488*0.3</f>
        <v>2977.8390000000004</v>
      </c>
      <c r="O488" s="3">
        <f>(IF(L488&lt;4172.98,0,MIN(L488*0.3,L488-4172.98)))-M488</f>
        <v>1.8290000000001783</v>
      </c>
      <c r="P488" s="6">
        <v>46539</v>
      </c>
      <c r="Q488" t="s">
        <v>73</v>
      </c>
      <c r="R488" s="3">
        <v>2976.01</v>
      </c>
      <c r="S488" s="3" t="s">
        <v>69</v>
      </c>
      <c r="Z488" s="181">
        <v>2</v>
      </c>
    </row>
    <row r="489" spans="1:26" hidden="1">
      <c r="A489" s="30">
        <v>23511342</v>
      </c>
      <c r="B489" s="31">
        <v>46244</v>
      </c>
      <c r="C489" s="32">
        <v>0.44819444444444445</v>
      </c>
      <c r="D489" s="33" t="s">
        <v>531</v>
      </c>
      <c r="E489" s="34">
        <v>5218331822971</v>
      </c>
      <c r="F489" s="33"/>
      <c r="G489" s="33"/>
      <c r="H489" s="35">
        <v>49786212305</v>
      </c>
      <c r="I489" s="33"/>
      <c r="J489" s="36"/>
      <c r="K489" t="s">
        <v>30</v>
      </c>
      <c r="L489" s="3">
        <f>6938.63+2821.69</f>
        <v>9760.32</v>
      </c>
      <c r="M489" s="3">
        <f>2821.69</f>
        <v>2821.69</v>
      </c>
      <c r="N489" s="3">
        <f>L489*0.3</f>
        <v>2928.096</v>
      </c>
      <c r="O489" s="3">
        <f>(IF(L489&lt;4172.98,0,MIN(L489*0.3,L489-4172.98)))-M489</f>
        <v>106.40599999999995</v>
      </c>
      <c r="P489" s="6">
        <v>46631</v>
      </c>
      <c r="Q489" t="s">
        <v>75</v>
      </c>
      <c r="R489" s="3">
        <v>2821.69</v>
      </c>
      <c r="S489" s="3" t="s">
        <v>69</v>
      </c>
      <c r="Z489" s="181">
        <v>2</v>
      </c>
    </row>
    <row r="490" spans="1:26" hidden="1">
      <c r="A490" s="30">
        <v>23512714</v>
      </c>
      <c r="B490" s="31">
        <v>46244</v>
      </c>
      <c r="C490" s="32">
        <v>0.47343750000000001</v>
      </c>
      <c r="D490" s="33" t="s">
        <v>532</v>
      </c>
      <c r="E490" s="34">
        <v>5217531672762</v>
      </c>
      <c r="F490" s="33"/>
      <c r="G490" s="33" t="s">
        <v>533</v>
      </c>
      <c r="H490" s="35">
        <v>13854902098</v>
      </c>
      <c r="I490" s="33"/>
      <c r="J490" s="36"/>
      <c r="K490" t="s">
        <v>58</v>
      </c>
      <c r="L490" s="3">
        <v>3493.49</v>
      </c>
      <c r="N490" s="3">
        <f>L490*0.3</f>
        <v>1048.0469999999998</v>
      </c>
      <c r="O490" s="3">
        <f>(IF(L490&lt;4172.98,0,MIN(L490*0.3,L490-4172.98)))-M490</f>
        <v>0</v>
      </c>
      <c r="S490" s="3" t="s">
        <v>69</v>
      </c>
      <c r="Z490" s="181">
        <v>1</v>
      </c>
    </row>
    <row r="491" spans="1:26" hidden="1">
      <c r="A491" s="30">
        <v>23490476</v>
      </c>
      <c r="B491" s="31">
        <v>46244</v>
      </c>
      <c r="C491" s="32">
        <v>0.47690972222222222</v>
      </c>
      <c r="D491" s="33" t="s">
        <v>534</v>
      </c>
      <c r="E491" s="34">
        <v>5219518676235</v>
      </c>
      <c r="F491" s="33"/>
      <c r="G491" s="33" t="s">
        <v>535</v>
      </c>
      <c r="H491" s="35"/>
      <c r="I491" s="33"/>
      <c r="J491" s="36">
        <v>1</v>
      </c>
      <c r="K491" t="s">
        <v>32</v>
      </c>
      <c r="N491" s="3">
        <f>L491*0.3</f>
        <v>0</v>
      </c>
      <c r="O491" s="3">
        <f>(IF(L491&lt;4172.98,0,MIN(L491*0.3,L491-4172.98)))-M491</f>
        <v>0</v>
      </c>
      <c r="S491" s="53" t="s">
        <v>69</v>
      </c>
      <c r="Z491" s="181">
        <v>0</v>
      </c>
    </row>
    <row r="492" spans="1:26">
      <c r="A492" s="30">
        <v>23512848</v>
      </c>
      <c r="B492" s="31">
        <v>46244</v>
      </c>
      <c r="C492" s="32">
        <v>0.47469907407407408</v>
      </c>
      <c r="D492" s="33"/>
      <c r="E492" s="34">
        <v>5216142864285</v>
      </c>
      <c r="F492" s="33"/>
      <c r="G492" s="33"/>
      <c r="H492" s="35" t="s">
        <v>536</v>
      </c>
      <c r="I492" s="33"/>
      <c r="J492" s="36"/>
      <c r="K492" t="s">
        <v>34</v>
      </c>
      <c r="L492" s="3">
        <f>5498.2+1369.7+724.6</f>
        <v>7592.5</v>
      </c>
      <c r="M492" s="3">
        <f>1369.7+724.6</f>
        <v>2094.3000000000002</v>
      </c>
      <c r="N492" s="3">
        <f>L492*0.3</f>
        <v>2277.75</v>
      </c>
      <c r="O492" s="3">
        <f>(IF(L492&lt;4172.98,0,MIN(L492*0.3,L492-4172.98)))-M492</f>
        <v>183.44999999999982</v>
      </c>
      <c r="P492" s="6">
        <v>45962</v>
      </c>
      <c r="Q492" t="s">
        <v>141</v>
      </c>
      <c r="R492" s="3">
        <v>724.6</v>
      </c>
      <c r="S492" s="3" t="s">
        <v>35</v>
      </c>
      <c r="T492" s="48">
        <v>46244</v>
      </c>
      <c r="Z492" s="181">
        <v>2</v>
      </c>
    </row>
    <row r="493" spans="1:26" hidden="1">
      <c r="A493" s="30">
        <v>23513312</v>
      </c>
      <c r="B493" s="31">
        <v>46244</v>
      </c>
      <c r="C493" s="32">
        <v>0.48568287037037039</v>
      </c>
      <c r="D493" s="33"/>
      <c r="E493" s="34">
        <v>5218443362099</v>
      </c>
      <c r="F493" s="33"/>
      <c r="G493" s="33"/>
      <c r="H493" s="35" t="s">
        <v>537</v>
      </c>
      <c r="I493" s="33"/>
      <c r="J493" s="36"/>
      <c r="K493" t="s">
        <v>58</v>
      </c>
      <c r="L493" s="3">
        <v>3625.51</v>
      </c>
      <c r="N493" s="3">
        <f>L493*0.3</f>
        <v>1087.653</v>
      </c>
      <c r="O493" s="3">
        <f>(IF(L493&lt;4172.98,0,MIN(L493*0.3,L493-4172.98)))-M493</f>
        <v>0</v>
      </c>
      <c r="S493" s="3" t="s">
        <v>69</v>
      </c>
      <c r="Z493" s="181">
        <v>1</v>
      </c>
    </row>
    <row r="494" spans="1:26" hidden="1">
      <c r="A494" s="30">
        <v>23513730</v>
      </c>
      <c r="B494" s="31">
        <v>46244</v>
      </c>
      <c r="C494" s="32">
        <v>0.49449074074074073</v>
      </c>
      <c r="D494" s="33"/>
      <c r="E494" s="34">
        <v>5219995670024</v>
      </c>
      <c r="F494" s="33"/>
      <c r="G494" s="33"/>
      <c r="H494" s="35" t="s">
        <v>538</v>
      </c>
      <c r="I494" s="33"/>
      <c r="J494" s="36"/>
      <c r="K494" t="s">
        <v>32</v>
      </c>
      <c r="N494" s="3">
        <f>L494*0.3</f>
        <v>0</v>
      </c>
      <c r="O494" s="3">
        <f>(IF(L494&lt;4172.98,0,MIN(L494*0.3,L494-4172.98)))-M494</f>
        <v>0</v>
      </c>
      <c r="S494" s="3" t="s">
        <v>69</v>
      </c>
      <c r="Z494" s="181">
        <v>0</v>
      </c>
    </row>
    <row r="495" spans="1:26" hidden="1">
      <c r="A495" s="30">
        <v>23513666</v>
      </c>
      <c r="B495" s="31">
        <v>46244</v>
      </c>
      <c r="C495" s="32">
        <v>0.49634259259259261</v>
      </c>
      <c r="D495" s="33"/>
      <c r="E495" s="34">
        <v>5216621865414</v>
      </c>
      <c r="F495" s="33"/>
      <c r="G495" s="33"/>
      <c r="H495" s="35" t="s">
        <v>539</v>
      </c>
      <c r="I495" s="33"/>
      <c r="J495" s="36"/>
      <c r="K495" t="s">
        <v>30</v>
      </c>
      <c r="L495" s="3">
        <v>7955.14</v>
      </c>
      <c r="M495" s="3">
        <v>2300</v>
      </c>
      <c r="N495" s="3">
        <f>L495*0.3</f>
        <v>2386.5419999999999</v>
      </c>
      <c r="O495" s="3">
        <f>(IF(L495&lt;4172.98,0,MIN(L495*0.3,L495-4172.98)))-M495</f>
        <v>86.541999999999916</v>
      </c>
      <c r="P495" s="6">
        <v>46692</v>
      </c>
      <c r="Q495" t="s">
        <v>75</v>
      </c>
      <c r="R495" s="3">
        <v>2300</v>
      </c>
      <c r="S495" s="3" t="s">
        <v>69</v>
      </c>
      <c r="Z495" s="181">
        <v>2</v>
      </c>
    </row>
    <row r="496" spans="1:26">
      <c r="A496" s="30">
        <v>23514362</v>
      </c>
      <c r="B496" s="31">
        <v>46244</v>
      </c>
      <c r="C496" s="32">
        <v>0.5166087962962963</v>
      </c>
      <c r="D496" s="33"/>
      <c r="E496" s="34">
        <v>5212283660705</v>
      </c>
      <c r="F496" s="33"/>
      <c r="G496" s="33"/>
      <c r="H496" s="35">
        <v>6570471040</v>
      </c>
      <c r="I496" s="33"/>
      <c r="J496" s="36"/>
      <c r="K496" t="s">
        <v>54</v>
      </c>
      <c r="L496" s="3">
        <v>11135.03</v>
      </c>
      <c r="N496" s="3">
        <f>L496*0.3</f>
        <v>3340.509</v>
      </c>
      <c r="O496" s="3">
        <f>(IF(L496&lt;4172.98,0,MIN(L496*0.3,L496-4172.98)))-M496</f>
        <v>3340.509</v>
      </c>
      <c r="S496" s="3" t="s">
        <v>55</v>
      </c>
      <c r="T496" s="48">
        <v>46244</v>
      </c>
      <c r="Z496" s="181">
        <v>1</v>
      </c>
    </row>
    <row r="497" spans="1:26">
      <c r="A497" s="30">
        <v>23514274</v>
      </c>
      <c r="B497" s="31">
        <v>46244</v>
      </c>
      <c r="C497" s="32">
        <v>0.52451388888888884</v>
      </c>
      <c r="D497" s="33"/>
      <c r="E497" s="34">
        <v>5214427861308</v>
      </c>
      <c r="F497" s="33"/>
      <c r="G497" s="33" t="s">
        <v>540</v>
      </c>
      <c r="H497" s="35"/>
      <c r="I497" s="33"/>
      <c r="J497" s="36"/>
      <c r="K497" t="s">
        <v>27</v>
      </c>
      <c r="L497" s="3">
        <v>7601.96</v>
      </c>
      <c r="M497" s="3">
        <v>2085.79</v>
      </c>
      <c r="N497" s="3">
        <f>L497*0.3</f>
        <v>2280.5879999999997</v>
      </c>
      <c r="O497" s="3">
        <f>(IF(L497&lt;4172.98,0,MIN(L497*0.3,L497-4172.98)))-M497</f>
        <v>194.79799999999977</v>
      </c>
      <c r="P497" s="6">
        <v>46113</v>
      </c>
      <c r="Q497" t="s">
        <v>75</v>
      </c>
      <c r="R497" s="3">
        <v>2085.79</v>
      </c>
      <c r="S497" s="3" t="s">
        <v>62</v>
      </c>
      <c r="T497" s="48">
        <v>46244</v>
      </c>
      <c r="Z497" s="181">
        <v>2</v>
      </c>
    </row>
    <row r="498" spans="1:26" hidden="1">
      <c r="A498" s="30">
        <v>23514952</v>
      </c>
      <c r="B498" s="31">
        <v>46244</v>
      </c>
      <c r="C498" s="32">
        <v>0.53304398148148147</v>
      </c>
      <c r="D498" s="33"/>
      <c r="E498" s="34">
        <v>5219321244584</v>
      </c>
      <c r="F498" s="33"/>
      <c r="G498" s="33"/>
      <c r="H498" s="35" t="s">
        <v>541</v>
      </c>
      <c r="I498" s="33"/>
      <c r="J498" s="36"/>
      <c r="K498" t="s">
        <v>58</v>
      </c>
      <c r="L498" s="3">
        <f>3421.63+848</f>
        <v>4269.63</v>
      </c>
      <c r="M498" s="3">
        <v>848</v>
      </c>
      <c r="N498" s="3">
        <f>L498*0.3</f>
        <v>1280.8889999999999</v>
      </c>
      <c r="O498" s="3">
        <f>(IF(L498&lt;4172.98,0,MIN(L498*0.3,L498-4172.98)))-M498</f>
        <v>-751.34999999999945</v>
      </c>
      <c r="S498" s="3" t="s">
        <v>69</v>
      </c>
      <c r="Z498" s="181">
        <v>1</v>
      </c>
    </row>
    <row r="499" spans="1:26">
      <c r="A499" s="30">
        <v>23515374</v>
      </c>
      <c r="B499" s="31">
        <v>46244</v>
      </c>
      <c r="C499" s="32">
        <v>0.54065972222222225</v>
      </c>
      <c r="D499" s="33"/>
      <c r="E499" s="34">
        <v>5215540389730</v>
      </c>
      <c r="F499" s="33"/>
      <c r="G499" s="33" t="s">
        <v>542</v>
      </c>
      <c r="H499" s="35"/>
      <c r="I499" s="33"/>
      <c r="J499" s="36"/>
      <c r="K499" t="s">
        <v>34</v>
      </c>
      <c r="L499" s="3">
        <v>16454.689999999999</v>
      </c>
      <c r="M499" s="3">
        <v>2931.48</v>
      </c>
      <c r="N499" s="3">
        <f>L499*0.3</f>
        <v>4936.4069999999992</v>
      </c>
      <c r="O499" s="3">
        <f>(IF(L499&lt;4172.98,0,MIN(L499*0.3,L499-4172.98)))-M499</f>
        <v>2004.9269999999992</v>
      </c>
      <c r="P499" s="6">
        <v>45748</v>
      </c>
      <c r="Q499" t="s">
        <v>141</v>
      </c>
      <c r="R499" s="3">
        <v>2931.48</v>
      </c>
      <c r="S499" s="3" t="s">
        <v>35</v>
      </c>
      <c r="T499" s="48">
        <v>46244</v>
      </c>
      <c r="Z499" s="181">
        <v>2</v>
      </c>
    </row>
    <row r="500" spans="1:26" hidden="1">
      <c r="A500" s="30">
        <v>23515332</v>
      </c>
      <c r="B500" s="31">
        <v>46244</v>
      </c>
      <c r="C500" s="32">
        <v>0.54112268518518514</v>
      </c>
      <c r="D500" s="33" t="s">
        <v>543</v>
      </c>
      <c r="E500" s="34">
        <v>5218341119203</v>
      </c>
      <c r="F500" s="33"/>
      <c r="G500" s="33"/>
      <c r="H500" s="35">
        <v>49805900211</v>
      </c>
      <c r="I500" s="33"/>
      <c r="J500" s="36"/>
      <c r="K500" t="s">
        <v>32</v>
      </c>
      <c r="L500" s="37"/>
      <c r="M500" s="37"/>
      <c r="N500" s="3">
        <f>L500*0.3</f>
        <v>0</v>
      </c>
      <c r="O500" s="3">
        <f>(IF(L500&lt;4172.98,0,MIN(L500*0.3,L500-4172.98)))-M500</f>
        <v>0</v>
      </c>
      <c r="S500" s="3" t="s">
        <v>69</v>
      </c>
      <c r="Z500" s="181">
        <v>0</v>
      </c>
    </row>
    <row r="501" spans="1:26">
      <c r="A501" s="30">
        <v>23515556</v>
      </c>
      <c r="B501" s="31">
        <v>46244</v>
      </c>
      <c r="C501" s="32">
        <v>0.55589120370370371</v>
      </c>
      <c r="D501" s="33"/>
      <c r="E501" s="34">
        <v>5218123621797</v>
      </c>
      <c r="F501" s="33"/>
      <c r="G501" s="33" t="s">
        <v>544</v>
      </c>
      <c r="H501" s="35"/>
      <c r="I501" s="33"/>
      <c r="J501" s="36"/>
      <c r="K501" t="s">
        <v>54</v>
      </c>
      <c r="L501" s="3">
        <v>12050.72</v>
      </c>
      <c r="N501" s="3">
        <f>L501*0.3</f>
        <v>3615.2159999999999</v>
      </c>
      <c r="O501" s="3">
        <f>(IF(L501&lt;4172.98,0,MIN(L501*0.3,L501-4172.98)))-M501</f>
        <v>3615.2159999999999</v>
      </c>
      <c r="S501" s="3" t="s">
        <v>55</v>
      </c>
      <c r="T501" s="48">
        <v>46244</v>
      </c>
      <c r="Z501" s="181">
        <v>1</v>
      </c>
    </row>
    <row r="502" spans="1:26" hidden="1">
      <c r="A502" s="30">
        <v>23516464</v>
      </c>
      <c r="B502" s="31">
        <v>46244</v>
      </c>
      <c r="C502" s="32">
        <v>0.56760416666666669</v>
      </c>
      <c r="D502" s="33"/>
      <c r="E502" s="34">
        <v>738821074</v>
      </c>
      <c r="F502" s="33"/>
      <c r="G502" s="33" t="s">
        <v>545</v>
      </c>
      <c r="H502" s="35"/>
      <c r="I502" s="33"/>
      <c r="J502" s="36"/>
      <c r="K502" t="s">
        <v>32</v>
      </c>
      <c r="N502" s="3">
        <f>L502*0.3</f>
        <v>0</v>
      </c>
      <c r="O502" s="3">
        <f>(IF(L502&lt;4172.98,0,MIN(L502*0.3,L502-4172.98)))-M502</f>
        <v>0</v>
      </c>
      <c r="S502" s="3" t="s">
        <v>69</v>
      </c>
      <c r="Z502" s="181">
        <v>0</v>
      </c>
    </row>
    <row r="503" spans="1:26" hidden="1">
      <c r="A503" s="30">
        <v>23516622</v>
      </c>
      <c r="B503" s="31">
        <v>46244</v>
      </c>
      <c r="C503" s="32">
        <v>0.5693287037037037</v>
      </c>
      <c r="D503" s="33"/>
      <c r="E503" s="34">
        <v>5216612889374</v>
      </c>
      <c r="F503" s="33"/>
      <c r="G503" s="33" t="s">
        <v>546</v>
      </c>
      <c r="H503" s="35">
        <v>21836534137</v>
      </c>
      <c r="I503" s="33"/>
      <c r="J503" s="36"/>
      <c r="K503" t="s">
        <v>30</v>
      </c>
      <c r="L503" s="3">
        <v>9760.32</v>
      </c>
      <c r="M503" s="3">
        <v>2928.1</v>
      </c>
      <c r="N503" s="3">
        <f>L503*0.3</f>
        <v>2928.096</v>
      </c>
      <c r="O503" s="3">
        <f>(IF(L503&lt;4172.98,0,MIN(L503*0.3,L503-4172.98)))-M503</f>
        <v>-3.9999999999054126E-3</v>
      </c>
      <c r="P503" s="6">
        <v>46753</v>
      </c>
      <c r="Q503" t="s">
        <v>43</v>
      </c>
      <c r="R503" s="3">
        <v>2810.29</v>
      </c>
      <c r="S503" s="3" t="s">
        <v>69</v>
      </c>
      <c r="Z503" s="181">
        <v>2</v>
      </c>
    </row>
    <row r="504" spans="1:26">
      <c r="A504" s="30">
        <v>23517252</v>
      </c>
      <c r="B504" s="31">
        <v>46244</v>
      </c>
      <c r="C504" s="32">
        <v>0.5865393518518518</v>
      </c>
      <c r="D504" s="33"/>
      <c r="E504" s="34">
        <v>5219992366823</v>
      </c>
      <c r="F504" s="33"/>
      <c r="G504" s="33"/>
      <c r="H504" s="35" t="s">
        <v>547</v>
      </c>
      <c r="I504" s="33"/>
      <c r="J504" s="36"/>
      <c r="K504" t="s">
        <v>54</v>
      </c>
      <c r="L504" s="3">
        <f>23956.18-14373.71</f>
        <v>9582.4700000000012</v>
      </c>
      <c r="N504" s="3">
        <f>L504*0.3</f>
        <v>2874.7410000000004</v>
      </c>
      <c r="O504" s="3">
        <f>(IF(L504&lt;4172.98,0,MIN(L504*0.3,L504-4172.98)))-M504</f>
        <v>2874.7410000000004</v>
      </c>
      <c r="S504" s="3" t="s">
        <v>62</v>
      </c>
      <c r="T504" s="48">
        <v>46244</v>
      </c>
      <c r="Z504" s="181">
        <v>1</v>
      </c>
    </row>
    <row r="505" spans="1:26">
      <c r="A505" s="30">
        <v>23517510</v>
      </c>
      <c r="B505" s="31">
        <v>46244</v>
      </c>
      <c r="C505" s="32">
        <v>0.59334490740740742</v>
      </c>
      <c r="D505" s="33"/>
      <c r="E505" s="34">
        <v>5216568679707</v>
      </c>
      <c r="F505" s="33"/>
      <c r="G505" s="33"/>
      <c r="H505" s="35">
        <v>43806520219</v>
      </c>
      <c r="I505" s="33"/>
      <c r="J505" s="36"/>
      <c r="K505" t="s">
        <v>54</v>
      </c>
      <c r="L505" s="3">
        <v>9081.52</v>
      </c>
      <c r="N505" s="3">
        <f>L505*0.3</f>
        <v>2724.4560000000001</v>
      </c>
      <c r="O505" s="3">
        <f>(IF(L505&lt;4172.98,0,MIN(L505*0.3,L505-4172.98)))-M505</f>
        <v>2724.4560000000001</v>
      </c>
      <c r="S505" s="3" t="s">
        <v>62</v>
      </c>
      <c r="T505" s="48">
        <v>46244</v>
      </c>
      <c r="Z505" s="181">
        <v>1</v>
      </c>
    </row>
    <row r="506" spans="1:26">
      <c r="A506" s="12">
        <v>23517656</v>
      </c>
      <c r="B506" s="13">
        <v>46244</v>
      </c>
      <c r="C506" s="14">
        <v>0.59532407407407406</v>
      </c>
      <c r="D506" s="15"/>
      <c r="E506" s="16">
        <v>5218134066850</v>
      </c>
      <c r="F506" s="15"/>
      <c r="G506" s="15"/>
      <c r="H506" s="17">
        <v>43856221734</v>
      </c>
      <c r="I506" s="15"/>
      <c r="J506" s="18"/>
      <c r="K506" t="s">
        <v>34</v>
      </c>
      <c r="L506" s="3">
        <v>29707.31</v>
      </c>
      <c r="M506" s="3">
        <v>7874.57</v>
      </c>
      <c r="N506" s="3">
        <f t="shared" ref="N506:N507" si="37">L506*0.3</f>
        <v>8912.1929999999993</v>
      </c>
      <c r="O506" s="3">
        <f>(IF(L506&lt;4172.98,0,MIN(L506*0.3,L506-4172.98)))-M506</f>
        <v>1037.6229999999996</v>
      </c>
      <c r="P506" s="6">
        <v>45809</v>
      </c>
      <c r="Q506" t="s">
        <v>57</v>
      </c>
      <c r="R506" s="3">
        <v>7874.57</v>
      </c>
      <c r="S506" s="3" t="s">
        <v>35</v>
      </c>
      <c r="T506" s="48">
        <v>46244</v>
      </c>
      <c r="Z506" s="181">
        <v>2</v>
      </c>
    </row>
    <row r="507" spans="1:26">
      <c r="A507" s="30">
        <v>23517664</v>
      </c>
      <c r="B507" s="31">
        <v>46244</v>
      </c>
      <c r="C507" s="32">
        <v>0.59546296296296297</v>
      </c>
      <c r="D507" s="33"/>
      <c r="E507" s="34">
        <v>5213337879758</v>
      </c>
      <c r="F507" s="33"/>
      <c r="G507" s="33"/>
      <c r="H507" s="35">
        <v>54836695491</v>
      </c>
      <c r="I507" s="33"/>
      <c r="J507" s="36"/>
      <c r="K507" t="s">
        <v>54</v>
      </c>
      <c r="L507" s="3">
        <f>32264.17-21627.63</f>
        <v>10636.539999999997</v>
      </c>
      <c r="N507" s="3">
        <f t="shared" si="37"/>
        <v>3190.9619999999991</v>
      </c>
      <c r="O507" s="3">
        <f>(IF(L507&lt;4172.98,0,MIN(L507*0.3,L507-4172.98)))-M507</f>
        <v>3190.9619999999991</v>
      </c>
      <c r="S507" s="3" t="s">
        <v>548</v>
      </c>
      <c r="T507" s="48">
        <v>46244</v>
      </c>
      <c r="Z507" s="181">
        <v>1</v>
      </c>
    </row>
    <row r="508" spans="1:26" hidden="1">
      <c r="A508" s="30">
        <v>23517676</v>
      </c>
      <c r="B508" s="31">
        <v>46244</v>
      </c>
      <c r="C508" s="32">
        <v>0.59972222222222227</v>
      </c>
      <c r="D508" s="33"/>
      <c r="E508" s="34">
        <v>5215641445336</v>
      </c>
      <c r="F508" s="33"/>
      <c r="G508" s="33" t="s">
        <v>549</v>
      </c>
      <c r="H508" s="35" t="s">
        <v>550</v>
      </c>
      <c r="I508" s="33"/>
      <c r="J508" s="36"/>
      <c r="K508" t="s">
        <v>32</v>
      </c>
      <c r="N508" s="3">
        <f>L508*0.3</f>
        <v>0</v>
      </c>
      <c r="O508" s="3">
        <f>(IF(L508&lt;4172.98,0,MIN(L508*0.3,L508-4172.98)))-M508</f>
        <v>0</v>
      </c>
      <c r="S508" s="3" t="s">
        <v>69</v>
      </c>
      <c r="Z508" s="181">
        <v>0</v>
      </c>
    </row>
    <row r="509" spans="1:26">
      <c r="A509" s="30">
        <v>23517400</v>
      </c>
      <c r="B509" s="31">
        <v>46244</v>
      </c>
      <c r="C509" s="32">
        <v>0.60138888888888886</v>
      </c>
      <c r="D509" s="33"/>
      <c r="E509" s="34">
        <v>5216183671131</v>
      </c>
      <c r="F509" s="33"/>
      <c r="G509" s="33"/>
      <c r="H509" s="35" t="s">
        <v>551</v>
      </c>
      <c r="I509" s="33"/>
      <c r="J509" s="36"/>
      <c r="K509" t="s">
        <v>38</v>
      </c>
      <c r="L509" s="3">
        <v>10368.959999999999</v>
      </c>
      <c r="M509" s="3">
        <v>2660.08</v>
      </c>
      <c r="N509" s="3">
        <f>L509*0.3</f>
        <v>3110.6879999999996</v>
      </c>
      <c r="O509" s="3">
        <f>(IF(L509&lt;4172.98,0,MIN(L509*0.3,L509-4172.98)))-M509</f>
        <v>450.60799999999972</v>
      </c>
      <c r="P509" s="6">
        <v>46419</v>
      </c>
      <c r="Q509" t="s">
        <v>184</v>
      </c>
      <c r="R509" s="3">
        <v>1435.08</v>
      </c>
      <c r="S509" s="3" t="s">
        <v>266</v>
      </c>
      <c r="T509" s="48">
        <v>46244</v>
      </c>
      <c r="Z509" s="181">
        <v>2</v>
      </c>
    </row>
    <row r="510" spans="1:26">
      <c r="A510" s="30">
        <v>23517816</v>
      </c>
      <c r="B510" s="31">
        <v>46244</v>
      </c>
      <c r="C510" s="32">
        <v>0.60228009259259263</v>
      </c>
      <c r="D510" s="33"/>
      <c r="E510" s="34">
        <v>5218681973430</v>
      </c>
      <c r="F510" s="33"/>
      <c r="G510" s="33" t="s">
        <v>552</v>
      </c>
      <c r="H510" s="35"/>
      <c r="I510" s="33"/>
      <c r="J510" s="36"/>
      <c r="K510" t="s">
        <v>38</v>
      </c>
      <c r="L510" s="3">
        <v>5110.38</v>
      </c>
      <c r="N510" s="3">
        <f>L510*0.3</f>
        <v>1533.114</v>
      </c>
      <c r="O510" s="3">
        <f>(IF(L510&lt;4172.98,0,MIN(L510*0.3,L510-4172.98)))-M510</f>
        <v>937.40000000000055</v>
      </c>
      <c r="S510" s="3" t="s">
        <v>266</v>
      </c>
      <c r="T510" s="48">
        <v>46244</v>
      </c>
      <c r="Z510" s="181">
        <v>1</v>
      </c>
    </row>
    <row r="511" spans="1:26" hidden="1">
      <c r="A511" s="30">
        <v>23517934</v>
      </c>
      <c r="B511" s="31">
        <v>46244</v>
      </c>
      <c r="C511" s="32">
        <v>0.60281249999999997</v>
      </c>
      <c r="D511" s="33"/>
      <c r="E511" s="34">
        <v>5212291480674</v>
      </c>
      <c r="F511" s="33"/>
      <c r="G511" s="33"/>
      <c r="H511" s="35">
        <v>65896115857</v>
      </c>
      <c r="I511" s="33"/>
      <c r="J511" s="36"/>
      <c r="K511" t="s">
        <v>32</v>
      </c>
      <c r="N511" s="3">
        <f>L511*0.3</f>
        <v>0</v>
      </c>
      <c r="O511" s="3">
        <f>(IF(L511&lt;4172.98,0,MIN(L511*0.3,L511-4172.98)))-M511</f>
        <v>0</v>
      </c>
      <c r="S511" s="3" t="s">
        <v>69</v>
      </c>
      <c r="Z511" s="181">
        <v>0</v>
      </c>
    </row>
    <row r="512" spans="1:26" hidden="1">
      <c r="A512" s="30">
        <v>23518058</v>
      </c>
      <c r="B512" s="31">
        <v>46244</v>
      </c>
      <c r="C512" s="32">
        <v>0.60968750000000005</v>
      </c>
      <c r="D512" s="33"/>
      <c r="E512" s="34">
        <v>5217352826895</v>
      </c>
      <c r="F512" s="33"/>
      <c r="G512" s="33" t="s">
        <v>553</v>
      </c>
      <c r="H512" s="35"/>
      <c r="I512" s="33"/>
      <c r="J512" s="36"/>
      <c r="K512" t="s">
        <v>30</v>
      </c>
      <c r="L512" s="3">
        <v>9962.4</v>
      </c>
      <c r="M512" s="3">
        <v>2988.72</v>
      </c>
      <c r="N512" s="3">
        <f>L512*0.3</f>
        <v>2988.72</v>
      </c>
      <c r="O512" s="3">
        <f>(IF(L512&lt;4172.98,0,MIN(L512*0.3,L512-4172.98)))-M512</f>
        <v>0</v>
      </c>
      <c r="P512" s="6">
        <v>46327</v>
      </c>
      <c r="Q512" t="s">
        <v>75</v>
      </c>
      <c r="R512" s="3">
        <v>2567.88</v>
      </c>
      <c r="S512" s="3" t="s">
        <v>69</v>
      </c>
      <c r="Z512" s="181">
        <v>2</v>
      </c>
    </row>
    <row r="513" spans="1:26">
      <c r="A513" s="30">
        <v>23518126</v>
      </c>
      <c r="B513" s="31">
        <v>46244</v>
      </c>
      <c r="C513" s="32">
        <v>0.60982638888888885</v>
      </c>
      <c r="D513" s="33"/>
      <c r="E513" s="34">
        <v>9992436307</v>
      </c>
      <c r="F513" s="33"/>
      <c r="G513" s="33"/>
      <c r="H513" s="35" t="s">
        <v>554</v>
      </c>
      <c r="I513" s="33"/>
      <c r="J513" s="36"/>
      <c r="K513" t="s">
        <v>27</v>
      </c>
      <c r="L513" s="3">
        <v>7920.51</v>
      </c>
      <c r="M513" s="3">
        <v>2199.02</v>
      </c>
      <c r="N513" s="3">
        <f>L513*0.3</f>
        <v>2376.1529999999998</v>
      </c>
      <c r="O513" s="3">
        <f>(IF(L513&lt;4172.98,0,MIN(L513*0.3,L513-4172.98)))-M513</f>
        <v>177.13299999999981</v>
      </c>
      <c r="P513" s="6">
        <v>46143</v>
      </c>
      <c r="Q513" t="s">
        <v>75</v>
      </c>
      <c r="R513" s="3">
        <v>2199.02</v>
      </c>
      <c r="S513" s="3" t="s">
        <v>548</v>
      </c>
      <c r="T513" s="48">
        <v>46244</v>
      </c>
      <c r="Z513" s="181">
        <v>2</v>
      </c>
    </row>
    <row r="514" spans="1:26">
      <c r="A514" s="30">
        <v>23518354</v>
      </c>
      <c r="B514" s="31">
        <v>46244</v>
      </c>
      <c r="C514" s="32">
        <v>0.61943287037037043</v>
      </c>
      <c r="D514" s="33" t="s">
        <v>555</v>
      </c>
      <c r="E514" s="34">
        <v>5212292067996</v>
      </c>
      <c r="F514" s="33"/>
      <c r="G514" s="33" t="s">
        <v>556</v>
      </c>
      <c r="H514" s="35"/>
      <c r="I514" s="33"/>
      <c r="J514" s="36"/>
      <c r="K514" t="s">
        <v>38</v>
      </c>
      <c r="L514" s="3">
        <v>7116.73</v>
      </c>
      <c r="M514" s="3">
        <v>1813.45</v>
      </c>
      <c r="N514" s="3">
        <f>L514*0.3</f>
        <v>2135.0189999999998</v>
      </c>
      <c r="O514" s="3">
        <f>(IF(L514&lt;4172.98,0,MIN(L514*0.3,L514-4172.98)))-M514</f>
        <v>321.56899999999973</v>
      </c>
      <c r="P514" s="6">
        <v>46388</v>
      </c>
      <c r="Q514" t="s">
        <v>141</v>
      </c>
      <c r="R514" s="3">
        <v>1813.45</v>
      </c>
      <c r="S514" s="3" t="s">
        <v>266</v>
      </c>
      <c r="T514" s="48">
        <v>46244</v>
      </c>
      <c r="Z514" s="181">
        <v>2</v>
      </c>
    </row>
    <row r="515" spans="1:26">
      <c r="A515" s="30">
        <v>23518576</v>
      </c>
      <c r="B515" s="31">
        <v>46244</v>
      </c>
      <c r="C515" s="32">
        <v>0.62520833333333337</v>
      </c>
      <c r="D515" s="33"/>
      <c r="E515" s="34">
        <v>5212297004194</v>
      </c>
      <c r="F515" s="33"/>
      <c r="G515" s="33"/>
      <c r="H515" s="35">
        <v>65694810295</v>
      </c>
      <c r="I515" s="33"/>
      <c r="J515" s="36"/>
      <c r="K515" t="s">
        <v>38</v>
      </c>
      <c r="L515" s="3">
        <v>4793.9799999999996</v>
      </c>
      <c r="N515" s="3">
        <f>L515*0.3</f>
        <v>1438.1939999999997</v>
      </c>
      <c r="O515" s="3">
        <f>(IF(L515&lt;4172.98,0,MIN(L515*0.3,L515-4172.98)))-M515</f>
        <v>621</v>
      </c>
      <c r="S515" s="3" t="s">
        <v>271</v>
      </c>
      <c r="T515" s="48">
        <v>46244</v>
      </c>
      <c r="Z515" s="181">
        <v>1</v>
      </c>
    </row>
    <row r="516" spans="1:26" hidden="1">
      <c r="A516" s="12">
        <v>23518848</v>
      </c>
      <c r="B516" s="13">
        <v>46244</v>
      </c>
      <c r="C516" s="14">
        <v>0.62935185185185183</v>
      </c>
      <c r="D516" s="15"/>
      <c r="E516" s="16">
        <v>5216394654321</v>
      </c>
      <c r="F516" s="15"/>
      <c r="G516" s="15"/>
      <c r="H516" s="17">
        <v>33119324797</v>
      </c>
      <c r="I516" s="15"/>
      <c r="J516" s="18"/>
      <c r="K516" t="s">
        <v>51</v>
      </c>
      <c r="N516" s="3">
        <f t="shared" ref="N516:N517" si="38">L516*0.3</f>
        <v>0</v>
      </c>
      <c r="O516" s="3">
        <f>(IF(L516&lt;4172.98,0,MIN(L516*0.3,L516-4172.98)))-M516</f>
        <v>0</v>
      </c>
      <c r="S516" s="3" t="s">
        <v>69</v>
      </c>
      <c r="Z516" s="181">
        <v>1</v>
      </c>
    </row>
    <row r="517" spans="1:26" hidden="1">
      <c r="A517" s="30">
        <v>23518902</v>
      </c>
      <c r="B517" s="31">
        <v>46244</v>
      </c>
      <c r="C517" s="32">
        <v>0.62990740740740736</v>
      </c>
      <c r="D517" s="33"/>
      <c r="E517" s="34">
        <v>5217822281930</v>
      </c>
      <c r="F517" s="33"/>
      <c r="G517" s="33"/>
      <c r="H517" s="35">
        <v>14815430632</v>
      </c>
      <c r="I517" s="33"/>
      <c r="J517" s="36"/>
      <c r="K517" t="s">
        <v>32</v>
      </c>
      <c r="N517" s="3">
        <f t="shared" si="38"/>
        <v>0</v>
      </c>
      <c r="O517" s="3">
        <f>(IF(L517&lt;4172.98,0,MIN(L517*0.3,L517-4172.98)))-M517</f>
        <v>0</v>
      </c>
      <c r="S517" s="3" t="s">
        <v>69</v>
      </c>
      <c r="Z517" s="181">
        <v>0</v>
      </c>
    </row>
    <row r="518" spans="1:26">
      <c r="A518" s="30">
        <v>23519060</v>
      </c>
      <c r="B518" s="31">
        <v>46244</v>
      </c>
      <c r="C518" s="32">
        <v>0.63099537037037035</v>
      </c>
      <c r="D518" s="33"/>
      <c r="E518" s="34">
        <v>5216141897225</v>
      </c>
      <c r="F518" s="33"/>
      <c r="G518" s="33"/>
      <c r="H518" s="35" t="s">
        <v>557</v>
      </c>
      <c r="I518" s="33"/>
      <c r="J518" s="36"/>
      <c r="K518" t="s">
        <v>54</v>
      </c>
      <c r="L518" s="3">
        <f>21627.64-10991.1</f>
        <v>10636.539999999999</v>
      </c>
      <c r="N518" s="3">
        <f>L518*0.3</f>
        <v>3190.9619999999995</v>
      </c>
      <c r="O518" s="3">
        <f>(IF(L518&lt;4172.98,0,MIN(L518*0.3,L518-4172.98)))-M518</f>
        <v>3190.9619999999995</v>
      </c>
      <c r="S518" s="3" t="s">
        <v>548</v>
      </c>
      <c r="T518" s="48">
        <v>46244</v>
      </c>
      <c r="Z518" s="181">
        <v>1</v>
      </c>
    </row>
    <row r="519" spans="1:26" hidden="1">
      <c r="A519" s="12">
        <v>23518678</v>
      </c>
      <c r="B519" s="13">
        <v>46244</v>
      </c>
      <c r="C519" s="14">
        <v>0.63350694444444444</v>
      </c>
      <c r="D519" s="15"/>
      <c r="E519" s="16">
        <v>5219513351870</v>
      </c>
      <c r="F519" s="15"/>
      <c r="G519" s="15" t="s">
        <v>558</v>
      </c>
      <c r="H519" s="17"/>
      <c r="I519" s="15"/>
      <c r="J519" s="18"/>
      <c r="K519" t="s">
        <v>58</v>
      </c>
      <c r="L519" s="3">
        <v>2612.41</v>
      </c>
      <c r="N519" s="3">
        <f t="shared" ref="N519:N520" si="39">L519*0.3</f>
        <v>783.72299999999996</v>
      </c>
      <c r="O519" s="3">
        <f>(IF(L519&lt;4172.98,0,MIN(L519*0.3,L519-4172.98)))-M519</f>
        <v>0</v>
      </c>
      <c r="S519" s="3" t="s">
        <v>69</v>
      </c>
      <c r="Z519" s="181">
        <v>1</v>
      </c>
    </row>
    <row r="520" spans="1:26">
      <c r="A520" s="30">
        <v>23519072</v>
      </c>
      <c r="B520" s="31">
        <v>46244</v>
      </c>
      <c r="C520" s="32">
        <v>0.63633101851851848</v>
      </c>
      <c r="D520" s="33"/>
      <c r="E520" s="34">
        <v>5219934371168</v>
      </c>
      <c r="F520" s="33"/>
      <c r="G520" s="33"/>
      <c r="H520" s="35">
        <v>83946504376</v>
      </c>
      <c r="I520" s="33"/>
      <c r="J520" s="36"/>
      <c r="K520" t="s">
        <v>38</v>
      </c>
      <c r="L520" s="3">
        <v>16652.689999999999</v>
      </c>
      <c r="M520" s="3">
        <v>3891.64</v>
      </c>
      <c r="N520" s="3">
        <f t="shared" si="39"/>
        <v>4995.8069999999998</v>
      </c>
      <c r="O520" s="3">
        <f>(IF(L520&lt;4172.98,0,MIN(L520*0.3,L520-4172.98)))-M520</f>
        <v>1104.1669999999999</v>
      </c>
      <c r="P520" s="6">
        <v>46722</v>
      </c>
      <c r="Q520" t="s">
        <v>73</v>
      </c>
      <c r="R520" s="3">
        <v>2159.14</v>
      </c>
      <c r="S520" s="3" t="s">
        <v>266</v>
      </c>
      <c r="T520" s="48">
        <v>46244</v>
      </c>
      <c r="Z520" s="181">
        <v>2</v>
      </c>
    </row>
    <row r="521" spans="1:26" hidden="1">
      <c r="A521" s="12">
        <v>23519084</v>
      </c>
      <c r="B521" s="13">
        <v>46244</v>
      </c>
      <c r="C521" s="14">
        <v>0.63780092592592597</v>
      </c>
      <c r="D521" s="15" t="s">
        <v>559</v>
      </c>
      <c r="E521" s="16">
        <v>5212961997625</v>
      </c>
      <c r="F521" s="15"/>
      <c r="G521" s="15"/>
      <c r="H521" s="17" t="s">
        <v>560</v>
      </c>
      <c r="I521" s="15"/>
      <c r="J521" s="18"/>
      <c r="K521" t="s">
        <v>58</v>
      </c>
      <c r="L521" s="3">
        <v>3599.31</v>
      </c>
      <c r="N521" s="3">
        <f t="shared" ref="N521:N522" si="40">L521*0.3</f>
        <v>1079.7929999999999</v>
      </c>
      <c r="O521" s="3">
        <f>(IF(L521&lt;4172.98,0,MIN(L521*0.3,L521-4172.98)))-M521</f>
        <v>0</v>
      </c>
      <c r="S521" s="3" t="s">
        <v>69</v>
      </c>
      <c r="Z521" s="181">
        <v>1</v>
      </c>
    </row>
    <row r="522" spans="1:26">
      <c r="A522" s="30">
        <v>23519174</v>
      </c>
      <c r="B522" s="31">
        <v>46244</v>
      </c>
      <c r="C522" s="32">
        <v>0.63832175925925927</v>
      </c>
      <c r="D522" s="33"/>
      <c r="E522" s="34">
        <v>5215555065814</v>
      </c>
      <c r="F522" s="33"/>
      <c r="G522" s="33" t="s">
        <v>561</v>
      </c>
      <c r="H522" s="35" t="s">
        <v>562</v>
      </c>
      <c r="I522" s="33"/>
      <c r="J522" s="36"/>
      <c r="K522" t="s">
        <v>38</v>
      </c>
      <c r="L522" s="3">
        <v>5055.88</v>
      </c>
      <c r="N522" s="3">
        <f t="shared" si="40"/>
        <v>1516.7639999999999</v>
      </c>
      <c r="O522" s="3">
        <f>(IF(L522&lt;4172.98,0,MIN(L522*0.3,L522-4172.98)))-M522</f>
        <v>882.90000000000055</v>
      </c>
      <c r="S522" s="3" t="s">
        <v>271</v>
      </c>
      <c r="T522" s="48">
        <v>46244</v>
      </c>
      <c r="Z522" s="181">
        <v>1</v>
      </c>
    </row>
    <row r="523" spans="1:26" hidden="1">
      <c r="A523" s="12">
        <v>23519294</v>
      </c>
      <c r="B523" s="13">
        <v>46244</v>
      </c>
      <c r="C523" s="14">
        <v>0.64047453703703705</v>
      </c>
      <c r="D523" s="15" t="s">
        <v>563</v>
      </c>
      <c r="E523" s="16">
        <v>5213314191677</v>
      </c>
      <c r="F523" s="15"/>
      <c r="G523" s="15"/>
      <c r="H523" s="17">
        <v>54836686250</v>
      </c>
      <c r="I523" s="15"/>
      <c r="J523" s="18"/>
      <c r="K523" t="s">
        <v>58</v>
      </c>
      <c r="L523" s="3">
        <v>1520.25</v>
      </c>
      <c r="N523" s="3">
        <f t="shared" ref="N523:N524" si="41">L523*0.3</f>
        <v>456.07499999999999</v>
      </c>
      <c r="O523" s="3">
        <f>(IF(L523&lt;4172.98,0,MIN(L523*0.3,L523-4172.98)))-M523</f>
        <v>0</v>
      </c>
      <c r="S523" s="3" t="s">
        <v>69</v>
      </c>
      <c r="Z523" s="181">
        <v>1</v>
      </c>
    </row>
    <row r="524" spans="1:26">
      <c r="A524" s="30">
        <v>23519340</v>
      </c>
      <c r="B524" s="31">
        <v>46244</v>
      </c>
      <c r="C524" s="32">
        <v>0.64091435185185186</v>
      </c>
      <c r="D524" s="33"/>
      <c r="E524" s="34">
        <v>5215626488896</v>
      </c>
      <c r="F524" s="33"/>
      <c r="G524" s="33"/>
      <c r="H524" s="35">
        <v>11786153376</v>
      </c>
      <c r="I524" s="33"/>
      <c r="J524" s="36"/>
      <c r="K524" t="s">
        <v>38</v>
      </c>
      <c r="L524" s="3">
        <f>7105.83+1594.86</f>
        <v>8700.69</v>
      </c>
      <c r="M524" s="3">
        <v>1594.86</v>
      </c>
      <c r="N524" s="3">
        <f t="shared" si="41"/>
        <v>2610.2069999999999</v>
      </c>
      <c r="O524" s="3">
        <f>(IF(L524&lt;4172.98,0,MIN(L524*0.3,L524-4172.98)))-M524</f>
        <v>1015.347</v>
      </c>
      <c r="P524" s="6">
        <v>46327</v>
      </c>
      <c r="Q524" t="s">
        <v>141</v>
      </c>
      <c r="R524" s="3">
        <v>1594.86</v>
      </c>
      <c r="S524" s="3" t="s">
        <v>271</v>
      </c>
      <c r="T524" s="48">
        <v>46244</v>
      </c>
      <c r="Z524" s="181">
        <v>2</v>
      </c>
    </row>
    <row r="525" spans="1:26">
      <c r="A525" s="12">
        <v>23519502</v>
      </c>
      <c r="B525" s="13">
        <v>46244</v>
      </c>
      <c r="C525" s="14">
        <v>0.64731481481481479</v>
      </c>
      <c r="D525" s="15"/>
      <c r="E525" s="16">
        <v>5219542758138</v>
      </c>
      <c r="F525" s="15"/>
      <c r="G525" s="15"/>
      <c r="H525" s="17">
        <v>72986201209</v>
      </c>
      <c r="I525" s="15"/>
      <c r="J525" s="18"/>
      <c r="K525" t="s">
        <v>54</v>
      </c>
      <c r="L525" s="3">
        <v>6081.85</v>
      </c>
      <c r="N525" s="3">
        <f t="shared" ref="N525:N528" si="42">L525*0.3</f>
        <v>1824.5550000000001</v>
      </c>
      <c r="O525" s="3">
        <f>(IF(L525&lt;4172.98,0,MIN(L525*0.3,L525-4172.98)))-M525</f>
        <v>1824.5550000000001</v>
      </c>
      <c r="S525" s="3" t="s">
        <v>358</v>
      </c>
      <c r="T525" s="48">
        <v>46244</v>
      </c>
      <c r="Z525" s="181">
        <v>1</v>
      </c>
    </row>
    <row r="526" spans="1:26" hidden="1">
      <c r="A526" s="12">
        <v>23519490</v>
      </c>
      <c r="B526" s="13">
        <v>46244</v>
      </c>
      <c r="C526" s="14">
        <v>0.64958333333333329</v>
      </c>
      <c r="D526" s="15" t="s">
        <v>564</v>
      </c>
      <c r="E526" s="16">
        <v>5218443504226</v>
      </c>
      <c r="F526" s="15"/>
      <c r="G526" s="15" t="s">
        <v>565</v>
      </c>
      <c r="H526" s="17">
        <v>32654622375</v>
      </c>
      <c r="I526" s="15"/>
      <c r="J526" s="18"/>
      <c r="K526" t="s">
        <v>58</v>
      </c>
      <c r="L526" s="3">
        <v>3963.43</v>
      </c>
      <c r="N526" s="3">
        <f t="shared" si="42"/>
        <v>1189.029</v>
      </c>
      <c r="O526" s="3">
        <f>(IF(L526&lt;4172.98,0,MIN(L526*0.3,L526-4172.98)))-M526</f>
        <v>0</v>
      </c>
      <c r="S526" s="3" t="s">
        <v>69</v>
      </c>
      <c r="Z526" s="181">
        <v>1</v>
      </c>
    </row>
    <row r="527" spans="1:26">
      <c r="A527" s="12">
        <v>23519604</v>
      </c>
      <c r="B527" s="13">
        <v>46244</v>
      </c>
      <c r="C527" s="14">
        <v>0.64971064814814816</v>
      </c>
      <c r="D527" s="15"/>
      <c r="E527" s="16">
        <v>5213312924425</v>
      </c>
      <c r="F527" s="15"/>
      <c r="G527" s="15"/>
      <c r="H527" s="17" t="s">
        <v>566</v>
      </c>
      <c r="I527" s="15"/>
      <c r="J527" s="18"/>
      <c r="K527" t="s">
        <v>54</v>
      </c>
      <c r="L527" s="3">
        <v>6515.96</v>
      </c>
      <c r="N527" s="3">
        <f t="shared" si="42"/>
        <v>1954.788</v>
      </c>
      <c r="O527" s="3">
        <f>(IF(L527&lt;4172.98,0,MIN(L527*0.3,L527-4172.98)))-M527</f>
        <v>1954.788</v>
      </c>
      <c r="S527" s="3" t="s">
        <v>62</v>
      </c>
      <c r="T527" s="48">
        <v>46244</v>
      </c>
      <c r="Z527" s="181">
        <v>1</v>
      </c>
    </row>
    <row r="528" spans="1:26" hidden="1">
      <c r="A528" s="30">
        <v>23519642</v>
      </c>
      <c r="B528" s="31">
        <v>46244</v>
      </c>
      <c r="C528" s="32">
        <v>0.65587962962962965</v>
      </c>
      <c r="D528" s="33" t="s">
        <v>66</v>
      </c>
      <c r="E528" s="34">
        <v>5214641222304</v>
      </c>
      <c r="F528" s="33"/>
      <c r="G528" s="33" t="s">
        <v>567</v>
      </c>
      <c r="H528" s="35" t="s">
        <v>568</v>
      </c>
      <c r="I528" s="33"/>
      <c r="J528" s="36"/>
      <c r="K528" t="s">
        <v>30</v>
      </c>
      <c r="L528" s="3">
        <v>11587.33</v>
      </c>
      <c r="M528" s="3">
        <v>3476.2</v>
      </c>
      <c r="N528" s="3">
        <f t="shared" si="42"/>
        <v>3476.1990000000001</v>
      </c>
      <c r="O528" s="3">
        <f>(IF(L528&lt;4172.98,0,MIN(L528*0.3,L528-4172.98)))-M528</f>
        <v>-9.9999999974897946E-4</v>
      </c>
      <c r="P528" s="6">
        <v>46419</v>
      </c>
      <c r="Q528" t="s">
        <v>59</v>
      </c>
      <c r="R528" s="3">
        <v>2984</v>
      </c>
      <c r="S528" s="3" t="s">
        <v>69</v>
      </c>
      <c r="Z528" s="181">
        <v>2</v>
      </c>
    </row>
    <row r="529" spans="1:26" hidden="1">
      <c r="A529" s="12">
        <v>23519714</v>
      </c>
      <c r="B529" s="13">
        <v>46244</v>
      </c>
      <c r="C529" s="14">
        <v>0.65702546296296294</v>
      </c>
      <c r="D529" s="15"/>
      <c r="E529" s="16">
        <v>5216971127282</v>
      </c>
      <c r="F529" s="15"/>
      <c r="G529" s="15"/>
      <c r="H529" s="17">
        <v>23936936048</v>
      </c>
      <c r="I529" s="15"/>
      <c r="J529" s="18"/>
      <c r="K529" t="s">
        <v>30</v>
      </c>
      <c r="L529" s="3">
        <v>8181.55</v>
      </c>
      <c r="M529" s="3">
        <v>2453.91</v>
      </c>
      <c r="N529" s="3">
        <f t="shared" ref="N529:N534" si="43">L529*0.3</f>
        <v>2454.4650000000001</v>
      </c>
      <c r="O529" s="3">
        <f>(IF(L529&lt;4172.98,0,MIN(L529*0.3,L529-4172.98)))-M529</f>
        <v>0.55500000000029104</v>
      </c>
      <c r="P529" s="6">
        <v>46357</v>
      </c>
      <c r="Q529" t="s">
        <v>59</v>
      </c>
      <c r="R529" s="3">
        <v>2270</v>
      </c>
      <c r="S529" s="3" t="s">
        <v>69</v>
      </c>
      <c r="Z529" s="181">
        <v>2</v>
      </c>
    </row>
    <row r="530" spans="1:26" hidden="1">
      <c r="A530" s="12">
        <v>23519728</v>
      </c>
      <c r="B530" s="13">
        <v>46244</v>
      </c>
      <c r="C530" s="14">
        <v>0.65741898148148148</v>
      </c>
      <c r="D530" s="15"/>
      <c r="E530" s="16">
        <v>5218721314323</v>
      </c>
      <c r="F530" s="15"/>
      <c r="G530" s="15" t="s">
        <v>569</v>
      </c>
      <c r="H530" s="17"/>
      <c r="I530" s="15"/>
      <c r="J530" s="18"/>
      <c r="K530" t="s">
        <v>30</v>
      </c>
      <c r="L530" s="3">
        <v>13402.4</v>
      </c>
      <c r="M530" s="3">
        <v>3800</v>
      </c>
      <c r="N530" s="3">
        <f t="shared" si="43"/>
        <v>4020.72</v>
      </c>
      <c r="O530" s="3">
        <f>(IF(L530&lt;4172.98,0,MIN(L530*0.3,L530-4172.98)))-M530</f>
        <v>220.7199999999998</v>
      </c>
      <c r="P530" s="6">
        <v>46569</v>
      </c>
      <c r="Q530" t="s">
        <v>59</v>
      </c>
      <c r="R530" s="3">
        <v>3800</v>
      </c>
      <c r="S530" s="3" t="s">
        <v>69</v>
      </c>
      <c r="Z530" s="181">
        <v>2</v>
      </c>
    </row>
    <row r="531" spans="1:26" hidden="1">
      <c r="A531" s="12">
        <v>23520044</v>
      </c>
      <c r="B531" s="13">
        <v>46244</v>
      </c>
      <c r="C531" s="14">
        <v>0.6632986111111111</v>
      </c>
      <c r="D531" s="15"/>
      <c r="E531" s="16">
        <v>5218683515687</v>
      </c>
      <c r="F531" s="15"/>
      <c r="G531" s="15"/>
      <c r="H531" s="17">
        <v>49906623357</v>
      </c>
      <c r="I531" s="15"/>
      <c r="J531" s="18"/>
      <c r="K531" t="s">
        <v>30</v>
      </c>
      <c r="L531" s="3">
        <v>10636.54</v>
      </c>
      <c r="M531" s="3">
        <f>2318.62+864.27</f>
        <v>3182.89</v>
      </c>
      <c r="N531" s="3">
        <f t="shared" si="43"/>
        <v>3190.962</v>
      </c>
      <c r="O531" s="3">
        <f>(IF(L531&lt;4172.98,0,MIN(L531*0.3,L531-4172.98)))-M531</f>
        <v>8.0720000000001164</v>
      </c>
      <c r="P531" s="6">
        <v>46935</v>
      </c>
      <c r="Q531" t="s">
        <v>57</v>
      </c>
      <c r="R531" s="94">
        <v>2318.62</v>
      </c>
      <c r="S531" s="3" t="s">
        <v>69</v>
      </c>
      <c r="Z531" s="181">
        <v>2</v>
      </c>
    </row>
    <row r="532" spans="1:26" hidden="1">
      <c r="A532" s="12">
        <v>23520130</v>
      </c>
      <c r="B532" s="13">
        <v>46244</v>
      </c>
      <c r="C532" s="14">
        <v>0.6681597222222222</v>
      </c>
      <c r="D532" s="15"/>
      <c r="E532" s="16">
        <v>5216862764012</v>
      </c>
      <c r="F532" s="15"/>
      <c r="G532" s="15"/>
      <c r="H532" s="17">
        <v>21977732995</v>
      </c>
      <c r="I532" s="15"/>
      <c r="J532" s="18"/>
      <c r="K532" t="s">
        <v>30</v>
      </c>
      <c r="L532" s="3">
        <v>6625.34</v>
      </c>
      <c r="M532" s="3">
        <v>1916.87</v>
      </c>
      <c r="N532" s="3">
        <f t="shared" si="43"/>
        <v>1987.6019999999999</v>
      </c>
      <c r="O532" s="3">
        <f>(IF(L532&lt;4172.98,0,MIN(L532*0.3,L532-4172.98)))-M532</f>
        <v>70.731999999999971</v>
      </c>
      <c r="P532" s="6">
        <v>46508</v>
      </c>
      <c r="Q532" t="s">
        <v>59</v>
      </c>
      <c r="R532" s="3">
        <v>1916.87</v>
      </c>
      <c r="S532" s="3" t="s">
        <v>69</v>
      </c>
      <c r="Z532" s="181">
        <v>2</v>
      </c>
    </row>
    <row r="533" spans="1:26" hidden="1">
      <c r="A533" s="12">
        <v>23520298</v>
      </c>
      <c r="B533" s="13">
        <v>46244</v>
      </c>
      <c r="C533" s="14">
        <v>0.67218750000000005</v>
      </c>
      <c r="D533" s="15"/>
      <c r="E533" s="16">
        <v>5214731379237</v>
      </c>
      <c r="F533" s="15"/>
      <c r="G533" s="15" t="s">
        <v>570</v>
      </c>
      <c r="H533" s="17"/>
      <c r="I533" s="15"/>
      <c r="J533" s="18"/>
      <c r="K533" t="s">
        <v>30</v>
      </c>
      <c r="L533" s="3">
        <v>9081.52</v>
      </c>
      <c r="M533" s="3">
        <v>2624.41</v>
      </c>
      <c r="N533" s="3">
        <f t="shared" si="43"/>
        <v>2724.4560000000001</v>
      </c>
      <c r="O533" s="3">
        <f>(IF(L533&lt;4172.98,0,MIN(L533*0.3,L533-4172.98)))-M533</f>
        <v>100.04600000000028</v>
      </c>
      <c r="P533" s="6">
        <v>46722</v>
      </c>
      <c r="Q533" t="s">
        <v>57</v>
      </c>
      <c r="R533" s="3">
        <v>1116.02</v>
      </c>
      <c r="S533" s="3" t="s">
        <v>69</v>
      </c>
      <c r="Z533" s="181">
        <v>2</v>
      </c>
    </row>
    <row r="534" spans="1:26">
      <c r="A534" s="30">
        <v>23520560</v>
      </c>
      <c r="B534" s="31">
        <v>46244</v>
      </c>
      <c r="C534" s="32">
        <v>0.67980324074074072</v>
      </c>
      <c r="D534" s="33"/>
      <c r="E534" s="34">
        <v>5216645922991</v>
      </c>
      <c r="F534" s="33"/>
      <c r="G534" s="33"/>
      <c r="H534" s="35">
        <v>21048899773</v>
      </c>
      <c r="I534" s="33"/>
      <c r="J534" s="36"/>
      <c r="K534" t="s">
        <v>38</v>
      </c>
      <c r="L534" s="3">
        <v>4639.32</v>
      </c>
      <c r="N534" s="3">
        <f t="shared" si="43"/>
        <v>1391.7959999999998</v>
      </c>
      <c r="O534" s="3">
        <f>(IF(L534&lt;4172.98,0,MIN(L534*0.3,L534-4172.98)))-M534</f>
        <v>466.34000000000015</v>
      </c>
      <c r="S534" s="3" t="s">
        <v>266</v>
      </c>
      <c r="T534" s="48">
        <v>46244</v>
      </c>
      <c r="Z534" s="181">
        <v>1</v>
      </c>
    </row>
    <row r="535" spans="1:26" hidden="1">
      <c r="A535" s="30">
        <v>23520372</v>
      </c>
      <c r="B535" s="31">
        <v>46244</v>
      </c>
      <c r="C535" s="32">
        <v>0.67991898148148144</v>
      </c>
      <c r="D535" s="33" t="s">
        <v>571</v>
      </c>
      <c r="E535" s="34">
        <v>5215573652145</v>
      </c>
      <c r="F535" s="33"/>
      <c r="G535" s="33" t="s">
        <v>572</v>
      </c>
      <c r="H535" s="35" t="s">
        <v>573</v>
      </c>
      <c r="I535" s="33"/>
      <c r="J535" s="36"/>
      <c r="K535" t="s">
        <v>30</v>
      </c>
      <c r="L535" s="3">
        <v>10644.54</v>
      </c>
      <c r="M535" s="3">
        <v>3198.96</v>
      </c>
      <c r="N535" s="3">
        <f>L535*0.3</f>
        <v>3193.3620000000001</v>
      </c>
      <c r="O535" s="3">
        <f>(IF(L535&lt;4172.98,0,MIN(L535*0.3,L535-4172.98)))-M535</f>
        <v>-5.5979999999999563</v>
      </c>
      <c r="P535" s="6">
        <v>46905</v>
      </c>
      <c r="Q535" t="s">
        <v>57</v>
      </c>
      <c r="R535" s="3">
        <v>3198.96</v>
      </c>
      <c r="S535" s="3" t="s">
        <v>69</v>
      </c>
      <c r="Z535" s="181">
        <v>2</v>
      </c>
    </row>
    <row r="536" spans="1:26" hidden="1">
      <c r="A536" s="30">
        <v>23369726</v>
      </c>
      <c r="B536" s="31">
        <v>46244</v>
      </c>
      <c r="C536" s="32">
        <v>0.69921296296296298</v>
      </c>
      <c r="D536" s="33" t="s">
        <v>574</v>
      </c>
      <c r="E536" s="34">
        <v>5215563393762</v>
      </c>
      <c r="F536" s="33"/>
      <c r="G536" s="33" t="s">
        <v>575</v>
      </c>
      <c r="H536" s="35"/>
      <c r="I536" s="33"/>
      <c r="J536" s="36"/>
      <c r="K536" t="s">
        <v>30</v>
      </c>
      <c r="L536" s="3">
        <v>9760.32</v>
      </c>
      <c r="M536" s="3">
        <v>2800.52</v>
      </c>
      <c r="N536" s="3">
        <f>L536*0.3</f>
        <v>2928.096</v>
      </c>
      <c r="O536" s="3">
        <f>(IF(L536&lt;4172.98,0,MIN(L536*0.3,L536-4172.98)))-M536</f>
        <v>127.57600000000002</v>
      </c>
      <c r="P536" s="6">
        <v>46692</v>
      </c>
      <c r="Q536" t="s">
        <v>57</v>
      </c>
      <c r="R536" s="3">
        <v>2800.52</v>
      </c>
      <c r="S536" s="3" t="s">
        <v>69</v>
      </c>
      <c r="Z536" s="181">
        <v>2</v>
      </c>
    </row>
    <row r="537" spans="1:26" hidden="1">
      <c r="A537" s="12">
        <v>23521098</v>
      </c>
      <c r="B537" s="13">
        <v>46244</v>
      </c>
      <c r="C537" s="14">
        <v>0.70151620370370371</v>
      </c>
      <c r="D537" s="15"/>
      <c r="E537" s="16">
        <v>5215571935870</v>
      </c>
      <c r="F537" s="15"/>
      <c r="G537" s="15"/>
      <c r="H537" s="17" t="s">
        <v>576</v>
      </c>
      <c r="I537" s="15"/>
      <c r="J537" s="18"/>
      <c r="K537" t="s">
        <v>30</v>
      </c>
      <c r="L537" s="3">
        <v>5617.63</v>
      </c>
      <c r="M537" s="3">
        <v>1389.38</v>
      </c>
      <c r="N537" s="3">
        <f t="shared" ref="N537:N540" si="44">L537*0.3</f>
        <v>1685.289</v>
      </c>
      <c r="O537" s="3">
        <f>(IF(L537&lt;4172.98,0,MIN(L537*0.3,L537-4172.98)))-M537</f>
        <v>55.270000000000437</v>
      </c>
      <c r="P537" s="6">
        <v>46327</v>
      </c>
      <c r="Q537" t="s">
        <v>141</v>
      </c>
      <c r="R537" s="3">
        <v>375.26</v>
      </c>
      <c r="S537" s="3" t="s">
        <v>69</v>
      </c>
      <c r="Z537" s="181">
        <v>2</v>
      </c>
    </row>
    <row r="538" spans="1:26" hidden="1">
      <c r="A538" s="12">
        <v>23521328</v>
      </c>
      <c r="B538" s="13">
        <v>46244</v>
      </c>
      <c r="C538" s="14">
        <v>0.70469907407407406</v>
      </c>
      <c r="D538" s="15"/>
      <c r="E538" s="16">
        <v>5214445200020</v>
      </c>
      <c r="F538" s="15"/>
      <c r="G538" s="15"/>
      <c r="H538" s="17" t="s">
        <v>577</v>
      </c>
      <c r="I538" s="15"/>
      <c r="J538" s="18"/>
      <c r="K538" t="s">
        <v>58</v>
      </c>
      <c r="L538" s="3">
        <v>4211.3900000000003</v>
      </c>
      <c r="M538" s="3">
        <v>848</v>
      </c>
      <c r="N538" s="3">
        <f t="shared" si="44"/>
        <v>1263.4170000000001</v>
      </c>
      <c r="O538" s="3">
        <f>(IF(L538&lt;4172.98,0,MIN(L538*0.3,L538-4172.98)))-M538</f>
        <v>-809.58999999999924</v>
      </c>
      <c r="S538" s="3" t="s">
        <v>69</v>
      </c>
      <c r="Z538" s="181">
        <v>1</v>
      </c>
    </row>
    <row r="539" spans="1:26" hidden="1">
      <c r="A539" s="12">
        <v>23521282</v>
      </c>
      <c r="B539" s="13">
        <v>46244</v>
      </c>
      <c r="C539" s="14">
        <v>0.7104166666666667</v>
      </c>
      <c r="D539" s="15"/>
      <c r="E539" s="16">
        <v>5212288605778</v>
      </c>
      <c r="F539" s="15"/>
      <c r="G539" s="15"/>
      <c r="H539" s="17">
        <v>65824819166</v>
      </c>
      <c r="I539" s="15"/>
      <c r="J539" s="18"/>
      <c r="K539" t="s">
        <v>58</v>
      </c>
      <c r="L539" s="3">
        <v>4580.04</v>
      </c>
      <c r="M539" s="3">
        <v>879</v>
      </c>
      <c r="N539" s="3">
        <f t="shared" si="44"/>
        <v>1374.0119999999999</v>
      </c>
      <c r="O539" s="3">
        <f>(IF(L539&lt;4172.98,0,MIN(L539*0.3,L539-4172.98)))-M539</f>
        <v>-471.9399999999996</v>
      </c>
      <c r="S539" s="3" t="s">
        <v>69</v>
      </c>
      <c r="Z539" s="181">
        <v>1</v>
      </c>
    </row>
    <row r="540" spans="1:26" hidden="1">
      <c r="A540" s="30">
        <v>23521216</v>
      </c>
      <c r="B540" s="31">
        <v>46244</v>
      </c>
      <c r="C540" s="32">
        <v>0.71431712962962968</v>
      </c>
      <c r="D540" s="33"/>
      <c r="E540" s="34">
        <v>5215570485490</v>
      </c>
      <c r="F540" s="33"/>
      <c r="G540" s="33"/>
      <c r="H540" s="35">
        <v>11735492339</v>
      </c>
      <c r="I540" s="33"/>
      <c r="J540" s="36"/>
      <c r="K540" t="s">
        <v>30</v>
      </c>
      <c r="L540" s="3">
        <v>6778.03</v>
      </c>
      <c r="M540" s="3">
        <v>2033.41</v>
      </c>
      <c r="N540" s="3">
        <f t="shared" si="44"/>
        <v>2033.4089999999999</v>
      </c>
      <c r="O540" s="3">
        <f>(IF(L540&lt;4172.98,0,MIN(L540*0.3,L540-4172.98)))-M540</f>
        <v>-1.0000000002037268E-3</v>
      </c>
      <c r="P540" s="6">
        <v>46447</v>
      </c>
      <c r="Q540" t="s">
        <v>75</v>
      </c>
      <c r="R540" s="3">
        <v>1159.9000000000001</v>
      </c>
      <c r="S540" s="3" t="s">
        <v>69</v>
      </c>
      <c r="Z540" s="181">
        <v>2</v>
      </c>
    </row>
    <row r="541" spans="1:26" hidden="1">
      <c r="A541" s="30">
        <v>23488170</v>
      </c>
      <c r="B541" s="31">
        <v>46244</v>
      </c>
      <c r="C541" s="32">
        <v>0.716400462962963</v>
      </c>
      <c r="D541" s="33"/>
      <c r="E541" s="34">
        <v>5216143765017</v>
      </c>
      <c r="F541" s="33"/>
      <c r="G541" s="33"/>
      <c r="H541" s="35">
        <v>33775304588</v>
      </c>
      <c r="I541" s="33"/>
      <c r="J541" s="36"/>
      <c r="K541" t="s">
        <v>58</v>
      </c>
      <c r="L541" s="3">
        <v>3779.88</v>
      </c>
      <c r="M541" s="3">
        <v>879</v>
      </c>
      <c r="N541" s="3">
        <f>L541*0.3</f>
        <v>1133.9639999999999</v>
      </c>
      <c r="O541" s="3">
        <f>(IF(L541&lt;4172.98,0,MIN(L541*0.3,L541-4172.98)))-M541</f>
        <v>-879</v>
      </c>
      <c r="S541" s="53" t="s">
        <v>69</v>
      </c>
      <c r="Z541" s="181">
        <v>1</v>
      </c>
    </row>
    <row r="542" spans="1:26" hidden="1">
      <c r="A542" s="30">
        <v>23521784</v>
      </c>
      <c r="B542" s="31">
        <v>46244</v>
      </c>
      <c r="C542" s="32">
        <v>0.72282407407407412</v>
      </c>
      <c r="D542" s="33"/>
      <c r="E542" s="34">
        <v>5218112624188</v>
      </c>
      <c r="F542" s="33"/>
      <c r="G542" s="33"/>
      <c r="H542" s="35">
        <v>43846580082</v>
      </c>
      <c r="I542" s="33"/>
      <c r="J542" s="36"/>
      <c r="K542" t="s">
        <v>30</v>
      </c>
      <c r="L542" s="3">
        <v>9760.32</v>
      </c>
      <c r="M542" s="3">
        <v>2819.39</v>
      </c>
      <c r="N542" s="3">
        <f>L542*0.3</f>
        <v>2928.096</v>
      </c>
      <c r="O542" s="3">
        <f>(IF(L542&lt;4172.98,0,MIN(L542*0.3,L542-4172.98)))-M542</f>
        <v>108.70600000000013</v>
      </c>
      <c r="P542" s="6">
        <v>46569</v>
      </c>
      <c r="Q542" t="s">
        <v>44</v>
      </c>
      <c r="R542" s="3">
        <v>2819.39</v>
      </c>
      <c r="S542" s="3" t="s">
        <v>69</v>
      </c>
      <c r="Z542" s="181">
        <v>2</v>
      </c>
    </row>
    <row r="543" spans="1:26" hidden="1">
      <c r="A543" s="12">
        <v>23522088</v>
      </c>
      <c r="B543" s="13">
        <v>46244</v>
      </c>
      <c r="C543" s="14">
        <v>0.74177083333333338</v>
      </c>
      <c r="D543" s="15"/>
      <c r="E543" s="16">
        <v>5216331195365</v>
      </c>
      <c r="F543" s="15"/>
      <c r="G543" s="15" t="s">
        <v>578</v>
      </c>
      <c r="H543" s="17">
        <v>24836440826</v>
      </c>
      <c r="I543" s="15"/>
      <c r="J543" s="18"/>
      <c r="K543" t="s">
        <v>30</v>
      </c>
      <c r="L543" s="3">
        <f>7228.46+1415.37+1527.41</f>
        <v>10171.24</v>
      </c>
      <c r="M543" s="3">
        <f>1415.37+1527.41</f>
        <v>2942.7799999999997</v>
      </c>
      <c r="N543" s="3">
        <f t="shared" ref="N543:N544" si="45">L543*0.3</f>
        <v>3051.3719999999998</v>
      </c>
      <c r="O543" s="3">
        <f>(IF(L543&lt;4172.98,0,MIN(L543*0.3,L543-4172.98)))-M543</f>
        <v>108.5920000000001</v>
      </c>
      <c r="P543" s="6">
        <v>46508</v>
      </c>
      <c r="Q543" t="s">
        <v>77</v>
      </c>
      <c r="R543" s="3">
        <v>1527.41</v>
      </c>
      <c r="S543" s="3" t="s">
        <v>69</v>
      </c>
      <c r="Z543" s="181">
        <v>2</v>
      </c>
    </row>
    <row r="544" spans="1:26">
      <c r="A544" s="30">
        <v>23522206</v>
      </c>
      <c r="B544" s="31">
        <v>46244</v>
      </c>
      <c r="C544" s="32">
        <v>0.742650462962963</v>
      </c>
      <c r="D544" s="33"/>
      <c r="E544" s="34">
        <v>5214421579229</v>
      </c>
      <c r="F544" s="33"/>
      <c r="G544" s="33" t="s">
        <v>579</v>
      </c>
      <c r="H544" s="35"/>
      <c r="I544" s="33"/>
      <c r="J544" s="36"/>
      <c r="K544" t="s">
        <v>27</v>
      </c>
      <c r="L544" s="3">
        <v>21199.919999999998</v>
      </c>
      <c r="M544" s="3">
        <v>6132.6</v>
      </c>
      <c r="N544" s="3">
        <f t="shared" si="45"/>
        <v>6359.9759999999997</v>
      </c>
      <c r="O544" s="3">
        <f>(IF(L544&lt;4172.98,0,MIN(L544*0.3,L544-4172.98)))-M544</f>
        <v>227.37599999999929</v>
      </c>
      <c r="P544" s="6">
        <v>45870</v>
      </c>
      <c r="Q544" t="s">
        <v>59</v>
      </c>
      <c r="R544" s="3">
        <v>4962.6000000000004</v>
      </c>
      <c r="S544" s="3" t="s">
        <v>548</v>
      </c>
      <c r="T544" s="48">
        <v>46244</v>
      </c>
      <c r="U544" s="85"/>
      <c r="Z544" s="181">
        <v>2</v>
      </c>
    </row>
    <row r="545" spans="1:26" hidden="1">
      <c r="A545" s="12">
        <v>23524166</v>
      </c>
      <c r="B545" s="13">
        <v>46244</v>
      </c>
      <c r="C545" s="14">
        <v>0.77061342592592597</v>
      </c>
      <c r="D545" s="15"/>
      <c r="E545" s="16">
        <v>5217716672750</v>
      </c>
      <c r="F545" s="16">
        <v>5219371398327</v>
      </c>
      <c r="G545" s="15" t="s">
        <v>580</v>
      </c>
      <c r="H545" s="17"/>
      <c r="I545" s="15"/>
      <c r="J545" s="18"/>
      <c r="K545" t="s">
        <v>32</v>
      </c>
      <c r="N545" s="3">
        <f t="shared" ref="N545:N549" si="46">L545*0.3</f>
        <v>0</v>
      </c>
      <c r="O545" s="3">
        <f>(IF(L545&lt;4172.98,0,MIN(L545*0.3,L545-4172.98)))-M545</f>
        <v>0</v>
      </c>
      <c r="S545" s="3" t="s">
        <v>69</v>
      </c>
      <c r="Z545" s="181">
        <v>0</v>
      </c>
    </row>
    <row r="546" spans="1:26" hidden="1">
      <c r="A546" s="12">
        <v>23524940</v>
      </c>
      <c r="B546" s="13">
        <v>46244</v>
      </c>
      <c r="C546" s="14">
        <v>0.79780092592592589</v>
      </c>
      <c r="D546" s="15"/>
      <c r="E546" s="16">
        <v>5214492345774</v>
      </c>
      <c r="F546" s="15"/>
      <c r="G546" s="15"/>
      <c r="H546" s="17">
        <v>51856823821</v>
      </c>
      <c r="I546" s="15"/>
      <c r="J546" s="18"/>
      <c r="K546" t="s">
        <v>32</v>
      </c>
      <c r="N546" s="3">
        <f t="shared" si="46"/>
        <v>0</v>
      </c>
      <c r="O546" s="3">
        <f>(IF(L546&lt;4172.98,0,MIN(L546*0.3,L546-4172.98)))-M546</f>
        <v>0</v>
      </c>
      <c r="S546" s="3" t="s">
        <v>69</v>
      </c>
      <c r="Z546" s="181">
        <v>0</v>
      </c>
    </row>
    <row r="547" spans="1:26" hidden="1">
      <c r="A547" s="12">
        <v>23525026</v>
      </c>
      <c r="B547" s="13">
        <v>46244</v>
      </c>
      <c r="C547" s="14">
        <v>0.8149305555555556</v>
      </c>
      <c r="D547" s="15"/>
      <c r="E547" s="16"/>
      <c r="F547" s="15"/>
      <c r="G547" s="15"/>
      <c r="H547" s="17">
        <v>35937435309</v>
      </c>
      <c r="I547" s="15"/>
      <c r="J547" s="18"/>
      <c r="K547" t="s">
        <v>58</v>
      </c>
      <c r="L547" s="3">
        <f>2625.36+848</f>
        <v>3473.36</v>
      </c>
      <c r="N547" s="3">
        <f t="shared" si="46"/>
        <v>1042.008</v>
      </c>
      <c r="O547" s="3">
        <f>(IF(L547&lt;4172.98,0,MIN(L547*0.3,L547-4172.98)))-M547</f>
        <v>0</v>
      </c>
      <c r="S547" s="3" t="s">
        <v>69</v>
      </c>
      <c r="Z547" s="181">
        <v>1</v>
      </c>
    </row>
    <row r="548" spans="1:26" hidden="1">
      <c r="A548" s="12">
        <v>23525382</v>
      </c>
      <c r="B548" s="13">
        <v>46244</v>
      </c>
      <c r="C548" s="14">
        <v>0.82089120370370372</v>
      </c>
      <c r="D548" s="15"/>
      <c r="E548" s="16">
        <v>5218993074716</v>
      </c>
      <c r="F548" s="15"/>
      <c r="G548" s="15" t="s">
        <v>581</v>
      </c>
      <c r="H548" s="17"/>
      <c r="I548" s="15"/>
      <c r="J548" s="18"/>
      <c r="K548" t="s">
        <v>58</v>
      </c>
      <c r="L548" s="3">
        <v>2605.37</v>
      </c>
      <c r="N548" s="3">
        <f t="shared" si="46"/>
        <v>781.61099999999999</v>
      </c>
      <c r="O548" s="3">
        <f>(IF(L548&lt;4172.98,0,MIN(L548*0.3,L548-4172.98)))-M548</f>
        <v>0</v>
      </c>
      <c r="S548" s="3" t="s">
        <v>69</v>
      </c>
      <c r="Z548" s="181">
        <v>1</v>
      </c>
    </row>
    <row r="549" spans="1:26" hidden="1">
      <c r="A549" s="30">
        <v>23525634</v>
      </c>
      <c r="B549" s="31">
        <v>46244</v>
      </c>
      <c r="C549" s="32">
        <v>0.82934027777777775</v>
      </c>
      <c r="D549" s="33"/>
      <c r="E549" s="34">
        <v>5215540241012</v>
      </c>
      <c r="F549" s="33"/>
      <c r="G549" s="33"/>
      <c r="H549" s="35">
        <v>88806004409</v>
      </c>
      <c r="I549" s="33"/>
      <c r="J549" s="36"/>
      <c r="K549" t="s">
        <v>30</v>
      </c>
      <c r="L549" s="3">
        <f>4225.63+1392</f>
        <v>5617.63</v>
      </c>
      <c r="M549" s="3">
        <v>1392</v>
      </c>
      <c r="N549" s="3">
        <f t="shared" si="46"/>
        <v>1685.289</v>
      </c>
      <c r="O549" s="3">
        <f>(IF(L549&lt;4172.98,0,MIN(L549*0.3,L549-4172.98)))-M549</f>
        <v>52.650000000000546</v>
      </c>
      <c r="P549" s="6">
        <v>46569</v>
      </c>
      <c r="Q549" t="s">
        <v>59</v>
      </c>
      <c r="R549" s="3">
        <v>1392</v>
      </c>
      <c r="S549" s="3" t="s">
        <v>69</v>
      </c>
      <c r="Z549" s="181">
        <v>2</v>
      </c>
    </row>
    <row r="550" spans="1:26">
      <c r="A550" s="12">
        <v>23525578</v>
      </c>
      <c r="B550" s="13">
        <v>46244</v>
      </c>
      <c r="C550" s="14">
        <v>0.83603009259259264</v>
      </c>
      <c r="D550" s="15"/>
      <c r="E550" s="16"/>
      <c r="F550" s="15"/>
      <c r="G550" s="15"/>
      <c r="H550" s="17" t="s">
        <v>582</v>
      </c>
      <c r="I550" s="15"/>
      <c r="J550" s="18"/>
      <c r="K550" t="s">
        <v>107</v>
      </c>
      <c r="L550" s="3">
        <f>4232.16+374.89</f>
        <v>4607.05</v>
      </c>
      <c r="M550" s="3">
        <v>374.89</v>
      </c>
      <c r="N550" s="3">
        <f t="shared" ref="N550:N553" si="47">L550*0.3</f>
        <v>1382.115</v>
      </c>
      <c r="O550" s="3">
        <f>(IF(L550&lt;4172.98,0,MIN(L550*0.3,L550-4172.98)))-M550</f>
        <v>59.180000000000632</v>
      </c>
      <c r="P550" s="6">
        <v>45901</v>
      </c>
      <c r="Q550" t="s">
        <v>44</v>
      </c>
      <c r="R550" s="3">
        <v>374.89</v>
      </c>
      <c r="S550" s="3" t="s">
        <v>271</v>
      </c>
      <c r="T550" s="48">
        <v>46245</v>
      </c>
      <c r="Z550" s="181">
        <v>2</v>
      </c>
    </row>
    <row r="551" spans="1:26">
      <c r="A551" s="12">
        <v>23527266</v>
      </c>
      <c r="B551" s="13">
        <v>46244</v>
      </c>
      <c r="C551" s="14">
        <v>0.85077546296296291</v>
      </c>
      <c r="D551" s="15"/>
      <c r="E551" s="16">
        <v>5215575654623</v>
      </c>
      <c r="F551" s="15"/>
      <c r="G551" s="15"/>
      <c r="H551" s="17" t="s">
        <v>583</v>
      </c>
      <c r="I551" s="15"/>
      <c r="J551" s="18"/>
      <c r="K551" t="s">
        <v>54</v>
      </c>
      <c r="L551" s="3">
        <v>9081.52</v>
      </c>
      <c r="N551" s="3">
        <f t="shared" si="47"/>
        <v>2724.4560000000001</v>
      </c>
      <c r="O551" s="3">
        <f>(IF(L551&lt;4172.98,0,MIN(L551*0.3,L551-4172.98)))-M551</f>
        <v>2724.4560000000001</v>
      </c>
      <c r="S551" s="3" t="s">
        <v>55</v>
      </c>
      <c r="T551" s="48">
        <v>46245</v>
      </c>
      <c r="Z551" s="181">
        <v>1</v>
      </c>
    </row>
    <row r="552" spans="1:26" hidden="1">
      <c r="A552" s="12">
        <v>23527702</v>
      </c>
      <c r="B552" s="13">
        <v>46244</v>
      </c>
      <c r="C552" s="14">
        <v>0.87356481481481485</v>
      </c>
      <c r="D552" s="15"/>
      <c r="E552" s="16">
        <v>5216688223088</v>
      </c>
      <c r="F552" s="15"/>
      <c r="G552" s="15"/>
      <c r="H552" s="17">
        <v>23815608841</v>
      </c>
      <c r="I552" s="15"/>
      <c r="J552" s="18"/>
      <c r="K552" t="s">
        <v>58</v>
      </c>
      <c r="L552" s="3">
        <f>3113.31+848</f>
        <v>3961.31</v>
      </c>
      <c r="N552" s="3">
        <f t="shared" si="47"/>
        <v>1188.393</v>
      </c>
      <c r="O552" s="3">
        <f>(IF(L552&lt;4172.98,0,MIN(L552*0.3,L552-4172.98)))-M552</f>
        <v>0</v>
      </c>
      <c r="S552" s="3" t="s">
        <v>69</v>
      </c>
      <c r="Z552" s="181">
        <v>1</v>
      </c>
    </row>
    <row r="553" spans="1:26">
      <c r="A553" s="30">
        <v>23527758</v>
      </c>
      <c r="B553" s="31">
        <v>46244</v>
      </c>
      <c r="C553" s="32">
        <v>0.87503472222222223</v>
      </c>
      <c r="D553" s="33"/>
      <c r="E553" s="34">
        <v>5216474824048</v>
      </c>
      <c r="F553" s="33"/>
      <c r="G553" s="33"/>
      <c r="H553" s="35">
        <v>24866650757</v>
      </c>
      <c r="I553" s="33"/>
      <c r="J553" s="36"/>
      <c r="K553" t="s">
        <v>54</v>
      </c>
      <c r="L553" s="3">
        <f>20563.98-9927.44</f>
        <v>10636.539999999999</v>
      </c>
      <c r="N553" s="3">
        <f t="shared" si="47"/>
        <v>3190.9619999999995</v>
      </c>
      <c r="O553" s="3">
        <f>(IF(L553&lt;4172.98,0,MIN(L553*0.3,L553-4172.98)))-M553</f>
        <v>3190.9619999999995</v>
      </c>
      <c r="S553" s="3" t="s">
        <v>348</v>
      </c>
      <c r="T553" s="48">
        <v>46245</v>
      </c>
      <c r="Z553" s="181">
        <v>1</v>
      </c>
    </row>
    <row r="554" spans="1:26" hidden="1">
      <c r="A554" s="12">
        <v>23527952</v>
      </c>
      <c r="B554" s="13">
        <v>46244</v>
      </c>
      <c r="C554" s="14">
        <v>0.88225694444444447</v>
      </c>
      <c r="D554" s="15"/>
      <c r="E554" s="16">
        <v>5219811384711</v>
      </c>
      <c r="F554" s="15"/>
      <c r="G554" s="15"/>
      <c r="H554" s="17">
        <v>8286691282</v>
      </c>
      <c r="I554" s="15"/>
      <c r="J554" s="18"/>
      <c r="K554" t="s">
        <v>32</v>
      </c>
      <c r="N554" s="3">
        <f t="shared" ref="N554:N558" si="48">L554*0.3</f>
        <v>0</v>
      </c>
      <c r="O554" s="3">
        <f>(IF(L554&lt;4172.98,0,MIN(L554*0.3,L554-4172.98)))-M554</f>
        <v>0</v>
      </c>
      <c r="S554" s="3" t="s">
        <v>69</v>
      </c>
      <c r="Z554" s="181">
        <v>0</v>
      </c>
    </row>
    <row r="555" spans="1:26" hidden="1">
      <c r="A555" s="12">
        <v>23528432</v>
      </c>
      <c r="B555" s="13">
        <v>46244</v>
      </c>
      <c r="C555" s="14">
        <v>0.91548611111111111</v>
      </c>
      <c r="D555" s="15"/>
      <c r="E555" s="16">
        <v>5216642732955</v>
      </c>
      <c r="F555" s="15"/>
      <c r="G555" s="15"/>
      <c r="H555" s="17" t="s">
        <v>584</v>
      </c>
      <c r="I555" s="15"/>
      <c r="J555" s="18"/>
      <c r="K555" t="s">
        <v>51</v>
      </c>
      <c r="N555" s="3">
        <f t="shared" si="48"/>
        <v>0</v>
      </c>
      <c r="O555" s="3">
        <f>(IF(L555&lt;4172.98,0,MIN(L555*0.3,L555-4172.98)))-M555</f>
        <v>0</v>
      </c>
      <c r="S555" s="3" t="s">
        <v>69</v>
      </c>
      <c r="Z555" s="181">
        <v>1</v>
      </c>
    </row>
    <row r="556" spans="1:26" hidden="1">
      <c r="A556" s="12">
        <v>23528592</v>
      </c>
      <c r="B556" s="13">
        <v>46244</v>
      </c>
      <c r="C556" s="14">
        <v>0.93548611111111113</v>
      </c>
      <c r="D556" s="15"/>
      <c r="E556" s="16">
        <v>5213317170475</v>
      </c>
      <c r="F556" s="15"/>
      <c r="G556" s="15"/>
      <c r="H556" s="17" t="s">
        <v>585</v>
      </c>
      <c r="I556" s="15"/>
      <c r="J556" s="18"/>
      <c r="K556" t="s">
        <v>58</v>
      </c>
      <c r="L556" s="3">
        <v>3005.15</v>
      </c>
      <c r="N556" s="3">
        <f t="shared" si="48"/>
        <v>901.54499999999996</v>
      </c>
      <c r="O556" s="3">
        <f>(IF(L556&lt;4172.98,0,MIN(L556*0.3,L556-4172.98)))-M556</f>
        <v>0</v>
      </c>
      <c r="S556" s="3" t="s">
        <v>69</v>
      </c>
      <c r="Z556" s="181">
        <v>1</v>
      </c>
    </row>
    <row r="557" spans="1:26" hidden="1">
      <c r="A557" s="12">
        <v>23528756</v>
      </c>
      <c r="B557" s="13">
        <v>46244</v>
      </c>
      <c r="C557" s="14">
        <v>0.94550925925925922</v>
      </c>
      <c r="D557" s="15"/>
      <c r="E557" s="16">
        <v>5219623305381</v>
      </c>
      <c r="F557" s="15"/>
      <c r="G557" s="15" t="s">
        <v>586</v>
      </c>
      <c r="H557" s="17"/>
      <c r="I557" s="15"/>
      <c r="J557" s="18"/>
      <c r="K557" t="s">
        <v>32</v>
      </c>
      <c r="N557" s="3">
        <f t="shared" si="48"/>
        <v>0</v>
      </c>
      <c r="O557" s="3">
        <f>(IF(L557&lt;4172.98,0,MIN(L557*0.3,L557-4172.98)))-M557</f>
        <v>0</v>
      </c>
      <c r="S557" s="3" t="s">
        <v>69</v>
      </c>
      <c r="Z557" s="181">
        <v>0</v>
      </c>
    </row>
    <row r="558" spans="1:26">
      <c r="A558" s="30">
        <v>23528922</v>
      </c>
      <c r="B558" s="31">
        <v>46244</v>
      </c>
      <c r="C558" s="32">
        <v>0.97038194444444448</v>
      </c>
      <c r="D558" s="33"/>
      <c r="E558" s="34">
        <v>5218781158911</v>
      </c>
      <c r="F558" s="33"/>
      <c r="G558" s="33" t="s">
        <v>587</v>
      </c>
      <c r="H558" s="35"/>
      <c r="I558" s="33"/>
      <c r="J558" s="36"/>
      <c r="K558" t="s">
        <v>27</v>
      </c>
      <c r="L558" s="3">
        <f>4557.53+1407.26</f>
        <v>5964.79</v>
      </c>
      <c r="M558" s="3">
        <v>1407.26</v>
      </c>
      <c r="N558" s="3">
        <f t="shared" si="48"/>
        <v>1789.4369999999999</v>
      </c>
      <c r="O558" s="3">
        <f>(IF(L558&lt;4172.98,0,MIN(L558*0.3,L558-4172.98)))-M558</f>
        <v>382.17699999999991</v>
      </c>
      <c r="P558" s="6">
        <v>45689</v>
      </c>
      <c r="Q558" t="s">
        <v>75</v>
      </c>
      <c r="R558" s="3">
        <v>1407.26</v>
      </c>
      <c r="S558" s="3" t="s">
        <v>358</v>
      </c>
      <c r="T558" s="48">
        <v>46245</v>
      </c>
      <c r="Z558" s="181">
        <v>2</v>
      </c>
    </row>
    <row r="559" spans="1:26">
      <c r="A559" s="12">
        <v>23529120</v>
      </c>
      <c r="B559" s="13">
        <v>46244</v>
      </c>
      <c r="C559" s="14">
        <v>0.99217592592592596</v>
      </c>
      <c r="D559" s="15"/>
      <c r="E559" s="16">
        <v>5217421154369</v>
      </c>
      <c r="F559" s="15"/>
      <c r="G559" s="15"/>
      <c r="H559" s="17" t="s">
        <v>588</v>
      </c>
      <c r="I559" s="15"/>
      <c r="J559" s="18"/>
      <c r="K559" t="s">
        <v>34</v>
      </c>
      <c r="L559" s="3">
        <f>5822.34+2098.17</f>
        <v>7920.51</v>
      </c>
      <c r="M559" s="3">
        <v>2098.17</v>
      </c>
      <c r="N559" s="3">
        <f t="shared" ref="N559:N568" si="49">L559*0.3</f>
        <v>2376.1529999999998</v>
      </c>
      <c r="O559" s="3">
        <f>(IF(L559&lt;4172.98,0,MIN(L559*0.3,L559-4172.98)))-M559</f>
        <v>277.98299999999972</v>
      </c>
      <c r="P559" s="6">
        <v>45870</v>
      </c>
      <c r="Q559" t="s">
        <v>141</v>
      </c>
      <c r="R559" s="3">
        <v>2098.17</v>
      </c>
      <c r="S559" s="3" t="s">
        <v>35</v>
      </c>
      <c r="T559" s="48">
        <v>46245</v>
      </c>
      <c r="Z559" s="181">
        <v>2</v>
      </c>
    </row>
    <row r="560" spans="1:26">
      <c r="A560" s="12">
        <v>23529192</v>
      </c>
      <c r="B560" s="13">
        <v>46245</v>
      </c>
      <c r="C560" s="14">
        <v>4.2129629629629626E-3</v>
      </c>
      <c r="D560" s="15"/>
      <c r="E560" s="16">
        <v>5213314361161</v>
      </c>
      <c r="F560" s="15"/>
      <c r="G560" s="15"/>
      <c r="H560" s="17">
        <v>54846238134</v>
      </c>
      <c r="I560" s="15"/>
      <c r="J560" s="18"/>
      <c r="K560" t="s">
        <v>54</v>
      </c>
      <c r="L560" s="3">
        <v>7116.73</v>
      </c>
      <c r="N560" s="3">
        <f t="shared" si="49"/>
        <v>2135.0189999999998</v>
      </c>
      <c r="O560" s="3">
        <f>(IF(L560&lt;4172.98,0,MIN(L560*0.3,L560-4172.98)))-M560</f>
        <v>2135.0189999999998</v>
      </c>
      <c r="S560" s="3" t="s">
        <v>62</v>
      </c>
      <c r="T560" s="48">
        <v>46245</v>
      </c>
      <c r="Z560" s="181">
        <v>1</v>
      </c>
    </row>
    <row r="561" spans="1:26" hidden="1">
      <c r="A561" s="12">
        <v>23532040</v>
      </c>
      <c r="B561" s="13">
        <v>46245</v>
      </c>
      <c r="C561" s="14">
        <v>0.22490740740740742</v>
      </c>
      <c r="D561" s="15"/>
      <c r="E561" s="16">
        <v>5215538336266</v>
      </c>
      <c r="F561" s="15"/>
      <c r="G561" s="15"/>
      <c r="H561" s="17" t="s">
        <v>589</v>
      </c>
      <c r="I561" s="15"/>
      <c r="J561" s="18"/>
      <c r="K561" t="s">
        <v>30</v>
      </c>
      <c r="L561" s="3">
        <f>4384+1878.86</f>
        <v>6262.86</v>
      </c>
      <c r="M561" s="3">
        <v>1878.86</v>
      </c>
      <c r="N561" s="3">
        <f t="shared" si="49"/>
        <v>1878.8579999999997</v>
      </c>
      <c r="O561" s="3">
        <f>(IF(L561&lt;4172.98,0,MIN(L561*0.3,L561-4172.98)))-M561</f>
        <v>-2.00000000018008E-3</v>
      </c>
      <c r="P561" s="6">
        <v>46813</v>
      </c>
      <c r="Q561" t="s">
        <v>44</v>
      </c>
      <c r="R561" s="3">
        <v>1878.86</v>
      </c>
      <c r="S561" s="3" t="s">
        <v>69</v>
      </c>
      <c r="Z561" s="181">
        <v>2</v>
      </c>
    </row>
    <row r="562" spans="1:26">
      <c r="A562" s="12">
        <v>23533786</v>
      </c>
      <c r="B562" s="13">
        <v>46245</v>
      </c>
      <c r="C562" s="14">
        <v>0.27532407407407405</v>
      </c>
      <c r="D562" s="15"/>
      <c r="E562" s="16">
        <v>5216622983703</v>
      </c>
      <c r="F562" s="15"/>
      <c r="G562" s="15"/>
      <c r="H562" s="17">
        <v>24715412185</v>
      </c>
      <c r="I562" s="15"/>
      <c r="J562" s="18"/>
      <c r="K562" t="s">
        <v>54</v>
      </c>
      <c r="L562" s="3">
        <f>8836.32+848</f>
        <v>9684.32</v>
      </c>
      <c r="M562" s="3">
        <v>848</v>
      </c>
      <c r="N562" s="3">
        <f t="shared" si="49"/>
        <v>2905.2959999999998</v>
      </c>
      <c r="O562" s="3">
        <f>(IF(L562&lt;4172.98,0,MIN(L562*0.3,L562-4172.98)))-M562</f>
        <v>2057.2959999999998</v>
      </c>
      <c r="S562" s="3" t="s">
        <v>358</v>
      </c>
      <c r="T562" s="48">
        <v>46245</v>
      </c>
      <c r="Z562" s="181">
        <v>1</v>
      </c>
    </row>
    <row r="563" spans="1:26" hidden="1">
      <c r="A563" s="12">
        <v>23534106</v>
      </c>
      <c r="B563" s="13">
        <v>46245</v>
      </c>
      <c r="C563" s="14">
        <v>0.28509259259259262</v>
      </c>
      <c r="D563" s="15"/>
      <c r="E563" s="16">
        <v>5212871455149</v>
      </c>
      <c r="F563" s="15"/>
      <c r="G563" s="15" t="s">
        <v>590</v>
      </c>
      <c r="H563" s="17"/>
      <c r="I563" s="15"/>
      <c r="J563" s="18"/>
      <c r="K563" t="s">
        <v>32</v>
      </c>
      <c r="N563" s="3">
        <f t="shared" si="49"/>
        <v>0</v>
      </c>
      <c r="O563" s="3">
        <f>(IF(L563&lt;4172.98,0,MIN(L563*0.3,L563-4172.98)))-M563</f>
        <v>0</v>
      </c>
      <c r="S563" s="3" t="s">
        <v>69</v>
      </c>
      <c r="Z563" s="181">
        <v>0</v>
      </c>
    </row>
    <row r="564" spans="1:26" hidden="1">
      <c r="A564" s="12">
        <v>23534486</v>
      </c>
      <c r="B564" s="13">
        <v>46245</v>
      </c>
      <c r="C564" s="14">
        <v>0.29828703703703702</v>
      </c>
      <c r="D564" s="15"/>
      <c r="E564" s="16">
        <v>4251191329</v>
      </c>
      <c r="F564" s="15"/>
      <c r="G564" s="15" t="s">
        <v>591</v>
      </c>
      <c r="H564" s="17"/>
      <c r="I564" s="15"/>
      <c r="J564" s="18"/>
      <c r="K564" t="s">
        <v>32</v>
      </c>
      <c r="N564" s="3">
        <f t="shared" si="49"/>
        <v>0</v>
      </c>
      <c r="O564" s="3">
        <f>(IF(L564&lt;4172.98,0,MIN(L564*0.3,L564-4172.98)))-M564</f>
        <v>0</v>
      </c>
      <c r="S564" s="3" t="s">
        <v>69</v>
      </c>
      <c r="Z564" s="181">
        <v>0</v>
      </c>
    </row>
    <row r="565" spans="1:26" hidden="1">
      <c r="A565" s="12">
        <v>23534334</v>
      </c>
      <c r="B565" s="13">
        <v>46245</v>
      </c>
      <c r="C565" s="14">
        <v>0.29832175925925924</v>
      </c>
      <c r="D565" s="15"/>
      <c r="E565" s="16">
        <v>5218117895581</v>
      </c>
      <c r="F565" s="15"/>
      <c r="G565" s="15"/>
      <c r="H565" s="17" t="s">
        <v>592</v>
      </c>
      <c r="I565" s="15"/>
      <c r="J565" s="18"/>
      <c r="K565" t="s">
        <v>30</v>
      </c>
      <c r="L565" s="3">
        <v>6816.29</v>
      </c>
      <c r="M565" s="3">
        <v>1970</v>
      </c>
      <c r="N565" s="3">
        <f t="shared" si="49"/>
        <v>2044.8869999999999</v>
      </c>
      <c r="O565" s="3">
        <f>(IF(L565&lt;4172.98,0,MIN(L565*0.3,L565-4172.98)))-M565</f>
        <v>74.886999999999944</v>
      </c>
      <c r="P565" s="6">
        <v>46447</v>
      </c>
      <c r="Q565" t="s">
        <v>427</v>
      </c>
      <c r="R565" s="3">
        <v>1970</v>
      </c>
      <c r="S565" s="3" t="s">
        <v>69</v>
      </c>
      <c r="Z565" s="181">
        <v>2</v>
      </c>
    </row>
    <row r="566" spans="1:26" hidden="1">
      <c r="A566" s="12">
        <v>23535086</v>
      </c>
      <c r="B566" s="13">
        <v>46245</v>
      </c>
      <c r="C566" s="14">
        <v>0.30805555555555558</v>
      </c>
      <c r="D566" s="15"/>
      <c r="E566" s="16">
        <v>5217761109253</v>
      </c>
      <c r="F566" s="15"/>
      <c r="G566" s="15" t="s">
        <v>593</v>
      </c>
      <c r="H566" s="17"/>
      <c r="I566" s="15"/>
      <c r="J566" s="18"/>
      <c r="K566" t="s">
        <v>51</v>
      </c>
      <c r="N566" s="3">
        <f t="shared" si="49"/>
        <v>0</v>
      </c>
      <c r="O566" s="3">
        <f>(IF(L566&lt;4172.98,0,MIN(L566*0.3,L566-4172.98)))-M566</f>
        <v>0</v>
      </c>
      <c r="S566" s="3" t="s">
        <v>69</v>
      </c>
      <c r="Z566" s="181">
        <v>1</v>
      </c>
    </row>
    <row r="567" spans="1:26" hidden="1">
      <c r="A567" s="12">
        <v>23536038</v>
      </c>
      <c r="B567" s="13">
        <v>46245</v>
      </c>
      <c r="C567" s="14">
        <v>0.32935185185185184</v>
      </c>
      <c r="D567" s="15"/>
      <c r="E567" s="16">
        <v>5213411015263</v>
      </c>
      <c r="F567" s="15"/>
      <c r="G567" s="15" t="s">
        <v>594</v>
      </c>
      <c r="H567" s="17"/>
      <c r="I567" s="15"/>
      <c r="J567" s="18"/>
      <c r="K567" t="s">
        <v>30</v>
      </c>
      <c r="L567" s="3">
        <v>9793.32</v>
      </c>
      <c r="M567" s="3">
        <v>2927.17</v>
      </c>
      <c r="N567" s="3">
        <f t="shared" si="49"/>
        <v>2937.9959999999996</v>
      </c>
      <c r="O567" s="3">
        <f>(IF(L567&lt;4172.98,0,MIN(L567*0.3,L567-4172.98)))-M567</f>
        <v>10.825999999999567</v>
      </c>
      <c r="P567" s="6">
        <v>46874</v>
      </c>
      <c r="Q567" t="s">
        <v>141</v>
      </c>
      <c r="R567" s="3">
        <v>2927.17</v>
      </c>
      <c r="S567" s="3" t="s">
        <v>69</v>
      </c>
      <c r="Z567" s="181">
        <v>2</v>
      </c>
    </row>
    <row r="568" spans="1:26" hidden="1">
      <c r="A568" s="30">
        <v>23535908</v>
      </c>
      <c r="B568" s="31">
        <v>46245</v>
      </c>
      <c r="C568" s="32">
        <v>0.33159722222222221</v>
      </c>
      <c r="D568" s="33" t="s">
        <v>595</v>
      </c>
      <c r="E568" s="34">
        <v>5213318433173</v>
      </c>
      <c r="F568" s="33"/>
      <c r="G568" s="33" t="s">
        <v>596</v>
      </c>
      <c r="H568" s="35">
        <v>54796243233</v>
      </c>
      <c r="I568" s="33"/>
      <c r="J568" s="36"/>
      <c r="K568" t="s">
        <v>30</v>
      </c>
      <c r="L568" s="3">
        <f>5065.55+2051.18</f>
        <v>7116.73</v>
      </c>
      <c r="M568" s="3">
        <v>2051.1799999999998</v>
      </c>
      <c r="N568" s="3">
        <f t="shared" si="49"/>
        <v>2135.0189999999998</v>
      </c>
      <c r="O568" s="3">
        <f>(IF(L568&lt;4172.98,0,MIN(L568*0.3,L568-4172.98)))-M568</f>
        <v>83.838999999999942</v>
      </c>
      <c r="P568" s="6">
        <v>46753</v>
      </c>
      <c r="Q568" t="s">
        <v>73</v>
      </c>
      <c r="R568" s="3">
        <v>2051.1799999999998</v>
      </c>
      <c r="S568" s="3" t="s">
        <v>69</v>
      </c>
      <c r="Z568" s="181">
        <v>2</v>
      </c>
    </row>
    <row r="569" spans="1:26">
      <c r="A569" s="12">
        <v>23537976</v>
      </c>
      <c r="B569" s="13">
        <v>46245</v>
      </c>
      <c r="C569" s="14">
        <v>0.37</v>
      </c>
      <c r="D569" s="15"/>
      <c r="E569" s="16">
        <v>5219993615749</v>
      </c>
      <c r="F569" s="15"/>
      <c r="G569" s="15"/>
      <c r="H569" s="17" t="s">
        <v>597</v>
      </c>
      <c r="I569" s="15"/>
      <c r="J569" s="18"/>
      <c r="K569" t="s">
        <v>38</v>
      </c>
      <c r="L569" s="3">
        <f>35326.68+14022.25</f>
        <v>49348.93</v>
      </c>
      <c r="M569" s="3">
        <v>14022.25</v>
      </c>
      <c r="N569" s="3">
        <f t="shared" ref="N569:N570" si="50">L569*0.3</f>
        <v>14804.679</v>
      </c>
      <c r="O569" s="3">
        <f>(IF(L569&lt;4172.98,0,MIN(L569*0.3,L569-4172.98)))-M569</f>
        <v>782.42900000000009</v>
      </c>
      <c r="P569" s="6">
        <v>46692</v>
      </c>
      <c r="Q569" t="s">
        <v>141</v>
      </c>
      <c r="R569" s="3">
        <v>14022.55</v>
      </c>
      <c r="S569" s="3" t="s">
        <v>266</v>
      </c>
      <c r="T569" s="48">
        <v>46245</v>
      </c>
      <c r="Z569" s="181">
        <v>2</v>
      </c>
    </row>
    <row r="570" spans="1:26" hidden="1">
      <c r="A570" s="30">
        <v>23537902</v>
      </c>
      <c r="B570" s="31">
        <v>46245</v>
      </c>
      <c r="C570" s="32">
        <v>0.37012731481481481</v>
      </c>
      <c r="D570" s="33"/>
      <c r="E570" s="34">
        <v>5218141371079</v>
      </c>
      <c r="F570" s="33"/>
      <c r="G570" s="33"/>
      <c r="H570" s="35">
        <v>32846379827</v>
      </c>
      <c r="I570" s="33"/>
      <c r="J570" s="36"/>
      <c r="K570" t="s">
        <v>30</v>
      </c>
      <c r="L570" s="3">
        <v>9081.52</v>
      </c>
      <c r="M570" s="3">
        <v>2626.89</v>
      </c>
      <c r="N570" s="3">
        <f t="shared" si="50"/>
        <v>2724.4560000000001</v>
      </c>
      <c r="O570" s="3">
        <f>(IF(L570&lt;4172.98,0,MIN(L570*0.3,L570-4172.98)))-M570</f>
        <v>97.566000000000258</v>
      </c>
      <c r="P570" s="6">
        <v>46388</v>
      </c>
      <c r="Q570" t="s">
        <v>43</v>
      </c>
      <c r="R570" s="3">
        <v>1313.41</v>
      </c>
      <c r="S570" s="3" t="s">
        <v>69</v>
      </c>
      <c r="Z570" s="181">
        <v>2</v>
      </c>
    </row>
    <row r="571" spans="1:26" hidden="1">
      <c r="A571" s="30">
        <v>23411702</v>
      </c>
      <c r="B571" s="31">
        <v>46245</v>
      </c>
      <c r="C571" s="32">
        <v>0.39512731481481483</v>
      </c>
      <c r="D571" s="33" t="s">
        <v>598</v>
      </c>
      <c r="E571" s="34"/>
      <c r="F571" s="33"/>
      <c r="G571" s="33" t="s">
        <v>599</v>
      </c>
      <c r="H571" s="35"/>
      <c r="I571" s="33"/>
      <c r="J571" s="36"/>
      <c r="K571" t="s">
        <v>58</v>
      </c>
      <c r="L571" s="3">
        <f>3151.13+848</f>
        <v>3999.13</v>
      </c>
      <c r="N571" s="3">
        <f>L571*0.3</f>
        <v>1199.739</v>
      </c>
      <c r="O571" s="3">
        <f>(IF(L571&lt;4172.98,0,MIN(L571*0.3,L571-4172.98)))-M571</f>
        <v>0</v>
      </c>
      <c r="S571" s="3" t="s">
        <v>69</v>
      </c>
      <c r="Z571" s="181">
        <v>1</v>
      </c>
    </row>
    <row r="572" spans="1:26" hidden="1">
      <c r="A572" s="30">
        <v>23539780</v>
      </c>
      <c r="B572" s="31">
        <v>46245</v>
      </c>
      <c r="C572" s="32">
        <v>0.4158101851851852</v>
      </c>
      <c r="D572" s="33"/>
      <c r="E572" s="34">
        <v>5213411775445</v>
      </c>
      <c r="F572" s="33"/>
      <c r="G572" s="33"/>
      <c r="H572" s="35" t="s">
        <v>600</v>
      </c>
      <c r="I572" s="33"/>
      <c r="J572" s="36"/>
      <c r="K572" t="s">
        <v>30</v>
      </c>
      <c r="L572" s="3">
        <v>26954.02</v>
      </c>
      <c r="M572" s="3">
        <v>8085.26</v>
      </c>
      <c r="N572" s="3">
        <f>L572*0.3</f>
        <v>8086.2060000000001</v>
      </c>
      <c r="O572" s="3">
        <f>(IF(L572&lt;4172.98,0,MIN(L572*0.3,L572-4172.98)))-M572</f>
        <v>0.94599999999991269</v>
      </c>
      <c r="P572" s="6">
        <v>46508</v>
      </c>
      <c r="Q572" t="s">
        <v>75</v>
      </c>
      <c r="R572" s="3">
        <v>350.29</v>
      </c>
      <c r="S572" s="53" t="s">
        <v>69</v>
      </c>
      <c r="Z572" s="181">
        <v>2</v>
      </c>
    </row>
    <row r="573" spans="1:26" hidden="1">
      <c r="A573" s="30">
        <v>23540344</v>
      </c>
      <c r="B573" s="31">
        <v>46245</v>
      </c>
      <c r="C573" s="32">
        <v>0.43278935185185186</v>
      </c>
      <c r="D573" s="33"/>
      <c r="E573" s="34">
        <v>5218143866227</v>
      </c>
      <c r="F573" s="33"/>
      <c r="G573" s="33"/>
      <c r="H573" s="35" t="s">
        <v>601</v>
      </c>
      <c r="I573" s="33"/>
      <c r="J573" s="36"/>
      <c r="K573" t="s">
        <v>58</v>
      </c>
      <c r="L573" s="3">
        <f>2753.16+879</f>
        <v>3632.16</v>
      </c>
      <c r="M573" s="3">
        <v>879</v>
      </c>
      <c r="N573" s="3">
        <f>L573*0.3</f>
        <v>1089.6479999999999</v>
      </c>
      <c r="O573" s="3">
        <f>(IF(L573&lt;4172.98,0,MIN(L573*0.3,L573-4172.98)))-M573</f>
        <v>-879</v>
      </c>
      <c r="S573" s="3" t="s">
        <v>69</v>
      </c>
      <c r="Z573" s="181">
        <v>1</v>
      </c>
    </row>
    <row r="574" spans="1:26" hidden="1">
      <c r="A574" s="30">
        <v>23540942</v>
      </c>
      <c r="B574" s="31">
        <v>46245</v>
      </c>
      <c r="C574" s="32">
        <v>0.44359953703703703</v>
      </c>
      <c r="D574" s="33"/>
      <c r="E574" s="34">
        <v>9855028922</v>
      </c>
      <c r="F574" s="33"/>
      <c r="G574" s="33" t="s">
        <v>602</v>
      </c>
      <c r="H574" s="35">
        <v>19816333397</v>
      </c>
      <c r="I574" s="33"/>
      <c r="J574" s="36"/>
      <c r="K574" t="s">
        <v>30</v>
      </c>
      <c r="L574" s="3">
        <v>9760.32</v>
      </c>
      <c r="M574" s="3">
        <v>2821.95</v>
      </c>
      <c r="N574" s="3">
        <f>L574*0.3</f>
        <v>2928.096</v>
      </c>
      <c r="O574" s="3">
        <f>(IF(L574&lt;4172.98,0,MIN(L574*0.3,L574-4172.98)))-M574</f>
        <v>106.14600000000019</v>
      </c>
      <c r="P574" s="6">
        <v>46539</v>
      </c>
      <c r="Q574" t="s">
        <v>75</v>
      </c>
      <c r="R574" s="3">
        <v>2821.95</v>
      </c>
      <c r="S574" s="3" t="s">
        <v>69</v>
      </c>
      <c r="Z574" s="181">
        <v>2</v>
      </c>
    </row>
    <row r="575" spans="1:26" hidden="1">
      <c r="A575" s="98">
        <v>23541324</v>
      </c>
      <c r="B575" s="100">
        <v>46245</v>
      </c>
      <c r="C575" s="101">
        <v>0.46196759259259257</v>
      </c>
      <c r="D575" s="99"/>
      <c r="E575" s="99">
        <v>5213314680342</v>
      </c>
      <c r="F575" s="99"/>
      <c r="G575" s="108"/>
      <c r="H575" s="99">
        <v>75946402510</v>
      </c>
      <c r="I575" s="99"/>
      <c r="J575" s="102"/>
      <c r="K575" t="s">
        <v>30</v>
      </c>
      <c r="L575" s="3">
        <v>9081.52</v>
      </c>
      <c r="M575" s="3">
        <v>2627.5</v>
      </c>
      <c r="N575" s="3">
        <f>L575*0.3</f>
        <v>2724.4560000000001</v>
      </c>
      <c r="O575" s="3">
        <f>(IF(L575&lt;4172.98,0,MIN(L575*0.3,L575-4172.98)))-M575</f>
        <v>96.956000000000131</v>
      </c>
      <c r="P575" s="6">
        <v>46419</v>
      </c>
      <c r="Q575" t="s">
        <v>75</v>
      </c>
      <c r="R575" s="3">
        <v>2627.5</v>
      </c>
      <c r="S575" s="3" t="s">
        <v>69</v>
      </c>
      <c r="Z575" s="181">
        <v>2</v>
      </c>
    </row>
    <row r="576" spans="1:26">
      <c r="A576" s="12">
        <v>23541394</v>
      </c>
      <c r="B576" s="13">
        <v>46245</v>
      </c>
      <c r="C576" s="14">
        <v>0.46415509259259258</v>
      </c>
      <c r="D576" s="15"/>
      <c r="E576" s="16">
        <v>5213861213220</v>
      </c>
      <c r="F576" s="106"/>
      <c r="G576" s="103" t="s">
        <v>603</v>
      </c>
      <c r="H576" s="107">
        <v>5484626880</v>
      </c>
      <c r="I576" s="15"/>
      <c r="J576" s="18"/>
      <c r="K576" t="s">
        <v>27</v>
      </c>
      <c r="L576" s="3">
        <v>7640.52</v>
      </c>
      <c r="M576" s="3">
        <v>1298.8399999999999</v>
      </c>
      <c r="N576" s="3">
        <f>L576*0.3</f>
        <v>2292.1559999999999</v>
      </c>
      <c r="O576" s="3">
        <f>(IF(L576&lt;4172.98,0,MIN(L576*0.3,L576-4172.98)))-M576</f>
        <v>993.31600000000003</v>
      </c>
      <c r="P576" s="6">
        <v>45689</v>
      </c>
      <c r="Q576" t="s">
        <v>44</v>
      </c>
      <c r="R576" s="3">
        <v>1298.8399999999999</v>
      </c>
      <c r="S576" s="3" t="s">
        <v>62</v>
      </c>
      <c r="T576" s="48">
        <v>46245</v>
      </c>
      <c r="Z576" s="181">
        <v>2</v>
      </c>
    </row>
    <row r="577" spans="1:26" hidden="1">
      <c r="A577" s="30">
        <v>23540912</v>
      </c>
      <c r="B577" s="31">
        <v>46245</v>
      </c>
      <c r="C577" s="32">
        <v>0.46543981481481483</v>
      </c>
      <c r="D577" s="33" t="s">
        <v>604</v>
      </c>
      <c r="E577" s="34">
        <v>5218714270691</v>
      </c>
      <c r="F577" s="104"/>
      <c r="G577" s="97" t="s">
        <v>605</v>
      </c>
      <c r="H577" s="105">
        <v>32917207980</v>
      </c>
      <c r="I577" s="33"/>
      <c r="J577" s="36"/>
      <c r="K577" t="s">
        <v>30</v>
      </c>
      <c r="L577" s="3">
        <v>9273.85</v>
      </c>
      <c r="M577" s="3">
        <v>2781.89</v>
      </c>
      <c r="N577" s="3">
        <f>L577*0.3</f>
        <v>2782.1550000000002</v>
      </c>
      <c r="O577" s="3">
        <f>(IF(L577&lt;4172.98,0,MIN(L577*0.3,L577-4172.98)))-M577</f>
        <v>0.26500000000032742</v>
      </c>
      <c r="P577" s="6">
        <v>46813</v>
      </c>
      <c r="Q577" t="s">
        <v>427</v>
      </c>
      <c r="R577" s="3">
        <v>2781.89</v>
      </c>
      <c r="S577" s="3" t="s">
        <v>69</v>
      </c>
      <c r="Z577" s="181">
        <v>2</v>
      </c>
    </row>
    <row r="578" spans="1:26" hidden="1">
      <c r="A578" s="30">
        <v>23541782</v>
      </c>
      <c r="B578" s="31">
        <v>46245</v>
      </c>
      <c r="C578" s="32">
        <v>0.4704861111111111</v>
      </c>
      <c r="D578" s="33"/>
      <c r="E578" s="34">
        <v>5216566708973</v>
      </c>
      <c r="F578" s="33"/>
      <c r="G578" s="103" t="s">
        <v>606</v>
      </c>
      <c r="H578" s="35"/>
      <c r="I578" s="33"/>
      <c r="J578" s="36"/>
      <c r="K578" t="s">
        <v>32</v>
      </c>
      <c r="N578" s="3">
        <f>L578*0.3</f>
        <v>0</v>
      </c>
      <c r="O578" s="3">
        <f>(IF(L578&lt;4172.98,0,MIN(L578*0.3,L578-4172.98)))-M578</f>
        <v>0</v>
      </c>
      <c r="S578" s="3" t="s">
        <v>69</v>
      </c>
      <c r="Z578" s="181">
        <v>0</v>
      </c>
    </row>
    <row r="579" spans="1:26" hidden="1">
      <c r="A579" s="30">
        <v>23542606</v>
      </c>
      <c r="B579" s="31">
        <v>46245</v>
      </c>
      <c r="C579" s="32">
        <v>0.48800925925925925</v>
      </c>
      <c r="D579" s="33" t="s">
        <v>607</v>
      </c>
      <c r="E579" s="34">
        <v>5215521300259</v>
      </c>
      <c r="F579" s="33"/>
      <c r="G579" s="33"/>
      <c r="H579" s="35" t="s">
        <v>608</v>
      </c>
      <c r="I579" s="33"/>
      <c r="J579" s="36"/>
      <c r="K579" t="s">
        <v>30</v>
      </c>
      <c r="L579" s="3">
        <v>7116.73</v>
      </c>
      <c r="M579" s="3">
        <v>2053</v>
      </c>
      <c r="N579" s="3">
        <f>L579*0.3</f>
        <v>2135.0189999999998</v>
      </c>
      <c r="O579" s="3">
        <f>(IF(L579&lt;4172.98,0,MIN(L579*0.3,L579-4172.98)))-M579</f>
        <v>82.018999999999778</v>
      </c>
      <c r="P579" s="6">
        <v>46508</v>
      </c>
      <c r="Q579" t="s">
        <v>210</v>
      </c>
      <c r="R579" s="3">
        <v>1865</v>
      </c>
      <c r="S579" s="3" t="s">
        <v>69</v>
      </c>
      <c r="Z579" s="181">
        <v>2</v>
      </c>
    </row>
    <row r="580" spans="1:26" hidden="1">
      <c r="A580" s="12">
        <v>23543102</v>
      </c>
      <c r="B580" s="13">
        <v>46245</v>
      </c>
      <c r="C580" s="14">
        <v>0.49974537037037037</v>
      </c>
      <c r="D580" s="15"/>
      <c r="E580" s="16">
        <v>5218134214572</v>
      </c>
      <c r="F580" s="15"/>
      <c r="G580" s="15"/>
      <c r="H580" s="17">
        <v>43856513940</v>
      </c>
      <c r="I580" s="15"/>
      <c r="J580" s="18"/>
      <c r="K580" t="s">
        <v>30</v>
      </c>
      <c r="L580" s="3">
        <v>9760.32</v>
      </c>
      <c r="M580" s="3">
        <v>2927.84</v>
      </c>
      <c r="N580" s="3">
        <f t="shared" ref="N580:N581" si="51">L580*0.3</f>
        <v>2928.096</v>
      </c>
      <c r="O580" s="3">
        <f>(IF(L580&lt;4172.98,0,MIN(L580*0.3,L580-4172.98)))-M580</f>
        <v>0.25599999999985812</v>
      </c>
      <c r="P580" s="6">
        <v>46784</v>
      </c>
      <c r="Q580" t="s">
        <v>57</v>
      </c>
      <c r="R580" s="3">
        <v>2927.84</v>
      </c>
      <c r="S580" s="3" t="s">
        <v>69</v>
      </c>
      <c r="Z580" s="181">
        <v>2</v>
      </c>
    </row>
    <row r="581" spans="1:26" hidden="1">
      <c r="A581" s="30">
        <v>23543166</v>
      </c>
      <c r="B581" s="31">
        <v>46245</v>
      </c>
      <c r="C581" s="32">
        <v>0.50082175925925931</v>
      </c>
      <c r="D581" s="33"/>
      <c r="E581" s="34">
        <v>5214445494204</v>
      </c>
      <c r="F581" s="33"/>
      <c r="G581" s="33"/>
      <c r="H581" s="35">
        <v>41957515012</v>
      </c>
      <c r="I581" s="33"/>
      <c r="J581" s="36"/>
      <c r="K581" t="s">
        <v>32</v>
      </c>
      <c r="N581" s="3">
        <f t="shared" si="51"/>
        <v>0</v>
      </c>
      <c r="O581" s="3">
        <f>(IF(L581&lt;4172.98,0,MIN(L581*0.3,L581-4172.98)))-M581</f>
        <v>0</v>
      </c>
      <c r="S581" s="3" t="s">
        <v>69</v>
      </c>
      <c r="Z581" s="181">
        <v>0</v>
      </c>
    </row>
    <row r="582" spans="1:26" hidden="1">
      <c r="A582" s="30">
        <v>23527996</v>
      </c>
      <c r="B582" s="31">
        <v>46245</v>
      </c>
      <c r="C582" s="32">
        <v>0.51748842592592592</v>
      </c>
      <c r="D582" s="33"/>
      <c r="E582" s="34">
        <v>5218335073535</v>
      </c>
      <c r="F582" s="33"/>
      <c r="G582" s="33"/>
      <c r="H582" s="35">
        <v>49745504321</v>
      </c>
      <c r="I582" s="33"/>
      <c r="J582" s="36"/>
      <c r="K582" t="s">
        <v>58</v>
      </c>
      <c r="L582" s="3">
        <f>3031.3+848</f>
        <v>3879.3</v>
      </c>
      <c r="M582" s="3">
        <v>848</v>
      </c>
      <c r="N582" s="3">
        <f>L582*0.3</f>
        <v>1163.79</v>
      </c>
      <c r="O582" s="3">
        <f>(IF(L582&lt;4172.98,0,MIN(L582*0.3,L582-4172.98)))-M582</f>
        <v>-848</v>
      </c>
      <c r="S582" s="53" t="s">
        <v>69</v>
      </c>
      <c r="Z582" s="181">
        <v>1</v>
      </c>
    </row>
    <row r="583" spans="1:26">
      <c r="A583" s="12">
        <v>23544258</v>
      </c>
      <c r="B583" s="13">
        <v>46245</v>
      </c>
      <c r="C583" s="14">
        <v>0.52290509259259255</v>
      </c>
      <c r="D583" s="15"/>
      <c r="E583" s="16">
        <v>5213322446741</v>
      </c>
      <c r="F583" s="15"/>
      <c r="G583" s="15" t="s">
        <v>609</v>
      </c>
      <c r="H583" s="17" t="s">
        <v>610</v>
      </c>
      <c r="I583" s="15"/>
      <c r="J583" s="18"/>
      <c r="K583" t="s">
        <v>54</v>
      </c>
      <c r="L583" s="3">
        <v>6883.36</v>
      </c>
      <c r="N583" s="3">
        <f t="shared" ref="N583:N584" si="52">L583*0.3</f>
        <v>2065.0079999999998</v>
      </c>
      <c r="O583" s="3">
        <f>(IF(L583&lt;4172.98,0,MIN(L583*0.3,L583-4172.98)))-M583</f>
        <v>2065.0079999999998</v>
      </c>
      <c r="S583" s="3" t="s">
        <v>62</v>
      </c>
      <c r="T583" s="48">
        <v>46245</v>
      </c>
      <c r="Z583" s="181">
        <v>1</v>
      </c>
    </row>
    <row r="584" spans="1:26">
      <c r="A584" s="30">
        <v>23544198</v>
      </c>
      <c r="B584" s="31">
        <v>46245</v>
      </c>
      <c r="C584" s="32">
        <v>0.52351851851851849</v>
      </c>
      <c r="D584" s="33"/>
      <c r="E584" s="34">
        <v>5213310411864</v>
      </c>
      <c r="F584" s="33"/>
      <c r="G584" s="33"/>
      <c r="H584" s="35" t="s">
        <v>611</v>
      </c>
      <c r="I584" s="33"/>
      <c r="J584" s="36"/>
      <c r="K584" t="s">
        <v>54</v>
      </c>
      <c r="L584" s="3">
        <v>9760.32</v>
      </c>
      <c r="N584" s="3">
        <f t="shared" si="52"/>
        <v>2928.096</v>
      </c>
      <c r="O584" s="3">
        <f>(IF(L584&lt;4172.98,0,MIN(L584*0.3,L584-4172.98)))-M584</f>
        <v>2928.096</v>
      </c>
      <c r="S584" s="3" t="s">
        <v>348</v>
      </c>
      <c r="T584" s="48">
        <v>46245</v>
      </c>
      <c r="Z584" s="181">
        <v>1</v>
      </c>
    </row>
    <row r="585" spans="1:26">
      <c r="A585" s="30">
        <v>23544172</v>
      </c>
      <c r="B585" s="31">
        <v>46245</v>
      </c>
      <c r="C585" s="32">
        <v>0.52670138888888884</v>
      </c>
      <c r="D585" s="33"/>
      <c r="E585" s="34">
        <v>5215576357811</v>
      </c>
      <c r="F585" s="33"/>
      <c r="G585" s="33"/>
      <c r="H585" s="35" t="s">
        <v>612</v>
      </c>
      <c r="I585" s="33"/>
      <c r="J585" s="36"/>
      <c r="K585" t="s">
        <v>54</v>
      </c>
      <c r="L585" s="3">
        <v>9081.52</v>
      </c>
      <c r="N585" s="3">
        <f>L585*0.3</f>
        <v>2724.4560000000001</v>
      </c>
      <c r="O585" s="3">
        <f>(IF(L585&lt;4172.98,0,MIN(L585*0.3,L585-4172.98)))-M585</f>
        <v>2724.4560000000001</v>
      </c>
      <c r="S585" s="3" t="s">
        <v>55</v>
      </c>
      <c r="T585" s="48">
        <v>46245</v>
      </c>
      <c r="Z585" s="181">
        <v>1</v>
      </c>
    </row>
    <row r="586" spans="1:26" hidden="1">
      <c r="A586" s="30">
        <v>23544058</v>
      </c>
      <c r="B586" s="31">
        <v>46245</v>
      </c>
      <c r="C586" s="32">
        <v>0.52828703703703705</v>
      </c>
      <c r="D586" s="33"/>
      <c r="E586" s="34">
        <v>5215522652740</v>
      </c>
      <c r="F586" s="33"/>
      <c r="G586" s="33" t="s">
        <v>613</v>
      </c>
      <c r="H586" s="35" t="s">
        <v>614</v>
      </c>
      <c r="I586" s="33"/>
      <c r="J586" s="36"/>
      <c r="K586" t="s">
        <v>32</v>
      </c>
      <c r="N586" s="3">
        <f>L586*0.3</f>
        <v>0</v>
      </c>
      <c r="O586" s="3">
        <f>(IF(L586&lt;4172.98,0,MIN(L586*0.3,L586-4172.98)))-M586</f>
        <v>0</v>
      </c>
      <c r="S586" s="3" t="s">
        <v>69</v>
      </c>
      <c r="Z586" s="181">
        <v>0</v>
      </c>
    </row>
    <row r="587" spans="1:26" hidden="1">
      <c r="A587" s="30">
        <v>23543152</v>
      </c>
      <c r="B587" s="31">
        <v>46245</v>
      </c>
      <c r="C587" s="32">
        <v>0.52978009259259262</v>
      </c>
      <c r="D587" s="33" t="s">
        <v>615</v>
      </c>
      <c r="E587" s="34">
        <v>5212741545874</v>
      </c>
      <c r="F587" s="33"/>
      <c r="G587" s="33" t="s">
        <v>616</v>
      </c>
      <c r="H587" s="35"/>
      <c r="I587" s="33"/>
      <c r="J587" s="36"/>
      <c r="K587" t="s">
        <v>32</v>
      </c>
      <c r="N587" s="3">
        <f>L587*0.3</f>
        <v>0</v>
      </c>
      <c r="O587" s="3">
        <f>(IF(L587&lt;4172.98,0,MIN(L587*0.3,L587-4172.98)))-M587</f>
        <v>0</v>
      </c>
      <c r="S587" s="3" t="s">
        <v>69</v>
      </c>
      <c r="Z587" s="181">
        <v>0</v>
      </c>
    </row>
    <row r="588" spans="1:26" hidden="1">
      <c r="A588" s="30">
        <v>23544760</v>
      </c>
      <c r="B588" s="31">
        <v>46245</v>
      </c>
      <c r="C588" s="32">
        <v>0.53354166666666669</v>
      </c>
      <c r="D588" s="33"/>
      <c r="E588" s="34">
        <v>5212721319316</v>
      </c>
      <c r="F588" s="33"/>
      <c r="G588" s="33"/>
      <c r="H588" s="35" t="s">
        <v>617</v>
      </c>
      <c r="I588" s="33"/>
      <c r="J588" s="36"/>
      <c r="K588" t="s">
        <v>30</v>
      </c>
      <c r="L588" s="3">
        <v>16464.2</v>
      </c>
      <c r="M588" s="3">
        <v>4930.97</v>
      </c>
      <c r="N588" s="3">
        <f>L588*0.3</f>
        <v>4939.26</v>
      </c>
      <c r="O588" s="3">
        <f>(IF(L588&lt;4172.98,0,MIN(L588*0.3,L588-4172.98)))-M588</f>
        <v>8.2899999999999636</v>
      </c>
      <c r="P588" s="6">
        <v>46447</v>
      </c>
      <c r="Q588" t="s">
        <v>59</v>
      </c>
      <c r="R588" s="3">
        <v>4248.42</v>
      </c>
      <c r="S588" s="3" t="s">
        <v>69</v>
      </c>
      <c r="Z588" s="181">
        <v>2</v>
      </c>
    </row>
    <row r="589" spans="1:26" hidden="1">
      <c r="A589" s="109">
        <v>23545040</v>
      </c>
      <c r="B589" s="31">
        <v>46245</v>
      </c>
      <c r="C589" s="32">
        <v>0.54413194444444446</v>
      </c>
      <c r="D589" s="33"/>
      <c r="E589" s="34">
        <v>5212381954057</v>
      </c>
      <c r="F589" s="33"/>
      <c r="G589" s="33" t="s">
        <v>618</v>
      </c>
      <c r="H589" s="35"/>
      <c r="I589" s="33"/>
      <c r="J589" s="36"/>
      <c r="K589" t="s">
        <v>32</v>
      </c>
      <c r="N589" s="3">
        <f>L589*0.3</f>
        <v>0</v>
      </c>
      <c r="O589" s="3">
        <f>(IF(L589&lt;4172.98,0,MIN(L589*0.3,L589-4172.98)))-M589</f>
        <v>0</v>
      </c>
      <c r="S589" s="3" t="s">
        <v>69</v>
      </c>
      <c r="Z589" s="181">
        <v>0</v>
      </c>
    </row>
    <row r="590" spans="1:26" hidden="1">
      <c r="A590" s="30">
        <v>23545326</v>
      </c>
      <c r="B590" s="31">
        <v>46245</v>
      </c>
      <c r="C590" s="32">
        <v>0.54965277777777777</v>
      </c>
      <c r="D590" s="33"/>
      <c r="E590" s="34">
        <v>5218112440404</v>
      </c>
      <c r="F590" s="33"/>
      <c r="G590" s="33" t="s">
        <v>619</v>
      </c>
      <c r="H590" s="35"/>
      <c r="I590" s="33"/>
      <c r="J590" s="36"/>
      <c r="K590" t="s">
        <v>32</v>
      </c>
      <c r="N590" s="3">
        <f>L590*0.3</f>
        <v>0</v>
      </c>
      <c r="O590" s="3">
        <f>(IF(L590&lt;4172.98,0,MIN(L590*0.3,L590-4172.98)))-M590</f>
        <v>0</v>
      </c>
      <c r="S590" s="3" t="s">
        <v>69</v>
      </c>
      <c r="Z590" s="181">
        <v>0</v>
      </c>
    </row>
    <row r="591" spans="1:26" hidden="1">
      <c r="A591" s="30">
        <v>23545116</v>
      </c>
      <c r="B591" s="31">
        <v>46245</v>
      </c>
      <c r="C591" s="32">
        <v>0.55445601851851856</v>
      </c>
      <c r="D591" s="33"/>
      <c r="E591" s="34">
        <v>5218149833015</v>
      </c>
      <c r="F591" s="33"/>
      <c r="G591" s="33"/>
      <c r="H591" s="35">
        <v>43897015939</v>
      </c>
      <c r="I591" s="33"/>
      <c r="J591" s="36"/>
      <c r="K591" t="s">
        <v>51</v>
      </c>
      <c r="N591" s="3">
        <f>L591*0.3</f>
        <v>0</v>
      </c>
      <c r="O591" s="3">
        <f>(IF(L591&lt;4172.98,0,MIN(L591*0.3,L591-4172.98)))-M591</f>
        <v>0</v>
      </c>
      <c r="S591" s="3" t="s">
        <v>69</v>
      </c>
      <c r="Z591" s="181">
        <v>1</v>
      </c>
    </row>
    <row r="592" spans="1:26" hidden="1">
      <c r="A592" s="30">
        <v>23545464</v>
      </c>
      <c r="B592" s="31">
        <v>46245</v>
      </c>
      <c r="C592" s="32">
        <v>0.56106481481481485</v>
      </c>
      <c r="D592" s="33"/>
      <c r="E592" s="34">
        <v>5216142897951</v>
      </c>
      <c r="F592" s="33"/>
      <c r="G592" s="33" t="s">
        <v>620</v>
      </c>
      <c r="H592" s="35"/>
      <c r="I592" s="33"/>
      <c r="J592" s="36"/>
      <c r="K592" t="s">
        <v>30</v>
      </c>
      <c r="L592" s="3">
        <v>6411.47</v>
      </c>
      <c r="M592" s="3">
        <v>1799.28</v>
      </c>
      <c r="N592" s="3">
        <f>L592*0.3</f>
        <v>1923.441</v>
      </c>
      <c r="O592" s="3">
        <f>(IF(L592&lt;4172.98,0,MIN(L592*0.3,L592-4172.98)))-M592</f>
        <v>124.16100000000006</v>
      </c>
      <c r="P592" s="6">
        <v>46661</v>
      </c>
      <c r="Q592" t="s">
        <v>73</v>
      </c>
      <c r="R592" s="3">
        <v>1799.28</v>
      </c>
      <c r="S592" s="3" t="s">
        <v>69</v>
      </c>
      <c r="Z592" s="181">
        <v>2</v>
      </c>
    </row>
    <row r="593" spans="1:26" hidden="1">
      <c r="A593" s="30">
        <v>23545766</v>
      </c>
      <c r="B593" s="31">
        <v>46245</v>
      </c>
      <c r="C593" s="32">
        <v>0.56201388888888892</v>
      </c>
      <c r="D593" s="33" t="s">
        <v>621</v>
      </c>
      <c r="E593" s="34">
        <v>17146031182</v>
      </c>
      <c r="F593" s="33"/>
      <c r="G593" s="33"/>
      <c r="H593" s="35">
        <v>23917451983</v>
      </c>
      <c r="I593" s="33"/>
      <c r="J593" s="36"/>
      <c r="K593" t="s">
        <v>58</v>
      </c>
      <c r="L593" s="3">
        <v>1123.53</v>
      </c>
      <c r="N593" s="3">
        <f>L593*0.3</f>
        <v>337.05899999999997</v>
      </c>
      <c r="O593" s="3">
        <f>(IF(L593&lt;4172.98,0,MIN(L593*0.3,L593-4172.98)))-M593</f>
        <v>0</v>
      </c>
      <c r="S593" s="3" t="s">
        <v>69</v>
      </c>
      <c r="Z593" s="181">
        <v>1</v>
      </c>
    </row>
    <row r="594" spans="1:26" hidden="1">
      <c r="A594" s="30">
        <v>23545558</v>
      </c>
      <c r="B594" s="31">
        <v>46245</v>
      </c>
      <c r="C594" s="32">
        <v>0.56435185185185188</v>
      </c>
      <c r="D594" s="33" t="s">
        <v>622</v>
      </c>
      <c r="E594" s="34">
        <v>5219921297040</v>
      </c>
      <c r="F594" s="33"/>
      <c r="G594" s="33" t="s">
        <v>623</v>
      </c>
      <c r="H594" s="35"/>
      <c r="I594" s="33"/>
      <c r="J594" s="36"/>
      <c r="K594" t="s">
        <v>32</v>
      </c>
      <c r="N594" s="3">
        <f>L594*0.3</f>
        <v>0</v>
      </c>
      <c r="O594" s="3">
        <f>(IF(L594&lt;4172.98,0,MIN(L594*0.3,L594-4172.98)))-M594</f>
        <v>0</v>
      </c>
      <c r="S594" s="3" t="s">
        <v>69</v>
      </c>
      <c r="Z594" s="181">
        <v>0</v>
      </c>
    </row>
    <row r="595" spans="1:26" hidden="1">
      <c r="A595" s="30">
        <v>23546150</v>
      </c>
      <c r="B595" s="31">
        <v>46245</v>
      </c>
      <c r="C595" s="32">
        <v>0.56678240740740737</v>
      </c>
      <c r="D595" s="33" t="s">
        <v>624</v>
      </c>
      <c r="E595" s="34">
        <v>5213111426740</v>
      </c>
      <c r="F595" s="33"/>
      <c r="G595" s="33" t="s">
        <v>625</v>
      </c>
      <c r="H595" s="35"/>
      <c r="I595" s="33"/>
      <c r="J595" s="36"/>
      <c r="K595" t="s">
        <v>32</v>
      </c>
      <c r="N595" s="3">
        <f>L595*0.3</f>
        <v>0</v>
      </c>
      <c r="O595" s="3">
        <f>(IF(L595&lt;4172.98,0,MIN(L595*0.3,L595-4172.98)))-M595</f>
        <v>0</v>
      </c>
      <c r="S595" s="3" t="s">
        <v>69</v>
      </c>
      <c r="Z595" s="181">
        <v>0</v>
      </c>
    </row>
    <row r="596" spans="1:26" hidden="1">
      <c r="A596" s="30">
        <v>23541128</v>
      </c>
      <c r="B596" s="31">
        <v>46245</v>
      </c>
      <c r="C596" s="32">
        <v>0.5697916666666667</v>
      </c>
      <c r="D596" s="33" t="s">
        <v>626</v>
      </c>
      <c r="E596" s="34">
        <v>5218448794956</v>
      </c>
      <c r="F596" s="33"/>
      <c r="G596" s="33" t="s">
        <v>627</v>
      </c>
      <c r="H596" s="35"/>
      <c r="I596" s="33"/>
      <c r="J596" s="36"/>
      <c r="K596" t="s">
        <v>30</v>
      </c>
      <c r="L596" s="3">
        <v>17603.61</v>
      </c>
      <c r="M596" s="3">
        <v>5280.2</v>
      </c>
      <c r="N596" s="3">
        <f>L596*0.3</f>
        <v>5281.0829999999996</v>
      </c>
      <c r="O596" s="3">
        <f>(IF(L596&lt;4172.98,0,MIN(L596*0.3,L596-4172.98)))-M596</f>
        <v>0.88299999999981083</v>
      </c>
      <c r="P596" s="6">
        <v>46327</v>
      </c>
      <c r="Q596" t="s">
        <v>210</v>
      </c>
      <c r="R596" s="3">
        <v>4526.3599999999997</v>
      </c>
      <c r="S596" s="53" t="s">
        <v>69</v>
      </c>
      <c r="Z596" s="181">
        <v>2</v>
      </c>
    </row>
    <row r="597" spans="1:26">
      <c r="A597" s="30">
        <v>23543158</v>
      </c>
      <c r="B597" s="31">
        <v>46245</v>
      </c>
      <c r="C597" s="32">
        <v>0.57118055555555558</v>
      </c>
      <c r="D597" s="33" t="s">
        <v>628</v>
      </c>
      <c r="E597" s="34">
        <v>5218333864646</v>
      </c>
      <c r="F597" s="33"/>
      <c r="G597" s="33" t="s">
        <v>629</v>
      </c>
      <c r="H597" s="35"/>
      <c r="I597" s="33"/>
      <c r="J597" s="36"/>
      <c r="K597" t="s">
        <v>27</v>
      </c>
      <c r="L597" s="3">
        <v>9081.52</v>
      </c>
      <c r="M597" s="3">
        <v>2517.77</v>
      </c>
      <c r="N597" s="3">
        <f>L597*0.3</f>
        <v>2724.4560000000001</v>
      </c>
      <c r="O597" s="3">
        <f>(IF(L597&lt;4172.98,0,MIN(L597*0.3,L597-4172.98)))-M597</f>
        <v>206.68600000000015</v>
      </c>
      <c r="P597" s="6">
        <v>46235</v>
      </c>
      <c r="Q597" t="s">
        <v>75</v>
      </c>
      <c r="R597" s="3">
        <v>2517.77</v>
      </c>
      <c r="S597" s="53" t="s">
        <v>348</v>
      </c>
      <c r="T597" s="48">
        <v>46245</v>
      </c>
      <c r="Z597" s="181">
        <v>2</v>
      </c>
    </row>
    <row r="598" spans="1:26" hidden="1">
      <c r="A598" s="12">
        <v>23546360</v>
      </c>
      <c r="B598" s="13">
        <v>46245</v>
      </c>
      <c r="C598" s="14">
        <v>0.57156249999999997</v>
      </c>
      <c r="D598" s="15"/>
      <c r="E598" s="16">
        <v>5217445081763</v>
      </c>
      <c r="F598" s="15"/>
      <c r="G598" s="15"/>
      <c r="H598" s="17">
        <v>72907108731</v>
      </c>
      <c r="I598" s="15"/>
      <c r="J598" s="18"/>
      <c r="K598" t="s">
        <v>32</v>
      </c>
      <c r="N598" s="3">
        <f t="shared" ref="N598:N599" si="53">L598*0.3</f>
        <v>0</v>
      </c>
      <c r="O598" s="3">
        <f>(IF(L598&lt;4172.98,0,MIN(L598*0.3,L598-4172.98)))-M598</f>
        <v>0</v>
      </c>
      <c r="S598" s="3" t="s">
        <v>69</v>
      </c>
      <c r="Z598" s="181">
        <v>0</v>
      </c>
    </row>
    <row r="599" spans="1:26">
      <c r="A599" s="30">
        <v>23546532</v>
      </c>
      <c r="B599" s="31">
        <v>46245</v>
      </c>
      <c r="C599" s="32">
        <v>0.57207175925925924</v>
      </c>
      <c r="D599" s="33"/>
      <c r="E599" s="34">
        <v>5218713465646</v>
      </c>
      <c r="F599" s="33"/>
      <c r="G599" s="33"/>
      <c r="H599" s="35" t="s">
        <v>630</v>
      </c>
      <c r="I599" s="33"/>
      <c r="J599" s="36"/>
      <c r="K599" t="s">
        <v>54</v>
      </c>
      <c r="L599" s="3">
        <v>20708.71</v>
      </c>
      <c r="M599" s="3">
        <v>4743</v>
      </c>
      <c r="N599" s="3">
        <f t="shared" si="53"/>
        <v>6212.6129999999994</v>
      </c>
      <c r="O599" s="3">
        <f>(IF(L599&lt;4172.98,0,MIN(L599*0.3,L599-4172.98)))-M599</f>
        <v>1469.6129999999994</v>
      </c>
      <c r="P599" s="6">
        <v>46753</v>
      </c>
      <c r="Q599" t="s">
        <v>75</v>
      </c>
      <c r="R599" s="3">
        <v>4743</v>
      </c>
      <c r="S599" s="3" t="s">
        <v>55</v>
      </c>
      <c r="T599" s="48">
        <v>46245</v>
      </c>
      <c r="Z599" s="181">
        <v>2</v>
      </c>
    </row>
    <row r="600" spans="1:26">
      <c r="A600" s="30">
        <v>23547416</v>
      </c>
      <c r="B600" s="31">
        <v>46245</v>
      </c>
      <c r="C600" s="32">
        <v>0.59736111111111112</v>
      </c>
      <c r="D600" s="33"/>
      <c r="E600" s="34">
        <v>5217777890827</v>
      </c>
      <c r="F600" s="33"/>
      <c r="G600" s="33" t="s">
        <v>631</v>
      </c>
      <c r="H600" s="35">
        <v>15896415757</v>
      </c>
      <c r="I600" s="33"/>
      <c r="J600" s="36"/>
      <c r="K600" t="s">
        <v>38</v>
      </c>
      <c r="L600" s="3">
        <v>39204.65</v>
      </c>
      <c r="M600" s="3">
        <v>10884.6</v>
      </c>
      <c r="N600" s="3">
        <f>L600*0.3</f>
        <v>11761.395</v>
      </c>
      <c r="O600" s="3">
        <f>(IF(L600&lt;4172.98,0,MIN(L600*0.3,L600-4172.98)))-M600</f>
        <v>876.79500000000007</v>
      </c>
      <c r="P600" s="6">
        <v>46419</v>
      </c>
      <c r="Q600" t="s">
        <v>75</v>
      </c>
      <c r="R600" s="3">
        <v>10884.6</v>
      </c>
      <c r="S600" s="3" t="s">
        <v>266</v>
      </c>
      <c r="T600" s="48">
        <v>46245</v>
      </c>
      <c r="Z600" s="181">
        <v>2</v>
      </c>
    </row>
    <row r="601" spans="1:26">
      <c r="A601" s="30">
        <v>23548636</v>
      </c>
      <c r="B601" s="31">
        <v>46245</v>
      </c>
      <c r="C601" s="32">
        <v>0.62511574074074072</v>
      </c>
      <c r="D601" s="33"/>
      <c r="E601" s="34">
        <v>5218441397146</v>
      </c>
      <c r="F601" s="33"/>
      <c r="G601" s="33" t="s">
        <v>632</v>
      </c>
      <c r="H601" s="35"/>
      <c r="I601" s="33"/>
      <c r="J601" s="36"/>
      <c r="K601" t="s">
        <v>38</v>
      </c>
      <c r="L601" s="3">
        <f>6732.06+2141.14+287.54</f>
        <v>9160.7400000000016</v>
      </c>
      <c r="M601" s="3">
        <f>2141.14+287.54</f>
        <v>2428.6799999999998</v>
      </c>
      <c r="N601" s="3">
        <f>L601*0.3</f>
        <v>2748.2220000000002</v>
      </c>
      <c r="O601" s="3">
        <f>(IF(L601&lt;4172.98,0,MIN(L601*0.3,L601-4172.98)))-M601</f>
        <v>319.54200000000037</v>
      </c>
      <c r="S601" s="3" t="s">
        <v>271</v>
      </c>
      <c r="T601" s="48">
        <v>46245</v>
      </c>
      <c r="Z601" s="181">
        <v>1</v>
      </c>
    </row>
    <row r="602" spans="1:26">
      <c r="A602" s="12">
        <v>23549204</v>
      </c>
      <c r="B602" s="13">
        <v>46245</v>
      </c>
      <c r="C602" s="14">
        <v>0.63916666666666666</v>
      </c>
      <c r="D602" s="15"/>
      <c r="E602" s="16">
        <v>5216623358863</v>
      </c>
      <c r="F602" s="15"/>
      <c r="G602" s="15"/>
      <c r="H602" s="17">
        <v>24836651059</v>
      </c>
      <c r="I602" s="15"/>
      <c r="J602" s="18"/>
      <c r="K602" t="s">
        <v>38</v>
      </c>
      <c r="L602" s="3">
        <v>10636.54</v>
      </c>
      <c r="M602" s="3">
        <v>2779.25</v>
      </c>
      <c r="N602" s="3">
        <f t="shared" ref="N602:N603" si="54">L602*0.3</f>
        <v>3190.962</v>
      </c>
      <c r="O602" s="3">
        <f>(IF(L602&lt;4172.98,0,MIN(L602*0.3,L602-4172.98)))-M602</f>
        <v>411.71199999999999</v>
      </c>
      <c r="P602" s="6">
        <v>46813</v>
      </c>
      <c r="Q602" t="s">
        <v>44</v>
      </c>
      <c r="R602" s="3">
        <v>555.85</v>
      </c>
      <c r="S602" s="3" t="s">
        <v>266</v>
      </c>
      <c r="T602" s="48">
        <v>46245</v>
      </c>
      <c r="Z602" s="181">
        <v>2</v>
      </c>
    </row>
    <row r="603" spans="1:26" hidden="1">
      <c r="A603" s="30">
        <v>23548966</v>
      </c>
      <c r="B603" s="31">
        <v>46245</v>
      </c>
      <c r="C603" s="32">
        <v>0.64028935185185187</v>
      </c>
      <c r="D603" s="33" t="s">
        <v>633</v>
      </c>
      <c r="E603" s="34">
        <v>6864204646</v>
      </c>
      <c r="F603" s="33"/>
      <c r="G603" s="33" t="s">
        <v>634</v>
      </c>
      <c r="H603" s="35" t="s">
        <v>635</v>
      </c>
      <c r="I603" s="33"/>
      <c r="J603" s="36"/>
      <c r="K603" t="s">
        <v>51</v>
      </c>
      <c r="N603" s="3">
        <f t="shared" si="54"/>
        <v>0</v>
      </c>
      <c r="O603" s="3">
        <f>(IF(L603&lt;4172.98,0,MIN(L603*0.3,L603-4172.98)))-M603</f>
        <v>0</v>
      </c>
      <c r="S603" s="3" t="s">
        <v>69</v>
      </c>
      <c r="Z603" s="181">
        <v>1</v>
      </c>
    </row>
    <row r="604" spans="1:26" hidden="1">
      <c r="A604" s="30">
        <v>23549418</v>
      </c>
      <c r="B604" s="31">
        <v>46245</v>
      </c>
      <c r="C604" s="32">
        <v>0.64747685185185189</v>
      </c>
      <c r="D604" s="33"/>
      <c r="E604" s="34">
        <v>5216865909805</v>
      </c>
      <c r="F604" s="33"/>
      <c r="G604" s="33" t="s">
        <v>636</v>
      </c>
      <c r="H604" s="35">
        <v>21888171192</v>
      </c>
      <c r="I604" s="33"/>
      <c r="J604" s="36"/>
      <c r="K604" t="s">
        <v>30</v>
      </c>
      <c r="L604" s="3">
        <f>5914.24+2267.31</f>
        <v>8181.5499999999993</v>
      </c>
      <c r="M604" s="3">
        <v>2267.31</v>
      </c>
      <c r="N604" s="3">
        <f>L604*0.3</f>
        <v>2454.4649999999997</v>
      </c>
      <c r="O604" s="3">
        <f>(IF(L604&lt;4172.98,0,MIN(L604*0.3,L604-4172.98)))-M604</f>
        <v>187.15499999999975</v>
      </c>
      <c r="P604" s="6">
        <v>46266</v>
      </c>
      <c r="Q604" t="s">
        <v>427</v>
      </c>
      <c r="R604" s="3">
        <v>2627.31</v>
      </c>
      <c r="S604" s="3" t="s">
        <v>69</v>
      </c>
      <c r="Z604" s="181">
        <v>2</v>
      </c>
    </row>
    <row r="605" spans="1:26">
      <c r="A605" s="30">
        <v>23549464</v>
      </c>
      <c r="B605" s="31">
        <v>46245</v>
      </c>
      <c r="C605" s="32">
        <v>0.65534722222222219</v>
      </c>
      <c r="D605" s="33"/>
      <c r="E605" s="34">
        <v>5212441364118</v>
      </c>
      <c r="F605" s="33"/>
      <c r="G605" s="33"/>
      <c r="H605" s="35" t="s">
        <v>637</v>
      </c>
      <c r="I605" s="33"/>
      <c r="J605" s="36"/>
      <c r="K605" t="s">
        <v>54</v>
      </c>
      <c r="L605" s="3">
        <v>10636.54</v>
      </c>
      <c r="N605" s="3">
        <f>L605*0.3</f>
        <v>3190.962</v>
      </c>
      <c r="O605" s="3">
        <f>(IF(L605&lt;4172.98,0,MIN(L605*0.3,L605-4172.98)))-M605</f>
        <v>3190.962</v>
      </c>
      <c r="S605" s="3" t="s">
        <v>98</v>
      </c>
      <c r="T605" s="48">
        <v>46245</v>
      </c>
      <c r="Z605" s="181">
        <v>1</v>
      </c>
    </row>
    <row r="606" spans="1:26" hidden="1">
      <c r="A606" s="12">
        <v>23550198</v>
      </c>
      <c r="B606" s="13">
        <v>46245</v>
      </c>
      <c r="C606" s="14">
        <v>0.66935185185185186</v>
      </c>
      <c r="D606" s="15"/>
      <c r="E606" s="16">
        <v>5213310755897</v>
      </c>
      <c r="F606" s="15"/>
      <c r="G606" s="15"/>
      <c r="H606" s="17">
        <v>75947706398</v>
      </c>
      <c r="I606" s="15"/>
      <c r="J606" s="18"/>
      <c r="K606" t="s">
        <v>58</v>
      </c>
      <c r="L606" s="3">
        <v>2086.5</v>
      </c>
      <c r="N606" s="3">
        <f t="shared" ref="N606:N607" si="55">L606*0.3</f>
        <v>625.94999999999993</v>
      </c>
      <c r="O606" s="3">
        <f>(IF(L606&lt;4172.98,0,MIN(L606*0.3,L606-4172.98)))-M606</f>
        <v>0</v>
      </c>
      <c r="S606" s="3" t="s">
        <v>69</v>
      </c>
      <c r="Z606" s="181">
        <v>1</v>
      </c>
    </row>
    <row r="607" spans="1:26" hidden="1">
      <c r="A607" s="30">
        <v>23550176</v>
      </c>
      <c r="B607" s="31">
        <v>46245</v>
      </c>
      <c r="C607" s="32">
        <v>0.67021990740740744</v>
      </c>
      <c r="D607" s="33"/>
      <c r="E607" s="34">
        <v>5213351244044</v>
      </c>
      <c r="F607" s="33"/>
      <c r="G607" s="33" t="s">
        <v>638</v>
      </c>
      <c r="H607" s="35"/>
      <c r="I607" s="33"/>
      <c r="J607" s="36"/>
      <c r="K607" t="s">
        <v>189</v>
      </c>
      <c r="N607" s="3">
        <f t="shared" si="55"/>
        <v>0</v>
      </c>
      <c r="O607" s="3">
        <f>(IF(L607&lt;4172.98,0,MIN(L607*0.3,L607-4172.98)))-M607</f>
        <v>0</v>
      </c>
      <c r="S607" s="3" t="s">
        <v>69</v>
      </c>
      <c r="Z607" s="181">
        <v>1</v>
      </c>
    </row>
    <row r="608" spans="1:26" hidden="1">
      <c r="A608" s="12">
        <v>23550274</v>
      </c>
      <c r="B608" s="13">
        <v>46245</v>
      </c>
      <c r="C608" s="14">
        <v>0.67415509259259254</v>
      </c>
      <c r="D608" s="15"/>
      <c r="E608" s="16">
        <v>5212723541326</v>
      </c>
      <c r="F608" s="15"/>
      <c r="G608" s="15"/>
      <c r="H608" s="17" t="s">
        <v>639</v>
      </c>
      <c r="I608" s="15"/>
      <c r="J608" s="18"/>
      <c r="K608" t="s">
        <v>30</v>
      </c>
      <c r="L608" s="3">
        <v>9760.32</v>
      </c>
      <c r="M608" s="3">
        <v>2907.63</v>
      </c>
      <c r="N608" s="3">
        <f t="shared" ref="N608:N609" si="56">L608*0.3</f>
        <v>2928.096</v>
      </c>
      <c r="O608" s="3">
        <f>(IF(L608&lt;4172.98,0,MIN(L608*0.3,L608-4172.98)))-M608</f>
        <v>20.465999999999894</v>
      </c>
      <c r="P608" s="6">
        <v>46874</v>
      </c>
      <c r="Q608" t="s">
        <v>43</v>
      </c>
      <c r="R608" s="3">
        <v>2907.63</v>
      </c>
      <c r="S608" s="3" t="s">
        <v>69</v>
      </c>
      <c r="Z608" s="181">
        <v>2</v>
      </c>
    </row>
    <row r="609" spans="1:26" hidden="1">
      <c r="A609" s="30">
        <v>23550154</v>
      </c>
      <c r="B609" s="31">
        <v>46245</v>
      </c>
      <c r="C609" s="32">
        <v>0.67473379629629626</v>
      </c>
      <c r="D609" s="33"/>
      <c r="E609" s="34">
        <v>5214761382908</v>
      </c>
      <c r="F609" s="33"/>
      <c r="G609" s="33"/>
      <c r="H609" s="35" t="s">
        <v>640</v>
      </c>
      <c r="I609" s="33"/>
      <c r="J609" s="36"/>
      <c r="K609" t="s">
        <v>30</v>
      </c>
      <c r="L609" s="3">
        <v>5642.22</v>
      </c>
      <c r="M609" s="3">
        <v>1468.21</v>
      </c>
      <c r="N609" s="3">
        <f t="shared" si="56"/>
        <v>1692.6659999999999</v>
      </c>
      <c r="O609" s="3">
        <f>(IF(L609&lt;4172.98,0,MIN(L609*0.3,L609-4172.98)))-M609</f>
        <v>1.0300000000006548</v>
      </c>
      <c r="P609" s="6">
        <v>46966</v>
      </c>
      <c r="Q609" t="s">
        <v>73</v>
      </c>
      <c r="R609" s="3">
        <v>1468.21</v>
      </c>
      <c r="S609" s="3" t="s">
        <v>69</v>
      </c>
      <c r="Z609" s="181">
        <v>2</v>
      </c>
    </row>
    <row r="610" spans="1:26">
      <c r="A610" s="30">
        <v>23550906</v>
      </c>
      <c r="B610" s="31">
        <v>46245</v>
      </c>
      <c r="C610" s="32">
        <v>0.69478009259259255</v>
      </c>
      <c r="D610" s="33"/>
      <c r="E610" s="34">
        <v>5214623101602</v>
      </c>
      <c r="F610" s="33"/>
      <c r="G610" s="33" t="s">
        <v>641</v>
      </c>
      <c r="H610" s="35"/>
      <c r="I610" s="33"/>
      <c r="J610" s="36"/>
      <c r="K610" t="s">
        <v>34</v>
      </c>
      <c r="L610" s="3">
        <v>8521.66</v>
      </c>
      <c r="M610" s="3">
        <v>2258.5300000000002</v>
      </c>
      <c r="N610" s="3">
        <f>L610*0.3</f>
        <v>2556.498</v>
      </c>
      <c r="O610" s="3">
        <f>(IF(L610&lt;4172.98,0,MIN(L610*0.3,L610-4172.98)))-M610</f>
        <v>297.96799999999985</v>
      </c>
      <c r="P610" s="6">
        <v>45413</v>
      </c>
      <c r="Q610" t="s">
        <v>141</v>
      </c>
      <c r="S610" s="3" t="s">
        <v>35</v>
      </c>
      <c r="T610" s="48">
        <v>46245</v>
      </c>
      <c r="Z610" s="181">
        <v>2</v>
      </c>
    </row>
    <row r="611" spans="1:26">
      <c r="A611" s="30">
        <v>23551086</v>
      </c>
      <c r="B611" s="31">
        <v>46245</v>
      </c>
      <c r="C611" s="32">
        <v>0.69797453703703705</v>
      </c>
      <c r="D611" s="33"/>
      <c r="E611" s="34">
        <v>5215660356659</v>
      </c>
      <c r="F611" s="33"/>
      <c r="G611" s="33"/>
      <c r="H611" s="35">
        <v>96886406477</v>
      </c>
      <c r="I611" s="33"/>
      <c r="J611" s="36"/>
      <c r="K611" t="s">
        <v>38</v>
      </c>
      <c r="L611" s="3">
        <v>16962.57</v>
      </c>
      <c r="M611" s="3">
        <v>4528.22</v>
      </c>
      <c r="N611" s="3">
        <f>L611*0.3</f>
        <v>5088.7709999999997</v>
      </c>
      <c r="O611" s="3">
        <f>(IF(L611&lt;4172.98,0,MIN(L611*0.3,L611-4172.98)))-M611</f>
        <v>560.55099999999948</v>
      </c>
      <c r="P611" s="6">
        <v>46569</v>
      </c>
      <c r="Q611" t="s">
        <v>47</v>
      </c>
      <c r="R611" s="3">
        <v>4528.22</v>
      </c>
      <c r="S611" s="3" t="s">
        <v>271</v>
      </c>
      <c r="T611" s="48">
        <v>46245</v>
      </c>
      <c r="Z611" s="181">
        <v>2</v>
      </c>
    </row>
    <row r="612" spans="1:26" hidden="1">
      <c r="A612" s="30">
        <v>23551286</v>
      </c>
      <c r="B612" s="31">
        <v>46245</v>
      </c>
      <c r="C612" s="32">
        <v>0.70943287037037039</v>
      </c>
      <c r="D612" s="33"/>
      <c r="E612" s="34">
        <v>5215576710332</v>
      </c>
      <c r="F612" s="33"/>
      <c r="G612" s="33"/>
      <c r="H612" s="35">
        <v>96006600512</v>
      </c>
      <c r="I612" s="33"/>
      <c r="J612" s="36"/>
      <c r="K612" t="s">
        <v>51</v>
      </c>
      <c r="N612" s="3">
        <f>L612*0.3</f>
        <v>0</v>
      </c>
      <c r="O612" s="3">
        <f>(IF(L612&lt;4172.98,0,MIN(L612*0.3,L612-4172.98)))-M612</f>
        <v>0</v>
      </c>
      <c r="S612" s="3" t="s">
        <v>69</v>
      </c>
      <c r="Z612" s="181">
        <v>1</v>
      </c>
    </row>
    <row r="613" spans="1:26" hidden="1">
      <c r="A613" s="30">
        <v>23551542</v>
      </c>
      <c r="B613" s="31">
        <v>46245</v>
      </c>
      <c r="C613" s="32">
        <v>0.71342592592592591</v>
      </c>
      <c r="D613" s="33" t="s">
        <v>642</v>
      </c>
      <c r="E613" s="34">
        <v>5215536302076</v>
      </c>
      <c r="F613" s="33"/>
      <c r="G613" s="33" t="s">
        <v>643</v>
      </c>
      <c r="H613" s="35" t="s">
        <v>644</v>
      </c>
      <c r="I613" s="33"/>
      <c r="J613" s="36"/>
      <c r="K613" t="s">
        <v>30</v>
      </c>
      <c r="L613" s="3">
        <v>5617.63</v>
      </c>
      <c r="M613" s="3">
        <v>1444</v>
      </c>
      <c r="N613" s="3">
        <f>L613*0.3</f>
        <v>1685.289</v>
      </c>
      <c r="O613" s="3">
        <f>(IF(L613&lt;4172.98,0,MIN(L613*0.3,L613-4172.98)))-M613</f>
        <v>0.6500000000005457</v>
      </c>
      <c r="P613" s="6">
        <v>46508</v>
      </c>
      <c r="Q613" t="s">
        <v>59</v>
      </c>
      <c r="R613" s="3">
        <v>958</v>
      </c>
      <c r="S613" s="3" t="s">
        <v>69</v>
      </c>
      <c r="Z613" s="181">
        <v>2</v>
      </c>
    </row>
    <row r="614" spans="1:26" hidden="1">
      <c r="A614" s="30">
        <v>23551684</v>
      </c>
      <c r="B614" s="31">
        <v>46245</v>
      </c>
      <c r="C614" s="32">
        <v>0.72089120370370374</v>
      </c>
      <c r="D614" s="33"/>
      <c r="E614" s="34">
        <v>5218718889559</v>
      </c>
      <c r="F614" s="33"/>
      <c r="G614" s="33"/>
      <c r="H614" s="35">
        <v>32846400300</v>
      </c>
      <c r="I614" s="33"/>
      <c r="J614" s="36"/>
      <c r="K614" t="s">
        <v>30</v>
      </c>
      <c r="L614" s="3">
        <f>7185.03+2919.5</f>
        <v>10104.529999999999</v>
      </c>
      <c r="M614" s="3">
        <v>2919.5</v>
      </c>
      <c r="N614" s="3">
        <f>L614*0.3</f>
        <v>3031.3589999999995</v>
      </c>
      <c r="O614" s="3">
        <f>(IF(L614&lt;4172.98,0,MIN(L614*0.3,L614-4172.98)))-M614</f>
        <v>111.85899999999947</v>
      </c>
      <c r="P614" s="6">
        <v>46478</v>
      </c>
      <c r="Q614" t="s">
        <v>645</v>
      </c>
      <c r="R614" s="3">
        <v>2919.5</v>
      </c>
      <c r="S614" s="3" t="s">
        <v>69</v>
      </c>
      <c r="Z614" s="181">
        <v>2</v>
      </c>
    </row>
    <row r="615" spans="1:26" hidden="1">
      <c r="A615" s="30">
        <v>23551840</v>
      </c>
      <c r="B615" s="31">
        <v>46245</v>
      </c>
      <c r="C615" s="32">
        <v>0.72829861111111116</v>
      </c>
      <c r="D615" s="33" t="s">
        <v>646</v>
      </c>
      <c r="E615" s="34">
        <v>5213221925010</v>
      </c>
      <c r="F615" s="33"/>
      <c r="G615" s="33" t="s">
        <v>647</v>
      </c>
      <c r="H615" s="35"/>
      <c r="I615" s="33"/>
      <c r="J615" s="36"/>
      <c r="K615" t="s">
        <v>30</v>
      </c>
      <c r="L615" s="3">
        <v>7116.76</v>
      </c>
      <c r="M615" s="3">
        <v>2059.04</v>
      </c>
      <c r="N615" s="3">
        <f>L615*0.3</f>
        <v>2135.0279999999998</v>
      </c>
      <c r="O615" s="3">
        <f>(IF(L615&lt;4172.98,0,MIN(L615*0.3,L615-4172.98)))-M615</f>
        <v>75.987999999999829</v>
      </c>
      <c r="P615" s="6">
        <v>46692</v>
      </c>
      <c r="Q615" t="s">
        <v>44</v>
      </c>
      <c r="R615" s="3">
        <v>2059.04</v>
      </c>
      <c r="S615" s="3" t="s">
        <v>69</v>
      </c>
      <c r="Z615" s="181">
        <v>2</v>
      </c>
    </row>
    <row r="616" spans="1:26" hidden="1">
      <c r="A616" s="30">
        <v>23542406</v>
      </c>
      <c r="B616" s="31">
        <v>46245</v>
      </c>
      <c r="C616" s="32">
        <v>0.73233796296296294</v>
      </c>
      <c r="D616" s="33" t="s">
        <v>648</v>
      </c>
      <c r="E616" s="34">
        <v>5219624360388</v>
      </c>
      <c r="F616" s="33"/>
      <c r="G616" s="33"/>
      <c r="H616" s="35">
        <v>71775709208</v>
      </c>
      <c r="I616" s="33"/>
      <c r="J616" s="36"/>
      <c r="K616" t="s">
        <v>30</v>
      </c>
      <c r="L616" s="3">
        <v>7373.97</v>
      </c>
      <c r="M616" s="3">
        <v>2209.58</v>
      </c>
      <c r="N616" s="3">
        <f>L616*0.3</f>
        <v>2212.1909999999998</v>
      </c>
      <c r="O616" s="3">
        <f>(IF(L616&lt;4172.98,0,MIN(L616*0.3,L616-4172.98)))-M616</f>
        <v>2.6109999999998763</v>
      </c>
      <c r="P616" s="6">
        <v>46784</v>
      </c>
      <c r="Q616" t="s">
        <v>75</v>
      </c>
      <c r="R616" s="3">
        <v>1361.58</v>
      </c>
      <c r="S616" s="3" t="s">
        <v>69</v>
      </c>
      <c r="Z616" s="181">
        <v>2</v>
      </c>
    </row>
    <row r="617" spans="1:26">
      <c r="A617" s="30">
        <v>23551962</v>
      </c>
      <c r="B617" s="31">
        <v>46245</v>
      </c>
      <c r="C617" s="32">
        <v>0.73357638888888888</v>
      </c>
      <c r="D617" s="33"/>
      <c r="E617" s="34">
        <v>5212711149717</v>
      </c>
      <c r="F617" s="33"/>
      <c r="G617" s="33"/>
      <c r="H617" s="35" t="s">
        <v>649</v>
      </c>
      <c r="I617" s="33"/>
      <c r="J617" s="36"/>
      <c r="K617" t="s">
        <v>54</v>
      </c>
      <c r="L617" s="3">
        <v>5803.89</v>
      </c>
      <c r="N617" s="3">
        <f>L617*0.3</f>
        <v>1741.1670000000001</v>
      </c>
      <c r="O617" s="3">
        <f>(IF(L617&lt;4172.98,0,MIN(L617*0.3,L617-4172.98)))-M617</f>
        <v>1630.9100000000008</v>
      </c>
      <c r="S617" s="3" t="s">
        <v>358</v>
      </c>
      <c r="T617" s="48">
        <v>46245</v>
      </c>
      <c r="Z617" s="181">
        <v>1</v>
      </c>
    </row>
    <row r="618" spans="1:26">
      <c r="A618" s="30">
        <v>23552156</v>
      </c>
      <c r="B618" s="31">
        <v>46245</v>
      </c>
      <c r="C618" s="32">
        <v>0.73736111111111113</v>
      </c>
      <c r="D618" s="33"/>
      <c r="E618" s="34">
        <v>5216863857901</v>
      </c>
      <c r="F618" s="33"/>
      <c r="G618" s="33"/>
      <c r="H618" s="35" t="s">
        <v>650</v>
      </c>
      <c r="I618" s="33"/>
      <c r="J618" s="36"/>
      <c r="K618" t="s">
        <v>34</v>
      </c>
      <c r="L618" s="3">
        <v>4332.32</v>
      </c>
      <c r="M618" s="3">
        <v>492.99</v>
      </c>
      <c r="N618" s="3">
        <f>L618*0.3</f>
        <v>1299.6959999999999</v>
      </c>
      <c r="O618" s="3">
        <f>(IF(L618&lt;4172.98,0,MIN(L618*0.3,L618-4172.98)))-M618</f>
        <v>-333.64999999999986</v>
      </c>
      <c r="P618" s="6">
        <v>45870</v>
      </c>
      <c r="Q618" t="s">
        <v>141</v>
      </c>
      <c r="R618" s="3">
        <v>492.99</v>
      </c>
      <c r="S618" s="3" t="s">
        <v>35</v>
      </c>
      <c r="T618" s="48">
        <v>46245</v>
      </c>
      <c r="Z618" s="181">
        <v>2</v>
      </c>
    </row>
    <row r="619" spans="1:26" hidden="1">
      <c r="A619" s="30">
        <v>23552194</v>
      </c>
      <c r="B619" s="31">
        <v>46245</v>
      </c>
      <c r="C619" s="32">
        <v>0.74121527777777774</v>
      </c>
      <c r="D619" s="33"/>
      <c r="E619" s="34">
        <v>5218140080555</v>
      </c>
      <c r="F619" s="33"/>
      <c r="G619" s="33"/>
      <c r="H619" s="35">
        <v>43896911997</v>
      </c>
      <c r="I619" s="33"/>
      <c r="J619" s="36"/>
      <c r="K619" t="s">
        <v>32</v>
      </c>
      <c r="N619" s="3">
        <f>L619*0.3</f>
        <v>0</v>
      </c>
      <c r="O619" s="3">
        <f>(IF(L619&lt;4172.98,0,MIN(L619*0.3,L619-4172.98)))-M619</f>
        <v>0</v>
      </c>
      <c r="S619" s="3" t="s">
        <v>69</v>
      </c>
      <c r="Z619" s="181">
        <v>0</v>
      </c>
    </row>
    <row r="620" spans="1:26" hidden="1">
      <c r="A620" s="30">
        <v>23524748</v>
      </c>
      <c r="B620" s="31">
        <v>46245</v>
      </c>
      <c r="C620" s="32">
        <v>0.74241898148148144</v>
      </c>
      <c r="D620" s="33"/>
      <c r="E620" s="34">
        <v>5214427774300</v>
      </c>
      <c r="F620" s="33"/>
      <c r="G620" s="33" t="s">
        <v>651</v>
      </c>
      <c r="H620" s="35"/>
      <c r="I620" s="33"/>
      <c r="J620" s="36"/>
      <c r="K620" t="s">
        <v>58</v>
      </c>
      <c r="L620" s="3">
        <v>3562.18</v>
      </c>
      <c r="N620" s="3">
        <f>L620*0.3</f>
        <v>1068.654</v>
      </c>
      <c r="O620" s="3">
        <f>(IF(L620&lt;4172.98,0,MIN(L620*0.3,L620-4172.98)))-M620</f>
        <v>0</v>
      </c>
      <c r="S620" s="3" t="s">
        <v>69</v>
      </c>
      <c r="Z620" s="181">
        <v>1</v>
      </c>
    </row>
    <row r="621" spans="1:26" hidden="1">
      <c r="A621" s="30">
        <v>23552478</v>
      </c>
      <c r="B621" s="31">
        <v>46245</v>
      </c>
      <c r="C621" s="32">
        <v>0.74678240740740742</v>
      </c>
      <c r="D621" s="33"/>
      <c r="E621" s="34">
        <v>5216242642941</v>
      </c>
      <c r="F621" s="33"/>
      <c r="G621" s="33"/>
      <c r="H621" s="35">
        <v>22826400024</v>
      </c>
      <c r="I621" s="33"/>
      <c r="J621" s="36"/>
      <c r="K621" t="s">
        <v>30</v>
      </c>
      <c r="L621" s="3">
        <f>7240.62+2930.62</f>
        <v>10171.24</v>
      </c>
      <c r="M621" s="3">
        <v>2930.62</v>
      </c>
      <c r="N621" s="3">
        <f>L621*0.3</f>
        <v>3051.3719999999998</v>
      </c>
      <c r="O621" s="3">
        <f>(IF(L621&lt;4172.98,0,MIN(L621*0.3,L621-4172.98)))-M621</f>
        <v>120.75199999999995</v>
      </c>
      <c r="P621" s="6">
        <v>46508</v>
      </c>
      <c r="Q621" t="s">
        <v>141</v>
      </c>
      <c r="R621" s="3">
        <v>2930.62</v>
      </c>
      <c r="S621" s="3" t="s">
        <v>69</v>
      </c>
      <c r="Z621" s="181">
        <v>2</v>
      </c>
    </row>
    <row r="622" spans="1:26">
      <c r="A622" s="30">
        <v>23542756</v>
      </c>
      <c r="B622" s="31">
        <v>46245</v>
      </c>
      <c r="C622" s="32">
        <v>0.7475694444444444</v>
      </c>
      <c r="D622" s="33"/>
      <c r="E622" s="34">
        <v>5216864151840</v>
      </c>
      <c r="F622" s="33"/>
      <c r="G622" s="33"/>
      <c r="H622" s="35" t="s">
        <v>652</v>
      </c>
      <c r="I622" s="33"/>
      <c r="J622" s="36"/>
      <c r="K622" t="s">
        <v>54</v>
      </c>
      <c r="L622" s="3">
        <v>6040.3</v>
      </c>
      <c r="N622" s="3">
        <f>L622*0.3</f>
        <v>1812.09</v>
      </c>
      <c r="O622" s="3">
        <f>(IF(L622&lt;4172.98,0,MIN(L622*0.3,L622-4172.98)))-M622</f>
        <v>1812.09</v>
      </c>
      <c r="S622" s="3" t="s">
        <v>63</v>
      </c>
      <c r="T622" s="48">
        <v>46245</v>
      </c>
      <c r="Z622" s="181">
        <v>1</v>
      </c>
    </row>
    <row r="623" spans="1:26">
      <c r="A623" s="30">
        <v>23552538</v>
      </c>
      <c r="B623" s="31">
        <v>46245</v>
      </c>
      <c r="C623" s="32">
        <v>0.75178240740740743</v>
      </c>
      <c r="D623" s="33"/>
      <c r="E623" s="34">
        <v>5218123697960</v>
      </c>
      <c r="F623" s="33"/>
      <c r="G623" s="33" t="s">
        <v>653</v>
      </c>
      <c r="H623" s="35">
        <v>43856513445</v>
      </c>
      <c r="I623" s="33"/>
      <c r="J623" s="36"/>
      <c r="K623" t="s">
        <v>54</v>
      </c>
      <c r="L623" s="3">
        <v>37320.36</v>
      </c>
      <c r="M623" s="3">
        <v>9285.27</v>
      </c>
      <c r="N623" s="3">
        <f>L623*0.3</f>
        <v>11196.108</v>
      </c>
      <c r="O623" s="3">
        <f>(IF(L623&lt;4172.98,0,MIN(L623*0.3,L623-4172.98)))-M623</f>
        <v>1910.8379999999997</v>
      </c>
      <c r="P623" s="6">
        <v>46661</v>
      </c>
      <c r="Q623" t="s">
        <v>44</v>
      </c>
      <c r="R623" s="3">
        <v>3374</v>
      </c>
      <c r="S623" s="3" t="s">
        <v>95</v>
      </c>
      <c r="T623" s="48">
        <v>46245</v>
      </c>
      <c r="U623" s="85"/>
      <c r="Z623" s="181">
        <v>2</v>
      </c>
    </row>
    <row r="624" spans="1:26">
      <c r="A624" s="12">
        <v>23552710</v>
      </c>
      <c r="B624" s="13">
        <v>46245</v>
      </c>
      <c r="C624" s="14">
        <v>0.76457175925925924</v>
      </c>
      <c r="D624" s="15"/>
      <c r="E624" s="16">
        <v>5215514525511</v>
      </c>
      <c r="F624" s="15"/>
      <c r="G624" s="15"/>
      <c r="H624" s="17" t="s">
        <v>654</v>
      </c>
      <c r="I624" s="15"/>
      <c r="J624" s="18"/>
      <c r="K624" t="s">
        <v>54</v>
      </c>
      <c r="L624" s="3">
        <f>19505.94+848</f>
        <v>20353.939999999999</v>
      </c>
      <c r="M624" s="3">
        <v>848</v>
      </c>
      <c r="N624" s="3">
        <f t="shared" ref="N624:N625" si="57">L624*0.3</f>
        <v>6106.1819999999998</v>
      </c>
      <c r="O624" s="3">
        <f>(IF(L624&lt;4172.98,0,MIN(L624*0.3,L624-4172.98)))-M624</f>
        <v>5258.1819999999998</v>
      </c>
      <c r="S624" s="3" t="s">
        <v>98</v>
      </c>
      <c r="T624" s="48">
        <v>46246</v>
      </c>
      <c r="Z624" s="181">
        <v>1</v>
      </c>
    </row>
    <row r="625" spans="1:26" hidden="1">
      <c r="A625" s="30">
        <v>23553072</v>
      </c>
      <c r="B625" s="31">
        <v>46245</v>
      </c>
      <c r="C625" s="32">
        <v>0.77802083333333338</v>
      </c>
      <c r="D625" s="33"/>
      <c r="E625" s="34">
        <v>5215564501478</v>
      </c>
      <c r="F625" s="33"/>
      <c r="G625" s="33" t="s">
        <v>655</v>
      </c>
      <c r="H625" s="35"/>
      <c r="I625" s="33"/>
      <c r="J625" s="36"/>
      <c r="K625" t="s">
        <v>32</v>
      </c>
      <c r="N625" s="3">
        <f t="shared" si="57"/>
        <v>0</v>
      </c>
      <c r="O625" s="3">
        <f>(IF(L625&lt;4172.98,0,MIN(L625*0.3,L625-4172.98)))-M625</f>
        <v>0</v>
      </c>
      <c r="S625" s="3" t="s">
        <v>69</v>
      </c>
      <c r="Z625" s="181">
        <v>0</v>
      </c>
    </row>
    <row r="626" spans="1:26" hidden="1">
      <c r="A626" s="12">
        <v>23553878</v>
      </c>
      <c r="B626" s="13">
        <v>46245</v>
      </c>
      <c r="C626" s="14">
        <v>0.80752314814814818</v>
      </c>
      <c r="D626" s="15"/>
      <c r="E626" s="16">
        <v>5212961132388</v>
      </c>
      <c r="F626" s="15"/>
      <c r="G626" s="15" t="s">
        <v>656</v>
      </c>
      <c r="H626" s="17"/>
      <c r="I626" s="15"/>
      <c r="J626" s="18"/>
      <c r="K626" t="s">
        <v>30</v>
      </c>
      <c r="L626" s="3">
        <f>7238.41+2932.83</f>
        <v>10171.24</v>
      </c>
      <c r="M626" s="3">
        <v>2932.83</v>
      </c>
      <c r="N626" s="3">
        <f t="shared" ref="N626:N636" si="58">L626*0.3</f>
        <v>3051.3719999999998</v>
      </c>
      <c r="O626" s="3">
        <f>(IF(L626&lt;4172.98,0,MIN(L626*0.3,L626-4172.98)))-M626</f>
        <v>118.54199999999992</v>
      </c>
      <c r="P626" s="6">
        <v>46508</v>
      </c>
      <c r="Q626" t="s">
        <v>73</v>
      </c>
      <c r="R626" s="3">
        <v>2932.83</v>
      </c>
      <c r="S626" s="3" t="s">
        <v>69</v>
      </c>
      <c r="Z626" s="181">
        <v>2</v>
      </c>
    </row>
    <row r="627" spans="1:26" hidden="1">
      <c r="A627" s="12">
        <v>23553908</v>
      </c>
      <c r="B627" s="13">
        <v>46245</v>
      </c>
      <c r="C627" s="14">
        <v>0.80935185185185188</v>
      </c>
      <c r="D627" s="15"/>
      <c r="E627" s="16">
        <v>5219999581895</v>
      </c>
      <c r="F627" s="15"/>
      <c r="G627" s="15"/>
      <c r="H627" s="17">
        <v>82897123202</v>
      </c>
      <c r="I627" s="15"/>
      <c r="J627" s="18"/>
      <c r="K627" t="s">
        <v>32</v>
      </c>
      <c r="N627" s="3">
        <f t="shared" si="58"/>
        <v>0</v>
      </c>
      <c r="O627" s="3">
        <f>(IF(L627&lt;4172.98,0,MIN(L627*0.3,L627-4172.98)))-M627</f>
        <v>0</v>
      </c>
      <c r="S627" s="3" t="s">
        <v>69</v>
      </c>
      <c r="Z627" s="181">
        <v>0</v>
      </c>
    </row>
    <row r="628" spans="1:26" hidden="1">
      <c r="A628" s="12">
        <v>23554588</v>
      </c>
      <c r="B628" s="13">
        <v>46245</v>
      </c>
      <c r="C628" s="14">
        <v>0.84725694444444444</v>
      </c>
      <c r="D628" s="15"/>
      <c r="E628" s="16">
        <v>5212212971662</v>
      </c>
      <c r="F628" s="15"/>
      <c r="G628" s="15"/>
      <c r="H628" s="17" t="s">
        <v>657</v>
      </c>
      <c r="I628" s="15"/>
      <c r="J628" s="18"/>
      <c r="K628" t="s">
        <v>30</v>
      </c>
      <c r="L628" s="3">
        <v>6424.07</v>
      </c>
      <c r="M628" s="3">
        <f>848+1008.18</f>
        <v>1856.1799999999998</v>
      </c>
      <c r="N628" s="3">
        <f t="shared" si="58"/>
        <v>1927.2209999999998</v>
      </c>
      <c r="O628" s="3">
        <f>(IF(L628&lt;4172.98,0,MIN(L628*0.3,L628-4172.98)))-M628</f>
        <v>71.04099999999994</v>
      </c>
      <c r="P628" s="6">
        <v>46661</v>
      </c>
      <c r="Q628" t="s">
        <v>658</v>
      </c>
      <c r="R628" s="3">
        <v>1008.18</v>
      </c>
      <c r="S628" s="3" t="s">
        <v>69</v>
      </c>
      <c r="Z628" s="181">
        <v>2</v>
      </c>
    </row>
    <row r="629" spans="1:26" hidden="1">
      <c r="A629" s="12">
        <v>23555582</v>
      </c>
      <c r="B629" s="13">
        <v>46245</v>
      </c>
      <c r="C629" s="14">
        <v>0.90101851851851855</v>
      </c>
      <c r="D629" s="15"/>
      <c r="E629" s="16">
        <v>5218121487174</v>
      </c>
      <c r="F629" s="15"/>
      <c r="G629" s="15"/>
      <c r="H629" s="17">
        <v>43796246957</v>
      </c>
      <c r="I629" s="15"/>
      <c r="J629" s="18"/>
      <c r="K629" t="s">
        <v>30</v>
      </c>
      <c r="L629" s="3">
        <f>5737.21+2447.02</f>
        <v>8184.23</v>
      </c>
      <c r="M629" s="3">
        <v>2447.02</v>
      </c>
      <c r="N629" s="3">
        <f t="shared" si="58"/>
        <v>2455.2689999999998</v>
      </c>
      <c r="O629" s="3">
        <f>(IF(L629&lt;4172.98,0,MIN(L629*0.3,L629-4172.98)))-M629</f>
        <v>8.2489999999997963</v>
      </c>
      <c r="P629" s="6">
        <v>46784</v>
      </c>
      <c r="Q629" t="s">
        <v>73</v>
      </c>
      <c r="R629" s="3">
        <v>2447.02</v>
      </c>
      <c r="S629" s="3" t="s">
        <v>69</v>
      </c>
      <c r="Z629" s="181">
        <v>2</v>
      </c>
    </row>
    <row r="630" spans="1:26">
      <c r="A630" s="12">
        <v>23556026</v>
      </c>
      <c r="B630" s="13">
        <v>46245</v>
      </c>
      <c r="C630" s="14">
        <v>0.93262731481481487</v>
      </c>
      <c r="D630" s="15"/>
      <c r="E630" s="16">
        <v>5217671031431</v>
      </c>
      <c r="F630" s="15"/>
      <c r="G630" s="15"/>
      <c r="H630" s="17" t="s">
        <v>659</v>
      </c>
      <c r="I630" s="15"/>
      <c r="J630" s="18"/>
      <c r="K630" t="s">
        <v>54</v>
      </c>
      <c r="L630" s="3">
        <v>11029.03</v>
      </c>
      <c r="N630" s="3">
        <f t="shared" si="58"/>
        <v>3308.7090000000003</v>
      </c>
      <c r="O630" s="3">
        <f>(IF(L630&lt;4172.98,0,MIN(L630*0.3,L630-4172.98)))-M630</f>
        <v>3308.7090000000003</v>
      </c>
      <c r="S630" s="3" t="s">
        <v>63</v>
      </c>
      <c r="T630" s="48">
        <v>46246</v>
      </c>
      <c r="Z630" s="181">
        <v>1</v>
      </c>
    </row>
    <row r="631" spans="1:26" hidden="1">
      <c r="A631" s="12">
        <v>23558358</v>
      </c>
      <c r="B631" s="13">
        <v>46246</v>
      </c>
      <c r="C631" s="14">
        <v>7.1979166666666664E-2</v>
      </c>
      <c r="D631" s="15"/>
      <c r="E631" s="16">
        <v>5217223692701</v>
      </c>
      <c r="F631" s="15"/>
      <c r="G631" s="15" t="s">
        <v>660</v>
      </c>
      <c r="H631" s="17"/>
      <c r="I631" s="15"/>
      <c r="J631" s="18"/>
      <c r="K631" t="s">
        <v>32</v>
      </c>
      <c r="N631" s="3">
        <f t="shared" si="58"/>
        <v>0</v>
      </c>
      <c r="O631" s="3">
        <f>(IF(L631&lt;4172.98,0,MIN(L631*0.3,L631-4172.98)))-M631</f>
        <v>0</v>
      </c>
      <c r="S631" s="3" t="s">
        <v>69</v>
      </c>
      <c r="Z631" s="181">
        <v>0</v>
      </c>
    </row>
    <row r="632" spans="1:26" hidden="1">
      <c r="A632" s="12">
        <v>23562416</v>
      </c>
      <c r="B632" s="13">
        <v>46246</v>
      </c>
      <c r="C632" s="14">
        <v>0.26530092592592591</v>
      </c>
      <c r="D632" s="15"/>
      <c r="E632" s="16">
        <v>5219211002610</v>
      </c>
      <c r="F632" s="15"/>
      <c r="G632" s="15" t="s">
        <v>661</v>
      </c>
      <c r="H632" s="17"/>
      <c r="I632" s="15"/>
      <c r="J632" s="18"/>
      <c r="K632" t="s">
        <v>32</v>
      </c>
      <c r="N632" s="3">
        <f t="shared" si="58"/>
        <v>0</v>
      </c>
      <c r="O632" s="3">
        <f>(IF(L632&lt;4172.98,0,MIN(L632*0.3,L632-4172.98)))-M632</f>
        <v>0</v>
      </c>
      <c r="S632" s="3" t="s">
        <v>69</v>
      </c>
      <c r="Z632" s="181">
        <v>0</v>
      </c>
    </row>
    <row r="633" spans="1:26">
      <c r="A633" s="12">
        <v>23562988</v>
      </c>
      <c r="B633" s="13">
        <v>46246</v>
      </c>
      <c r="C633" s="14">
        <v>0.28364583333333332</v>
      </c>
      <c r="D633" s="15"/>
      <c r="E633" s="16">
        <v>5218611354532</v>
      </c>
      <c r="F633" s="15"/>
      <c r="G633" s="15"/>
      <c r="H633" s="17">
        <v>32765922177</v>
      </c>
      <c r="I633" s="15"/>
      <c r="J633" s="18"/>
      <c r="K633" t="s">
        <v>27</v>
      </c>
      <c r="L633" s="3">
        <f>11612.09+551.56+327.54+1934.02</f>
        <v>14425.210000000001</v>
      </c>
      <c r="M633" s="3">
        <f>551.56+327.54+1934.02</f>
        <v>2813.12</v>
      </c>
      <c r="N633" s="3">
        <f t="shared" si="58"/>
        <v>4327.5630000000001</v>
      </c>
      <c r="O633" s="3">
        <f>(IF(L633&lt;4172.98,0,MIN(L633*0.3,L633-4172.98)))-M633</f>
        <v>1514.4430000000002</v>
      </c>
      <c r="P633" s="6">
        <v>45658</v>
      </c>
      <c r="Q633" t="s">
        <v>44</v>
      </c>
      <c r="R633" s="3">
        <v>1934.02</v>
      </c>
      <c r="S633" s="3" t="s">
        <v>358</v>
      </c>
      <c r="T633" s="48">
        <v>46246</v>
      </c>
      <c r="Z633" s="181">
        <v>2</v>
      </c>
    </row>
    <row r="634" spans="1:26" hidden="1">
      <c r="A634" s="12">
        <v>23563752</v>
      </c>
      <c r="B634" s="13">
        <v>46246</v>
      </c>
      <c r="C634" s="14">
        <v>0.30273148148148149</v>
      </c>
      <c r="D634" s="15"/>
      <c r="E634" s="16">
        <v>5218110617985</v>
      </c>
      <c r="F634" s="15"/>
      <c r="G634" s="15" t="s">
        <v>662</v>
      </c>
      <c r="H634" s="17"/>
      <c r="I634" s="15"/>
      <c r="J634" s="18"/>
      <c r="K634" t="s">
        <v>58</v>
      </c>
      <c r="L634" s="3">
        <v>4199.87</v>
      </c>
      <c r="N634" s="3">
        <f t="shared" si="58"/>
        <v>1259.961</v>
      </c>
      <c r="O634" s="3">
        <f>(IF(L634&lt;4172.98,0,MIN(L634*0.3,L634-4172.98)))-M634</f>
        <v>26.890000000000327</v>
      </c>
      <c r="S634" s="3" t="s">
        <v>69</v>
      </c>
      <c r="Z634" s="181">
        <v>1</v>
      </c>
    </row>
    <row r="635" spans="1:26">
      <c r="A635" s="12">
        <v>23564056</v>
      </c>
      <c r="B635" s="13">
        <v>46246</v>
      </c>
      <c r="C635" s="14">
        <v>0.31078703703703703</v>
      </c>
      <c r="D635" s="15"/>
      <c r="E635" s="16">
        <v>5218994209381</v>
      </c>
      <c r="F635" s="15"/>
      <c r="G635" s="15"/>
      <c r="H635" s="17" t="s">
        <v>663</v>
      </c>
      <c r="I635" s="15"/>
      <c r="J635" s="18"/>
      <c r="K635" t="s">
        <v>54</v>
      </c>
      <c r="L635" s="3">
        <v>9757.0400000000009</v>
      </c>
      <c r="N635" s="3">
        <f t="shared" si="58"/>
        <v>2927.1120000000001</v>
      </c>
      <c r="O635" s="3">
        <f>(IF(L635&lt;4172.98,0,MIN(L635*0.3,L635-4172.98)))-M635</f>
        <v>2927.1120000000001</v>
      </c>
      <c r="S635" s="3" t="s">
        <v>95</v>
      </c>
      <c r="T635" s="48">
        <v>46246</v>
      </c>
      <c r="Z635" s="181">
        <v>1</v>
      </c>
    </row>
    <row r="636" spans="1:26" hidden="1">
      <c r="A636" s="30">
        <v>23564360</v>
      </c>
      <c r="B636" s="31">
        <v>46246</v>
      </c>
      <c r="C636" s="32">
        <v>0.31347222222222221</v>
      </c>
      <c r="D636" s="33"/>
      <c r="E636" s="34">
        <v>5218621243463</v>
      </c>
      <c r="F636" s="33"/>
      <c r="G636" s="33"/>
      <c r="H636" s="35">
        <v>32906740231</v>
      </c>
      <c r="I636" s="33"/>
      <c r="J636" s="36"/>
      <c r="K636" t="s">
        <v>30</v>
      </c>
      <c r="L636" s="3">
        <v>5055.87</v>
      </c>
      <c r="M636" s="3">
        <v>1299.98</v>
      </c>
      <c r="N636" s="3">
        <f t="shared" si="58"/>
        <v>1516.761</v>
      </c>
      <c r="O636" s="3">
        <f>(IF(L636&lt;4172.98,0,MIN(L636*0.3,L636-4172.98)))-M636</f>
        <v>-417.08999999999969</v>
      </c>
      <c r="P636" s="6">
        <v>46966</v>
      </c>
      <c r="Q636" t="s">
        <v>43</v>
      </c>
      <c r="S636" s="3" t="s">
        <v>69</v>
      </c>
      <c r="Z636" s="181">
        <v>2</v>
      </c>
    </row>
    <row r="637" spans="1:26" hidden="1">
      <c r="A637" s="12">
        <v>23565014</v>
      </c>
      <c r="B637" s="13">
        <v>46246</v>
      </c>
      <c r="C637" s="14">
        <v>0.33212962962962961</v>
      </c>
      <c r="D637" s="15"/>
      <c r="E637" s="16">
        <v>5212221838359</v>
      </c>
      <c r="F637" s="15"/>
      <c r="G637" s="15"/>
      <c r="H637" s="17" t="s">
        <v>664</v>
      </c>
      <c r="I637" s="15"/>
      <c r="J637" s="18"/>
      <c r="K637" t="s">
        <v>30</v>
      </c>
      <c r="L637" s="3">
        <f>10910.18+3982.19+458.7</f>
        <v>15351.070000000002</v>
      </c>
      <c r="M637" s="3">
        <f>3982.19+458.7</f>
        <v>4440.8900000000003</v>
      </c>
      <c r="N637" s="3">
        <f t="shared" ref="N637:N639" si="59">L637*0.3</f>
        <v>4605.3209999999999</v>
      </c>
      <c r="O637" s="3">
        <f>(IF(L637&lt;4172.98,0,MIN(L637*0.3,L637-4172.98)))-M637</f>
        <v>164.43099999999959</v>
      </c>
      <c r="P637" s="6">
        <v>46661</v>
      </c>
      <c r="Q637" t="s">
        <v>47</v>
      </c>
      <c r="S637" s="3" t="s">
        <v>69</v>
      </c>
      <c r="Z637" s="181">
        <v>2</v>
      </c>
    </row>
    <row r="638" spans="1:26" hidden="1">
      <c r="A638" s="12">
        <v>23565494</v>
      </c>
      <c r="B638" s="13">
        <v>46246</v>
      </c>
      <c r="C638" s="14">
        <v>0.3445138888888889</v>
      </c>
      <c r="D638" s="15"/>
      <c r="E638" s="16">
        <v>5215620603296</v>
      </c>
      <c r="F638" s="15"/>
      <c r="G638" s="15"/>
      <c r="H638" s="17">
        <v>54846644612</v>
      </c>
      <c r="I638" s="15"/>
      <c r="J638" s="18"/>
      <c r="K638" t="s">
        <v>30</v>
      </c>
      <c r="L638" s="3">
        <f>7445.59+3190.95</f>
        <v>10636.54</v>
      </c>
      <c r="M638" s="3">
        <v>3190.95</v>
      </c>
      <c r="N638" s="3">
        <f t="shared" si="59"/>
        <v>3190.962</v>
      </c>
      <c r="O638" s="3">
        <f>(IF(L638&lt;4172.98,0,MIN(L638*0.3,L638-4172.98)))-M638</f>
        <v>1.2000000000170985E-2</v>
      </c>
      <c r="P638" s="6">
        <v>46874</v>
      </c>
      <c r="Q638" t="s">
        <v>43</v>
      </c>
      <c r="R638" s="3">
        <v>3190.95</v>
      </c>
      <c r="S638" s="3" t="s">
        <v>69</v>
      </c>
      <c r="Z638" s="181">
        <v>2</v>
      </c>
    </row>
    <row r="639" spans="1:26" hidden="1">
      <c r="A639" s="30">
        <v>23566390</v>
      </c>
      <c r="B639" s="31">
        <v>46246</v>
      </c>
      <c r="C639" s="32">
        <v>0.36481481481481481</v>
      </c>
      <c r="D639" s="33"/>
      <c r="E639" s="34">
        <v>5219983319742</v>
      </c>
      <c r="F639" s="33"/>
      <c r="G639" s="33"/>
      <c r="H639" s="35">
        <v>83786107364</v>
      </c>
      <c r="I639" s="33"/>
      <c r="J639" s="36"/>
      <c r="K639" t="s">
        <v>32</v>
      </c>
      <c r="N639" s="3">
        <f t="shared" si="59"/>
        <v>0</v>
      </c>
      <c r="O639" s="3">
        <f>(IF(L639&lt;4172.98,0,MIN(L639*0.3,L639-4172.98)))-M639</f>
        <v>0</v>
      </c>
      <c r="S639" s="3" t="s">
        <v>69</v>
      </c>
      <c r="Z639" s="181">
        <v>0</v>
      </c>
    </row>
    <row r="640" spans="1:26" hidden="1">
      <c r="A640" s="12">
        <v>23566820</v>
      </c>
      <c r="B640" s="13">
        <v>46246</v>
      </c>
      <c r="C640" s="14">
        <v>0.37568287037037035</v>
      </c>
      <c r="D640" s="15"/>
      <c r="E640" s="16">
        <v>5213351095028</v>
      </c>
      <c r="F640" s="15"/>
      <c r="G640" s="15" t="s">
        <v>665</v>
      </c>
      <c r="H640" s="17" t="s">
        <v>666</v>
      </c>
      <c r="I640" s="15"/>
      <c r="J640" s="18"/>
      <c r="K640" t="s">
        <v>58</v>
      </c>
      <c r="L640" s="3">
        <v>3535.5</v>
      </c>
      <c r="N640" s="3">
        <f t="shared" ref="N640:N641" si="60">L640*0.3</f>
        <v>1060.6499999999999</v>
      </c>
      <c r="O640" s="3">
        <f>(IF(L640&lt;4172.98,0,MIN(L640*0.3,L640-4172.98)))-M640</f>
        <v>0</v>
      </c>
      <c r="S640" s="3" t="s">
        <v>69</v>
      </c>
      <c r="Z640" s="181">
        <v>1</v>
      </c>
    </row>
    <row r="641" spans="1:26">
      <c r="A641" s="30">
        <v>23567382</v>
      </c>
      <c r="B641" s="31">
        <v>46246</v>
      </c>
      <c r="C641" s="32">
        <v>0.38439814814814816</v>
      </c>
      <c r="D641" s="33"/>
      <c r="E641" s="34">
        <v>5214426763872</v>
      </c>
      <c r="F641" s="33"/>
      <c r="G641" s="33"/>
      <c r="H641" s="35">
        <v>53745603505</v>
      </c>
      <c r="I641" s="33"/>
      <c r="J641" s="36"/>
      <c r="K641" t="s">
        <v>107</v>
      </c>
      <c r="L641" s="3">
        <f>4244.79+515.37</f>
        <v>4760.16</v>
      </c>
      <c r="M641" s="3">
        <v>515.37</v>
      </c>
      <c r="N641" s="3">
        <f t="shared" si="60"/>
        <v>1428.048</v>
      </c>
      <c r="O641" s="3">
        <f>(IF(L641&lt;4172.98,0,MIN(L641*0.3,L641-4172.98)))-M641</f>
        <v>71.810000000000286</v>
      </c>
      <c r="P641" s="6">
        <v>45809</v>
      </c>
      <c r="Q641" t="s">
        <v>47</v>
      </c>
      <c r="R641" s="3">
        <v>515.37</v>
      </c>
      <c r="S641" s="3" t="s">
        <v>271</v>
      </c>
      <c r="T641" s="48">
        <v>46246</v>
      </c>
      <c r="Z641" s="181">
        <v>2</v>
      </c>
    </row>
    <row r="642" spans="1:26" hidden="1">
      <c r="A642" s="30">
        <v>23570448</v>
      </c>
      <c r="B642" s="31">
        <v>46246</v>
      </c>
      <c r="C642" s="32">
        <v>0.4660185185185185</v>
      </c>
      <c r="D642" s="33"/>
      <c r="E642" s="34">
        <v>5218712612866</v>
      </c>
      <c r="F642" s="33"/>
      <c r="G642" s="33"/>
      <c r="H642" s="35">
        <v>32866502761</v>
      </c>
      <c r="I642" s="33"/>
      <c r="J642" s="36"/>
      <c r="K642" t="s">
        <v>32</v>
      </c>
      <c r="N642" s="3">
        <f>L642*0.3</f>
        <v>0</v>
      </c>
      <c r="O642" s="3">
        <f>(IF(L642&lt;4172.98,0,MIN(L642*0.3,L642-4172.98)))-M642</f>
        <v>0</v>
      </c>
      <c r="S642" s="3" t="s">
        <v>69</v>
      </c>
      <c r="Z642" s="181">
        <v>0</v>
      </c>
    </row>
    <row r="643" spans="1:26" hidden="1">
      <c r="A643" s="30">
        <v>23571344</v>
      </c>
      <c r="B643" s="31">
        <v>46246</v>
      </c>
      <c r="C643" s="32">
        <v>0.48509259259259258</v>
      </c>
      <c r="D643" s="33"/>
      <c r="E643" s="34">
        <v>5214493480010</v>
      </c>
      <c r="F643" s="33"/>
      <c r="G643" s="33" t="s">
        <v>667</v>
      </c>
      <c r="H643" s="35"/>
      <c r="I643" s="33"/>
      <c r="J643" s="36"/>
      <c r="K643" t="s">
        <v>30</v>
      </c>
      <c r="L643" s="3">
        <f>6947.97+2812.35</f>
        <v>9760.32</v>
      </c>
      <c r="M643" s="3">
        <v>2812.35</v>
      </c>
      <c r="N643" s="3">
        <f>L643*0.3</f>
        <v>2928.096</v>
      </c>
      <c r="O643" s="3">
        <f>(IF(L643&lt;4172.98,0,MIN(L643*0.3,L643-4172.98)))-M643</f>
        <v>115.74600000000009</v>
      </c>
      <c r="P643" s="6">
        <v>46631</v>
      </c>
      <c r="Q643" t="s">
        <v>43</v>
      </c>
      <c r="R643" s="3">
        <v>2812.35</v>
      </c>
      <c r="S643" s="3" t="s">
        <v>69</v>
      </c>
      <c r="Z643" s="181">
        <v>2</v>
      </c>
    </row>
    <row r="644" spans="1:26" hidden="1">
      <c r="A644" s="30">
        <v>23571310</v>
      </c>
      <c r="B644" s="31">
        <v>46246</v>
      </c>
      <c r="C644" s="32">
        <v>0.48728009259259258</v>
      </c>
      <c r="D644" s="33"/>
      <c r="E644" s="34">
        <v>5214881468269</v>
      </c>
      <c r="F644" s="33"/>
      <c r="G644" s="33"/>
      <c r="H644" s="35">
        <v>11816508540</v>
      </c>
      <c r="I644" s="33"/>
      <c r="J644" s="36"/>
      <c r="K644" t="s">
        <v>30</v>
      </c>
      <c r="L644" s="3">
        <f>15682.82+1406.17+1357.52+1165.77+698.23+1163.72+926.76</f>
        <v>22400.989999999998</v>
      </c>
      <c r="M644" s="3">
        <f>1406.17+1357.52+1165.77+698.26+1163.72+926.76</f>
        <v>6718.2000000000007</v>
      </c>
      <c r="N644" s="3">
        <f>L644*0.3</f>
        <v>6720.2969999999996</v>
      </c>
      <c r="O644" s="3">
        <f>(IF(L644&lt;4172.98,0,MIN(L644*0.3,L644-4172.98)))-M644</f>
        <v>2.0969999999988431</v>
      </c>
      <c r="P644" s="6">
        <v>46661</v>
      </c>
      <c r="Q644" t="s">
        <v>43</v>
      </c>
      <c r="R644" s="3">
        <v>1406.17</v>
      </c>
      <c r="S644" s="3" t="s">
        <v>69</v>
      </c>
      <c r="Z644" s="181">
        <v>2</v>
      </c>
    </row>
    <row r="645" spans="1:26" hidden="1">
      <c r="A645" s="30">
        <v>23571840</v>
      </c>
      <c r="B645" s="31">
        <v>46246</v>
      </c>
      <c r="C645" s="32">
        <v>0.49774305555555554</v>
      </c>
      <c r="D645" s="33"/>
      <c r="E645" s="34">
        <v>5216145307385</v>
      </c>
      <c r="F645" s="33"/>
      <c r="G645" s="33"/>
      <c r="H645" s="35">
        <v>33846250224</v>
      </c>
      <c r="I645" s="33"/>
      <c r="J645" s="36"/>
      <c r="K645" t="s">
        <v>30</v>
      </c>
      <c r="L645" s="3">
        <f>7080.09+3022.79</f>
        <v>10102.880000000001</v>
      </c>
      <c r="M645" s="3">
        <v>3022.79</v>
      </c>
      <c r="N645" s="3">
        <f>L645*0.3</f>
        <v>3030.864</v>
      </c>
      <c r="O645" s="3">
        <f>(IF(L645&lt;4172.98,0,MIN(L645*0.3,L645-4172.98)))-M645</f>
        <v>8.0740000000000691</v>
      </c>
      <c r="P645" s="6">
        <v>46874</v>
      </c>
      <c r="Q645" t="s">
        <v>73</v>
      </c>
      <c r="R645" s="3">
        <v>3022.79</v>
      </c>
      <c r="S645" s="3" t="s">
        <v>69</v>
      </c>
      <c r="Z645" s="181">
        <v>2</v>
      </c>
    </row>
    <row r="646" spans="1:26" hidden="1">
      <c r="A646" s="30">
        <v>23571908</v>
      </c>
      <c r="B646" s="31">
        <v>46246</v>
      </c>
      <c r="C646" s="32">
        <v>0.4996990740740741</v>
      </c>
      <c r="D646" s="33"/>
      <c r="E646" s="34">
        <v>5215651380552</v>
      </c>
      <c r="F646" s="33"/>
      <c r="G646" s="33"/>
      <c r="H646" s="35" t="s">
        <v>668</v>
      </c>
      <c r="I646" s="33"/>
      <c r="J646" s="36"/>
      <c r="K646" t="s">
        <v>58</v>
      </c>
      <c r="L646" s="3">
        <f>14747.87-10548</f>
        <v>4199.8700000000008</v>
      </c>
      <c r="N646" s="3">
        <f>L646*0.3</f>
        <v>1259.9610000000002</v>
      </c>
      <c r="O646" s="3">
        <f>(IF(L646&lt;4172.98,0,MIN(L646*0.3,L646-4172.98)))-M646</f>
        <v>26.890000000001237</v>
      </c>
      <c r="S646" s="3" t="s">
        <v>69</v>
      </c>
      <c r="Z646" s="181">
        <v>1</v>
      </c>
    </row>
    <row r="647" spans="1:26">
      <c r="A647" s="30">
        <v>23571958</v>
      </c>
      <c r="B647" s="31">
        <v>46246</v>
      </c>
      <c r="C647" s="32">
        <v>0.50531250000000005</v>
      </c>
      <c r="D647" s="33"/>
      <c r="E647" s="34">
        <v>5219992458988</v>
      </c>
      <c r="F647" s="33"/>
      <c r="G647" s="33"/>
      <c r="H647" s="35" t="s">
        <v>669</v>
      </c>
      <c r="I647" s="33"/>
      <c r="J647" s="36"/>
      <c r="K647" t="s">
        <v>54</v>
      </c>
      <c r="L647" s="3">
        <v>5617.63</v>
      </c>
      <c r="N647" s="3">
        <f>L647*0.3</f>
        <v>1685.289</v>
      </c>
      <c r="O647" s="3">
        <f>(IF(L647&lt;4172.98,0,MIN(L647*0.3,L647-4172.98)))-M647</f>
        <v>1444.6500000000005</v>
      </c>
      <c r="S647" s="3" t="s">
        <v>98</v>
      </c>
      <c r="T647" s="48">
        <v>46246</v>
      </c>
      <c r="Z647" s="181">
        <v>1</v>
      </c>
    </row>
    <row r="648" spans="1:26" hidden="1">
      <c r="A648" s="30">
        <v>23572012</v>
      </c>
      <c r="B648" s="31">
        <v>46246</v>
      </c>
      <c r="C648" s="32">
        <v>0.50694444444444442</v>
      </c>
      <c r="D648" s="33"/>
      <c r="E648" s="34">
        <v>5216634450697</v>
      </c>
      <c r="F648" s="33"/>
      <c r="G648" s="33"/>
      <c r="H648" s="35">
        <v>33987004364</v>
      </c>
      <c r="I648" s="33"/>
      <c r="J648" s="36"/>
      <c r="K648" t="s">
        <v>51</v>
      </c>
      <c r="N648" s="3">
        <f>L648*0.3</f>
        <v>0</v>
      </c>
      <c r="O648" s="3">
        <f>(IF(L648&lt;4172.98,0,MIN(L648*0.3,L648-4172.98)))-M648</f>
        <v>0</v>
      </c>
      <c r="S648" s="3" t="s">
        <v>69</v>
      </c>
      <c r="Z648" s="181">
        <v>1</v>
      </c>
    </row>
    <row r="649" spans="1:26">
      <c r="A649" s="30">
        <v>23572276</v>
      </c>
      <c r="B649" s="31">
        <v>46246</v>
      </c>
      <c r="C649" s="32">
        <v>0.51063657407407403</v>
      </c>
      <c r="D649" s="33"/>
      <c r="E649" s="34">
        <v>5215562882829</v>
      </c>
      <c r="F649" s="33"/>
      <c r="G649" s="33"/>
      <c r="H649" s="35" t="s">
        <v>670</v>
      </c>
      <c r="I649" s="33"/>
      <c r="J649" s="36"/>
      <c r="K649" t="s">
        <v>54</v>
      </c>
      <c r="L649" s="3">
        <v>9081.52</v>
      </c>
      <c r="N649" s="3">
        <f>L649*0.3</f>
        <v>2724.4560000000001</v>
      </c>
      <c r="O649" s="3">
        <f>(IF(L649&lt;4172.98,0,MIN(L649*0.3,L649-4172.98)))-M649</f>
        <v>2724.4560000000001</v>
      </c>
      <c r="S649" s="3" t="s">
        <v>63</v>
      </c>
      <c r="T649" s="48">
        <v>46246</v>
      </c>
      <c r="Z649" s="181">
        <v>1</v>
      </c>
    </row>
    <row r="650" spans="1:26" hidden="1">
      <c r="A650" s="30">
        <v>23573290</v>
      </c>
      <c r="B650" s="31">
        <v>46246</v>
      </c>
      <c r="C650" s="32">
        <v>0.53113425925925928</v>
      </c>
      <c r="D650" s="33"/>
      <c r="E650" s="34">
        <v>5215521304333</v>
      </c>
      <c r="F650" s="33"/>
      <c r="G650" s="33" t="s">
        <v>671</v>
      </c>
      <c r="H650" s="35">
        <v>30896811764</v>
      </c>
      <c r="I650" s="33"/>
      <c r="J650" s="36"/>
      <c r="K650" t="s">
        <v>32</v>
      </c>
      <c r="N650" s="3">
        <f>L650*0.3</f>
        <v>0</v>
      </c>
      <c r="O650" s="3">
        <f>(IF(L650&lt;4172.98,0,MIN(L650*0.3,L650-4172.98)))-M650</f>
        <v>0</v>
      </c>
      <c r="S650" s="3" t="s">
        <v>69</v>
      </c>
      <c r="Z650" s="181">
        <v>0</v>
      </c>
    </row>
    <row r="651" spans="1:26" hidden="1">
      <c r="A651" s="30">
        <v>23573620</v>
      </c>
      <c r="B651" s="31">
        <v>46246</v>
      </c>
      <c r="C651" s="32">
        <v>0.53722222222222227</v>
      </c>
      <c r="D651" s="33"/>
      <c r="E651" s="34">
        <v>5214444265504</v>
      </c>
      <c r="F651" s="33"/>
      <c r="G651" s="33" t="s">
        <v>672</v>
      </c>
      <c r="H651" s="35"/>
      <c r="I651" s="33"/>
      <c r="J651" s="36"/>
      <c r="K651" t="s">
        <v>58</v>
      </c>
      <c r="L651" s="3">
        <v>3114.33</v>
      </c>
      <c r="N651" s="3">
        <f>L651*0.3</f>
        <v>934.29899999999998</v>
      </c>
      <c r="O651" s="3">
        <f>(IF(L651&lt;4172.98,0,MIN(L651*0.3,L651-4172.98)))-M651</f>
        <v>0</v>
      </c>
      <c r="S651" s="3" t="s">
        <v>69</v>
      </c>
      <c r="Z651" s="181">
        <v>1</v>
      </c>
    </row>
    <row r="652" spans="1:26">
      <c r="A652" s="30">
        <v>23517248</v>
      </c>
      <c r="B652" s="31">
        <v>46246</v>
      </c>
      <c r="C652" s="32">
        <v>0.56083333333333329</v>
      </c>
      <c r="D652" s="33"/>
      <c r="E652" s="34">
        <v>5215585743890</v>
      </c>
      <c r="F652" s="33"/>
      <c r="G652" s="33" t="s">
        <v>673</v>
      </c>
      <c r="H652" s="35"/>
      <c r="I652" s="33"/>
      <c r="J652" s="36"/>
      <c r="K652" t="s">
        <v>54</v>
      </c>
      <c r="L652" s="3">
        <v>6473.87</v>
      </c>
      <c r="N652" s="3">
        <f>L652*0.3</f>
        <v>1942.1609999999998</v>
      </c>
      <c r="O652" s="3">
        <f>(IF(L652&lt;4172.98,0,MIN(L652*0.3,L652-4172.98)))-M652</f>
        <v>1942.1609999999998</v>
      </c>
      <c r="S652" s="53" t="s">
        <v>674</v>
      </c>
      <c r="T652" s="48">
        <v>46246</v>
      </c>
      <c r="U652" t="s">
        <v>368</v>
      </c>
      <c r="Z652" s="181">
        <v>1</v>
      </c>
    </row>
    <row r="653" spans="1:26">
      <c r="A653" s="30">
        <v>23574330</v>
      </c>
      <c r="B653" s="31">
        <v>46246</v>
      </c>
      <c r="C653" s="32">
        <v>0.56131944444444448</v>
      </c>
      <c r="D653" s="33"/>
      <c r="E653" s="34">
        <v>5219211197257</v>
      </c>
      <c r="F653" s="33"/>
      <c r="G653" s="33"/>
      <c r="H653" s="35">
        <v>67765816433</v>
      </c>
      <c r="I653" s="33"/>
      <c r="J653" s="36"/>
      <c r="K653" t="s">
        <v>107</v>
      </c>
      <c r="L653" s="3">
        <f>26417.08+514.48+10334.76+472.37</f>
        <v>37738.69</v>
      </c>
      <c r="M653" s="3">
        <f>514.48+10334.76+472.37</f>
        <v>11321.61</v>
      </c>
      <c r="N653" s="3">
        <f>L653*0.3</f>
        <v>11321.607</v>
      </c>
      <c r="O653" s="3">
        <f>(IF(L653&lt;4172.98,0,MIN(L653*0.3,L653-4172.98)))-M653</f>
        <v>-3.0000000006111804E-3</v>
      </c>
      <c r="P653" s="6">
        <v>46174</v>
      </c>
      <c r="Q653" t="s">
        <v>75</v>
      </c>
      <c r="R653" s="3">
        <v>472.37</v>
      </c>
      <c r="S653" s="3" t="s">
        <v>266</v>
      </c>
      <c r="T653" s="48">
        <v>46246</v>
      </c>
      <c r="Z653" s="181">
        <v>2</v>
      </c>
    </row>
    <row r="654" spans="1:26" hidden="1">
      <c r="A654" s="30">
        <v>23574698</v>
      </c>
      <c r="B654" s="31">
        <v>46246</v>
      </c>
      <c r="C654" s="32">
        <v>0.5655324074074074</v>
      </c>
      <c r="D654" s="33"/>
      <c r="E654" s="34">
        <v>5215610313180</v>
      </c>
      <c r="F654" s="33"/>
      <c r="G654" s="33"/>
      <c r="H654" s="35">
        <v>20957724790</v>
      </c>
      <c r="I654" s="33"/>
      <c r="J654" s="36"/>
      <c r="K654" t="s">
        <v>30</v>
      </c>
      <c r="L654" s="3">
        <f>4228.63+1413.59</f>
        <v>5642.22</v>
      </c>
      <c r="M654" s="3">
        <v>1413.59</v>
      </c>
      <c r="N654" s="3">
        <f>L654*0.3</f>
        <v>1692.6659999999999</v>
      </c>
      <c r="O654" s="3">
        <f>(IF(L654&lt;4172.98,0,MIN(L654*0.3,L654-4172.98)))-M654</f>
        <v>55.650000000000773</v>
      </c>
      <c r="P654" s="6">
        <v>46569</v>
      </c>
      <c r="Q654" t="s">
        <v>141</v>
      </c>
      <c r="R654" s="3">
        <v>1413.59</v>
      </c>
      <c r="S654" s="3" t="s">
        <v>69</v>
      </c>
      <c r="Z654" s="181">
        <v>2</v>
      </c>
    </row>
    <row r="655" spans="1:26" hidden="1">
      <c r="A655" s="30">
        <v>23574546</v>
      </c>
      <c r="B655" s="31">
        <v>46246</v>
      </c>
      <c r="C655" s="32">
        <v>0.57008101851851856</v>
      </c>
      <c r="D655" s="33"/>
      <c r="E655" s="34">
        <v>5215530804201</v>
      </c>
      <c r="F655" s="33"/>
      <c r="G655" s="33" t="s">
        <v>675</v>
      </c>
      <c r="H655" s="35"/>
      <c r="I655" s="33"/>
      <c r="J655" s="36"/>
      <c r="K655" t="s">
        <v>30</v>
      </c>
      <c r="L655" s="3">
        <f>6487.56+2593.96</f>
        <v>9081.52</v>
      </c>
      <c r="M655" s="3">
        <v>2593.96</v>
      </c>
      <c r="N655" s="3">
        <f>L655*0.3</f>
        <v>2724.4560000000001</v>
      </c>
      <c r="O655" s="3">
        <f>(IF(L655&lt;4172.98,0,MIN(L655*0.3,L655-4172.98)))-M655</f>
        <v>130.49600000000009</v>
      </c>
      <c r="P655" s="6">
        <v>46753</v>
      </c>
      <c r="Q655" t="s">
        <v>44</v>
      </c>
      <c r="R655" s="3">
        <v>2593.9</v>
      </c>
      <c r="S655" s="3" t="s">
        <v>69</v>
      </c>
      <c r="Z655" s="181">
        <v>2</v>
      </c>
    </row>
    <row r="656" spans="1:26" hidden="1">
      <c r="A656" s="30">
        <v>23575126</v>
      </c>
      <c r="B656" s="31">
        <v>46246</v>
      </c>
      <c r="C656" s="32">
        <v>0.58331018518518518</v>
      </c>
      <c r="D656" s="33"/>
      <c r="E656" s="34">
        <v>5214423592962</v>
      </c>
      <c r="F656" s="33"/>
      <c r="G656" s="33" t="s">
        <v>676</v>
      </c>
      <c r="H656" s="35">
        <v>14816411558</v>
      </c>
      <c r="I656" s="33"/>
      <c r="J656" s="36"/>
      <c r="K656" t="s">
        <v>30</v>
      </c>
      <c r="L656" s="3">
        <f>8271.1+2531.04+835</f>
        <v>11637.14</v>
      </c>
      <c r="M656" s="3">
        <f>2531.04+835</f>
        <v>3366.04</v>
      </c>
      <c r="N656" s="3">
        <f>L656*0.3</f>
        <v>3491.1419999999998</v>
      </c>
      <c r="O656" s="3">
        <f>(IF(L656&lt;4172.98,0,MIN(L656*0.3,L656-4172.98)))-M656</f>
        <v>125.10199999999986</v>
      </c>
      <c r="P656" s="6">
        <v>46447</v>
      </c>
      <c r="Q656" t="s">
        <v>59</v>
      </c>
      <c r="R656" s="3">
        <v>835</v>
      </c>
      <c r="S656" s="3" t="s">
        <v>69</v>
      </c>
      <c r="Z656" s="181">
        <v>2</v>
      </c>
    </row>
    <row r="657" spans="1:26" hidden="1">
      <c r="A657" s="30">
        <v>23575548</v>
      </c>
      <c r="B657" s="31">
        <v>46246</v>
      </c>
      <c r="C657" s="32">
        <v>0.58918981481481481</v>
      </c>
      <c r="D657" s="33"/>
      <c r="E657" s="34">
        <v>5214641552349</v>
      </c>
      <c r="F657" s="33"/>
      <c r="G657" s="33" t="s">
        <v>677</v>
      </c>
      <c r="H657" s="35"/>
      <c r="I657" s="33"/>
      <c r="J657" s="36"/>
      <c r="K657" t="s">
        <v>32</v>
      </c>
      <c r="N657" s="3">
        <f>L657*0.3</f>
        <v>0</v>
      </c>
      <c r="O657" s="3">
        <f>(IF(L657&lt;4172.98,0,MIN(L657*0.3,L657-4172.98)))-M657</f>
        <v>0</v>
      </c>
      <c r="S657" s="3" t="s">
        <v>69</v>
      </c>
      <c r="Z657" s="181">
        <v>0</v>
      </c>
    </row>
    <row r="658" spans="1:26" hidden="1">
      <c r="A658" s="12">
        <v>23575620</v>
      </c>
      <c r="B658" s="13">
        <v>46246</v>
      </c>
      <c r="C658" s="14">
        <v>0.59024305555555556</v>
      </c>
      <c r="D658" s="15"/>
      <c r="E658" s="16">
        <v>5216644478516</v>
      </c>
      <c r="F658" s="15"/>
      <c r="G658" s="110" t="s">
        <v>678</v>
      </c>
      <c r="H658" s="17"/>
      <c r="I658" s="15"/>
      <c r="J658" s="18"/>
      <c r="K658" t="s">
        <v>58</v>
      </c>
      <c r="L658" s="3">
        <v>4190.74</v>
      </c>
      <c r="N658" s="3">
        <f>L658*0.3</f>
        <v>1257.222</v>
      </c>
      <c r="O658" s="3">
        <f>(IF(L658&lt;4172.98,0,MIN(L658*0.3,L658-4172.98)))-M658</f>
        <v>17.760000000000218</v>
      </c>
      <c r="S658" s="3" t="s">
        <v>69</v>
      </c>
      <c r="Z658" s="181">
        <v>1</v>
      </c>
    </row>
    <row r="659" spans="1:26" hidden="1">
      <c r="A659" s="30">
        <v>23575606</v>
      </c>
      <c r="B659" s="31">
        <v>46246</v>
      </c>
      <c r="C659" s="32">
        <v>0.5914814814814815</v>
      </c>
      <c r="D659" s="33" t="s">
        <v>679</v>
      </c>
      <c r="E659" s="34">
        <v>5213141973164</v>
      </c>
      <c r="F659" s="33"/>
      <c r="G659" s="33" t="s">
        <v>680</v>
      </c>
      <c r="H659" s="35"/>
      <c r="I659" s="33"/>
      <c r="J659" s="36"/>
      <c r="K659" t="s">
        <v>32</v>
      </c>
      <c r="N659" s="3">
        <f>L659*0.3</f>
        <v>0</v>
      </c>
      <c r="O659" s="3">
        <f>(IF(L659&lt;4172.98,0,MIN(L659*0.3,L659-4172.98)))-M659</f>
        <v>0</v>
      </c>
      <c r="S659" s="3" t="s">
        <v>69</v>
      </c>
      <c r="Z659" s="181">
        <v>0</v>
      </c>
    </row>
    <row r="660" spans="1:26" hidden="1">
      <c r="A660" s="30">
        <v>23576320</v>
      </c>
      <c r="B660" s="31">
        <v>46246</v>
      </c>
      <c r="C660" s="32">
        <v>0.6012615740740741</v>
      </c>
      <c r="D660" s="33"/>
      <c r="E660" s="34">
        <v>5212311221670</v>
      </c>
      <c r="F660" s="33"/>
      <c r="G660" s="33"/>
      <c r="H660" s="35" t="s">
        <v>681</v>
      </c>
      <c r="I660" s="33"/>
      <c r="J660" s="36"/>
      <c r="K660" t="s">
        <v>30</v>
      </c>
      <c r="L660" s="3">
        <f>8220.38+3231+291.9</f>
        <v>11743.279999999999</v>
      </c>
      <c r="M660" s="3">
        <f>3231+291</f>
        <v>3522</v>
      </c>
      <c r="N660" s="3">
        <f>L660*0.3</f>
        <v>3522.9839999999995</v>
      </c>
      <c r="O660" s="3">
        <f>(IF(L660&lt;4172.98,0,MIN(L660*0.3,L660-4172.98)))-M660</f>
        <v>0.98399999999946886</v>
      </c>
      <c r="P660" s="6">
        <v>46874</v>
      </c>
      <c r="Q660" t="s">
        <v>658</v>
      </c>
      <c r="R660" s="3">
        <v>3231</v>
      </c>
      <c r="S660" s="3" t="s">
        <v>69</v>
      </c>
      <c r="Z660" s="181">
        <v>2</v>
      </c>
    </row>
    <row r="661" spans="1:26" hidden="1">
      <c r="A661" s="30">
        <v>23576796</v>
      </c>
      <c r="B661" s="31">
        <v>46246</v>
      </c>
      <c r="C661" s="32">
        <v>0.61947916666666669</v>
      </c>
      <c r="D661" s="33"/>
      <c r="E661" s="34">
        <v>5214497540064</v>
      </c>
      <c r="F661" s="33"/>
      <c r="G661" s="33"/>
      <c r="H661" s="35" t="s">
        <v>682</v>
      </c>
      <c r="I661" s="33"/>
      <c r="J661" s="36"/>
      <c r="K661" t="s">
        <v>58</v>
      </c>
      <c r="L661" s="3">
        <v>3632.16</v>
      </c>
      <c r="N661" s="3">
        <f>L661*0.3</f>
        <v>1089.6479999999999</v>
      </c>
      <c r="O661" s="3">
        <f>(IF(L661&lt;4172.98,0,MIN(L661*0.3,L661-4172.98)))-M661</f>
        <v>0</v>
      </c>
      <c r="S661" s="3" t="s">
        <v>69</v>
      </c>
      <c r="Z661" s="181">
        <v>1</v>
      </c>
    </row>
    <row r="662" spans="1:26" hidden="1">
      <c r="A662" s="30">
        <v>23577068</v>
      </c>
      <c r="B662" s="31">
        <v>46246</v>
      </c>
      <c r="C662" s="32">
        <v>0.62383101851851852</v>
      </c>
      <c r="D662" s="33"/>
      <c r="E662" s="34">
        <v>5216642513213</v>
      </c>
      <c r="F662" s="33"/>
      <c r="G662" s="33"/>
      <c r="H662" s="35">
        <v>24836530543</v>
      </c>
      <c r="I662" s="33"/>
      <c r="J662" s="36"/>
      <c r="K662" t="s">
        <v>30</v>
      </c>
      <c r="L662" s="3">
        <f>6832.23+947.4+1980.69</f>
        <v>9760.32</v>
      </c>
      <c r="M662" s="3">
        <f>947.4+1980.96</f>
        <v>2928.36</v>
      </c>
      <c r="N662" s="3">
        <f>L662*0.3</f>
        <v>2928.096</v>
      </c>
      <c r="O662" s="3">
        <f>(IF(L662&lt;4172.98,0,MIN(L662*0.3,L662-4172.98)))-M662</f>
        <v>-0.26400000000012369</v>
      </c>
      <c r="P662" s="6">
        <v>45870</v>
      </c>
      <c r="Q662" t="s">
        <v>44</v>
      </c>
      <c r="R662" s="3">
        <v>1980.69</v>
      </c>
      <c r="S662" s="3" t="s">
        <v>69</v>
      </c>
      <c r="Z662" s="181">
        <v>2</v>
      </c>
    </row>
    <row r="663" spans="1:26" hidden="1">
      <c r="A663" s="12">
        <v>23577328</v>
      </c>
      <c r="B663" s="13">
        <v>46246</v>
      </c>
      <c r="C663" s="14">
        <v>0.63016203703703699</v>
      </c>
      <c r="D663" s="15"/>
      <c r="E663" s="16">
        <v>5218448068016</v>
      </c>
      <c r="F663" s="15"/>
      <c r="G663" s="15" t="s">
        <v>683</v>
      </c>
      <c r="H663" s="17"/>
      <c r="I663" s="15"/>
      <c r="J663" s="18"/>
      <c r="K663" t="s">
        <v>30</v>
      </c>
      <c r="L663" s="3">
        <f>15786+6426.65</f>
        <v>22212.65</v>
      </c>
      <c r="M663" s="3">
        <v>6426.65</v>
      </c>
      <c r="N663" s="3">
        <f t="shared" ref="N663:N664" si="61">L663*0.3</f>
        <v>6663.7950000000001</v>
      </c>
      <c r="O663" s="3">
        <f>(IF(L663&lt;4172.98,0,MIN(L663*0.3,L663-4172.98)))-M663</f>
        <v>237.14500000000044</v>
      </c>
      <c r="P663" s="6">
        <v>46023</v>
      </c>
      <c r="Q663" t="s">
        <v>44</v>
      </c>
      <c r="R663" s="3">
        <v>6426.65</v>
      </c>
      <c r="S663" s="3" t="s">
        <v>69</v>
      </c>
      <c r="Z663" s="181">
        <v>2</v>
      </c>
    </row>
    <row r="664" spans="1:26" hidden="1">
      <c r="A664" s="30">
        <v>23577582</v>
      </c>
      <c r="B664" s="31">
        <v>46246</v>
      </c>
      <c r="C664" s="32">
        <v>0.63177083333333328</v>
      </c>
      <c r="D664" s="33"/>
      <c r="E664" s="34">
        <v>5214772194485</v>
      </c>
      <c r="F664" s="33"/>
      <c r="G664" s="33"/>
      <c r="H664" s="35">
        <v>21776022218</v>
      </c>
      <c r="I664" s="33"/>
      <c r="J664" s="36"/>
      <c r="K664" t="s">
        <v>30</v>
      </c>
      <c r="L664" s="3">
        <f>8283.68+1413.35+777.79+1176.81</f>
        <v>11651.63</v>
      </c>
      <c r="M664" s="3">
        <f>1413.35+777.79+1176.81</f>
        <v>3367.95</v>
      </c>
      <c r="N664" s="3">
        <f t="shared" si="61"/>
        <v>3495.4889999999996</v>
      </c>
      <c r="O664" s="3">
        <f>(IF(L664&lt;4172.98,0,MIN(L664*0.3,L664-4172.98)))-M664</f>
        <v>127.53899999999976</v>
      </c>
      <c r="P664" s="6">
        <v>46266</v>
      </c>
      <c r="Q664" t="s">
        <v>77</v>
      </c>
      <c r="R664" s="3">
        <v>1176.81</v>
      </c>
      <c r="S664" s="3" t="s">
        <v>69</v>
      </c>
      <c r="Z664" s="181">
        <v>2</v>
      </c>
    </row>
    <row r="665" spans="1:26">
      <c r="A665" s="30">
        <v>23577310</v>
      </c>
      <c r="B665" s="31">
        <v>46246</v>
      </c>
      <c r="C665" s="32">
        <v>0.6334953703703704</v>
      </c>
      <c r="D665" s="33"/>
      <c r="E665" s="34">
        <v>5214442352131</v>
      </c>
      <c r="F665" s="33"/>
      <c r="G665" s="33" t="s">
        <v>684</v>
      </c>
      <c r="H665" s="35"/>
      <c r="I665" s="33"/>
      <c r="J665" s="36"/>
      <c r="K665" t="s">
        <v>34</v>
      </c>
      <c r="L665" s="3">
        <f>6420.97+1801.25+374.11</f>
        <v>8596.3300000000017</v>
      </c>
      <c r="M665" s="3">
        <f>1801.25+374.11</f>
        <v>2175.36</v>
      </c>
      <c r="N665" s="3">
        <f>L665*0.3</f>
        <v>2578.8990000000003</v>
      </c>
      <c r="O665" s="3">
        <f>(IF(L665&lt;4172.98,0,MIN(L665*0.3,L665-4172.98)))-M665</f>
        <v>403.53900000000021</v>
      </c>
      <c r="P665" s="6">
        <v>45717</v>
      </c>
      <c r="Q665" t="s">
        <v>57</v>
      </c>
      <c r="R665" s="3">
        <v>374.11</v>
      </c>
      <c r="S665" s="3" t="s">
        <v>674</v>
      </c>
      <c r="T665" s="48">
        <v>46246</v>
      </c>
      <c r="Z665" s="181">
        <v>2</v>
      </c>
    </row>
    <row r="666" spans="1:26" hidden="1">
      <c r="A666" s="30">
        <v>23577750</v>
      </c>
      <c r="B666" s="31">
        <v>46246</v>
      </c>
      <c r="C666" s="32">
        <v>0.63907407407407413</v>
      </c>
      <c r="D666" s="33" t="s">
        <v>685</v>
      </c>
      <c r="E666" s="34">
        <v>5219821058204</v>
      </c>
      <c r="F666" s="33"/>
      <c r="G666" s="33" t="s">
        <v>686</v>
      </c>
      <c r="H666" s="35">
        <v>81754901494</v>
      </c>
      <c r="I666" s="33"/>
      <c r="J666" s="36"/>
      <c r="K666" t="s">
        <v>58</v>
      </c>
      <c r="L666" s="3">
        <v>3018.25</v>
      </c>
      <c r="N666" s="3">
        <f>L666*0.3</f>
        <v>905.47500000000002</v>
      </c>
      <c r="O666" s="3">
        <f>(IF(L666&lt;4172.98,0,MIN(L666*0.3,L666-4172.98)))-M666</f>
        <v>0</v>
      </c>
      <c r="S666" s="3" t="s">
        <v>69</v>
      </c>
      <c r="Z666" s="181">
        <v>1</v>
      </c>
    </row>
    <row r="667" spans="1:26" hidden="1">
      <c r="A667" s="30">
        <v>23578574</v>
      </c>
      <c r="B667" s="31">
        <v>46246</v>
      </c>
      <c r="C667" s="32">
        <v>0.6592824074074074</v>
      </c>
      <c r="D667" s="33"/>
      <c r="E667" s="34"/>
      <c r="F667" s="33"/>
      <c r="G667" s="33" t="s">
        <v>687</v>
      </c>
      <c r="H667" s="35">
        <v>5180407</v>
      </c>
      <c r="I667" s="33"/>
      <c r="J667" s="36"/>
      <c r="K667" t="s">
        <v>32</v>
      </c>
      <c r="N667" s="3">
        <f>L667*0.3</f>
        <v>0</v>
      </c>
      <c r="O667" s="3">
        <f>(IF(L667&lt;4172.98,0,MIN(L667*0.3,L667-4172.98)))-M667</f>
        <v>0</v>
      </c>
      <c r="S667" s="3" t="s">
        <v>69</v>
      </c>
      <c r="Z667" s="181">
        <v>0</v>
      </c>
    </row>
    <row r="668" spans="1:26">
      <c r="A668" s="30">
        <v>23578870</v>
      </c>
      <c r="B668" s="31">
        <v>46246</v>
      </c>
      <c r="C668" s="32">
        <v>0.67041666666666666</v>
      </c>
      <c r="D668" s="33"/>
      <c r="E668" s="34">
        <v>5218118173685</v>
      </c>
      <c r="F668" s="33"/>
      <c r="G668" s="33"/>
      <c r="H668" s="35" t="s">
        <v>688</v>
      </c>
      <c r="I668" s="33"/>
      <c r="J668" s="36"/>
      <c r="K668" t="s">
        <v>54</v>
      </c>
      <c r="L668" s="3">
        <v>7920.51</v>
      </c>
      <c r="N668" s="3">
        <f>L668*0.3</f>
        <v>2376.1529999999998</v>
      </c>
      <c r="O668" s="3">
        <f>(IF(L668&lt;4172.98,0,MIN(L668*0.3,L668-4172.98)))-M668</f>
        <v>2376.1529999999998</v>
      </c>
      <c r="S668" s="3" t="s">
        <v>95</v>
      </c>
      <c r="T668" s="48">
        <v>46246</v>
      </c>
      <c r="Z668" s="181">
        <v>1</v>
      </c>
    </row>
    <row r="669" spans="1:26">
      <c r="A669" s="30">
        <v>23579204</v>
      </c>
      <c r="B669" s="31">
        <v>46246</v>
      </c>
      <c r="C669" s="32">
        <v>0.67636574074074074</v>
      </c>
      <c r="D669" s="33"/>
      <c r="E669" s="34">
        <v>5212481025024</v>
      </c>
      <c r="F669" s="33"/>
      <c r="G669" s="33" t="s">
        <v>689</v>
      </c>
      <c r="H669" s="35"/>
      <c r="I669" s="33"/>
      <c r="J669" s="36"/>
      <c r="K669" t="s">
        <v>54</v>
      </c>
      <c r="L669" s="3">
        <v>7107.12</v>
      </c>
      <c r="N669" s="3">
        <f>L669*0.3</f>
        <v>2132.136</v>
      </c>
      <c r="O669" s="3">
        <f>(IF(L669&lt;4172.98,0,MIN(L669*0.3,L669-4172.98)))-M669</f>
        <v>2132.136</v>
      </c>
      <c r="S669" s="3" t="s">
        <v>98</v>
      </c>
      <c r="T669" s="48">
        <v>46246</v>
      </c>
      <c r="Z669" s="181">
        <v>1</v>
      </c>
    </row>
    <row r="670" spans="1:26" hidden="1">
      <c r="A670" s="30">
        <v>23579566</v>
      </c>
      <c r="B670" s="31">
        <v>46246</v>
      </c>
      <c r="C670" s="32">
        <v>0.68874999999999997</v>
      </c>
      <c r="D670" s="33"/>
      <c r="E670" s="34">
        <v>5212721568676</v>
      </c>
      <c r="F670" s="33"/>
      <c r="G670" s="33" t="s">
        <v>690</v>
      </c>
      <c r="H670" s="35" t="s">
        <v>691</v>
      </c>
      <c r="I670" s="33"/>
      <c r="J670" s="36"/>
      <c r="K670" t="s">
        <v>32</v>
      </c>
      <c r="N670" s="3">
        <f>L670*0.3</f>
        <v>0</v>
      </c>
      <c r="O670" s="3">
        <f>(IF(L670&lt;4172.98,0,MIN(L670*0.3,L670-4172.98)))-M670</f>
        <v>0</v>
      </c>
      <c r="S670" s="3" t="s">
        <v>69</v>
      </c>
      <c r="Z670" s="181">
        <v>0</v>
      </c>
    </row>
    <row r="671" spans="1:26" hidden="1">
      <c r="A671" s="30">
        <v>23579612</v>
      </c>
      <c r="B671" s="31">
        <v>46246</v>
      </c>
      <c r="C671" s="32">
        <v>0.68980324074074073</v>
      </c>
      <c r="D671" s="33"/>
      <c r="E671" s="34">
        <v>5218115269915</v>
      </c>
      <c r="F671" s="33"/>
      <c r="G671" s="33"/>
      <c r="H671" s="35">
        <v>43796205375</v>
      </c>
      <c r="I671" s="33"/>
      <c r="J671" s="36"/>
      <c r="K671" t="s">
        <v>32</v>
      </c>
      <c r="N671" s="3">
        <f>L671*0.3</f>
        <v>0</v>
      </c>
      <c r="O671" s="3">
        <f>(IF(L671&lt;4172.98,0,MIN(L671*0.3,L671-4172.98)))-M671</f>
        <v>0</v>
      </c>
      <c r="S671" s="3" t="s">
        <v>69</v>
      </c>
      <c r="Z671" s="181">
        <v>0</v>
      </c>
    </row>
    <row r="672" spans="1:26" hidden="1">
      <c r="A672" s="30">
        <v>23579708</v>
      </c>
      <c r="B672" s="31">
        <v>46246</v>
      </c>
      <c r="C672" s="32">
        <v>0.69465277777777779</v>
      </c>
      <c r="D672" s="33" t="s">
        <v>692</v>
      </c>
      <c r="E672" s="34">
        <v>5215634039297</v>
      </c>
      <c r="F672" s="33"/>
      <c r="G672" s="33" t="s">
        <v>693</v>
      </c>
      <c r="H672" s="35">
        <v>11957821917</v>
      </c>
      <c r="I672" s="33"/>
      <c r="J672" s="36"/>
      <c r="K672" t="s">
        <v>32</v>
      </c>
      <c r="N672" s="3">
        <f>L672*0.3</f>
        <v>0</v>
      </c>
      <c r="O672" s="3">
        <f>(IF(L672&lt;4172.98,0,MIN(L672*0.3,L672-4172.98)))-M672</f>
        <v>0</v>
      </c>
      <c r="S672" s="3" t="s">
        <v>69</v>
      </c>
      <c r="Z672" s="181">
        <v>0</v>
      </c>
    </row>
    <row r="673" spans="1:26" hidden="1">
      <c r="A673" s="30">
        <v>23579774</v>
      </c>
      <c r="B673" s="31">
        <v>46246</v>
      </c>
      <c r="C673" s="32">
        <v>0.69576388888888885</v>
      </c>
      <c r="D673" s="33"/>
      <c r="E673" s="34">
        <v>5215533878067</v>
      </c>
      <c r="F673" s="33"/>
      <c r="G673" s="33"/>
      <c r="H673" s="35" t="s">
        <v>694</v>
      </c>
      <c r="I673" s="33"/>
      <c r="J673" s="36"/>
      <c r="K673" t="s">
        <v>58</v>
      </c>
      <c r="L673" s="111">
        <v>3941.18</v>
      </c>
      <c r="M673" s="111">
        <v>848</v>
      </c>
      <c r="N673" s="3">
        <f>L673*0.3</f>
        <v>1182.3539999999998</v>
      </c>
      <c r="O673" s="3">
        <f>(IF(L673&lt;4172.98,0,MIN(L673*0.3,L673-4172.98)))-M673</f>
        <v>-848</v>
      </c>
      <c r="S673" s="3" t="s">
        <v>69</v>
      </c>
      <c r="Z673" s="181">
        <v>1</v>
      </c>
    </row>
    <row r="674" spans="1:26">
      <c r="A674" s="30">
        <v>23579822</v>
      </c>
      <c r="B674" s="31">
        <v>46246</v>
      </c>
      <c r="C674" s="32">
        <v>0.70171296296296293</v>
      </c>
      <c r="D674" s="33"/>
      <c r="E674" s="34">
        <v>5216641901515</v>
      </c>
      <c r="F674" s="33"/>
      <c r="G674" s="33"/>
      <c r="H674" s="35" t="s">
        <v>695</v>
      </c>
      <c r="I674" s="33"/>
      <c r="J674" s="36"/>
      <c r="K674" t="s">
        <v>34</v>
      </c>
      <c r="L674" s="111">
        <v>7920.51</v>
      </c>
      <c r="M674" s="111">
        <v>2099.48</v>
      </c>
      <c r="N674" s="3">
        <f>L674*0.3</f>
        <v>2376.1529999999998</v>
      </c>
      <c r="O674" s="3">
        <f>(IF(L674&lt;4172.98,0,MIN(L674*0.3,L674-4172.98)))-M674</f>
        <v>276.67299999999977</v>
      </c>
      <c r="P674" s="6">
        <v>46023</v>
      </c>
      <c r="Q674" t="s">
        <v>141</v>
      </c>
      <c r="R674" s="111">
        <v>2099.48</v>
      </c>
      <c r="S674" s="3" t="s">
        <v>35</v>
      </c>
      <c r="T674" s="48">
        <v>46246</v>
      </c>
      <c r="Z674" s="181">
        <v>2</v>
      </c>
    </row>
    <row r="675" spans="1:26">
      <c r="A675" s="30">
        <v>23580152</v>
      </c>
      <c r="B675" s="31">
        <v>46246</v>
      </c>
      <c r="C675" s="32">
        <v>0.70929398148148148</v>
      </c>
      <c r="D675" s="33"/>
      <c r="E675" s="34">
        <v>5215646834800</v>
      </c>
      <c r="F675" s="33"/>
      <c r="G675" s="33"/>
      <c r="H675" s="35">
        <v>64806240913</v>
      </c>
      <c r="I675" s="33"/>
      <c r="J675" s="36"/>
      <c r="K675" t="s">
        <v>54</v>
      </c>
      <c r="L675" s="111">
        <v>7920.51</v>
      </c>
      <c r="M675" s="111">
        <v>1000</v>
      </c>
      <c r="N675" s="3">
        <f>L675*0.3</f>
        <v>2376.1529999999998</v>
      </c>
      <c r="O675" s="3">
        <f>(IF(L675&lt;4172.98,0,MIN(L675*0.3,L675-4172.98)))-M675</f>
        <v>1376.1529999999998</v>
      </c>
      <c r="P675" s="6">
        <v>46905</v>
      </c>
      <c r="Q675" t="s">
        <v>77</v>
      </c>
      <c r="R675" s="111">
        <v>1000</v>
      </c>
      <c r="S675" s="3" t="s">
        <v>63</v>
      </c>
      <c r="T675" s="48">
        <v>46246</v>
      </c>
      <c r="Z675" s="181">
        <v>2</v>
      </c>
    </row>
    <row r="676" spans="1:26" hidden="1">
      <c r="A676" s="30">
        <v>23580080</v>
      </c>
      <c r="B676" s="31">
        <v>46246</v>
      </c>
      <c r="C676" s="32">
        <v>0.70967592592592588</v>
      </c>
      <c r="D676" s="33"/>
      <c r="E676" s="34">
        <v>5212231058420</v>
      </c>
      <c r="F676" s="33"/>
      <c r="G676" s="33" t="s">
        <v>696</v>
      </c>
      <c r="H676" s="35"/>
      <c r="I676" s="33"/>
      <c r="J676" s="36"/>
      <c r="K676" t="s">
        <v>32</v>
      </c>
      <c r="N676" s="3">
        <f>L676*0.3</f>
        <v>0</v>
      </c>
      <c r="O676" s="3">
        <f>(IF(L676&lt;4172.98,0,MIN(L676*0.3,L676-4172.98)))-M676</f>
        <v>0</v>
      </c>
      <c r="S676" s="3" t="s">
        <v>69</v>
      </c>
      <c r="Z676" s="181">
        <v>0</v>
      </c>
    </row>
    <row r="677" spans="1:26" hidden="1">
      <c r="A677" s="30">
        <v>23580230</v>
      </c>
      <c r="B677" s="31">
        <v>46246</v>
      </c>
      <c r="C677" s="32">
        <v>0.72163194444444445</v>
      </c>
      <c r="D677" s="33"/>
      <c r="E677" s="34">
        <v>5216722454602</v>
      </c>
      <c r="F677" s="33"/>
      <c r="G677" s="33"/>
      <c r="H677" s="35" t="s">
        <v>697</v>
      </c>
      <c r="I677" s="33"/>
      <c r="J677" s="36"/>
      <c r="K677" t="s">
        <v>30</v>
      </c>
      <c r="L677" s="111">
        <v>9760.32</v>
      </c>
      <c r="M677" s="111">
        <v>2925.88</v>
      </c>
      <c r="N677" s="3">
        <f>L677*0.3</f>
        <v>2928.096</v>
      </c>
      <c r="O677" s="3">
        <f>(IF(L677&lt;4172.98,0,MIN(L677*0.3,L677-4172.98)))-M677</f>
        <v>2.2159999999998945</v>
      </c>
      <c r="P677" s="6">
        <v>46905</v>
      </c>
      <c r="Q677" t="s">
        <v>43</v>
      </c>
      <c r="R677" s="111">
        <v>2925.88</v>
      </c>
      <c r="S677" s="3" t="s">
        <v>69</v>
      </c>
      <c r="Z677" s="181">
        <v>2</v>
      </c>
    </row>
    <row r="678" spans="1:26" hidden="1">
      <c r="A678" s="12">
        <v>23580518</v>
      </c>
      <c r="B678" s="13">
        <v>46246</v>
      </c>
      <c r="C678" s="14">
        <v>0.72827546296296297</v>
      </c>
      <c r="D678" s="15"/>
      <c r="E678" s="16">
        <v>5219984906909</v>
      </c>
      <c r="F678" s="15"/>
      <c r="G678" s="15" t="s">
        <v>698</v>
      </c>
      <c r="H678" s="17"/>
      <c r="I678" s="15"/>
      <c r="J678" s="18"/>
      <c r="K678" t="s">
        <v>32</v>
      </c>
      <c r="N678" s="3">
        <f t="shared" ref="N678:N679" si="62">L678*0.3</f>
        <v>0</v>
      </c>
      <c r="O678" s="3">
        <f>(IF(L678&lt;4172.98,0,MIN(L678*0.3,L678-4172.98)))-M678</f>
        <v>0</v>
      </c>
      <c r="S678" s="3" t="s">
        <v>69</v>
      </c>
      <c r="Z678" s="181">
        <v>0</v>
      </c>
    </row>
    <row r="679" spans="1:26">
      <c r="A679" s="30">
        <v>23580680</v>
      </c>
      <c r="B679" s="31">
        <v>46246</v>
      </c>
      <c r="C679" s="32">
        <v>0.73109953703703701</v>
      </c>
      <c r="D679" s="33"/>
      <c r="E679" s="34">
        <v>5217471294604</v>
      </c>
      <c r="F679" s="33"/>
      <c r="G679" s="33"/>
      <c r="H679" s="35">
        <v>72856331128</v>
      </c>
      <c r="I679" s="33"/>
      <c r="J679" s="36"/>
      <c r="K679" t="s">
        <v>27</v>
      </c>
      <c r="L679" s="111">
        <v>10118.86</v>
      </c>
      <c r="M679" s="111">
        <v>2683.92</v>
      </c>
      <c r="N679" s="3">
        <f t="shared" si="62"/>
        <v>3035.6579999999999</v>
      </c>
      <c r="O679" s="3">
        <f>(IF(L679&lt;4172.98,0,MIN(L679*0.3,L679-4172.98)))-M679</f>
        <v>351.73799999999983</v>
      </c>
      <c r="P679" s="6">
        <v>45931</v>
      </c>
      <c r="Q679" t="s">
        <v>75</v>
      </c>
      <c r="R679" s="111">
        <v>2683.92</v>
      </c>
      <c r="S679" s="3" t="s">
        <v>95</v>
      </c>
      <c r="T679" s="48">
        <v>46246</v>
      </c>
      <c r="Z679" s="181">
        <v>2</v>
      </c>
    </row>
    <row r="680" spans="1:26" hidden="1">
      <c r="A680" s="30">
        <v>23580662</v>
      </c>
      <c r="B680" s="31">
        <v>46246</v>
      </c>
      <c r="C680" s="32">
        <v>0.73417824074074078</v>
      </c>
      <c r="D680" s="33"/>
      <c r="E680" s="34">
        <v>5216633181059</v>
      </c>
      <c r="F680" s="33"/>
      <c r="G680" s="33" t="s">
        <v>699</v>
      </c>
      <c r="H680" s="35" t="s">
        <v>700</v>
      </c>
      <c r="I680" s="33"/>
      <c r="J680" s="36"/>
      <c r="K680" t="s">
        <v>30</v>
      </c>
      <c r="L680" s="3">
        <v>7116.73</v>
      </c>
      <c r="M680" s="3">
        <v>1973.67</v>
      </c>
      <c r="N680" s="3">
        <f>L680*0.3</f>
        <v>2135.0189999999998</v>
      </c>
      <c r="O680" s="3">
        <f>(IF(L680&lt;4172.98,0,MIN(L680*0.3,L680-4172.98)))-M680</f>
        <v>161.34899999999971</v>
      </c>
      <c r="P680" s="6">
        <v>46266</v>
      </c>
      <c r="Q680" t="s">
        <v>334</v>
      </c>
      <c r="R680" s="3">
        <v>1973.67</v>
      </c>
      <c r="S680" s="3" t="s">
        <v>69</v>
      </c>
      <c r="Z680" s="181">
        <v>2</v>
      </c>
    </row>
    <row r="681" spans="1:26">
      <c r="A681" s="30">
        <v>23580808</v>
      </c>
      <c r="B681" s="31">
        <v>46246</v>
      </c>
      <c r="C681" s="32">
        <v>0.74024305555555558</v>
      </c>
      <c r="D681" s="33"/>
      <c r="E681" s="34">
        <v>5219843221549</v>
      </c>
      <c r="F681" s="33"/>
      <c r="G681" s="33"/>
      <c r="H681" s="35" t="s">
        <v>701</v>
      </c>
      <c r="I681" s="33"/>
      <c r="J681" s="36"/>
      <c r="K681" t="s">
        <v>27</v>
      </c>
      <c r="L681" s="111">
        <v>5617.63</v>
      </c>
      <c r="M681" s="111">
        <v>1336.95</v>
      </c>
      <c r="N681" s="3">
        <f>L681*0.3</f>
        <v>1685.289</v>
      </c>
      <c r="O681" s="3">
        <f>(IF(L681&lt;4172.98,0,MIN(L681*0.3,L681-4172.98)))-M681</f>
        <v>107.7000000000005</v>
      </c>
      <c r="P681" s="6">
        <v>46174</v>
      </c>
      <c r="Q681" t="s">
        <v>75</v>
      </c>
      <c r="R681" s="111">
        <v>1336.95</v>
      </c>
      <c r="S681" s="3" t="s">
        <v>63</v>
      </c>
      <c r="T681" s="48">
        <v>46246</v>
      </c>
      <c r="Z681" s="181">
        <v>2</v>
      </c>
    </row>
    <row r="682" spans="1:26" hidden="1">
      <c r="A682" s="12">
        <v>23581088</v>
      </c>
      <c r="B682" s="13">
        <v>46246</v>
      </c>
      <c r="C682" s="14">
        <v>0.74241898148148144</v>
      </c>
      <c r="D682" s="15"/>
      <c r="E682" s="16">
        <v>5219995517746</v>
      </c>
      <c r="F682" s="15"/>
      <c r="G682" s="15"/>
      <c r="H682" s="17">
        <v>84846611923</v>
      </c>
      <c r="I682" s="15"/>
      <c r="J682" s="18"/>
      <c r="K682" t="s">
        <v>189</v>
      </c>
      <c r="N682" s="3">
        <f t="shared" ref="N682" si="63">L682*0.3</f>
        <v>0</v>
      </c>
      <c r="O682" s="3">
        <f>(IF(L682&lt;4172.98,0,MIN(L682*0.3,L682-4172.98)))-M682</f>
        <v>0</v>
      </c>
      <c r="S682" s="3" t="s">
        <v>69</v>
      </c>
      <c r="Z682" s="181">
        <v>1</v>
      </c>
    </row>
    <row r="683" spans="1:26">
      <c r="A683" s="30">
        <v>23581054</v>
      </c>
      <c r="B683" s="31">
        <v>46246</v>
      </c>
      <c r="C683" s="32">
        <v>0.74471064814814814</v>
      </c>
      <c r="D683" s="33"/>
      <c r="E683" s="34">
        <v>5216624500643</v>
      </c>
      <c r="F683" s="33"/>
      <c r="G683" s="33"/>
      <c r="H683" s="35" t="s">
        <v>702</v>
      </c>
      <c r="I683" s="33"/>
      <c r="J683" s="36"/>
      <c r="K683" t="s">
        <v>54</v>
      </c>
      <c r="L683" s="111">
        <v>6317.1</v>
      </c>
      <c r="M683" s="111">
        <v>252.64</v>
      </c>
      <c r="N683" s="3">
        <f>L683*0.3</f>
        <v>1895.13</v>
      </c>
      <c r="O683" s="3">
        <f>(IF(L683&lt;4172.98,0,MIN(L683*0.3,L683-4172.98)))-M683</f>
        <v>1642.4900000000002</v>
      </c>
      <c r="P683" s="6">
        <v>45717</v>
      </c>
      <c r="Q683" t="s">
        <v>184</v>
      </c>
      <c r="R683" s="111">
        <v>252.64</v>
      </c>
      <c r="S683" s="3" t="s">
        <v>358</v>
      </c>
      <c r="T683" s="48">
        <v>46246</v>
      </c>
      <c r="U683" s="85"/>
      <c r="Z683" s="181">
        <v>2</v>
      </c>
    </row>
    <row r="684" spans="1:26" hidden="1">
      <c r="A684" s="12">
        <v>23581512</v>
      </c>
      <c r="B684" s="13">
        <v>46246</v>
      </c>
      <c r="C684" s="14">
        <v>0.75892361111111106</v>
      </c>
      <c r="D684" s="15"/>
      <c r="E684" s="16">
        <v>5216141894151</v>
      </c>
      <c r="F684" s="15"/>
      <c r="G684" s="15" t="s">
        <v>703</v>
      </c>
      <c r="H684" s="17" t="s">
        <v>704</v>
      </c>
      <c r="I684" s="15"/>
      <c r="J684" s="18"/>
      <c r="K684" t="s">
        <v>30</v>
      </c>
      <c r="L684" s="3">
        <v>24964.36</v>
      </c>
      <c r="M684" s="3">
        <v>7222.79</v>
      </c>
      <c r="N684" s="3">
        <f t="shared" ref="N684:N685" si="64">L684*0.3</f>
        <v>7489.308</v>
      </c>
      <c r="O684" s="3">
        <f>(IF(L684&lt;4172.98,0,MIN(L684*0.3,L684-4172.98)))-M684</f>
        <v>266.51800000000003</v>
      </c>
      <c r="P684" s="6">
        <v>46296</v>
      </c>
      <c r="Q684" t="s">
        <v>75</v>
      </c>
      <c r="R684" s="3">
        <v>4094.91</v>
      </c>
      <c r="S684" s="3" t="s">
        <v>69</v>
      </c>
      <c r="Z684" s="181">
        <v>2</v>
      </c>
    </row>
    <row r="685" spans="1:26">
      <c r="A685" s="30">
        <v>23581752</v>
      </c>
      <c r="B685" s="31">
        <v>46246</v>
      </c>
      <c r="C685" s="32">
        <v>0.76870370370370367</v>
      </c>
      <c r="D685" s="33"/>
      <c r="E685" s="34">
        <v>5216863852977</v>
      </c>
      <c r="F685" s="33"/>
      <c r="G685" s="33"/>
      <c r="H685" s="35">
        <v>21866643345</v>
      </c>
      <c r="I685" s="33"/>
      <c r="J685" s="36"/>
      <c r="K685" t="s">
        <v>54</v>
      </c>
      <c r="L685" s="3">
        <f>26945.9-16309.36</f>
        <v>10636.54</v>
      </c>
      <c r="N685" s="3">
        <f t="shared" si="64"/>
        <v>3190.962</v>
      </c>
      <c r="O685" s="3">
        <f>(IF(L685&lt;4172.98,0,MIN(L685*0.3,L685-4172.98)))-M685</f>
        <v>3190.962</v>
      </c>
      <c r="S685" s="3" t="s">
        <v>55</v>
      </c>
      <c r="T685" s="48">
        <v>46247</v>
      </c>
      <c r="Z685" s="181">
        <v>1</v>
      </c>
    </row>
    <row r="686" spans="1:26" hidden="1">
      <c r="A686" s="12">
        <v>23582050</v>
      </c>
      <c r="B686" s="13">
        <v>46246</v>
      </c>
      <c r="C686" s="14">
        <v>0.78042824074074069</v>
      </c>
      <c r="D686" s="15" t="s">
        <v>705</v>
      </c>
      <c r="E686" s="16">
        <v>5214921045168</v>
      </c>
      <c r="F686" s="15"/>
      <c r="G686" s="15"/>
      <c r="H686" s="17" t="s">
        <v>706</v>
      </c>
      <c r="I686" s="15"/>
      <c r="J686" s="18"/>
      <c r="K686" t="s">
        <v>189</v>
      </c>
      <c r="N686" s="3">
        <f t="shared" ref="N686:N687" si="65">L686*0.3</f>
        <v>0</v>
      </c>
      <c r="O686" s="3">
        <f>(IF(L686&lt;4172.98,0,MIN(L686*0.3,L686-4172.98)))-M686</f>
        <v>0</v>
      </c>
      <c r="S686" s="3" t="s">
        <v>69</v>
      </c>
      <c r="Z686" s="181">
        <v>1</v>
      </c>
    </row>
    <row r="687" spans="1:26">
      <c r="A687" s="12">
        <v>23581914</v>
      </c>
      <c r="B687" s="13">
        <v>46246</v>
      </c>
      <c r="C687" s="14">
        <v>0.78167824074074077</v>
      </c>
      <c r="D687" s="15"/>
      <c r="E687" s="16">
        <v>5218991533644</v>
      </c>
      <c r="F687" s="15"/>
      <c r="G687" s="15" t="s">
        <v>707</v>
      </c>
      <c r="H687" s="17" t="s">
        <v>708</v>
      </c>
      <c r="I687" s="15"/>
      <c r="J687" s="18"/>
      <c r="K687" t="s">
        <v>54</v>
      </c>
      <c r="L687" s="3">
        <v>9081.52</v>
      </c>
      <c r="N687" s="3">
        <f t="shared" si="65"/>
        <v>2724.4560000000001</v>
      </c>
      <c r="O687" s="3">
        <f>(IF(L687&lt;4172.98,0,MIN(L687*0.3,L687-4172.98)))-M687</f>
        <v>2724.4560000000001</v>
      </c>
      <c r="S687" s="3" t="s">
        <v>95</v>
      </c>
      <c r="T687" s="48">
        <v>46247</v>
      </c>
      <c r="Z687" s="181">
        <v>1</v>
      </c>
    </row>
    <row r="688" spans="1:26">
      <c r="A688" s="12">
        <v>23581862</v>
      </c>
      <c r="B688" s="13">
        <v>46246</v>
      </c>
      <c r="C688" s="14">
        <v>0.78295138888888893</v>
      </c>
      <c r="D688" s="15" t="s">
        <v>709</v>
      </c>
      <c r="E688" s="16">
        <v>5528914655</v>
      </c>
      <c r="F688" s="15"/>
      <c r="G688" s="15"/>
      <c r="H688" s="17" t="s">
        <v>710</v>
      </c>
      <c r="I688" s="15"/>
      <c r="J688" s="18"/>
      <c r="K688" t="s">
        <v>38</v>
      </c>
      <c r="L688" s="3">
        <v>5738.64</v>
      </c>
      <c r="M688" s="3">
        <v>1067</v>
      </c>
      <c r="N688" s="3">
        <f t="shared" ref="N688:N695" si="66">L688*0.3</f>
        <v>1721.5920000000001</v>
      </c>
      <c r="O688" s="3">
        <f>(IF(L688&lt;4172.98,0,MIN(L688*0.3,L688-4172.98)))-M688</f>
        <v>498.66000000000076</v>
      </c>
      <c r="P688" s="6">
        <v>46508</v>
      </c>
      <c r="Q688" t="s">
        <v>75</v>
      </c>
      <c r="R688" s="3">
        <v>1067</v>
      </c>
      <c r="S688" s="3" t="s">
        <v>271</v>
      </c>
      <c r="T688" s="48">
        <v>46247</v>
      </c>
      <c r="Z688" s="181">
        <v>2</v>
      </c>
    </row>
    <row r="689" spans="1:26" hidden="1">
      <c r="A689" s="12">
        <v>23582094</v>
      </c>
      <c r="B689" s="13">
        <v>46246</v>
      </c>
      <c r="C689" s="14">
        <v>0.7834606481481482</v>
      </c>
      <c r="D689" s="15" t="s">
        <v>711</v>
      </c>
      <c r="E689" s="16">
        <v>5216361364030</v>
      </c>
      <c r="F689" s="15"/>
      <c r="G689" s="15" t="s">
        <v>712</v>
      </c>
      <c r="H689" s="17" t="s">
        <v>713</v>
      </c>
      <c r="I689" s="15"/>
      <c r="J689" s="18"/>
      <c r="K689" t="s">
        <v>58</v>
      </c>
      <c r="L689" s="3">
        <v>399.13</v>
      </c>
      <c r="N689" s="3">
        <f t="shared" si="66"/>
        <v>119.73899999999999</v>
      </c>
      <c r="O689" s="3">
        <f>(IF(L689&lt;4172.98,0,MIN(L689*0.3,L689-4172.98)))-M689</f>
        <v>0</v>
      </c>
      <c r="S689" s="3" t="s">
        <v>69</v>
      </c>
      <c r="Z689" s="181">
        <v>1</v>
      </c>
    </row>
    <row r="690" spans="1:26" hidden="1">
      <c r="A690" s="12">
        <v>23582446</v>
      </c>
      <c r="B690" s="13">
        <v>46246</v>
      </c>
      <c r="C690" s="14">
        <v>0.80103009259259261</v>
      </c>
      <c r="D690" s="15"/>
      <c r="E690" s="16">
        <v>5215514891527</v>
      </c>
      <c r="F690" s="15"/>
      <c r="G690" s="15" t="s">
        <v>714</v>
      </c>
      <c r="H690" s="17">
        <v>94056100483</v>
      </c>
      <c r="I690" s="15"/>
      <c r="J690" s="18"/>
      <c r="K690" t="s">
        <v>51</v>
      </c>
      <c r="N690" s="3">
        <f t="shared" si="66"/>
        <v>0</v>
      </c>
      <c r="O690" s="3">
        <f>(IF(L690&lt;4172.98,0,MIN(L690*0.3,L690-4172.98)))-M690</f>
        <v>0</v>
      </c>
      <c r="S690" s="3" t="s">
        <v>69</v>
      </c>
      <c r="Z690" s="181">
        <v>1</v>
      </c>
    </row>
    <row r="691" spans="1:26" hidden="1">
      <c r="A691" s="12">
        <v>23583024</v>
      </c>
      <c r="B691" s="13">
        <v>46246</v>
      </c>
      <c r="C691" s="14">
        <v>0.83050925925925922</v>
      </c>
      <c r="D691" s="15"/>
      <c r="E691" s="16">
        <v>5218119532136</v>
      </c>
      <c r="F691" s="15"/>
      <c r="G691" s="15"/>
      <c r="H691" s="17">
        <v>43725331169</v>
      </c>
      <c r="I691" s="15"/>
      <c r="J691" s="18"/>
      <c r="K691" t="s">
        <v>51</v>
      </c>
      <c r="N691" s="3">
        <f t="shared" si="66"/>
        <v>0</v>
      </c>
      <c r="O691" s="3">
        <f>(IF(L691&lt;4172.98,0,MIN(L691*0.3,L691-4172.98)))-M691</f>
        <v>0</v>
      </c>
      <c r="S691" s="3" t="s">
        <v>69</v>
      </c>
      <c r="Z691" s="181">
        <v>1</v>
      </c>
    </row>
    <row r="692" spans="1:26" hidden="1">
      <c r="A692" s="12">
        <v>23584114</v>
      </c>
      <c r="B692" s="13">
        <v>46246</v>
      </c>
      <c r="C692" s="14">
        <v>0.88194444444444442</v>
      </c>
      <c r="D692" s="15"/>
      <c r="E692" s="16">
        <v>5215542620152</v>
      </c>
      <c r="F692" s="15"/>
      <c r="G692" s="15"/>
      <c r="H692" s="17">
        <v>92947447832</v>
      </c>
      <c r="I692" s="15"/>
      <c r="J692" s="18"/>
      <c r="K692" t="s">
        <v>58</v>
      </c>
      <c r="L692" s="3">
        <f>3673.48+848</f>
        <v>4521.4799999999996</v>
      </c>
      <c r="M692" s="3">
        <v>848</v>
      </c>
      <c r="N692" s="3">
        <f t="shared" si="66"/>
        <v>1356.4439999999997</v>
      </c>
      <c r="O692" s="3">
        <f>(IF(L692&lt;4172.98,0,MIN(L692*0.3,L692-4172.98)))-M692</f>
        <v>-499.5</v>
      </c>
      <c r="S692" s="3" t="s">
        <v>69</v>
      </c>
      <c r="Z692" s="181">
        <v>1</v>
      </c>
    </row>
    <row r="693" spans="1:26">
      <c r="A693" s="12">
        <v>23585834</v>
      </c>
      <c r="B693" s="13">
        <v>46246</v>
      </c>
      <c r="C693" s="14">
        <v>0.94489583333333338</v>
      </c>
      <c r="D693" s="15"/>
      <c r="E693" s="16">
        <v>5216131614824</v>
      </c>
      <c r="F693" s="15"/>
      <c r="G693" s="15"/>
      <c r="H693" s="17">
        <v>23806129542</v>
      </c>
      <c r="I693" s="15"/>
      <c r="J693" s="18"/>
      <c r="K693" t="s">
        <v>34</v>
      </c>
      <c r="L693" s="3">
        <v>15346.8</v>
      </c>
      <c r="M693" s="3">
        <v>4440.03</v>
      </c>
      <c r="N693" s="3">
        <f t="shared" si="66"/>
        <v>4604.04</v>
      </c>
      <c r="O693" s="3">
        <f>(IF(L693&lt;4172.98,0,MIN(L693*0.3,L693-4172.98)))-M693</f>
        <v>164.01000000000022</v>
      </c>
      <c r="P693" s="6">
        <v>46113</v>
      </c>
      <c r="Q693" t="s">
        <v>141</v>
      </c>
      <c r="R693" s="3">
        <v>3155.34</v>
      </c>
      <c r="S693" s="3" t="s">
        <v>674</v>
      </c>
      <c r="T693" s="48">
        <v>46247</v>
      </c>
      <c r="Z693" s="181">
        <v>2</v>
      </c>
    </row>
    <row r="694" spans="1:26" hidden="1">
      <c r="A694" s="12">
        <v>23587918</v>
      </c>
      <c r="B694" s="13">
        <v>46247</v>
      </c>
      <c r="C694" s="14">
        <v>4.0439814814814817E-2</v>
      </c>
      <c r="D694" s="15"/>
      <c r="E694" s="16">
        <v>5214774838763</v>
      </c>
      <c r="F694" s="15"/>
      <c r="G694" s="15"/>
      <c r="H694" s="17">
        <v>12826517457</v>
      </c>
      <c r="I694" s="15"/>
      <c r="J694" s="18"/>
      <c r="K694" t="s">
        <v>32</v>
      </c>
      <c r="N694" s="3">
        <f t="shared" si="66"/>
        <v>0</v>
      </c>
      <c r="O694" s="3">
        <f>(IF(L694&lt;4172.98,0,MIN(L694*0.3,L694-4172.98)))-M694</f>
        <v>0</v>
      </c>
      <c r="S694" s="3" t="s">
        <v>69</v>
      </c>
      <c r="Z694" s="181">
        <v>0</v>
      </c>
    </row>
    <row r="695" spans="1:26" hidden="1">
      <c r="A695" s="30">
        <v>23594976</v>
      </c>
      <c r="B695" s="31">
        <v>46247</v>
      </c>
      <c r="C695" s="32">
        <v>0.25243055555555555</v>
      </c>
      <c r="D695" s="33"/>
      <c r="E695" s="34">
        <v>5218717866630</v>
      </c>
      <c r="F695" s="33"/>
      <c r="G695" s="33"/>
      <c r="H695" s="35">
        <v>32927405665</v>
      </c>
      <c r="I695" s="33"/>
      <c r="J695" s="36"/>
      <c r="K695" t="s">
        <v>58</v>
      </c>
      <c r="L695" s="3">
        <v>1874.37</v>
      </c>
      <c r="N695" s="3">
        <f t="shared" si="66"/>
        <v>562.31099999999992</v>
      </c>
      <c r="O695" s="3">
        <f>(IF(L695&lt;4172.98,0,MIN(L695*0.3,L695-4172.98)))-M695</f>
        <v>0</v>
      </c>
      <c r="S695" s="3" t="s">
        <v>69</v>
      </c>
      <c r="Z695" s="181">
        <v>1</v>
      </c>
    </row>
    <row r="696" spans="1:26" hidden="1">
      <c r="A696" s="12">
        <v>23596540</v>
      </c>
      <c r="B696" s="13">
        <v>46247</v>
      </c>
      <c r="C696" s="14">
        <v>0.3008912037037037</v>
      </c>
      <c r="D696" s="15"/>
      <c r="E696" s="16">
        <v>5219984099795</v>
      </c>
      <c r="F696" s="15"/>
      <c r="G696" s="15"/>
      <c r="H696" s="17" t="s">
        <v>715</v>
      </c>
      <c r="I696" s="15"/>
      <c r="J696" s="18"/>
      <c r="K696" t="s">
        <v>51</v>
      </c>
      <c r="N696" s="3">
        <f t="shared" ref="N696:N700" si="67">L696*0.3</f>
        <v>0</v>
      </c>
      <c r="O696" s="3">
        <f>(IF(L696&lt;4172.98,0,MIN(L696*0.3,L696-4172.98)))-M696</f>
        <v>0</v>
      </c>
      <c r="S696" s="3" t="s">
        <v>69</v>
      </c>
      <c r="Z696" s="181">
        <v>1</v>
      </c>
    </row>
    <row r="697" spans="1:26">
      <c r="A697" s="12">
        <v>23596692</v>
      </c>
      <c r="B697" s="13">
        <v>46247</v>
      </c>
      <c r="C697" s="14">
        <v>0.30751157407407409</v>
      </c>
      <c r="D697" s="15"/>
      <c r="E697" s="16">
        <v>5217774653525</v>
      </c>
      <c r="F697" s="15"/>
      <c r="G697" s="15" t="s">
        <v>716</v>
      </c>
      <c r="H697" s="17"/>
      <c r="I697" s="15"/>
      <c r="J697" s="18"/>
      <c r="K697" t="s">
        <v>54</v>
      </c>
      <c r="L697" s="3">
        <v>9081.52</v>
      </c>
      <c r="N697" s="3">
        <f t="shared" si="67"/>
        <v>2724.4560000000001</v>
      </c>
      <c r="O697" s="3">
        <f>(IF(L697&lt;4172.98,0,MIN(L697*0.3,L697-4172.98)))-M697</f>
        <v>2724.4560000000001</v>
      </c>
      <c r="S697" s="3" t="s">
        <v>98</v>
      </c>
      <c r="T697" s="48">
        <v>46247</v>
      </c>
      <c r="Z697" s="181">
        <v>1</v>
      </c>
    </row>
    <row r="698" spans="1:26">
      <c r="A698" s="12">
        <v>23599104</v>
      </c>
      <c r="B698" s="13">
        <v>46247</v>
      </c>
      <c r="C698" s="14">
        <v>0.33751157407407406</v>
      </c>
      <c r="D698" s="15"/>
      <c r="E698" s="16">
        <v>5218712368692</v>
      </c>
      <c r="F698" s="15"/>
      <c r="G698" s="15"/>
      <c r="H698" s="17" t="s">
        <v>717</v>
      </c>
      <c r="I698" s="15"/>
      <c r="J698" s="18"/>
      <c r="K698" t="s">
        <v>54</v>
      </c>
      <c r="L698" s="3">
        <v>8173.37</v>
      </c>
      <c r="N698" s="3">
        <f t="shared" si="67"/>
        <v>2452.011</v>
      </c>
      <c r="O698" s="3">
        <f>(IF(L698&lt;4172.98,0,MIN(L698*0.3,L698-4172.98)))-M698</f>
        <v>2452.011</v>
      </c>
      <c r="S698" s="3" t="s">
        <v>55</v>
      </c>
      <c r="T698" s="48">
        <v>46247</v>
      </c>
      <c r="Z698" s="181">
        <v>1</v>
      </c>
    </row>
    <row r="699" spans="1:26" hidden="1">
      <c r="A699" s="12">
        <v>23600690</v>
      </c>
      <c r="B699" s="13">
        <v>46247</v>
      </c>
      <c r="C699" s="14">
        <v>0.3712037037037037</v>
      </c>
      <c r="D699" s="15"/>
      <c r="E699" s="16">
        <v>5216862352840</v>
      </c>
      <c r="F699" s="15"/>
      <c r="G699" s="15"/>
      <c r="H699" s="17">
        <v>24795615616</v>
      </c>
      <c r="I699" s="15"/>
      <c r="J699" s="18"/>
      <c r="K699" t="s">
        <v>30</v>
      </c>
      <c r="L699" s="3">
        <f>6959.27+1398.68+1402.37</f>
        <v>9760.32</v>
      </c>
      <c r="M699" s="3">
        <f>1398.68+1402.37</f>
        <v>2801.05</v>
      </c>
      <c r="N699" s="3">
        <f t="shared" si="67"/>
        <v>2928.096</v>
      </c>
      <c r="O699" s="3">
        <f>(IF(L699&lt;4172.98,0,MIN(L699*0.3,L699-4172.98)))-M699</f>
        <v>127.04599999999982</v>
      </c>
      <c r="P699" s="6">
        <v>46722</v>
      </c>
      <c r="Q699" t="s">
        <v>57</v>
      </c>
      <c r="R699" s="3">
        <v>1402.37</v>
      </c>
      <c r="S699" s="3" t="s">
        <v>69</v>
      </c>
      <c r="Z699" s="181">
        <v>2</v>
      </c>
    </row>
    <row r="700" spans="1:26" hidden="1">
      <c r="A700" s="30">
        <v>23582340</v>
      </c>
      <c r="B700" s="31">
        <v>46247</v>
      </c>
      <c r="C700" s="32">
        <v>0.39141203703703703</v>
      </c>
      <c r="D700" s="33"/>
      <c r="E700" s="34">
        <v>5212949459984</v>
      </c>
      <c r="F700" s="33"/>
      <c r="G700" s="33" t="s">
        <v>718</v>
      </c>
      <c r="H700" s="35"/>
      <c r="I700" s="33"/>
      <c r="J700" s="36"/>
      <c r="K700" t="s">
        <v>32</v>
      </c>
      <c r="N700" s="3">
        <f t="shared" si="67"/>
        <v>0</v>
      </c>
      <c r="O700" s="3">
        <f>(IF(L700&lt;4172.98,0,MIN(L700*0.3,L700-4172.98)))-M700</f>
        <v>0</v>
      </c>
      <c r="S700" s="3" t="s">
        <v>69</v>
      </c>
      <c r="Z700" s="181">
        <v>0</v>
      </c>
    </row>
    <row r="701" spans="1:26">
      <c r="A701" s="30">
        <v>22128172</v>
      </c>
      <c r="B701" s="31">
        <v>46247</v>
      </c>
      <c r="C701" s="32">
        <v>0.41247685185185184</v>
      </c>
      <c r="D701" s="33"/>
      <c r="E701" s="34">
        <v>5216391474469</v>
      </c>
      <c r="F701" s="33"/>
      <c r="G701" s="33"/>
      <c r="H701" s="35" t="s">
        <v>719</v>
      </c>
      <c r="I701" s="33"/>
      <c r="J701" s="36"/>
      <c r="K701" t="s">
        <v>27</v>
      </c>
      <c r="L701" s="3">
        <v>8173.37</v>
      </c>
      <c r="M701" s="3">
        <v>2451.0100000000002</v>
      </c>
      <c r="N701" s="3">
        <f>L701*0.3</f>
        <v>2452.011</v>
      </c>
      <c r="O701" s="3">
        <f>(IF(L701&lt;4172.98,0,MIN(L701*0.3,L701-4172.98)))-M701</f>
        <v>1.000999999999749</v>
      </c>
      <c r="P701" s="6">
        <v>46204</v>
      </c>
      <c r="Q701" t="s">
        <v>720</v>
      </c>
      <c r="R701" s="3">
        <v>1781.56</v>
      </c>
      <c r="S701" s="3" t="s">
        <v>358</v>
      </c>
      <c r="T701" s="48">
        <v>46247</v>
      </c>
      <c r="Z701" s="181">
        <v>2</v>
      </c>
    </row>
    <row r="702" spans="1:26" hidden="1">
      <c r="A702" s="12">
        <v>23602494</v>
      </c>
      <c r="B702" s="13">
        <v>46247</v>
      </c>
      <c r="C702" s="14">
        <v>0.41495370370370371</v>
      </c>
      <c r="D702" s="15"/>
      <c r="E702" s="16">
        <v>5218130766483</v>
      </c>
      <c r="F702" s="15"/>
      <c r="G702" s="15"/>
      <c r="H702" s="17">
        <v>83826506509</v>
      </c>
      <c r="I702" s="15"/>
      <c r="J702" s="18"/>
      <c r="K702" t="s">
        <v>30</v>
      </c>
      <c r="L702" s="3">
        <f>6471.11+2366.91</f>
        <v>8838.02</v>
      </c>
      <c r="M702" s="3">
        <v>2366.91</v>
      </c>
      <c r="N702" s="3">
        <f t="shared" ref="N702:N705" si="68">L702*0.3</f>
        <v>2651.4059999999999</v>
      </c>
      <c r="O702" s="3">
        <f>(IF(L702&lt;4172.98,0,MIN(L702*0.3,L702-4172.98)))-M702</f>
        <v>284.49600000000009</v>
      </c>
      <c r="S702" s="3" t="s">
        <v>69</v>
      </c>
      <c r="Z702" s="181">
        <v>1</v>
      </c>
    </row>
    <row r="703" spans="1:26" hidden="1">
      <c r="A703" s="12">
        <v>23602684</v>
      </c>
      <c r="B703" s="13">
        <v>46247</v>
      </c>
      <c r="C703" s="14">
        <v>0.41862268518518519</v>
      </c>
      <c r="D703" s="15"/>
      <c r="E703" s="16">
        <v>5215514790158</v>
      </c>
      <c r="F703" s="15"/>
      <c r="G703" s="15" t="s">
        <v>721</v>
      </c>
      <c r="H703" s="17"/>
      <c r="I703" s="15"/>
      <c r="J703" s="18"/>
      <c r="K703" t="s">
        <v>30</v>
      </c>
      <c r="L703" s="3">
        <f>4172.99+1444.64</f>
        <v>5617.63</v>
      </c>
      <c r="M703" s="3">
        <v>1444.64</v>
      </c>
      <c r="N703" s="3">
        <f t="shared" si="68"/>
        <v>1685.289</v>
      </c>
      <c r="O703" s="3">
        <f>(IF(L703&lt;4172.98,0,MIN(L703*0.3,L703-4172.98)))-M703</f>
        <v>1.0000000000445652E-2</v>
      </c>
      <c r="P703" s="6">
        <v>46784</v>
      </c>
      <c r="Q703" t="s">
        <v>302</v>
      </c>
      <c r="R703" s="3">
        <v>1444.64</v>
      </c>
      <c r="S703" s="3" t="s">
        <v>69</v>
      </c>
      <c r="Z703" s="181">
        <v>2</v>
      </c>
    </row>
    <row r="704" spans="1:26" hidden="1">
      <c r="A704" s="12">
        <v>23602624</v>
      </c>
      <c r="B704" s="13">
        <v>46247</v>
      </c>
      <c r="C704" s="14">
        <v>0.41833333333333333</v>
      </c>
      <c r="D704" s="15"/>
      <c r="E704" s="16">
        <v>5214811222573</v>
      </c>
      <c r="F704" s="15"/>
      <c r="G704" s="15"/>
      <c r="H704" s="17">
        <v>41755901208</v>
      </c>
      <c r="I704" s="15"/>
      <c r="J704" s="18"/>
      <c r="K704" t="s">
        <v>30</v>
      </c>
      <c r="L704" s="3">
        <f>5140.26+978.36+1114.3</f>
        <v>7232.92</v>
      </c>
      <c r="M704" s="3">
        <f>978.36+1114.3</f>
        <v>2092.66</v>
      </c>
      <c r="N704" s="3">
        <f t="shared" si="68"/>
        <v>2169.8759999999997</v>
      </c>
      <c r="O704" s="3">
        <f>(IF(L704&lt;4172.98,0,MIN(L704*0.3,L704-4172.98)))-M704</f>
        <v>77.215999999999894</v>
      </c>
      <c r="P704" s="6">
        <v>46478</v>
      </c>
      <c r="Q704" t="s">
        <v>80</v>
      </c>
      <c r="R704" s="3">
        <v>1114.3</v>
      </c>
      <c r="S704" s="3" t="s">
        <v>69</v>
      </c>
      <c r="Z704" s="181">
        <v>2</v>
      </c>
    </row>
    <row r="705" spans="1:26" hidden="1">
      <c r="A705" s="30">
        <v>23602740</v>
      </c>
      <c r="B705" s="31">
        <v>46247</v>
      </c>
      <c r="C705" s="32">
        <v>0.42020833333333335</v>
      </c>
      <c r="D705" s="33"/>
      <c r="E705" s="34">
        <v>5215664081435</v>
      </c>
      <c r="F705" s="33"/>
      <c r="G705" s="33"/>
      <c r="H705" s="35" t="s">
        <v>722</v>
      </c>
      <c r="I705" s="33"/>
      <c r="J705" s="36"/>
      <c r="K705" t="s">
        <v>51</v>
      </c>
      <c r="N705" s="3">
        <f t="shared" si="68"/>
        <v>0</v>
      </c>
      <c r="O705" s="3">
        <f>(IF(L705&lt;4172.98,0,MIN(L705*0.3,L705-4172.98)))-M705</f>
        <v>0</v>
      </c>
      <c r="S705" s="3" t="s">
        <v>69</v>
      </c>
      <c r="Z705" s="181">
        <v>1</v>
      </c>
    </row>
    <row r="706" spans="1:26">
      <c r="A706" s="30">
        <v>23603210</v>
      </c>
      <c r="B706" s="31">
        <v>46247</v>
      </c>
      <c r="C706" s="32">
        <v>0.43807870370370372</v>
      </c>
      <c r="D706" s="33" t="s">
        <v>723</v>
      </c>
      <c r="E706" s="34">
        <v>5216671257123</v>
      </c>
      <c r="F706" s="33"/>
      <c r="G706" s="33" t="s">
        <v>724</v>
      </c>
      <c r="H706" s="35" t="s">
        <v>725</v>
      </c>
      <c r="I706" s="33"/>
      <c r="J706" s="36"/>
      <c r="K706" t="s">
        <v>27</v>
      </c>
      <c r="L706" s="3">
        <f>4632.83+1778.64</f>
        <v>6411.47</v>
      </c>
      <c r="M706" s="3">
        <v>1778.64</v>
      </c>
      <c r="N706" s="3">
        <f>L706*0.3</f>
        <v>1923.441</v>
      </c>
      <c r="O706" s="3">
        <f>(IF(L706&lt;4172.98,0,MIN(L706*0.3,L706-4172.98)))-M706</f>
        <v>144.80099999999993</v>
      </c>
      <c r="P706" s="6">
        <v>46235</v>
      </c>
      <c r="Q706" t="s">
        <v>59</v>
      </c>
      <c r="R706" s="3">
        <v>1778.64</v>
      </c>
      <c r="S706" s="3" t="s">
        <v>95</v>
      </c>
      <c r="T706" s="48">
        <v>46247</v>
      </c>
      <c r="Z706" s="181">
        <v>2</v>
      </c>
    </row>
    <row r="707" spans="1:26">
      <c r="A707" s="30">
        <v>23603816</v>
      </c>
      <c r="B707" s="31">
        <v>46247</v>
      </c>
      <c r="C707" s="32">
        <v>0.4598726851851852</v>
      </c>
      <c r="D707" s="33"/>
      <c r="E707" s="34">
        <v>5215573041264</v>
      </c>
      <c r="F707" s="33"/>
      <c r="G707" s="33"/>
      <c r="H707" s="35" t="s">
        <v>726</v>
      </c>
      <c r="I707" s="33"/>
      <c r="J707" s="36"/>
      <c r="K707" t="s">
        <v>54</v>
      </c>
      <c r="L707" s="3">
        <f>40064.31-29427.77</f>
        <v>10636.539999999997</v>
      </c>
      <c r="N707" s="3">
        <f>L707*0.3</f>
        <v>3190.9619999999991</v>
      </c>
      <c r="O707" s="3">
        <f>(IF(L707&lt;4172.98,0,MIN(L707*0.3,L707-4172.98)))-M707</f>
        <v>3190.9619999999991</v>
      </c>
      <c r="S707" s="3" t="s">
        <v>55</v>
      </c>
      <c r="T707" s="48">
        <v>46247</v>
      </c>
      <c r="Z707" s="181">
        <v>1</v>
      </c>
    </row>
    <row r="708" spans="1:26" hidden="1">
      <c r="A708" s="30">
        <v>23604886</v>
      </c>
      <c r="B708" s="31">
        <v>46247</v>
      </c>
      <c r="C708" s="32">
        <v>0.47915509259259259</v>
      </c>
      <c r="D708" s="33"/>
      <c r="E708" s="34">
        <v>5218110595393</v>
      </c>
      <c r="F708" s="33"/>
      <c r="G708" s="33" t="s">
        <v>727</v>
      </c>
      <c r="H708" s="35">
        <v>43806450821</v>
      </c>
      <c r="I708" s="33"/>
      <c r="J708" s="36"/>
      <c r="K708" t="s">
        <v>30</v>
      </c>
      <c r="L708" s="3">
        <f>6705.49+2376.03</f>
        <v>9081.52</v>
      </c>
      <c r="M708" s="3">
        <f>2376.03+318.37</f>
        <v>2694.4</v>
      </c>
      <c r="N708" s="3">
        <f>L708*0.3</f>
        <v>2724.4560000000001</v>
      </c>
      <c r="O708" s="3">
        <f>(IF(L708&lt;4172.98,0,MIN(L708*0.3,L708-4172.98)))-M708</f>
        <v>30.05600000000004</v>
      </c>
      <c r="P708" s="6">
        <v>46935</v>
      </c>
      <c r="Q708" t="s">
        <v>658</v>
      </c>
      <c r="R708" s="3">
        <v>2376.0300000000002</v>
      </c>
      <c r="S708" s="3" t="s">
        <v>69</v>
      </c>
      <c r="Z708" s="181">
        <v>2</v>
      </c>
    </row>
    <row r="709" spans="1:26" hidden="1">
      <c r="A709" s="30">
        <v>23605776</v>
      </c>
      <c r="B709" s="31">
        <v>46247</v>
      </c>
      <c r="C709" s="32">
        <v>0.49501157407407409</v>
      </c>
      <c r="D709" s="33"/>
      <c r="E709" s="34">
        <v>5218711059291</v>
      </c>
      <c r="F709" s="33"/>
      <c r="G709" s="33"/>
      <c r="H709" s="35">
        <v>31978042625</v>
      </c>
      <c r="I709" s="33"/>
      <c r="J709" s="36"/>
      <c r="K709" t="s">
        <v>58</v>
      </c>
      <c r="L709" s="3">
        <f>2904.67+879</f>
        <v>3783.67</v>
      </c>
      <c r="N709" s="3">
        <f>L709*0.3</f>
        <v>1135.1009999999999</v>
      </c>
      <c r="O709" s="3">
        <f>(IF(L709&lt;4172.98,0,MIN(L709*0.3,L709-4172.98)))-M709</f>
        <v>0</v>
      </c>
      <c r="S709" s="3" t="s">
        <v>69</v>
      </c>
      <c r="Z709" s="181">
        <v>1</v>
      </c>
    </row>
    <row r="710" spans="1:26" hidden="1">
      <c r="A710" s="30">
        <v>23605352</v>
      </c>
      <c r="B710" s="31">
        <v>46247</v>
      </c>
      <c r="C710" s="32">
        <v>0.49709490740740742</v>
      </c>
      <c r="D710" s="33"/>
      <c r="E710" s="34"/>
      <c r="F710" s="33"/>
      <c r="G710" s="33"/>
      <c r="H710" s="35">
        <v>15695014686</v>
      </c>
      <c r="I710" s="33"/>
      <c r="J710" s="36"/>
      <c r="K710" t="s">
        <v>58</v>
      </c>
      <c r="L710" s="3">
        <v>3866.25</v>
      </c>
      <c r="N710" s="3">
        <f>L710*0.3</f>
        <v>1159.875</v>
      </c>
      <c r="O710" s="3">
        <f>(IF(L710&lt;4172.98,0,MIN(L710*0.3,L710-4172.98)))-M710</f>
        <v>0</v>
      </c>
      <c r="S710" s="3" t="s">
        <v>69</v>
      </c>
      <c r="Z710" s="181">
        <v>1</v>
      </c>
    </row>
    <row r="711" spans="1:26" hidden="1">
      <c r="A711" s="30">
        <v>23606202</v>
      </c>
      <c r="B711" s="31">
        <v>46247</v>
      </c>
      <c r="C711" s="32">
        <v>0.5105439814814815</v>
      </c>
      <c r="D711" s="33"/>
      <c r="E711" s="34">
        <v>5212461914190</v>
      </c>
      <c r="F711" s="33"/>
      <c r="G711" s="33" t="s">
        <v>728</v>
      </c>
      <c r="H711" s="35"/>
      <c r="I711" s="33"/>
      <c r="J711" s="36"/>
      <c r="K711" t="s">
        <v>30</v>
      </c>
      <c r="L711" s="3">
        <v>6460.27</v>
      </c>
      <c r="M711" s="3">
        <v>1937</v>
      </c>
      <c r="N711" s="3">
        <f>L711*0.3</f>
        <v>1938.0810000000001</v>
      </c>
      <c r="O711" s="3">
        <f>(IF(L711&lt;4172.98,0,MIN(L711*0.3,L711-4172.98)))-M711</f>
        <v>1.081000000000131</v>
      </c>
      <c r="P711" s="6">
        <v>46844</v>
      </c>
      <c r="Q711" t="s">
        <v>729</v>
      </c>
      <c r="R711" s="3">
        <v>1937</v>
      </c>
      <c r="S711" s="3" t="s">
        <v>69</v>
      </c>
      <c r="Z711" s="181">
        <v>2</v>
      </c>
    </row>
    <row r="712" spans="1:26" hidden="1">
      <c r="A712" s="30">
        <v>23606274</v>
      </c>
      <c r="B712" s="31">
        <v>46247</v>
      </c>
      <c r="C712" s="32">
        <v>0.51175925925925925</v>
      </c>
      <c r="D712" s="33"/>
      <c r="E712" s="34">
        <v>5216863066782</v>
      </c>
      <c r="F712" s="33"/>
      <c r="G712" s="33"/>
      <c r="H712" s="35">
        <v>21018442885</v>
      </c>
      <c r="I712" s="33"/>
      <c r="J712" s="36"/>
      <c r="K712" t="s">
        <v>51</v>
      </c>
      <c r="N712" s="3">
        <f>L712*0.3</f>
        <v>0</v>
      </c>
      <c r="O712" s="3">
        <f>(IF(L712&lt;4172.98,0,MIN(L712*0.3,L712-4172.98)))-M712</f>
        <v>0</v>
      </c>
      <c r="S712" s="3" t="s">
        <v>69</v>
      </c>
      <c r="Z712" s="181">
        <v>1</v>
      </c>
    </row>
    <row r="713" spans="1:26" hidden="1">
      <c r="A713" s="30">
        <v>23604282</v>
      </c>
      <c r="B713" s="31">
        <v>46247</v>
      </c>
      <c r="C713" s="32">
        <v>0.51523148148148146</v>
      </c>
      <c r="D713" s="33"/>
      <c r="E713" s="34"/>
      <c r="F713" s="33"/>
      <c r="G713" s="33" t="s">
        <v>730</v>
      </c>
      <c r="H713" s="35"/>
      <c r="I713" s="33"/>
      <c r="J713" s="36"/>
      <c r="K713" t="s">
        <v>30</v>
      </c>
      <c r="L713" s="111">
        <v>7135.6</v>
      </c>
      <c r="M713" s="111">
        <v>2061.8200000000002</v>
      </c>
      <c r="N713" s="3">
        <f>L713*0.3</f>
        <v>2140.6799999999998</v>
      </c>
      <c r="O713" s="3">
        <f>(IF(L713&lt;4172.98,0,MIN(L713*0.3,L713-4172.98)))-M713</f>
        <v>78.859999999999673</v>
      </c>
      <c r="P713" s="6">
        <v>46753</v>
      </c>
      <c r="Q713" t="s">
        <v>75</v>
      </c>
      <c r="R713" s="111">
        <v>2061.8200000000002</v>
      </c>
      <c r="S713" s="3" t="s">
        <v>69</v>
      </c>
      <c r="Z713" s="181">
        <v>2</v>
      </c>
    </row>
    <row r="714" spans="1:26" hidden="1">
      <c r="A714" s="30">
        <v>23606940</v>
      </c>
      <c r="B714" s="31">
        <v>46247</v>
      </c>
      <c r="C714" s="32">
        <v>0.52592592592592591</v>
      </c>
      <c r="D714" s="33"/>
      <c r="E714" s="34">
        <v>5214496056375</v>
      </c>
      <c r="F714" s="33"/>
      <c r="G714" s="33"/>
      <c r="H714" s="35" t="s">
        <v>731</v>
      </c>
      <c r="I714" s="33"/>
      <c r="J714" s="36"/>
      <c r="K714" t="s">
        <v>30</v>
      </c>
      <c r="L714" s="111">
        <v>9081.52</v>
      </c>
      <c r="M714" s="111">
        <v>2492.13</v>
      </c>
      <c r="N714" s="3">
        <f>L714*0.3</f>
        <v>2724.4560000000001</v>
      </c>
      <c r="O714" s="3">
        <f>(IF(L714&lt;4172.98,0,MIN(L714*0.3,L714-4172.98)))-M714</f>
        <v>232.32600000000002</v>
      </c>
      <c r="P714" s="6">
        <v>46357</v>
      </c>
      <c r="Q714" t="s">
        <v>184</v>
      </c>
      <c r="R714" s="111">
        <v>2492.13</v>
      </c>
      <c r="S714" s="3" t="s">
        <v>69</v>
      </c>
      <c r="Z714" s="181">
        <v>2</v>
      </c>
    </row>
    <row r="715" spans="1:26" hidden="1">
      <c r="A715" s="30">
        <v>23607148</v>
      </c>
      <c r="B715" s="31">
        <v>46247</v>
      </c>
      <c r="C715" s="32">
        <v>0.53178240740740745</v>
      </c>
      <c r="D715" s="33"/>
      <c r="E715" s="34">
        <v>5218186572463</v>
      </c>
      <c r="F715" s="33"/>
      <c r="G715" s="33"/>
      <c r="H715" s="35" t="s">
        <v>732</v>
      </c>
      <c r="I715" s="33"/>
      <c r="J715" s="36"/>
      <c r="K715" t="s">
        <v>30</v>
      </c>
      <c r="L715" s="111">
        <v>28447.49</v>
      </c>
      <c r="M715" s="111">
        <v>8533.82</v>
      </c>
      <c r="N715" s="3">
        <f>L715*0.3</f>
        <v>8534.2469999999994</v>
      </c>
      <c r="O715" s="3">
        <f>(IF(L715&lt;4172.98,0,MIN(L715*0.3,L715-4172.98)))-M715</f>
        <v>0.42699999999967986</v>
      </c>
      <c r="P715" s="6">
        <v>46327</v>
      </c>
      <c r="Q715" t="s">
        <v>184</v>
      </c>
      <c r="R715" s="3">
        <v>6278.82</v>
      </c>
      <c r="S715" s="3" t="s">
        <v>69</v>
      </c>
      <c r="Z715" s="181">
        <v>2</v>
      </c>
    </row>
    <row r="716" spans="1:26" hidden="1">
      <c r="A716" s="30">
        <v>23607098</v>
      </c>
      <c r="B716" s="31">
        <v>46247</v>
      </c>
      <c r="C716" s="32">
        <v>0.53317129629629634</v>
      </c>
      <c r="D716" s="33"/>
      <c r="E716" s="34">
        <v>5216622009363</v>
      </c>
      <c r="F716" s="33"/>
      <c r="G716" s="33"/>
      <c r="H716" s="35">
        <v>24895923415</v>
      </c>
      <c r="I716" s="33"/>
      <c r="J716" s="36"/>
      <c r="K716" t="s">
        <v>30</v>
      </c>
      <c r="L716" s="111">
        <v>5617.63</v>
      </c>
      <c r="M716" s="111">
        <v>1392.42</v>
      </c>
      <c r="N716" s="3">
        <f>L716*0.3</f>
        <v>1685.289</v>
      </c>
      <c r="O716" s="3">
        <f>(IF(L716&lt;4172.98,0,MIN(L716*0.3,L716-4172.98)))-M716</f>
        <v>52.230000000000473</v>
      </c>
      <c r="P716" s="6">
        <v>46447</v>
      </c>
      <c r="Q716" t="s">
        <v>184</v>
      </c>
      <c r="R716" s="3">
        <v>1183.48</v>
      </c>
      <c r="S716" s="3" t="s">
        <v>69</v>
      </c>
      <c r="Z716" s="181">
        <v>2</v>
      </c>
    </row>
    <row r="717" spans="1:26" hidden="1">
      <c r="A717" s="30">
        <v>23607190</v>
      </c>
      <c r="B717" s="31">
        <v>46247</v>
      </c>
      <c r="C717" s="32">
        <v>0.53342592592592597</v>
      </c>
      <c r="D717" s="33"/>
      <c r="E717" s="34">
        <v>5212221037224</v>
      </c>
      <c r="F717" s="33"/>
      <c r="G717" s="33"/>
      <c r="H717" s="35" t="s">
        <v>733</v>
      </c>
      <c r="I717" s="33"/>
      <c r="J717" s="36"/>
      <c r="K717" t="s">
        <v>58</v>
      </c>
      <c r="L717" s="3">
        <f>3351.87+848</f>
        <v>4199.87</v>
      </c>
      <c r="N717" s="3">
        <f>L717*0.3</f>
        <v>1259.961</v>
      </c>
      <c r="O717" s="3">
        <f>(IF(L717&lt;4172.98,0,MIN(L717*0.3,L717-4172.98)))-M717</f>
        <v>26.890000000000327</v>
      </c>
      <c r="S717" s="3" t="s">
        <v>69</v>
      </c>
      <c r="Z717" s="181">
        <v>1</v>
      </c>
    </row>
    <row r="718" spans="1:26" hidden="1">
      <c r="A718" s="12">
        <v>23607168</v>
      </c>
      <c r="B718" s="13">
        <v>46247</v>
      </c>
      <c r="C718" s="14">
        <v>0.53518518518518521</v>
      </c>
      <c r="D718" s="15" t="s">
        <v>734</v>
      </c>
      <c r="E718" s="16">
        <v>5215574128406</v>
      </c>
      <c r="F718" s="15"/>
      <c r="G718" s="15"/>
      <c r="H718" s="17" t="s">
        <v>735</v>
      </c>
      <c r="I718" s="15"/>
      <c r="J718" s="18"/>
      <c r="K718" t="s">
        <v>58</v>
      </c>
      <c r="L718" s="3">
        <v>3513.79</v>
      </c>
      <c r="N718" s="3">
        <f>L718*0.3</f>
        <v>1054.1369999999999</v>
      </c>
      <c r="O718" s="3">
        <f>(IF(L718&lt;4172.98,0,MIN(L718*0.3,L718-4172.98)))-M718</f>
        <v>0</v>
      </c>
      <c r="S718" s="3" t="s">
        <v>69</v>
      </c>
      <c r="Z718" s="181">
        <v>1</v>
      </c>
    </row>
    <row r="719" spans="1:26" hidden="1">
      <c r="A719" s="30">
        <v>23607188</v>
      </c>
      <c r="B719" s="31">
        <v>46247</v>
      </c>
      <c r="C719" s="32">
        <v>0.5368518518518518</v>
      </c>
      <c r="D719" s="33"/>
      <c r="E719" s="34">
        <v>5219612437777</v>
      </c>
      <c r="F719" s="33"/>
      <c r="G719" s="33" t="s">
        <v>736</v>
      </c>
      <c r="H719" s="35"/>
      <c r="I719" s="33"/>
      <c r="J719" s="36"/>
      <c r="K719" t="s">
        <v>32</v>
      </c>
      <c r="N719" s="3">
        <f>L719*0.3</f>
        <v>0</v>
      </c>
      <c r="O719" s="3">
        <f>(IF(L719&lt;4172.98,0,MIN(L719*0.3,L719-4172.98)))-M719</f>
        <v>0</v>
      </c>
      <c r="S719" s="3" t="s">
        <v>69</v>
      </c>
      <c r="Z719" s="181">
        <v>0</v>
      </c>
    </row>
    <row r="720" spans="1:26">
      <c r="A720" s="12">
        <v>23607278</v>
      </c>
      <c r="B720" s="13">
        <v>46247</v>
      </c>
      <c r="C720" s="14">
        <v>0.53706018518518517</v>
      </c>
      <c r="D720" s="15"/>
      <c r="E720" s="16">
        <v>5218135117761</v>
      </c>
      <c r="F720" s="15"/>
      <c r="G720" s="15"/>
      <c r="H720" s="17">
        <v>43846439776</v>
      </c>
      <c r="I720" s="15"/>
      <c r="J720" s="18"/>
      <c r="K720" t="s">
        <v>54</v>
      </c>
      <c r="L720" s="3">
        <v>23097.29</v>
      </c>
      <c r="M720" s="3">
        <v>1767.72</v>
      </c>
      <c r="N720" s="3">
        <f>L720*0.3</f>
        <v>6929.1869999999999</v>
      </c>
      <c r="O720" s="3">
        <f>(IF(L720&lt;4172.98,0,MIN(L720*0.3,L720-4172.98)))-M720</f>
        <v>5161.4669999999996</v>
      </c>
      <c r="P720" s="6">
        <v>46722</v>
      </c>
      <c r="Q720" t="s">
        <v>80</v>
      </c>
      <c r="R720" s="3">
        <v>1767.72</v>
      </c>
      <c r="S720" s="3" t="s">
        <v>98</v>
      </c>
      <c r="T720" s="48">
        <v>46247</v>
      </c>
      <c r="Z720" s="181">
        <v>2</v>
      </c>
    </row>
    <row r="721" spans="1:26" hidden="1">
      <c r="A721" s="30">
        <v>23607412</v>
      </c>
      <c r="B721" s="31">
        <v>46247</v>
      </c>
      <c r="C721" s="32">
        <v>0.53858796296296296</v>
      </c>
      <c r="D721" s="33"/>
      <c r="E721" s="34">
        <v>5214171077315</v>
      </c>
      <c r="F721" s="33"/>
      <c r="G721" s="33"/>
      <c r="H721" s="35">
        <v>12876606356</v>
      </c>
      <c r="I721" s="33"/>
      <c r="J721" s="36"/>
      <c r="K721" t="s">
        <v>30</v>
      </c>
      <c r="L721" s="3">
        <v>9760.32</v>
      </c>
      <c r="M721" s="3">
        <v>2928.1</v>
      </c>
      <c r="N721" s="3">
        <f>L721*0.3</f>
        <v>2928.096</v>
      </c>
      <c r="O721" s="3">
        <f>(IF(L721&lt;4172.98,0,MIN(L721*0.3,L721-4172.98)))-M721</f>
        <v>-3.9999999999054126E-3</v>
      </c>
      <c r="P721" s="6">
        <v>46813</v>
      </c>
      <c r="Q721" t="s">
        <v>729</v>
      </c>
      <c r="R721" s="3">
        <v>370.66</v>
      </c>
      <c r="S721" s="3" t="s">
        <v>69</v>
      </c>
      <c r="Z721" s="181">
        <v>2</v>
      </c>
    </row>
    <row r="722" spans="1:26">
      <c r="A722" s="30">
        <v>23606470</v>
      </c>
      <c r="B722" s="31">
        <v>46247</v>
      </c>
      <c r="C722" s="32">
        <v>0.53989583333333335</v>
      </c>
      <c r="D722" s="33"/>
      <c r="E722" s="34"/>
      <c r="F722" s="33"/>
      <c r="G722" s="33"/>
      <c r="H722" s="35">
        <v>49745818036</v>
      </c>
      <c r="I722" s="33"/>
      <c r="J722" s="36"/>
      <c r="K722" t="s">
        <v>54</v>
      </c>
      <c r="L722" s="3">
        <v>11469.86</v>
      </c>
      <c r="M722" s="3">
        <v>142.08000000000001</v>
      </c>
      <c r="N722" s="3">
        <f>L722*0.3</f>
        <v>3440.9580000000001</v>
      </c>
      <c r="O722" s="3">
        <f>(IF(L722&lt;4172.98,0,MIN(L722*0.3,L722-4172.98)))-M722</f>
        <v>3298.8780000000002</v>
      </c>
      <c r="S722" s="3" t="s">
        <v>95</v>
      </c>
      <c r="T722" s="48">
        <v>46247</v>
      </c>
      <c r="Z722" s="181">
        <v>1</v>
      </c>
    </row>
    <row r="723" spans="1:26" hidden="1">
      <c r="A723" s="30">
        <v>23607664</v>
      </c>
      <c r="B723" s="31">
        <v>46247</v>
      </c>
      <c r="C723" s="32">
        <v>0.54377314814814814</v>
      </c>
      <c r="D723" s="33"/>
      <c r="E723" s="34">
        <v>5218113874377</v>
      </c>
      <c r="F723" s="33"/>
      <c r="G723" s="33" t="s">
        <v>737</v>
      </c>
      <c r="H723" s="35"/>
      <c r="I723" s="33"/>
      <c r="J723" s="36"/>
      <c r="K723" t="s">
        <v>189</v>
      </c>
      <c r="N723" s="3">
        <f>L723*0.3</f>
        <v>0</v>
      </c>
      <c r="O723" s="3">
        <f>(IF(L723&lt;4172.98,0,MIN(L723*0.3,L723-4172.98)))-M723</f>
        <v>0</v>
      </c>
      <c r="S723" s="3" t="s">
        <v>69</v>
      </c>
      <c r="Z723" s="181">
        <v>1</v>
      </c>
    </row>
    <row r="724" spans="1:26" hidden="1">
      <c r="A724" s="30">
        <v>23607830</v>
      </c>
      <c r="B724" s="31">
        <v>46247</v>
      </c>
      <c r="C724" s="32">
        <v>0.5502083333333333</v>
      </c>
      <c r="D724" s="33"/>
      <c r="E724" s="34">
        <v>5215613614429</v>
      </c>
      <c r="F724" s="33"/>
      <c r="G724" s="33"/>
      <c r="H724" s="35" t="s">
        <v>738</v>
      </c>
      <c r="I724" s="33"/>
      <c r="J724" s="36"/>
      <c r="K724" t="s">
        <v>30</v>
      </c>
      <c r="L724" s="3">
        <f>7445.58+3190.96</f>
        <v>10636.54</v>
      </c>
      <c r="M724" s="3">
        <v>3190.96</v>
      </c>
      <c r="N724" s="3">
        <f>L724*0.3</f>
        <v>3190.962</v>
      </c>
      <c r="O724" s="3">
        <f>(IF(L724&lt;4172.98,0,MIN(L724*0.3,L724-4172.98)))-M724</f>
        <v>1.9999999999527063E-3</v>
      </c>
      <c r="P724" s="6">
        <v>46905</v>
      </c>
      <c r="Q724" t="s">
        <v>739</v>
      </c>
      <c r="R724" s="3">
        <v>3190.96</v>
      </c>
      <c r="S724" s="3" t="s">
        <v>69</v>
      </c>
      <c r="Z724" s="181">
        <v>2</v>
      </c>
    </row>
    <row r="725" spans="1:26" hidden="1">
      <c r="A725" s="30">
        <v>23607804</v>
      </c>
      <c r="B725" s="31">
        <v>46247</v>
      </c>
      <c r="C725" s="32">
        <v>0.55390046296296291</v>
      </c>
      <c r="D725" s="33"/>
      <c r="E725" s="34">
        <v>5215513078719</v>
      </c>
      <c r="F725" s="33"/>
      <c r="G725" s="33" t="s">
        <v>740</v>
      </c>
      <c r="H725" s="35"/>
      <c r="I725" s="33"/>
      <c r="J725" s="36"/>
      <c r="K725" t="s">
        <v>32</v>
      </c>
      <c r="N725" s="3">
        <f>L725*0.3</f>
        <v>0</v>
      </c>
      <c r="O725" s="3">
        <f>(IF(L725&lt;4172.98,0,MIN(L725*0.3,L725-4172.98)))-M725</f>
        <v>0</v>
      </c>
      <c r="S725" s="3" t="s">
        <v>69</v>
      </c>
      <c r="Z725" s="181">
        <v>0</v>
      </c>
    </row>
    <row r="726" spans="1:26" hidden="1">
      <c r="A726" s="30">
        <v>23608298</v>
      </c>
      <c r="B726" s="31">
        <v>46247</v>
      </c>
      <c r="C726" s="32">
        <v>0.56472222222222224</v>
      </c>
      <c r="D726" s="33"/>
      <c r="E726" s="34">
        <v>5214691078353</v>
      </c>
      <c r="F726" s="33"/>
      <c r="G726" s="33" t="s">
        <v>741</v>
      </c>
      <c r="H726" s="35"/>
      <c r="I726" s="33"/>
      <c r="J726" s="36"/>
      <c r="K726" t="s">
        <v>32</v>
      </c>
      <c r="N726" s="3">
        <f>L726*0.3</f>
        <v>0</v>
      </c>
      <c r="O726" s="3">
        <f>(IF(L726&lt;4172.98,0,MIN(L726*0.3,L726-4172.98)))-M726</f>
        <v>0</v>
      </c>
      <c r="S726" s="3" t="s">
        <v>69</v>
      </c>
      <c r="Z726" s="181">
        <v>0</v>
      </c>
    </row>
    <row r="727" spans="1:26" hidden="1">
      <c r="A727" s="30">
        <v>23608248</v>
      </c>
      <c r="B727" s="31">
        <v>46247</v>
      </c>
      <c r="C727" s="32">
        <v>0.56964120370370375</v>
      </c>
      <c r="D727" s="33"/>
      <c r="E727" s="34">
        <v>5213141475590</v>
      </c>
      <c r="F727" s="33"/>
      <c r="G727" s="33" t="s">
        <v>742</v>
      </c>
      <c r="H727" s="35"/>
      <c r="I727" s="33"/>
      <c r="J727" s="36"/>
      <c r="K727" t="s">
        <v>30</v>
      </c>
      <c r="L727" s="3">
        <f>6936.43+2823.89</f>
        <v>9760.32</v>
      </c>
      <c r="M727" s="3">
        <v>2823.89</v>
      </c>
      <c r="N727" s="3">
        <f>L727*0.3</f>
        <v>2928.096</v>
      </c>
      <c r="O727" s="3">
        <f>(IF(L727&lt;4172.98,0,MIN(L727*0.3,L727-4172.98)))-M727</f>
        <v>104.20600000000013</v>
      </c>
      <c r="P727" s="6">
        <v>46722</v>
      </c>
      <c r="Q727" t="s">
        <v>77</v>
      </c>
      <c r="R727" s="3">
        <v>2823.89</v>
      </c>
      <c r="S727" s="3" t="s">
        <v>69</v>
      </c>
      <c r="Z727" s="181">
        <v>2</v>
      </c>
    </row>
    <row r="728" spans="1:26">
      <c r="A728" s="30">
        <v>23608362</v>
      </c>
      <c r="B728" s="31">
        <v>46247</v>
      </c>
      <c r="C728" s="32">
        <v>0.57594907407407403</v>
      </c>
      <c r="D728" s="33" t="s">
        <v>743</v>
      </c>
      <c r="E728" s="34">
        <v>5218683963396</v>
      </c>
      <c r="F728" s="33"/>
      <c r="G728" s="33" t="s">
        <v>744</v>
      </c>
      <c r="H728" s="35" t="s">
        <v>745</v>
      </c>
      <c r="I728" s="33"/>
      <c r="J728" s="36"/>
      <c r="K728" t="s">
        <v>54</v>
      </c>
      <c r="L728" s="3">
        <v>9761.69</v>
      </c>
      <c r="N728" s="3">
        <f>L728*0.3</f>
        <v>2928.5070000000001</v>
      </c>
      <c r="O728" s="3">
        <f>(IF(L728&lt;4172.98,0,MIN(L728*0.3,L728-4172.98)))-M728</f>
        <v>2928.5070000000001</v>
      </c>
      <c r="S728" s="3" t="s">
        <v>98</v>
      </c>
      <c r="T728" s="48">
        <v>46247</v>
      </c>
      <c r="Z728" s="181">
        <v>1</v>
      </c>
    </row>
    <row r="729" spans="1:26" hidden="1">
      <c r="A729" s="12">
        <v>23609218</v>
      </c>
      <c r="B729" s="13">
        <v>46247</v>
      </c>
      <c r="C729" s="14">
        <v>0.58879629629629626</v>
      </c>
      <c r="D729" s="15"/>
      <c r="E729" s="16">
        <v>5213310696688</v>
      </c>
      <c r="F729" s="15"/>
      <c r="G729" s="15"/>
      <c r="H729" s="17" t="s">
        <v>746</v>
      </c>
      <c r="I729" s="15"/>
      <c r="J729" s="18"/>
      <c r="K729" t="s">
        <v>30</v>
      </c>
      <c r="L729" s="3">
        <f>9445.01+1191.53</f>
        <v>10636.54</v>
      </c>
      <c r="M729" s="3">
        <f>1191.53+1995.8</f>
        <v>3187.33</v>
      </c>
      <c r="N729" s="3">
        <f>L729*0.3</f>
        <v>3190.962</v>
      </c>
      <c r="O729" s="3">
        <f>(IF(L729&lt;4172.98,0,MIN(L729*0.3,L729-4172.98)))-M729</f>
        <v>3.6320000000000618</v>
      </c>
      <c r="P729" s="6">
        <v>46935</v>
      </c>
      <c r="Q729" t="s">
        <v>57</v>
      </c>
      <c r="R729" s="3">
        <v>1991.53</v>
      </c>
      <c r="S729" s="3" t="s">
        <v>69</v>
      </c>
      <c r="Z729" s="181">
        <v>2</v>
      </c>
    </row>
    <row r="730" spans="1:26">
      <c r="A730" s="12">
        <v>23609578</v>
      </c>
      <c r="B730" s="13">
        <v>46247</v>
      </c>
      <c r="C730" s="14">
        <v>0.59372685185185181</v>
      </c>
      <c r="D730" s="15"/>
      <c r="E730" s="16">
        <v>5219931096212</v>
      </c>
      <c r="F730" s="15"/>
      <c r="G730" s="15"/>
      <c r="H730" s="17">
        <v>83886640941</v>
      </c>
      <c r="I730" s="15"/>
      <c r="J730" s="18"/>
      <c r="K730" t="s">
        <v>54</v>
      </c>
      <c r="L730" s="3">
        <v>10943.16</v>
      </c>
      <c r="N730" s="3">
        <f>L730*0.3</f>
        <v>3282.9479999999999</v>
      </c>
      <c r="O730" s="3">
        <f>(IF(L730&lt;4172.98,0,MIN(L730*0.3,L730-4172.98)))-M730</f>
        <v>3282.9479999999999</v>
      </c>
      <c r="S730" s="3" t="s">
        <v>348</v>
      </c>
      <c r="T730" s="48">
        <v>46247</v>
      </c>
      <c r="Z730" s="181">
        <v>1</v>
      </c>
    </row>
    <row r="731" spans="1:26">
      <c r="A731" s="30">
        <v>23609642</v>
      </c>
      <c r="B731" s="31">
        <v>46247</v>
      </c>
      <c r="C731" s="32">
        <v>0.59456018518518516</v>
      </c>
      <c r="D731" s="33"/>
      <c r="E731" s="34">
        <v>5215554355062</v>
      </c>
      <c r="F731" s="33"/>
      <c r="G731" s="33"/>
      <c r="H731" s="35">
        <v>37966300040</v>
      </c>
      <c r="I731" s="33"/>
      <c r="J731" s="36"/>
      <c r="K731" t="s">
        <v>54</v>
      </c>
      <c r="L731" s="3">
        <v>25209.56</v>
      </c>
      <c r="N731" s="3">
        <f>L731*0.3</f>
        <v>7562.8680000000004</v>
      </c>
      <c r="O731" s="3">
        <f>(IF(L731&lt;4172.98,0,MIN(L731*0.3,L731-4172.98)))-M731</f>
        <v>7562.8680000000004</v>
      </c>
      <c r="S731" s="3" t="s">
        <v>348</v>
      </c>
      <c r="T731" s="48">
        <v>46247</v>
      </c>
      <c r="Z731" s="181">
        <v>1</v>
      </c>
    </row>
    <row r="732" spans="1:26">
      <c r="A732" s="12">
        <v>23609636</v>
      </c>
      <c r="B732" s="13">
        <v>46247</v>
      </c>
      <c r="C732" s="14">
        <v>0.59768518518518521</v>
      </c>
      <c r="D732" s="15"/>
      <c r="E732" s="16">
        <v>5216641106572</v>
      </c>
      <c r="F732" s="15"/>
      <c r="G732" s="15" t="s">
        <v>747</v>
      </c>
      <c r="H732" s="17" t="s">
        <v>748</v>
      </c>
      <c r="I732" s="15"/>
      <c r="J732" s="18"/>
      <c r="K732" t="s">
        <v>54</v>
      </c>
      <c r="L732" s="3">
        <v>9760.32</v>
      </c>
      <c r="N732" s="3">
        <f>L732*0.3</f>
        <v>2928.096</v>
      </c>
      <c r="O732" s="3">
        <f>(IF(L732&lt;4172.98,0,MIN(L732*0.3,L732-4172.98)))-M732</f>
        <v>2928.096</v>
      </c>
      <c r="S732" s="3" t="s">
        <v>35</v>
      </c>
      <c r="T732" s="48">
        <v>46247</v>
      </c>
      <c r="Z732" s="181">
        <v>1</v>
      </c>
    </row>
    <row r="733" spans="1:26">
      <c r="A733" s="30">
        <v>23609330</v>
      </c>
      <c r="B733" s="31">
        <v>46247</v>
      </c>
      <c r="C733" s="32">
        <v>0.59835648148148146</v>
      </c>
      <c r="D733" s="33"/>
      <c r="E733" s="34">
        <v>5219989019681</v>
      </c>
      <c r="F733" s="33"/>
      <c r="G733" s="33"/>
      <c r="H733" s="35" t="s">
        <v>749</v>
      </c>
      <c r="I733" s="33"/>
      <c r="J733" s="36"/>
      <c r="K733" t="s">
        <v>107</v>
      </c>
      <c r="L733" s="3">
        <v>7640.52</v>
      </c>
      <c r="M733" s="3">
        <v>2209.94</v>
      </c>
      <c r="N733" s="3">
        <f>L733*0.3</f>
        <v>2292.1559999999999</v>
      </c>
      <c r="O733" s="3">
        <f>(IF(L733&lt;4172.98,0,MIN(L733*0.3,L733-4172.98)))-M733</f>
        <v>82.215999999999894</v>
      </c>
      <c r="P733" s="6">
        <v>46235</v>
      </c>
      <c r="Q733" t="s">
        <v>44</v>
      </c>
      <c r="R733" s="3">
        <v>967.26</v>
      </c>
      <c r="S733" s="3" t="s">
        <v>271</v>
      </c>
      <c r="T733" s="48">
        <v>46247</v>
      </c>
      <c r="Z733" s="181">
        <v>2</v>
      </c>
    </row>
    <row r="734" spans="1:26">
      <c r="A734" s="12">
        <v>23609708</v>
      </c>
      <c r="B734" s="13">
        <v>46247</v>
      </c>
      <c r="C734" s="14">
        <v>0.6037731481481482</v>
      </c>
      <c r="D734" s="15"/>
      <c r="E734" s="16">
        <v>5216183523164</v>
      </c>
      <c r="F734" s="15"/>
      <c r="G734" s="15"/>
      <c r="H734" s="17">
        <v>31926405775</v>
      </c>
      <c r="I734" s="15"/>
      <c r="J734" s="18"/>
      <c r="K734" t="s">
        <v>34</v>
      </c>
      <c r="L734" s="3">
        <v>9081.52</v>
      </c>
      <c r="M734" s="3">
        <v>2611.13</v>
      </c>
      <c r="N734" s="3">
        <f>L734*0.3</f>
        <v>2724.4560000000001</v>
      </c>
      <c r="O734" s="3">
        <f>(IF(L734&lt;4172.98,0,MIN(L734*0.3,L734-4172.98)))-M734</f>
        <v>113.32600000000002</v>
      </c>
      <c r="P734" s="6">
        <v>46235</v>
      </c>
      <c r="Q734" t="s">
        <v>57</v>
      </c>
      <c r="R734" s="3">
        <v>1707.35</v>
      </c>
      <c r="S734" s="3" t="s">
        <v>674</v>
      </c>
      <c r="T734" s="48">
        <v>46247</v>
      </c>
      <c r="Z734" s="181">
        <v>2</v>
      </c>
    </row>
    <row r="735" spans="1:26" hidden="1">
      <c r="A735" s="30">
        <v>23609910</v>
      </c>
      <c r="B735" s="31">
        <v>46247</v>
      </c>
      <c r="C735" s="32">
        <v>0.60481481481481481</v>
      </c>
      <c r="D735" s="33"/>
      <c r="E735" s="34">
        <v>5216131160754</v>
      </c>
      <c r="F735" s="33"/>
      <c r="G735" s="33" t="s">
        <v>750</v>
      </c>
      <c r="H735" s="35"/>
      <c r="I735" s="33"/>
      <c r="J735" s="36"/>
      <c r="K735" t="s">
        <v>32</v>
      </c>
      <c r="N735" s="3">
        <f>L735*0.3</f>
        <v>0</v>
      </c>
      <c r="O735" s="3">
        <f>(IF(L735&lt;4172.98,0,MIN(L735*0.3,L735-4172.98)))-M735</f>
        <v>0</v>
      </c>
      <c r="S735" s="3" t="s">
        <v>69</v>
      </c>
      <c r="Z735" s="181">
        <v>0</v>
      </c>
    </row>
    <row r="736" spans="1:26" hidden="1">
      <c r="A736" s="12">
        <v>23610272</v>
      </c>
      <c r="B736" s="13">
        <v>46247</v>
      </c>
      <c r="C736" s="14">
        <v>0.61418981481481483</v>
      </c>
      <c r="D736" s="15" t="s">
        <v>751</v>
      </c>
      <c r="E736" s="16">
        <v>5218995464785</v>
      </c>
      <c r="F736" s="15"/>
      <c r="G736" s="33" t="s">
        <v>752</v>
      </c>
      <c r="H736" s="17"/>
      <c r="I736" s="15"/>
      <c r="J736" s="18"/>
      <c r="K736" t="s">
        <v>32</v>
      </c>
      <c r="N736" s="3">
        <f>L736*0.3</f>
        <v>0</v>
      </c>
      <c r="O736" s="3">
        <f>(IF(L736&lt;4172.98,0,MIN(L736*0.3,L736-4172.98)))-M736</f>
        <v>0</v>
      </c>
      <c r="S736" s="3" t="s">
        <v>69</v>
      </c>
      <c r="Z736" s="181">
        <v>0</v>
      </c>
    </row>
    <row r="737" spans="1:26">
      <c r="A737" s="30">
        <v>23610348</v>
      </c>
      <c r="B737" s="31">
        <v>46247</v>
      </c>
      <c r="C737" s="32">
        <v>0.61484953703703704</v>
      </c>
      <c r="D737" s="33"/>
      <c r="E737" s="34">
        <v>5216675061700</v>
      </c>
      <c r="F737" s="33"/>
      <c r="G737" s="33"/>
      <c r="H737" s="35">
        <v>23058645963</v>
      </c>
      <c r="I737" s="33"/>
      <c r="J737" s="36"/>
      <c r="K737" t="s">
        <v>54</v>
      </c>
      <c r="L737" s="3">
        <v>8717.68</v>
      </c>
      <c r="N737" s="3">
        <f>L737*0.3</f>
        <v>2615.3040000000001</v>
      </c>
      <c r="O737" s="3">
        <f>(IF(L737&lt;4172.98,0,MIN(L737*0.3,L737-4172.98)))-M737</f>
        <v>2615.3040000000001</v>
      </c>
      <c r="S737" s="3" t="s">
        <v>90</v>
      </c>
      <c r="T737" s="48">
        <v>46247</v>
      </c>
      <c r="Z737" s="181">
        <v>1</v>
      </c>
    </row>
    <row r="738" spans="1:26" hidden="1">
      <c r="A738" s="30">
        <v>23610370</v>
      </c>
      <c r="B738" s="31">
        <v>46247</v>
      </c>
      <c r="C738" s="32">
        <v>0.61820601851851853</v>
      </c>
      <c r="D738" s="33"/>
      <c r="E738" s="34">
        <v>5216565534044</v>
      </c>
      <c r="F738" s="33"/>
      <c r="G738" s="33" t="s">
        <v>753</v>
      </c>
      <c r="H738" s="35">
        <v>31866707057</v>
      </c>
      <c r="I738" s="33"/>
      <c r="J738" s="36"/>
      <c r="K738" t="s">
        <v>32</v>
      </c>
      <c r="N738" s="3">
        <f>L738*0.3</f>
        <v>0</v>
      </c>
      <c r="O738" s="3">
        <f>(IF(L738&lt;4172.98,0,MIN(L738*0.3,L738-4172.98)))-M738</f>
        <v>0</v>
      </c>
      <c r="S738" s="3" t="s">
        <v>69</v>
      </c>
      <c r="Z738" s="181">
        <v>0</v>
      </c>
    </row>
    <row r="739" spans="1:26" hidden="1">
      <c r="A739" s="30">
        <v>23610624</v>
      </c>
      <c r="B739" s="31">
        <v>46247</v>
      </c>
      <c r="C739" s="32">
        <v>0.62146990740740737</v>
      </c>
      <c r="D739" s="33"/>
      <c r="E739" s="34">
        <v>5218781575086</v>
      </c>
      <c r="F739" s="33"/>
      <c r="G739" s="33"/>
      <c r="H739" s="35">
        <v>32806421718</v>
      </c>
      <c r="I739" s="33"/>
      <c r="J739" s="36"/>
      <c r="K739" t="s">
        <v>30</v>
      </c>
      <c r="L739" s="3">
        <f>6361.29+2720.23</f>
        <v>9081.52</v>
      </c>
      <c r="M739" s="3">
        <v>2720.23</v>
      </c>
      <c r="N739" s="3">
        <f>L739*0.3</f>
        <v>2724.4560000000001</v>
      </c>
      <c r="O739" s="3">
        <f>(IF(L739&lt;4172.98,0,MIN(L739*0.3,L739-4172.98)))-M739</f>
        <v>4.2260000000001128</v>
      </c>
      <c r="P739" s="6">
        <v>46113</v>
      </c>
      <c r="Q739" t="s">
        <v>47</v>
      </c>
      <c r="R739" s="3">
        <v>2720.23</v>
      </c>
      <c r="S739" s="3" t="s">
        <v>69</v>
      </c>
      <c r="Z739" s="181">
        <v>2</v>
      </c>
    </row>
    <row r="740" spans="1:26">
      <c r="A740" s="30">
        <v>23611008</v>
      </c>
      <c r="B740" s="31">
        <v>46247</v>
      </c>
      <c r="C740" s="32">
        <v>0.64407407407407402</v>
      </c>
      <c r="D740" s="33" t="s">
        <v>754</v>
      </c>
      <c r="E740" s="34">
        <v>5218442657999</v>
      </c>
      <c r="F740" s="33"/>
      <c r="G740" s="33" t="s">
        <v>755</v>
      </c>
      <c r="H740" s="35"/>
      <c r="I740" s="33"/>
      <c r="J740" s="36"/>
      <c r="K740" t="s">
        <v>27</v>
      </c>
      <c r="L740" s="3">
        <v>9081.52</v>
      </c>
      <c r="M740" s="3">
        <v>2510.65</v>
      </c>
      <c r="N740" s="3">
        <f>L740*0.3</f>
        <v>2724.4560000000001</v>
      </c>
      <c r="O740" s="3">
        <f>(IF(L740&lt;4172.98,0,MIN(L740*0.3,L740-4172.98)))-M740</f>
        <v>213.80600000000004</v>
      </c>
      <c r="P740" s="6">
        <v>46235</v>
      </c>
      <c r="Q740" t="s">
        <v>658</v>
      </c>
      <c r="R740" s="3">
        <v>2510.65</v>
      </c>
      <c r="S740" s="3" t="s">
        <v>90</v>
      </c>
      <c r="T740" s="48">
        <v>46247</v>
      </c>
      <c r="Z740" s="181">
        <v>2</v>
      </c>
    </row>
    <row r="741" spans="1:26" hidden="1">
      <c r="A741" s="30">
        <v>23611106</v>
      </c>
      <c r="B741" s="31">
        <v>46247</v>
      </c>
      <c r="C741" s="32">
        <v>0.65233796296296298</v>
      </c>
      <c r="D741" s="33" t="s">
        <v>756</v>
      </c>
      <c r="E741" s="34">
        <v>5216242638507</v>
      </c>
      <c r="F741" s="33"/>
      <c r="G741" s="33" t="s">
        <v>757</v>
      </c>
      <c r="H741" s="35"/>
      <c r="I741" s="33"/>
      <c r="J741" s="36"/>
      <c r="K741" t="s">
        <v>32</v>
      </c>
      <c r="N741" s="3">
        <f>L741*0.3</f>
        <v>0</v>
      </c>
      <c r="O741" s="3">
        <f>(IF(L741&lt;4172.98,0,MIN(L741*0.3,L741-4172.98)))-M741</f>
        <v>0</v>
      </c>
      <c r="S741" s="3" t="s">
        <v>69</v>
      </c>
      <c r="Z741" s="181">
        <v>0</v>
      </c>
    </row>
    <row r="742" spans="1:26" hidden="1">
      <c r="A742" s="30">
        <v>23611370</v>
      </c>
      <c r="B742" s="31">
        <v>46247</v>
      </c>
      <c r="C742" s="32">
        <v>0.65528935185185189</v>
      </c>
      <c r="D742" s="33" t="s">
        <v>758</v>
      </c>
      <c r="E742" s="34">
        <v>5216563954233</v>
      </c>
      <c r="F742" s="33"/>
      <c r="G742" s="33"/>
      <c r="H742" s="35">
        <v>33704811190</v>
      </c>
      <c r="I742" s="33"/>
      <c r="J742" s="36"/>
      <c r="K742" t="s">
        <v>30</v>
      </c>
      <c r="L742" s="3">
        <v>9709.5499999999993</v>
      </c>
      <c r="M742" s="3">
        <v>2808.21</v>
      </c>
      <c r="N742" s="3">
        <f>L742*0.3</f>
        <v>2912.8649999999998</v>
      </c>
      <c r="O742" s="3">
        <f>(IF(L742&lt;4172.98,0,MIN(L742*0.3,L742-4172.98)))-M742</f>
        <v>104.65499999999975</v>
      </c>
      <c r="P742" s="6">
        <v>46631</v>
      </c>
      <c r="Q742" t="s">
        <v>729</v>
      </c>
      <c r="R742" s="3">
        <v>2808.21</v>
      </c>
      <c r="S742" s="3" t="s">
        <v>69</v>
      </c>
      <c r="Z742" s="181">
        <v>2</v>
      </c>
    </row>
    <row r="743" spans="1:26" hidden="1">
      <c r="A743" s="30">
        <v>23611378</v>
      </c>
      <c r="B743" s="31">
        <v>46247</v>
      </c>
      <c r="C743" s="32">
        <v>0.66296296296296298</v>
      </c>
      <c r="D743" s="33" t="s">
        <v>759</v>
      </c>
      <c r="E743" s="34">
        <v>5218124226541</v>
      </c>
      <c r="F743" s="33"/>
      <c r="G743" s="33" t="s">
        <v>760</v>
      </c>
      <c r="H743" s="35"/>
      <c r="I743" s="33"/>
      <c r="J743" s="36"/>
      <c r="K743" t="s">
        <v>32</v>
      </c>
      <c r="N743" s="3">
        <f>L743*0.3</f>
        <v>0</v>
      </c>
      <c r="O743" s="3">
        <f>(IF(L743&lt;4172.98,0,MIN(L743*0.3,L743-4172.98)))-M743</f>
        <v>0</v>
      </c>
      <c r="S743" s="3" t="s">
        <v>69</v>
      </c>
      <c r="Z743" s="181">
        <v>0</v>
      </c>
    </row>
    <row r="744" spans="1:26" hidden="1">
      <c r="A744" s="30">
        <v>23612368</v>
      </c>
      <c r="B744" s="31">
        <v>46247</v>
      </c>
      <c r="C744" s="32">
        <v>0.68472222222222223</v>
      </c>
      <c r="D744" s="33"/>
      <c r="E744" s="34">
        <v>5219841857607</v>
      </c>
      <c r="F744" s="33"/>
      <c r="G744" s="33"/>
      <c r="H744" s="35">
        <v>11895800206</v>
      </c>
      <c r="I744" s="33"/>
      <c r="J744" s="36"/>
      <c r="K744" t="s">
        <v>30</v>
      </c>
      <c r="L744" s="3">
        <v>5617.63</v>
      </c>
      <c r="M744" s="3">
        <v>1421.43</v>
      </c>
      <c r="N744" s="3">
        <f>L744*0.3</f>
        <v>1685.289</v>
      </c>
      <c r="O744" s="3">
        <f>(IF(L744&lt;4172.98,0,MIN(L744*0.3,L744-4172.98)))-M744</f>
        <v>23.220000000000482</v>
      </c>
      <c r="P744" s="6">
        <v>46905</v>
      </c>
      <c r="Q744" t="s">
        <v>73</v>
      </c>
      <c r="S744" s="3" t="s">
        <v>69</v>
      </c>
      <c r="Z744" s="181">
        <v>2</v>
      </c>
    </row>
    <row r="745" spans="1:26" hidden="1">
      <c r="A745" s="30">
        <v>23578658</v>
      </c>
      <c r="B745" s="31">
        <v>46247</v>
      </c>
      <c r="C745" s="32">
        <v>0.69513888888888886</v>
      </c>
      <c r="D745" s="33" t="s">
        <v>761</v>
      </c>
      <c r="E745" s="34">
        <v>5217228035047</v>
      </c>
      <c r="F745" s="33"/>
      <c r="G745" s="33" t="s">
        <v>762</v>
      </c>
      <c r="H745" s="35">
        <v>16916101468</v>
      </c>
      <c r="I745" s="33"/>
      <c r="J745" s="36"/>
      <c r="K745" t="s">
        <v>30</v>
      </c>
      <c r="L745" s="3">
        <v>5517.84</v>
      </c>
      <c r="M745" s="3">
        <v>1654.95</v>
      </c>
      <c r="N745" s="3">
        <f>L745*0.3</f>
        <v>1655.3520000000001</v>
      </c>
      <c r="O745" s="3">
        <f>(IF(L745&lt;4172.98,0,MIN(L745*0.3,L745-4172.98)))-M745</f>
        <v>-310.08999999999946</v>
      </c>
      <c r="P745" s="6">
        <v>46844</v>
      </c>
      <c r="Q745" t="s">
        <v>44</v>
      </c>
      <c r="S745" s="53" t="s">
        <v>69</v>
      </c>
      <c r="Z745" s="181">
        <v>2</v>
      </c>
    </row>
    <row r="746" spans="1:26">
      <c r="A746" s="30">
        <v>23581048</v>
      </c>
      <c r="B746" s="31">
        <v>46247</v>
      </c>
      <c r="C746" s="32">
        <v>0.69652777777777775</v>
      </c>
      <c r="D746" s="33"/>
      <c r="E746" s="34">
        <v>5218711423023</v>
      </c>
      <c r="F746" s="33"/>
      <c r="G746" s="33"/>
      <c r="H746" s="35">
        <v>32856305217</v>
      </c>
      <c r="I746" s="33"/>
      <c r="J746" s="36"/>
      <c r="K746" t="s">
        <v>38</v>
      </c>
      <c r="L746" s="3">
        <v>32922.79</v>
      </c>
      <c r="M746" s="3">
        <v>9525.35</v>
      </c>
      <c r="N746" s="3">
        <f>L746*0.3</f>
        <v>9876.8369999999995</v>
      </c>
      <c r="O746" s="3">
        <f>(IF(L746&lt;4172.98,0,MIN(L746*0.3,L746-4172.98)))-M746</f>
        <v>351.48699999999917</v>
      </c>
      <c r="P746" s="6">
        <v>46753</v>
      </c>
      <c r="Q746" t="s">
        <v>658</v>
      </c>
      <c r="S746" s="53" t="s">
        <v>266</v>
      </c>
      <c r="T746" s="48">
        <v>46247</v>
      </c>
      <c r="Z746" s="181">
        <v>2</v>
      </c>
    </row>
    <row r="747" spans="1:26" hidden="1">
      <c r="A747" s="30">
        <v>23605680</v>
      </c>
      <c r="B747" s="31">
        <v>46247</v>
      </c>
      <c r="C747" s="32">
        <v>0.69791666666666663</v>
      </c>
      <c r="D747" s="33" t="s">
        <v>763</v>
      </c>
      <c r="E747" s="34">
        <v>5216141056905</v>
      </c>
      <c r="F747" s="33"/>
      <c r="G747" s="33" t="s">
        <v>764</v>
      </c>
      <c r="H747" s="35"/>
      <c r="I747" s="33"/>
      <c r="J747" s="36"/>
      <c r="K747" t="s">
        <v>30</v>
      </c>
      <c r="L747" s="3">
        <v>9081.52</v>
      </c>
      <c r="M747" s="3">
        <v>2452.29</v>
      </c>
      <c r="N747" s="3">
        <f>L747*0.3</f>
        <v>2724.4560000000001</v>
      </c>
      <c r="O747" s="3">
        <f>(IF(L747&lt;4172.98,0,MIN(L747*0.3,L747-4172.98)))-M747</f>
        <v>272.16600000000017</v>
      </c>
      <c r="P747" s="6">
        <v>46388</v>
      </c>
      <c r="Q747" t="s">
        <v>44</v>
      </c>
      <c r="S747" s="53" t="s">
        <v>69</v>
      </c>
      <c r="Z747" s="181">
        <v>2</v>
      </c>
    </row>
    <row r="748" spans="1:26" hidden="1">
      <c r="A748" s="12">
        <v>23612970</v>
      </c>
      <c r="B748" s="13">
        <v>46247</v>
      </c>
      <c r="C748" s="14">
        <v>0.70429398148148148</v>
      </c>
      <c r="D748" s="15" t="s">
        <v>765</v>
      </c>
      <c r="E748" s="16">
        <v>5215513850316</v>
      </c>
      <c r="F748" s="15"/>
      <c r="G748" s="15" t="s">
        <v>766</v>
      </c>
      <c r="H748" s="17"/>
      <c r="I748" s="15"/>
      <c r="J748" s="18"/>
      <c r="K748" t="s">
        <v>30</v>
      </c>
      <c r="L748" s="3">
        <v>9760.32</v>
      </c>
      <c r="M748" s="3">
        <v>2928</v>
      </c>
      <c r="N748" s="3">
        <f t="shared" ref="N748:N749" si="69">L748*0.3</f>
        <v>2928.096</v>
      </c>
      <c r="O748" s="3">
        <f>(IF(L748&lt;4172.98,0,MIN(L748*0.3,L748-4172.98)))-M748</f>
        <v>9.6000000000003638E-2</v>
      </c>
      <c r="P748" s="6">
        <v>46844</v>
      </c>
      <c r="Q748" t="s">
        <v>57</v>
      </c>
      <c r="S748" s="3" t="s">
        <v>69</v>
      </c>
      <c r="Z748" s="181">
        <v>2</v>
      </c>
    </row>
    <row r="749" spans="1:26">
      <c r="A749" s="30">
        <v>23612976</v>
      </c>
      <c r="B749" s="31">
        <v>46247</v>
      </c>
      <c r="C749" s="32">
        <v>0.70634259259259258</v>
      </c>
      <c r="D749" s="33"/>
      <c r="E749" s="34">
        <v>5216391311595</v>
      </c>
      <c r="F749" s="33"/>
      <c r="G749" s="33" t="s">
        <v>767</v>
      </c>
      <c r="H749" s="35"/>
      <c r="I749" s="33"/>
      <c r="J749" s="36"/>
      <c r="K749" t="s">
        <v>54</v>
      </c>
      <c r="L749" s="3">
        <v>13757.57</v>
      </c>
      <c r="N749" s="3">
        <f t="shared" si="69"/>
        <v>4127.2709999999997</v>
      </c>
      <c r="O749" s="3">
        <f>(IF(L749&lt;4172.98,0,MIN(L749*0.3,L749-4172.98)))-M749</f>
        <v>4127.2709999999997</v>
      </c>
      <c r="S749" s="3" t="s">
        <v>348</v>
      </c>
      <c r="T749" s="48">
        <v>46247</v>
      </c>
      <c r="Z749" s="181">
        <v>1</v>
      </c>
    </row>
    <row r="750" spans="1:26">
      <c r="A750" s="30">
        <v>23613032</v>
      </c>
      <c r="B750" s="31">
        <v>46247</v>
      </c>
      <c r="C750" s="32">
        <v>0.70829861111111114</v>
      </c>
      <c r="D750" s="33"/>
      <c r="E750" s="34">
        <v>5212299119751</v>
      </c>
      <c r="F750" s="33"/>
      <c r="G750" s="33"/>
      <c r="H750" s="35" t="s">
        <v>768</v>
      </c>
      <c r="I750" s="33"/>
      <c r="J750" s="36"/>
      <c r="K750" t="s">
        <v>54</v>
      </c>
      <c r="L750" s="3">
        <f>7072.51+848</f>
        <v>7920.51</v>
      </c>
      <c r="M750" s="3">
        <v>848</v>
      </c>
      <c r="N750" s="3">
        <f>L750*0.3</f>
        <v>2376.1529999999998</v>
      </c>
      <c r="O750" s="3">
        <f>(IF(L750&lt;4172.98,0,MIN(L750*0.3,L750-4172.98)))-M750</f>
        <v>1528.1529999999998</v>
      </c>
      <c r="S750" s="3" t="s">
        <v>358</v>
      </c>
      <c r="T750" s="48">
        <v>46247</v>
      </c>
      <c r="Z750" s="181">
        <v>1</v>
      </c>
    </row>
    <row r="751" spans="1:26" hidden="1">
      <c r="A751" s="30">
        <v>23613438</v>
      </c>
      <c r="B751" s="31">
        <v>46247</v>
      </c>
      <c r="C751" s="32">
        <v>0.72307870370370375</v>
      </c>
      <c r="D751" s="33"/>
      <c r="E751" s="34">
        <v>5219983435811</v>
      </c>
      <c r="F751" s="33"/>
      <c r="G751" s="33"/>
      <c r="H751" s="35">
        <v>8293550284</v>
      </c>
      <c r="I751" s="33"/>
      <c r="J751" s="36"/>
      <c r="K751" t="s">
        <v>30</v>
      </c>
      <c r="L751" s="111">
        <v>6435.34</v>
      </c>
      <c r="M751" s="111">
        <v>1861.9</v>
      </c>
      <c r="N751" s="3">
        <f>L751*0.3</f>
        <v>1930.6019999999999</v>
      </c>
      <c r="O751" s="3">
        <f>(IF(L751&lt;4172.98,0,MIN(L751*0.3,L751-4172.98)))-M751</f>
        <v>68.701999999999771</v>
      </c>
      <c r="P751" s="6">
        <v>46722</v>
      </c>
      <c r="Q751" t="s">
        <v>44</v>
      </c>
      <c r="R751" s="111">
        <v>1861.9</v>
      </c>
      <c r="S751" s="3" t="s">
        <v>69</v>
      </c>
      <c r="Z751" s="181">
        <v>2</v>
      </c>
    </row>
    <row r="752" spans="1:26" hidden="1">
      <c r="A752" s="30">
        <v>23613542</v>
      </c>
      <c r="B752" s="31">
        <v>46247</v>
      </c>
      <c r="C752" s="32">
        <v>0.72452546296296294</v>
      </c>
      <c r="D752" s="33"/>
      <c r="E752" s="34">
        <v>5215575373677</v>
      </c>
      <c r="F752" s="33"/>
      <c r="G752" s="33" t="s">
        <v>769</v>
      </c>
      <c r="H752" s="35" t="s">
        <v>770</v>
      </c>
      <c r="I752" s="33"/>
      <c r="J752" s="36"/>
      <c r="K752" t="s">
        <v>30</v>
      </c>
      <c r="L752" s="111">
        <v>5617.63</v>
      </c>
      <c r="M752" s="111">
        <v>1392.79</v>
      </c>
      <c r="N752" s="3">
        <f>L752*0.3</f>
        <v>1685.289</v>
      </c>
      <c r="O752" s="3">
        <f>(IF(L752&lt;4172.98,0,MIN(L752*0.3,L752-4172.98)))-M752</f>
        <v>51.860000000000582</v>
      </c>
      <c r="P752" s="6">
        <v>46692</v>
      </c>
      <c r="Q752" t="s">
        <v>57</v>
      </c>
      <c r="R752" s="111">
        <v>1392.79</v>
      </c>
      <c r="S752" s="3" t="s">
        <v>69</v>
      </c>
      <c r="Z752" s="181">
        <v>2</v>
      </c>
    </row>
    <row r="753" spans="1:26">
      <c r="A753" s="30">
        <v>23614010</v>
      </c>
      <c r="B753" s="31">
        <v>46247</v>
      </c>
      <c r="C753" s="32">
        <v>0.73766203703703703</v>
      </c>
      <c r="D753" s="33"/>
      <c r="E753" s="34">
        <v>5218721366147</v>
      </c>
      <c r="F753" s="33"/>
      <c r="G753" s="33" t="s">
        <v>771</v>
      </c>
      <c r="H753" s="35"/>
      <c r="I753" s="33"/>
      <c r="J753" s="36"/>
      <c r="K753" t="s">
        <v>34</v>
      </c>
      <c r="L753" s="111">
        <v>6459.39</v>
      </c>
      <c r="M753" s="111">
        <v>786.39</v>
      </c>
      <c r="N753" s="3">
        <f>L753*0.3</f>
        <v>1937.817</v>
      </c>
      <c r="O753" s="3">
        <f>(IF(L753&lt;4172.98,0,MIN(L753*0.3,L753-4172.98)))-M753</f>
        <v>1151.4270000000001</v>
      </c>
      <c r="P753" s="6">
        <v>45809</v>
      </c>
      <c r="Q753" t="s">
        <v>141</v>
      </c>
      <c r="R753" s="111">
        <v>786.39</v>
      </c>
      <c r="S753" s="3" t="s">
        <v>35</v>
      </c>
      <c r="T753" s="48">
        <v>46247</v>
      </c>
      <c r="Z753" s="181">
        <v>2</v>
      </c>
    </row>
    <row r="754" spans="1:26" hidden="1">
      <c r="A754" s="30">
        <v>23614078</v>
      </c>
      <c r="B754" s="31">
        <v>46247</v>
      </c>
      <c r="C754" s="32">
        <v>0.74368055555555557</v>
      </c>
      <c r="D754" s="33"/>
      <c r="E754" s="34">
        <v>5216672311681</v>
      </c>
      <c r="F754" s="33"/>
      <c r="G754" s="33"/>
      <c r="H754" s="35" t="s">
        <v>772</v>
      </c>
      <c r="I754" s="33"/>
      <c r="J754" s="36"/>
      <c r="K754" t="s">
        <v>30</v>
      </c>
      <c r="L754" s="111">
        <v>9081.52</v>
      </c>
      <c r="M754" s="111">
        <v>2627.5</v>
      </c>
      <c r="N754" s="3">
        <f>L754*0.3</f>
        <v>2724.4560000000001</v>
      </c>
      <c r="O754" s="3">
        <f>(IF(L754&lt;4172.98,0,MIN(L754*0.3,L754-4172.98)))-M754</f>
        <v>96.956000000000131</v>
      </c>
      <c r="P754" s="6">
        <v>46631</v>
      </c>
      <c r="Q754" t="s">
        <v>77</v>
      </c>
      <c r="R754" s="3">
        <v>1779.5</v>
      </c>
      <c r="S754" s="3" t="s">
        <v>69</v>
      </c>
      <c r="Z754" s="181">
        <v>2</v>
      </c>
    </row>
    <row r="755" spans="1:26" hidden="1">
      <c r="A755" s="30">
        <v>23609590</v>
      </c>
      <c r="B755" s="31">
        <v>46247</v>
      </c>
      <c r="C755" s="32">
        <v>0.74506944444444445</v>
      </c>
      <c r="D755" s="33" t="s">
        <v>773</v>
      </c>
      <c r="E755" s="34">
        <v>5212721178320</v>
      </c>
      <c r="F755" s="33"/>
      <c r="G755" s="33" t="s">
        <v>774</v>
      </c>
      <c r="H755" s="35"/>
      <c r="I755" s="33"/>
      <c r="J755" s="36"/>
      <c r="K755" t="s">
        <v>32</v>
      </c>
      <c r="N755" s="3">
        <f>L755*0.3</f>
        <v>0</v>
      </c>
      <c r="O755" s="3">
        <f>(IF(L755&lt;4172.98,0,MIN(L755*0.3,L755-4172.98)))-M755</f>
        <v>0</v>
      </c>
      <c r="S755" s="53" t="s">
        <v>69</v>
      </c>
      <c r="Z755" s="181">
        <v>0</v>
      </c>
    </row>
    <row r="756" spans="1:26" hidden="1">
      <c r="A756" s="30">
        <v>23614200</v>
      </c>
      <c r="B756" s="31">
        <v>46247</v>
      </c>
      <c r="C756" s="32">
        <v>0.74962962962962965</v>
      </c>
      <c r="D756" s="33"/>
      <c r="E756" s="34">
        <v>5216624495150</v>
      </c>
      <c r="F756" s="33"/>
      <c r="G756" s="33" t="s">
        <v>775</v>
      </c>
      <c r="H756" s="35"/>
      <c r="I756" s="33"/>
      <c r="J756" s="36"/>
      <c r="K756" t="s">
        <v>58</v>
      </c>
      <c r="L756" s="3">
        <v>3882.85</v>
      </c>
      <c r="N756" s="3">
        <f>L756*0.3</f>
        <v>1164.855</v>
      </c>
      <c r="O756" s="3">
        <f>(IF(L756&lt;4172.98,0,MIN(L756*0.3,L756-4172.98)))-M756</f>
        <v>0</v>
      </c>
      <c r="S756" s="3" t="s">
        <v>69</v>
      </c>
      <c r="U756" s="85"/>
      <c r="Z756" s="181">
        <v>1</v>
      </c>
    </row>
    <row r="757" spans="1:26">
      <c r="A757" s="12">
        <v>23615044</v>
      </c>
      <c r="B757" s="13">
        <v>46247</v>
      </c>
      <c r="C757" s="14">
        <v>0.78057870370370375</v>
      </c>
      <c r="D757" s="15"/>
      <c r="E757" s="16">
        <v>5214341000504</v>
      </c>
      <c r="F757" s="15"/>
      <c r="G757" s="15" t="s">
        <v>776</v>
      </c>
      <c r="H757" s="17"/>
      <c r="I757" s="15"/>
      <c r="J757" s="18">
        <v>1</v>
      </c>
      <c r="K757" t="s">
        <v>54</v>
      </c>
      <c r="L757" s="3">
        <v>10636.64</v>
      </c>
      <c r="N757" s="3">
        <f>L757*0.3</f>
        <v>3190.9919999999997</v>
      </c>
      <c r="O757" s="3">
        <f>(IF(L757&lt;4172.98,0,MIN(L757*0.3,L757-4172.98)))-M757</f>
        <v>3190.9919999999997</v>
      </c>
      <c r="S757" s="3" t="s">
        <v>98</v>
      </c>
      <c r="T757" s="48">
        <v>46248</v>
      </c>
      <c r="Z757" s="181">
        <v>1</v>
      </c>
    </row>
    <row r="758" spans="1:26">
      <c r="A758" s="12">
        <v>23615368</v>
      </c>
      <c r="B758" s="13">
        <v>46247</v>
      </c>
      <c r="C758" s="14">
        <v>0.79650462962962965</v>
      </c>
      <c r="D758" s="15"/>
      <c r="E758" s="16">
        <v>5219331367828</v>
      </c>
      <c r="F758" s="15"/>
      <c r="G758" s="15" t="s">
        <v>777</v>
      </c>
      <c r="H758" s="17" t="s">
        <v>778</v>
      </c>
      <c r="I758" s="15"/>
      <c r="J758" s="18">
        <v>1</v>
      </c>
      <c r="K758" t="s">
        <v>54</v>
      </c>
      <c r="L758" s="3">
        <v>24604.6</v>
      </c>
      <c r="M758" s="3">
        <v>3855.46</v>
      </c>
      <c r="N758" s="3">
        <f>L758*0.3</f>
        <v>7381.3799999999992</v>
      </c>
      <c r="O758" s="3">
        <f>(IF(L758&lt;4172.98,0,MIN(L758*0.3,L758-4172.98)))-M758</f>
        <v>3525.9199999999992</v>
      </c>
      <c r="P758" s="6">
        <v>46905</v>
      </c>
      <c r="Q758" t="s">
        <v>44</v>
      </c>
      <c r="S758" s="3" t="s">
        <v>28</v>
      </c>
      <c r="T758" s="48">
        <v>46248</v>
      </c>
      <c r="Z758" s="181">
        <v>2</v>
      </c>
    </row>
    <row r="759" spans="1:26" hidden="1">
      <c r="A759" s="12">
        <v>23615544</v>
      </c>
      <c r="B759" s="13">
        <v>46247</v>
      </c>
      <c r="C759" s="14">
        <v>0.80584490740740744</v>
      </c>
      <c r="D759" s="15"/>
      <c r="E759" s="16">
        <v>5213334163892</v>
      </c>
      <c r="F759" s="15"/>
      <c r="G759" s="15" t="s">
        <v>779</v>
      </c>
      <c r="H759" s="17"/>
      <c r="I759" s="15"/>
      <c r="J759" s="18">
        <v>1</v>
      </c>
      <c r="K759" t="s">
        <v>30</v>
      </c>
      <c r="L759" s="3">
        <v>5019.58</v>
      </c>
      <c r="M759" s="3">
        <v>816.47</v>
      </c>
      <c r="N759" s="3">
        <f>L759*0.3</f>
        <v>1505.874</v>
      </c>
      <c r="O759" s="3">
        <f>(IF(L759&lt;4172.98,0,MIN(L759*0.3,L759-4172.98)))-M759</f>
        <v>30.130000000000337</v>
      </c>
      <c r="P759" s="6">
        <v>46508</v>
      </c>
      <c r="Q759" t="s">
        <v>44</v>
      </c>
      <c r="S759" s="3" t="s">
        <v>69</v>
      </c>
      <c r="Z759" s="181">
        <v>2</v>
      </c>
    </row>
    <row r="760" spans="1:26">
      <c r="A760" s="12">
        <v>23615376</v>
      </c>
      <c r="B760" s="13">
        <v>46247</v>
      </c>
      <c r="C760" s="14">
        <v>0.81518518518518523</v>
      </c>
      <c r="D760" s="15"/>
      <c r="E760" s="16">
        <v>5218113263908</v>
      </c>
      <c r="F760" s="15"/>
      <c r="G760" s="15"/>
      <c r="H760" s="17">
        <v>15876500727</v>
      </c>
      <c r="I760" s="15"/>
      <c r="J760" s="18">
        <v>1</v>
      </c>
      <c r="K760" t="s">
        <v>54</v>
      </c>
      <c r="L760" s="3">
        <v>10636.54</v>
      </c>
      <c r="N760" s="3">
        <f>L760*0.3</f>
        <v>3190.962</v>
      </c>
      <c r="O760" s="3">
        <f>(IF(L760&lt;4172.98,0,MIN(L760*0.3,L760-4172.98)))-M760</f>
        <v>3190.962</v>
      </c>
      <c r="S760" s="3" t="s">
        <v>95</v>
      </c>
      <c r="T760" s="48">
        <v>46248</v>
      </c>
      <c r="Z760" s="181">
        <v>1</v>
      </c>
    </row>
    <row r="761" spans="1:26" hidden="1">
      <c r="A761" s="30">
        <v>23616376</v>
      </c>
      <c r="B761" s="31">
        <v>46247</v>
      </c>
      <c r="C761" s="32">
        <v>0.8493518518518518</v>
      </c>
      <c r="D761" s="33"/>
      <c r="E761" s="34">
        <v>5216183252060</v>
      </c>
      <c r="F761" s="33"/>
      <c r="G761" s="33"/>
      <c r="H761" s="35">
        <v>31937832256</v>
      </c>
      <c r="I761" s="33"/>
      <c r="J761" s="36">
        <v>1</v>
      </c>
      <c r="K761" t="s">
        <v>30</v>
      </c>
      <c r="L761" s="3">
        <v>8181.52</v>
      </c>
      <c r="M761" s="3">
        <v>2454.1</v>
      </c>
      <c r="N761" s="3">
        <f>L761*0.3</f>
        <v>2454.4560000000001</v>
      </c>
      <c r="O761" s="3">
        <f>(IF(L761&lt;4172.98,0,MIN(L761*0.3,L761-4172.98)))-M761</f>
        <v>0.35600000000022192</v>
      </c>
      <c r="P761" s="6">
        <v>46784</v>
      </c>
      <c r="Q761" t="s">
        <v>57</v>
      </c>
      <c r="S761" s="3" t="s">
        <v>69</v>
      </c>
      <c r="Z761" s="181">
        <v>2</v>
      </c>
    </row>
    <row r="762" spans="1:26" hidden="1">
      <c r="A762" s="30">
        <v>23616982</v>
      </c>
      <c r="B762" s="31">
        <v>46247</v>
      </c>
      <c r="C762" s="32">
        <v>0.89298611111111115</v>
      </c>
      <c r="D762" s="33"/>
      <c r="E762" s="34">
        <v>5216862389036</v>
      </c>
      <c r="F762" s="33"/>
      <c r="G762" s="33" t="s">
        <v>780</v>
      </c>
      <c r="H762" s="35"/>
      <c r="I762" s="33"/>
      <c r="J762" s="36">
        <v>1</v>
      </c>
      <c r="K762" t="s">
        <v>30</v>
      </c>
      <c r="L762" s="3">
        <v>6262.86</v>
      </c>
      <c r="M762" s="3">
        <v>6262.86</v>
      </c>
      <c r="N762" s="3">
        <f>L762*0.3</f>
        <v>1878.8579999999997</v>
      </c>
      <c r="O762" s="3">
        <f>(IF(L762&lt;4172.98,0,MIN(L762*0.3,L762-4172.98)))-M762</f>
        <v>-4384.0020000000004</v>
      </c>
      <c r="P762" s="6">
        <v>46692</v>
      </c>
      <c r="Q762" t="s">
        <v>44</v>
      </c>
      <c r="S762" s="3" t="s">
        <v>69</v>
      </c>
      <c r="Z762" s="181">
        <v>2</v>
      </c>
    </row>
    <row r="763" spans="1:26">
      <c r="A763" s="12">
        <v>23617738</v>
      </c>
      <c r="B763" s="13">
        <v>46247</v>
      </c>
      <c r="C763" s="14">
        <v>0.95782407407407411</v>
      </c>
      <c r="D763" s="15" t="s">
        <v>781</v>
      </c>
      <c r="E763" s="16">
        <v>5213347585038</v>
      </c>
      <c r="F763" s="15"/>
      <c r="G763" s="15"/>
      <c r="H763" s="17" t="s">
        <v>782</v>
      </c>
      <c r="I763" s="15"/>
      <c r="J763" s="18">
        <v>1</v>
      </c>
      <c r="K763" t="s">
        <v>54</v>
      </c>
      <c r="L763" s="3">
        <f>8384.12+879</f>
        <v>9263.1200000000008</v>
      </c>
      <c r="M763" s="3">
        <v>879</v>
      </c>
      <c r="N763" s="3">
        <f>L763*0.3</f>
        <v>2778.9360000000001</v>
      </c>
      <c r="O763" s="3">
        <f>(IF(L763&lt;4172.98,0,MIN(L763*0.3,L763-4172.98)))-M763</f>
        <v>1899.9360000000001</v>
      </c>
      <c r="S763" s="3" t="s">
        <v>98</v>
      </c>
      <c r="T763" s="48">
        <v>46248</v>
      </c>
      <c r="Z763" s="181">
        <v>1</v>
      </c>
    </row>
    <row r="764" spans="1:26" hidden="1">
      <c r="A764" s="12">
        <v>23617860</v>
      </c>
      <c r="B764" s="13">
        <v>46247</v>
      </c>
      <c r="C764" s="14">
        <v>0.97204861111111107</v>
      </c>
      <c r="D764" s="15"/>
      <c r="E764" s="16">
        <v>5214922688850</v>
      </c>
      <c r="F764" s="15"/>
      <c r="G764" s="15" t="s">
        <v>783</v>
      </c>
      <c r="H764" s="17"/>
      <c r="I764" s="15"/>
      <c r="J764" s="18">
        <v>1</v>
      </c>
      <c r="K764" t="s">
        <v>32</v>
      </c>
      <c r="N764" s="3">
        <f>L764*0.3</f>
        <v>0</v>
      </c>
      <c r="O764" s="3">
        <f>(IF(L764&lt;4172.98,0,MIN(L764*0.3,L764-4172.98)))-M764</f>
        <v>0</v>
      </c>
      <c r="S764" s="3" t="s">
        <v>69</v>
      </c>
      <c r="Z764" s="181">
        <v>0</v>
      </c>
    </row>
    <row r="765" spans="1:26" hidden="1">
      <c r="A765" s="12">
        <v>23618148</v>
      </c>
      <c r="B765" s="13">
        <v>46247</v>
      </c>
      <c r="C765" s="14">
        <v>0.99271990740740745</v>
      </c>
      <c r="D765" s="15" t="s">
        <v>784</v>
      </c>
      <c r="E765" s="16">
        <v>5216681026444</v>
      </c>
      <c r="F765" s="15"/>
      <c r="G765" s="15"/>
      <c r="H765" s="17">
        <v>23715215390</v>
      </c>
      <c r="I765" s="15"/>
      <c r="J765" s="18">
        <v>1</v>
      </c>
      <c r="K765" t="s">
        <v>32</v>
      </c>
      <c r="N765" s="3">
        <f>L765*0.3</f>
        <v>0</v>
      </c>
      <c r="O765" s="3">
        <f>(IF(L765&lt;4172.98,0,MIN(L765*0.3,L765-4172.98)))-M765</f>
        <v>0</v>
      </c>
      <c r="S765" s="3" t="s">
        <v>69</v>
      </c>
      <c r="Z765" s="181">
        <v>0</v>
      </c>
    </row>
    <row r="766" spans="1:26" hidden="1">
      <c r="A766" s="12">
        <v>23618334</v>
      </c>
      <c r="B766" s="13">
        <v>46248</v>
      </c>
      <c r="C766" s="14">
        <v>2.0474537037037038E-2</v>
      </c>
      <c r="D766" s="15"/>
      <c r="E766" s="16">
        <v>5218116994644</v>
      </c>
      <c r="F766" s="15"/>
      <c r="G766" s="15"/>
      <c r="H766" s="17">
        <v>43947161238</v>
      </c>
      <c r="I766" s="15"/>
      <c r="J766" s="18"/>
      <c r="K766" t="s">
        <v>32</v>
      </c>
      <c r="N766" s="3">
        <f>L766*0.3</f>
        <v>0</v>
      </c>
      <c r="O766" s="3">
        <f>(IF(L766&lt;4172.98,0,MIN(L766*0.3,L766-4172.98)))-M766</f>
        <v>0</v>
      </c>
      <c r="S766" s="3" t="s">
        <v>69</v>
      </c>
      <c r="Z766" s="181">
        <v>0</v>
      </c>
    </row>
    <row r="767" spans="1:26" hidden="1">
      <c r="A767" s="12">
        <v>23618490</v>
      </c>
      <c r="B767" s="13">
        <v>46248</v>
      </c>
      <c r="C767" s="14">
        <v>0.14951388888888889</v>
      </c>
      <c r="D767" s="15"/>
      <c r="E767" s="16"/>
      <c r="F767" s="15"/>
      <c r="G767" s="15"/>
      <c r="H767" s="17" t="s">
        <v>785</v>
      </c>
      <c r="I767" s="15"/>
      <c r="J767" s="18"/>
      <c r="K767" t="s">
        <v>58</v>
      </c>
      <c r="L767" s="3">
        <f>2672.62+879</f>
        <v>3551.62</v>
      </c>
      <c r="M767" s="3">
        <v>879</v>
      </c>
      <c r="N767" s="3">
        <f>L767*0.3</f>
        <v>1065.4859999999999</v>
      </c>
      <c r="O767" s="3">
        <f>(IF(L767&lt;4172.98,0,MIN(L767*0.3,L767-4172.98)))-M767</f>
        <v>-879</v>
      </c>
      <c r="S767" s="3" t="s">
        <v>69</v>
      </c>
      <c r="Z767" s="181">
        <v>1</v>
      </c>
    </row>
    <row r="768" spans="1:26">
      <c r="A768" s="12">
        <v>23628198</v>
      </c>
      <c r="B768" s="13">
        <v>46248</v>
      </c>
      <c r="C768" s="14">
        <v>0.32622685185185185</v>
      </c>
      <c r="D768" s="15" t="s">
        <v>786</v>
      </c>
      <c r="E768" s="16">
        <v>7298158873</v>
      </c>
      <c r="F768" s="15"/>
      <c r="G768" s="15" t="s">
        <v>787</v>
      </c>
      <c r="H768" s="17"/>
      <c r="I768" s="15"/>
      <c r="J768" s="18"/>
      <c r="K768" t="s">
        <v>54</v>
      </c>
      <c r="L768" s="3">
        <f>20382.23+6539.67</f>
        <v>26921.9</v>
      </c>
      <c r="M768" s="3">
        <v>6539.67</v>
      </c>
      <c r="N768" s="3">
        <f>L768*0.3</f>
        <v>8076.57</v>
      </c>
      <c r="O768" s="3">
        <f>(IF(L768&lt;4172.98,0,MIN(L768*0.3,L768-4172.98)))-M768</f>
        <v>1536.8999999999996</v>
      </c>
      <c r="P768" s="6">
        <v>46327</v>
      </c>
      <c r="Q768" t="s">
        <v>75</v>
      </c>
      <c r="R768" s="3">
        <v>6539.67</v>
      </c>
      <c r="S768" s="3" t="s">
        <v>95</v>
      </c>
      <c r="T768" s="48">
        <v>46248</v>
      </c>
      <c r="Z768" s="181">
        <v>2</v>
      </c>
    </row>
    <row r="769" spans="1:26">
      <c r="A769" s="12">
        <v>23630392</v>
      </c>
      <c r="B769" s="13">
        <v>46248</v>
      </c>
      <c r="C769" s="14">
        <v>0.34861111111111109</v>
      </c>
      <c r="D769" s="15"/>
      <c r="E769" s="16">
        <v>5214462894951</v>
      </c>
      <c r="F769" s="15"/>
      <c r="G769" s="15" t="s">
        <v>788</v>
      </c>
      <c r="H769" s="17" t="s">
        <v>789</v>
      </c>
      <c r="I769" s="15"/>
      <c r="J769" s="18"/>
      <c r="K769" t="s">
        <v>107</v>
      </c>
      <c r="L769" s="3">
        <f>4446.21+757.95</f>
        <v>5204.16</v>
      </c>
      <c r="M769" s="3">
        <v>757.95</v>
      </c>
      <c r="N769" s="3">
        <f>L769*0.3</f>
        <v>1561.2479999999998</v>
      </c>
      <c r="O769" s="3">
        <f>(IF(L769&lt;4172.98,0,MIN(L769*0.3,L769-4172.98)))-M769</f>
        <v>273.23000000000025</v>
      </c>
      <c r="S769" s="3" t="s">
        <v>271</v>
      </c>
      <c r="T769" s="48">
        <v>46248</v>
      </c>
      <c r="Z769" s="181">
        <v>1</v>
      </c>
    </row>
    <row r="770" spans="1:26">
      <c r="A770" s="30">
        <v>23631334</v>
      </c>
      <c r="B770" s="31">
        <v>46248</v>
      </c>
      <c r="C770" s="32">
        <v>0.37214120370370368</v>
      </c>
      <c r="D770" s="33"/>
      <c r="E770" s="34">
        <v>5218131028439</v>
      </c>
      <c r="F770" s="33"/>
      <c r="G770" s="33"/>
      <c r="H770" s="35">
        <v>43836527390</v>
      </c>
      <c r="I770" s="33"/>
      <c r="J770" s="36"/>
      <c r="K770" t="s">
        <v>38</v>
      </c>
      <c r="L770" s="3">
        <f>7744.23+2016.09</f>
        <v>9760.32</v>
      </c>
      <c r="M770" s="3">
        <v>2016.09</v>
      </c>
      <c r="N770" s="3">
        <f>L770*0.3</f>
        <v>2928.096</v>
      </c>
      <c r="O770" s="3">
        <f>(IF(L770&lt;4172.98,0,MIN(L770*0.3,L770-4172.98)))-M770</f>
        <v>912.00600000000009</v>
      </c>
      <c r="P770" s="6">
        <v>46844</v>
      </c>
      <c r="Q770" t="s">
        <v>334</v>
      </c>
      <c r="R770" s="3">
        <v>2016.09</v>
      </c>
      <c r="S770" s="3" t="s">
        <v>266</v>
      </c>
      <c r="T770" s="48">
        <v>46248</v>
      </c>
      <c r="Z770" s="181">
        <v>2</v>
      </c>
    </row>
    <row r="771" spans="1:26" hidden="1">
      <c r="A771" s="30">
        <v>23582010</v>
      </c>
      <c r="B771" s="31">
        <v>46248</v>
      </c>
      <c r="C771" s="32">
        <v>0.38750000000000001</v>
      </c>
      <c r="D771" s="33" t="s">
        <v>790</v>
      </c>
      <c r="E771" s="34">
        <v>5216231055034</v>
      </c>
      <c r="F771" s="33"/>
      <c r="G771" s="33" t="s">
        <v>791</v>
      </c>
      <c r="H771" s="35"/>
      <c r="I771" s="33"/>
      <c r="J771" s="36"/>
      <c r="K771" t="s">
        <v>30</v>
      </c>
      <c r="L771" s="3">
        <f>5544.51+2232+144</f>
        <v>7920.51</v>
      </c>
      <c r="M771" s="3">
        <f>144+2232</f>
        <v>2376</v>
      </c>
      <c r="N771" s="3">
        <f>L771*0.3</f>
        <v>2376.1529999999998</v>
      </c>
      <c r="O771" s="3">
        <f>(IF(L771&lt;4172.98,0,MIN(L771*0.3,L771-4172.98)))-M771</f>
        <v>0.15299999999979264</v>
      </c>
      <c r="P771" s="6">
        <v>46661</v>
      </c>
      <c r="Q771" t="s">
        <v>75</v>
      </c>
      <c r="R771" s="3">
        <v>2232</v>
      </c>
      <c r="S771" s="53" t="s">
        <v>69</v>
      </c>
      <c r="Z771" s="181">
        <v>2</v>
      </c>
    </row>
    <row r="772" spans="1:26" hidden="1">
      <c r="A772" s="30">
        <v>23632096</v>
      </c>
      <c r="B772" s="31">
        <v>46248</v>
      </c>
      <c r="C772" s="32">
        <v>0.38783564814814814</v>
      </c>
      <c r="D772" s="33"/>
      <c r="E772" s="34">
        <v>5219831891480</v>
      </c>
      <c r="F772" s="33"/>
      <c r="G772" s="33" t="s">
        <v>792</v>
      </c>
      <c r="H772" s="35"/>
      <c r="I772" s="33"/>
      <c r="J772" s="36"/>
      <c r="K772" t="s">
        <v>30</v>
      </c>
      <c r="L772" s="3">
        <f>5546.66+930.25+1443.6</f>
        <v>7920.51</v>
      </c>
      <c r="M772" s="3">
        <f>930.25+1443.6</f>
        <v>2373.85</v>
      </c>
      <c r="N772" s="3">
        <f>L772*0.3</f>
        <v>2376.1529999999998</v>
      </c>
      <c r="O772" s="3">
        <f>(IF(L772&lt;4172.98,0,MIN(L772*0.3,L772-4172.98)))-M772</f>
        <v>2.3029999999998836</v>
      </c>
      <c r="P772" s="6">
        <v>46631</v>
      </c>
      <c r="Q772" t="s">
        <v>141</v>
      </c>
      <c r="R772" s="3">
        <v>1443.6</v>
      </c>
      <c r="S772" s="3" t="s">
        <v>69</v>
      </c>
      <c r="Z772" s="181">
        <v>2</v>
      </c>
    </row>
    <row r="773" spans="1:26" hidden="1">
      <c r="A773" s="30">
        <v>23632238</v>
      </c>
      <c r="B773" s="31">
        <v>46248</v>
      </c>
      <c r="C773" s="32">
        <v>0.39508101851851851</v>
      </c>
      <c r="D773" s="33"/>
      <c r="E773" s="34">
        <v>5217971207117</v>
      </c>
      <c r="F773" s="33"/>
      <c r="G773" s="33"/>
      <c r="H773" s="35" t="s">
        <v>793</v>
      </c>
      <c r="I773" s="33"/>
      <c r="J773" s="36"/>
      <c r="K773" t="s">
        <v>30</v>
      </c>
      <c r="L773" s="3">
        <f>6454.02+2627.5</f>
        <v>9081.52</v>
      </c>
      <c r="M773" s="3">
        <v>2627.5</v>
      </c>
      <c r="N773" s="3">
        <f>L773*0.3</f>
        <v>2724.4560000000001</v>
      </c>
      <c r="O773" s="3">
        <f>(IF(L773&lt;4172.98,0,MIN(L773*0.3,L773-4172.98)))-M773</f>
        <v>96.956000000000131</v>
      </c>
      <c r="P773" s="6">
        <v>46661</v>
      </c>
      <c r="Q773" t="s">
        <v>44</v>
      </c>
      <c r="R773" s="3">
        <v>2627.5</v>
      </c>
      <c r="S773" s="3" t="s">
        <v>69</v>
      </c>
      <c r="Z773" s="181">
        <v>2</v>
      </c>
    </row>
    <row r="774" spans="1:26" hidden="1">
      <c r="A774" s="30">
        <v>23633530</v>
      </c>
      <c r="B774" s="31">
        <v>46248</v>
      </c>
      <c r="C774" s="32">
        <v>0.42230324074074072</v>
      </c>
      <c r="D774" s="33"/>
      <c r="E774" s="34">
        <v>5216621371932</v>
      </c>
      <c r="F774" s="33"/>
      <c r="G774" s="33"/>
      <c r="H774" s="35">
        <v>24806101093</v>
      </c>
      <c r="I774" s="33"/>
      <c r="J774" s="36"/>
      <c r="K774" t="s">
        <v>30</v>
      </c>
      <c r="L774" s="3">
        <v>7920.51</v>
      </c>
      <c r="M774" s="3">
        <v>2147.14</v>
      </c>
      <c r="N774" s="3">
        <f>L774*0.3</f>
        <v>2376.1529999999998</v>
      </c>
      <c r="O774" s="3">
        <f>(IF(L774&lt;4172.98,0,MIN(L774*0.3,L774-4172.98)))-M774</f>
        <v>229.01299999999992</v>
      </c>
      <c r="P774" s="6">
        <v>46327</v>
      </c>
      <c r="Q774" t="s">
        <v>75</v>
      </c>
      <c r="R774" s="3">
        <v>2147</v>
      </c>
      <c r="S774" s="3" t="s">
        <v>69</v>
      </c>
      <c r="Z774" s="181">
        <v>2</v>
      </c>
    </row>
    <row r="775" spans="1:26">
      <c r="A775" s="30">
        <v>23633758</v>
      </c>
      <c r="B775" s="31">
        <v>46248</v>
      </c>
      <c r="C775" s="32">
        <v>0.42599537037037039</v>
      </c>
      <c r="D775" s="33"/>
      <c r="E775" s="34">
        <v>5212217455349</v>
      </c>
      <c r="F775" s="33"/>
      <c r="G775" s="15"/>
      <c r="H775" s="17">
        <v>62896609781</v>
      </c>
      <c r="I775" s="33"/>
      <c r="J775" s="36"/>
      <c r="K775" t="s">
        <v>54</v>
      </c>
      <c r="L775" s="3">
        <v>39969.120000000003</v>
      </c>
      <c r="N775" s="3">
        <f>L775*0.3</f>
        <v>11990.736000000001</v>
      </c>
      <c r="O775" s="3">
        <f>(IF(L775&lt;4172.98,0,MIN(L775*0.3,L775-4172.98)))-M775</f>
        <v>11990.736000000001</v>
      </c>
      <c r="S775" s="3" t="s">
        <v>28</v>
      </c>
      <c r="T775" s="48">
        <v>46248</v>
      </c>
      <c r="Z775" s="181">
        <v>1</v>
      </c>
    </row>
    <row r="776" spans="1:26" hidden="1">
      <c r="A776" s="30">
        <v>23634104</v>
      </c>
      <c r="B776" s="31">
        <v>46248</v>
      </c>
      <c r="C776" s="32">
        <v>0.43590277777777775</v>
      </c>
      <c r="D776" s="33"/>
      <c r="E776" s="34">
        <v>5216142121531</v>
      </c>
      <c r="F776" s="33"/>
      <c r="G776" s="15" t="s">
        <v>794</v>
      </c>
      <c r="H776" s="17">
        <v>54796067087</v>
      </c>
      <c r="I776" s="33"/>
      <c r="J776" s="36"/>
      <c r="K776" t="s">
        <v>30</v>
      </c>
      <c r="L776" s="3">
        <v>7920.51</v>
      </c>
      <c r="M776" s="3">
        <v>2376.15</v>
      </c>
      <c r="N776" s="3">
        <f>L776*0.3</f>
        <v>2376.1529999999998</v>
      </c>
      <c r="O776" s="3">
        <f>(IF(L776&lt;4172.98,0,MIN(L776*0.3,L776-4172.98)))-M776</f>
        <v>2.9999999997016857E-3</v>
      </c>
      <c r="P776" s="6">
        <v>46905</v>
      </c>
      <c r="Q776" t="s">
        <v>44</v>
      </c>
      <c r="R776" s="3">
        <v>2376.15</v>
      </c>
      <c r="S776" s="3" t="s">
        <v>69</v>
      </c>
      <c r="Z776" s="181">
        <v>2</v>
      </c>
    </row>
    <row r="777" spans="1:26" hidden="1">
      <c r="A777" s="116">
        <v>23634472</v>
      </c>
      <c r="B777" s="118">
        <v>46248</v>
      </c>
      <c r="C777" s="119">
        <v>0.44971064814814815</v>
      </c>
      <c r="D777" s="117"/>
      <c r="E777" s="117">
        <v>5214641009330</v>
      </c>
      <c r="F777" s="117"/>
      <c r="G777" s="117"/>
      <c r="H777" s="117">
        <v>12806219809</v>
      </c>
      <c r="I777" s="117"/>
      <c r="J777" s="120"/>
      <c r="K777" t="s">
        <v>30</v>
      </c>
      <c r="L777" s="3">
        <v>9760.32</v>
      </c>
      <c r="M777" s="3">
        <v>2718.48</v>
      </c>
      <c r="N777" s="3">
        <f>L777*0.3</f>
        <v>2928.096</v>
      </c>
      <c r="O777" s="3">
        <f>(IF(L777&lt;4172.98,0,MIN(L777*0.3,L777-4172.98)))-M777</f>
        <v>209.61599999999999</v>
      </c>
      <c r="P777" s="6">
        <v>46631</v>
      </c>
      <c r="Q777" t="s">
        <v>75</v>
      </c>
      <c r="R777" s="3">
        <v>2718</v>
      </c>
      <c r="S777" s="3" t="s">
        <v>69</v>
      </c>
      <c r="Z777" s="181">
        <v>2</v>
      </c>
    </row>
    <row r="778" spans="1:26" hidden="1">
      <c r="A778" s="30">
        <v>23637606</v>
      </c>
      <c r="B778" s="31">
        <v>46248</v>
      </c>
      <c r="C778" s="32">
        <v>0.49252314814814813</v>
      </c>
      <c r="D778" s="33"/>
      <c r="E778" s="34">
        <v>5216672163691</v>
      </c>
      <c r="F778" s="33"/>
      <c r="G778" s="33"/>
      <c r="H778" s="35">
        <v>23907025235</v>
      </c>
      <c r="I778" s="33"/>
      <c r="J778" s="36"/>
      <c r="K778" t="s">
        <v>58</v>
      </c>
      <c r="L778" s="3">
        <v>2213.65</v>
      </c>
      <c r="N778" s="3">
        <f>L778*0.3</f>
        <v>664.09500000000003</v>
      </c>
      <c r="O778" s="3">
        <f>(IF(L778&lt;4172.98,0,MIN(L778*0.3,L778-4172.98)))-M778</f>
        <v>0</v>
      </c>
      <c r="S778" s="3" t="s">
        <v>69</v>
      </c>
      <c r="Z778" s="181">
        <v>1</v>
      </c>
    </row>
    <row r="779" spans="1:26" hidden="1">
      <c r="A779" s="30">
        <v>23634376</v>
      </c>
      <c r="B779" s="31">
        <v>46248</v>
      </c>
      <c r="C779" s="32">
        <v>0.49697916666666669</v>
      </c>
      <c r="D779" s="33" t="s">
        <v>795</v>
      </c>
      <c r="E779" s="34">
        <v>5215584299454</v>
      </c>
      <c r="F779" s="33"/>
      <c r="G779" s="33"/>
      <c r="H779" s="35" t="s">
        <v>796</v>
      </c>
      <c r="I779" s="33"/>
      <c r="J779" s="36"/>
      <c r="K779" t="s">
        <v>51</v>
      </c>
      <c r="N779" s="3">
        <f>L779*0.3</f>
        <v>0</v>
      </c>
      <c r="O779" s="3">
        <f>(IF(L779&lt;4172.98,0,MIN(L779*0.3,L779-4172.98)))-M779</f>
        <v>0</v>
      </c>
      <c r="S779" s="53" t="s">
        <v>69</v>
      </c>
      <c r="Z779" s="181">
        <v>1</v>
      </c>
    </row>
    <row r="780" spans="1:26">
      <c r="A780" s="30">
        <v>23638114</v>
      </c>
      <c r="B780" s="31">
        <v>46248</v>
      </c>
      <c r="C780" s="32">
        <v>0.49662037037037038</v>
      </c>
      <c r="D780" s="33"/>
      <c r="E780" s="34">
        <v>5214426103899</v>
      </c>
      <c r="F780" s="33"/>
      <c r="G780" s="33"/>
      <c r="H780" s="35" t="s">
        <v>797</v>
      </c>
      <c r="I780" s="33"/>
      <c r="J780" s="36"/>
      <c r="K780" t="s">
        <v>107</v>
      </c>
      <c r="L780" s="111">
        <v>6686.06</v>
      </c>
      <c r="M780" s="111">
        <v>1856.29</v>
      </c>
      <c r="N780" s="3">
        <f>L780*0.3</f>
        <v>2005.818</v>
      </c>
      <c r="O780" s="3">
        <f>(IF(L780&lt;4172.98,0,MIN(L780*0.3,L780-4172.98)))-M780</f>
        <v>149.52800000000002</v>
      </c>
      <c r="P780" s="6">
        <v>45748</v>
      </c>
      <c r="Q780" t="s">
        <v>80</v>
      </c>
      <c r="R780" s="3">
        <v>305.75</v>
      </c>
      <c r="S780" s="3" t="s">
        <v>266</v>
      </c>
      <c r="T780" s="48">
        <v>46248</v>
      </c>
      <c r="Z780" s="181">
        <v>2</v>
      </c>
    </row>
    <row r="781" spans="1:26">
      <c r="A781" s="30">
        <v>23638256</v>
      </c>
      <c r="B781" s="31">
        <v>46248</v>
      </c>
      <c r="C781" s="32">
        <v>0.50326388888888884</v>
      </c>
      <c r="D781" s="33"/>
      <c r="E781" s="34">
        <v>5218184684374</v>
      </c>
      <c r="F781" s="33"/>
      <c r="G781" s="33"/>
      <c r="H781" s="35">
        <v>43735441941</v>
      </c>
      <c r="I781" s="33"/>
      <c r="J781" s="36"/>
      <c r="K781" t="s">
        <v>54</v>
      </c>
      <c r="L781" s="111">
        <v>17043.98</v>
      </c>
      <c r="M781" s="111">
        <v>1318.3</v>
      </c>
      <c r="N781" s="3">
        <f>L781*0.3</f>
        <v>5113.1939999999995</v>
      </c>
      <c r="O781" s="3">
        <f>(IF(L781&lt;4172.98,0,MIN(L781*0.3,L781-4172.98)))-M781</f>
        <v>3794.8939999999993</v>
      </c>
      <c r="P781" s="6">
        <v>45717</v>
      </c>
      <c r="Q781" t="s">
        <v>141</v>
      </c>
      <c r="R781" s="111">
        <v>1318.3</v>
      </c>
      <c r="S781" s="3" t="s">
        <v>98</v>
      </c>
      <c r="T781" s="48">
        <v>46248</v>
      </c>
      <c r="Z781" s="181">
        <v>2</v>
      </c>
    </row>
    <row r="782" spans="1:26" hidden="1">
      <c r="A782" s="30">
        <v>23638268</v>
      </c>
      <c r="B782" s="31">
        <v>46248</v>
      </c>
      <c r="C782" s="32">
        <v>0.50452546296296297</v>
      </c>
      <c r="D782" s="33"/>
      <c r="E782" s="34">
        <v>5218123572863</v>
      </c>
      <c r="F782" s="33"/>
      <c r="G782" s="33"/>
      <c r="H782" s="35">
        <v>43816531313</v>
      </c>
      <c r="I782" s="33"/>
      <c r="J782" s="36"/>
      <c r="K782" t="s">
        <v>30</v>
      </c>
      <c r="L782" s="3">
        <v>10636.54</v>
      </c>
      <c r="M782" s="3">
        <v>3190.96</v>
      </c>
      <c r="N782" s="3">
        <f>L782*0.3</f>
        <v>3190.962</v>
      </c>
      <c r="O782" s="3">
        <f>(IF(L782&lt;4172.98,0,MIN(L782*0.3,L782-4172.98)))-M782</f>
        <v>1.9999999999527063E-3</v>
      </c>
      <c r="P782" s="6">
        <v>46844</v>
      </c>
      <c r="Q782" t="s">
        <v>57</v>
      </c>
      <c r="R782" s="3">
        <v>3190.96</v>
      </c>
      <c r="S782" s="3" t="s">
        <v>69</v>
      </c>
      <c r="Z782" s="181">
        <v>2</v>
      </c>
    </row>
    <row r="783" spans="1:26" hidden="1">
      <c r="A783" s="12">
        <v>23638964</v>
      </c>
      <c r="B783" s="13">
        <v>46248</v>
      </c>
      <c r="C783" s="14">
        <v>0.52307870370370368</v>
      </c>
      <c r="D783" s="15" t="s">
        <v>798</v>
      </c>
      <c r="E783" s="16">
        <v>5213232823745</v>
      </c>
      <c r="F783" s="15"/>
      <c r="G783" s="15" t="s">
        <v>799</v>
      </c>
      <c r="H783" s="17"/>
      <c r="I783" s="15"/>
      <c r="J783" s="18"/>
      <c r="K783" t="s">
        <v>30</v>
      </c>
      <c r="L783" s="3">
        <v>11807.77</v>
      </c>
      <c r="M783" s="3">
        <v>3413.41</v>
      </c>
      <c r="N783" s="3">
        <f>L783*0.3</f>
        <v>3542.3310000000001</v>
      </c>
      <c r="O783" s="3">
        <f>(IF(L783&lt;4172.98,0,MIN(L783*0.3,L783-4172.98)))-M783</f>
        <v>128.92100000000028</v>
      </c>
      <c r="P783" s="6">
        <v>46966</v>
      </c>
      <c r="Q783" t="s">
        <v>141</v>
      </c>
      <c r="R783" s="3">
        <v>3533.98</v>
      </c>
      <c r="S783" s="3" t="s">
        <v>69</v>
      </c>
      <c r="Z783" s="181">
        <v>2</v>
      </c>
    </row>
    <row r="784" spans="1:26" hidden="1">
      <c r="A784" s="12">
        <v>23639250</v>
      </c>
      <c r="B784" s="13">
        <v>46248</v>
      </c>
      <c r="C784" s="14">
        <v>0.52417824074074071</v>
      </c>
      <c r="D784" s="15"/>
      <c r="E784" s="16">
        <v>5218332053693</v>
      </c>
      <c r="F784" s="15"/>
      <c r="G784" s="15"/>
      <c r="H784" s="17">
        <v>49796245071</v>
      </c>
      <c r="I784" s="15"/>
      <c r="J784" s="18"/>
      <c r="K784" t="s">
        <v>30</v>
      </c>
      <c r="L784" s="111">
        <v>7640.52</v>
      </c>
      <c r="M784" s="111">
        <v>2206.58</v>
      </c>
      <c r="N784" s="3">
        <f>L784*0.3</f>
        <v>2292.1559999999999</v>
      </c>
      <c r="O784" s="3">
        <f>(IF(L784&lt;4172.98,0,MIN(L784*0.3,L784-4172.98)))-M784</f>
        <v>85.576000000000022</v>
      </c>
      <c r="P784" s="6">
        <v>46753</v>
      </c>
      <c r="Q784" t="s">
        <v>141</v>
      </c>
      <c r="R784" s="111">
        <v>2206.58</v>
      </c>
      <c r="S784" s="3" t="s">
        <v>69</v>
      </c>
      <c r="Z784" s="181">
        <v>2</v>
      </c>
    </row>
    <row r="785" spans="1:26" hidden="1">
      <c r="A785" s="30">
        <v>23639132</v>
      </c>
      <c r="B785" s="31">
        <v>46248</v>
      </c>
      <c r="C785" s="32">
        <v>0.52476851851851847</v>
      </c>
      <c r="D785" s="33" t="s">
        <v>800</v>
      </c>
      <c r="E785" s="34">
        <v>5213121160551</v>
      </c>
      <c r="F785" s="33"/>
      <c r="G785" s="33"/>
      <c r="H785" s="35" t="s">
        <v>801</v>
      </c>
      <c r="I785" s="33"/>
      <c r="J785" s="36"/>
      <c r="K785" t="s">
        <v>30</v>
      </c>
      <c r="L785" s="3">
        <v>11541.22</v>
      </c>
      <c r="M785" s="3">
        <v>3447.79</v>
      </c>
      <c r="N785" s="3">
        <f>L785*0.3</f>
        <v>3462.3659999999995</v>
      </c>
      <c r="O785" s="3">
        <f>(IF(L785&lt;4172.98,0,MIN(L785*0.3,L785-4172.98)))-M785</f>
        <v>14.575999999999567</v>
      </c>
      <c r="P785" s="6">
        <v>46784</v>
      </c>
      <c r="Q785" t="s">
        <v>141</v>
      </c>
      <c r="R785" s="3">
        <v>3447.79</v>
      </c>
      <c r="S785" s="3" t="s">
        <v>69</v>
      </c>
      <c r="Z785" s="181">
        <v>2</v>
      </c>
    </row>
    <row r="786" spans="1:26" hidden="1">
      <c r="A786" s="30">
        <v>23639464</v>
      </c>
      <c r="B786" s="31">
        <v>46248</v>
      </c>
      <c r="C786" s="32">
        <v>0.53317129629629634</v>
      </c>
      <c r="D786" s="33"/>
      <c r="E786" s="34">
        <v>5212711658672</v>
      </c>
      <c r="F786" s="33"/>
      <c r="G786" s="33"/>
      <c r="H786" s="35">
        <v>67775604100</v>
      </c>
      <c r="I786" s="33"/>
      <c r="J786" s="36"/>
      <c r="K786" t="s">
        <v>58</v>
      </c>
      <c r="L786" s="111">
        <v>3961.31</v>
      </c>
      <c r="M786" s="111">
        <v>848</v>
      </c>
      <c r="N786" s="3">
        <f>L786*0.3</f>
        <v>1188.393</v>
      </c>
      <c r="O786" s="3">
        <f>(IF(L786&lt;4172.98,0,MIN(L786*0.3,L786-4172.98)))-M786</f>
        <v>-848</v>
      </c>
      <c r="S786" s="3" t="s">
        <v>69</v>
      </c>
      <c r="Z786" s="181">
        <v>1</v>
      </c>
    </row>
    <row r="787" spans="1:26">
      <c r="A787" s="12">
        <v>23639618</v>
      </c>
      <c r="B787" s="13">
        <v>46248</v>
      </c>
      <c r="C787" s="14">
        <v>0.53457175925925926</v>
      </c>
      <c r="D787" s="15"/>
      <c r="E787" s="16">
        <v>5216461487988</v>
      </c>
      <c r="F787" s="15"/>
      <c r="G787" s="15"/>
      <c r="H787" s="17" t="s">
        <v>802</v>
      </c>
      <c r="I787" s="15"/>
      <c r="J787" s="18"/>
      <c r="K787" t="s">
        <v>27</v>
      </c>
      <c r="L787" s="111">
        <v>10724.87</v>
      </c>
      <c r="M787" s="111">
        <v>3217.52</v>
      </c>
      <c r="N787" s="3">
        <f t="shared" ref="N787:N789" si="70">L787*0.3</f>
        <v>3217.4610000000002</v>
      </c>
      <c r="O787" s="3">
        <f>(IF(L787&lt;4172.98,0,MIN(L787*0.3,L787-4172.98)))-M787</f>
        <v>-5.8999999999741704E-2</v>
      </c>
      <c r="P787" s="6">
        <v>46082</v>
      </c>
      <c r="Q787" t="s">
        <v>44</v>
      </c>
      <c r="R787" s="3">
        <v>2682</v>
      </c>
      <c r="S787" s="3" t="s">
        <v>28</v>
      </c>
      <c r="T787" s="48">
        <v>46248</v>
      </c>
      <c r="Z787" s="181">
        <v>2</v>
      </c>
    </row>
    <row r="788" spans="1:26" hidden="1">
      <c r="A788" s="12">
        <v>23639150</v>
      </c>
      <c r="B788" s="13">
        <v>46248</v>
      </c>
      <c r="C788" s="14">
        <v>0.53527777777777774</v>
      </c>
      <c r="D788" s="15"/>
      <c r="E788" s="16">
        <v>5217773025892</v>
      </c>
      <c r="F788" s="15"/>
      <c r="G788" s="15" t="s">
        <v>803</v>
      </c>
      <c r="H788" s="17"/>
      <c r="I788" s="15"/>
      <c r="J788" s="18"/>
      <c r="K788" t="s">
        <v>32</v>
      </c>
      <c r="N788" s="3">
        <f t="shared" si="70"/>
        <v>0</v>
      </c>
      <c r="O788" s="3">
        <f>(IF(L788&lt;4172.98,0,MIN(L788*0.3,L788-4172.98)))-M788</f>
        <v>0</v>
      </c>
      <c r="S788" s="3" t="s">
        <v>69</v>
      </c>
      <c r="Z788" s="181">
        <v>0</v>
      </c>
    </row>
    <row r="789" spans="1:26" hidden="1">
      <c r="A789" s="30">
        <v>23639630</v>
      </c>
      <c r="B789" s="31">
        <v>46248</v>
      </c>
      <c r="C789" s="32">
        <v>0.53651620370370368</v>
      </c>
      <c r="D789" s="33"/>
      <c r="E789" s="34">
        <v>5218121110470</v>
      </c>
      <c r="F789" s="33"/>
      <c r="G789" s="33"/>
      <c r="H789" s="35">
        <v>43916873136</v>
      </c>
      <c r="I789" s="33"/>
      <c r="J789" s="36"/>
      <c r="K789" t="s">
        <v>32</v>
      </c>
      <c r="N789" s="3">
        <f t="shared" si="70"/>
        <v>0</v>
      </c>
      <c r="O789" s="3">
        <f>(IF(L789&lt;4172.98,0,MIN(L789*0.3,L789-4172.98)))-M789</f>
        <v>0</v>
      </c>
      <c r="S789" s="3" t="s">
        <v>69</v>
      </c>
      <c r="Z789" s="181">
        <v>0</v>
      </c>
    </row>
    <row r="790" spans="1:26" hidden="1">
      <c r="A790" s="30">
        <v>23640064</v>
      </c>
      <c r="B790" s="31">
        <v>46248</v>
      </c>
      <c r="C790" s="32">
        <v>0.55276620370370366</v>
      </c>
      <c r="D790" s="33"/>
      <c r="E790" s="34">
        <v>5219211398168</v>
      </c>
      <c r="F790" s="33"/>
      <c r="G790" s="33" t="s">
        <v>804</v>
      </c>
      <c r="H790" s="35"/>
      <c r="I790" s="33"/>
      <c r="J790" s="36"/>
      <c r="K790" t="s">
        <v>32</v>
      </c>
      <c r="N790" s="3">
        <f>L790*0.3</f>
        <v>0</v>
      </c>
      <c r="O790" s="3">
        <f>(IF(L790&lt;4172.98,0,MIN(L790*0.3,L790-4172.98)))-M790</f>
        <v>0</v>
      </c>
      <c r="S790" s="3" t="s">
        <v>69</v>
      </c>
      <c r="Z790" s="181">
        <v>0</v>
      </c>
    </row>
    <row r="791" spans="1:26" hidden="1">
      <c r="A791" s="30">
        <v>23640276</v>
      </c>
      <c r="B791" s="31">
        <v>46248</v>
      </c>
      <c r="C791" s="32">
        <v>0.55929398148148146</v>
      </c>
      <c r="D791" s="33" t="s">
        <v>805</v>
      </c>
      <c r="E791" s="34">
        <v>5216871102843</v>
      </c>
      <c r="F791" s="33"/>
      <c r="G791" s="33" t="s">
        <v>806</v>
      </c>
      <c r="H791" s="35"/>
      <c r="I791" s="33"/>
      <c r="J791" s="36"/>
      <c r="K791" t="s">
        <v>32</v>
      </c>
      <c r="N791" s="3">
        <f>L791*0.3</f>
        <v>0</v>
      </c>
      <c r="O791" s="3">
        <f>(IF(L791&lt;4172.98,0,MIN(L791*0.3,L791-4172.98)))-M791</f>
        <v>0</v>
      </c>
      <c r="S791" s="3" t="s">
        <v>69</v>
      </c>
      <c r="Z791" s="181">
        <v>0</v>
      </c>
    </row>
    <row r="792" spans="1:26">
      <c r="A792" s="30">
        <v>23640364</v>
      </c>
      <c r="B792" s="31">
        <v>46248</v>
      </c>
      <c r="C792" s="32">
        <v>0.56084490740740744</v>
      </c>
      <c r="D792" s="33"/>
      <c r="E792" s="34">
        <v>5215517479238</v>
      </c>
      <c r="F792" s="33"/>
      <c r="G792" s="33" t="s">
        <v>807</v>
      </c>
      <c r="H792" s="35"/>
      <c r="I792" s="33"/>
      <c r="J792" s="36"/>
      <c r="K792" t="s">
        <v>54</v>
      </c>
      <c r="L792" s="3">
        <v>12508.53</v>
      </c>
      <c r="N792" s="3">
        <f>L792*0.3</f>
        <v>3752.5590000000002</v>
      </c>
      <c r="O792" s="3">
        <f>(IF(L792&lt;4172.98,0,MIN(L792*0.3,L792-4172.98)))-M792</f>
        <v>3752.5590000000002</v>
      </c>
      <c r="S792" s="3" t="s">
        <v>90</v>
      </c>
      <c r="T792" s="48">
        <v>46248</v>
      </c>
      <c r="Z792" s="181">
        <v>1</v>
      </c>
    </row>
    <row r="793" spans="1:26">
      <c r="A793" s="30">
        <v>23640410</v>
      </c>
      <c r="B793" s="31">
        <v>46248</v>
      </c>
      <c r="C793" s="32">
        <v>0.56153935185185189</v>
      </c>
      <c r="D793" s="33"/>
      <c r="E793" s="34">
        <v>5216731510031</v>
      </c>
      <c r="F793" s="33"/>
      <c r="G793" s="33"/>
      <c r="H793" s="35">
        <v>23845900895</v>
      </c>
      <c r="I793" s="33"/>
      <c r="J793" s="36"/>
      <c r="K793" t="s">
        <v>27</v>
      </c>
      <c r="L793" s="111">
        <v>45311.44</v>
      </c>
      <c r="M793" s="111">
        <v>9778.98</v>
      </c>
      <c r="N793" s="3">
        <f>L793*0.3</f>
        <v>13593.432000000001</v>
      </c>
      <c r="O793" s="3">
        <f>(IF(L793&lt;4172.98,0,MIN(L793*0.3,L793-4172.98)))-M793</f>
        <v>3814.4520000000011</v>
      </c>
      <c r="P793" s="6">
        <v>45992</v>
      </c>
      <c r="Q793" t="s">
        <v>210</v>
      </c>
      <c r="R793" s="111">
        <v>9778.98</v>
      </c>
      <c r="S793" s="3" t="s">
        <v>95</v>
      </c>
      <c r="T793" s="48">
        <v>46248</v>
      </c>
      <c r="Z793" s="181">
        <v>2</v>
      </c>
    </row>
    <row r="794" spans="1:26" hidden="1">
      <c r="A794" s="30">
        <v>23640734</v>
      </c>
      <c r="B794" s="31">
        <v>46248</v>
      </c>
      <c r="C794" s="32">
        <v>0.56518518518518523</v>
      </c>
      <c r="D794" s="33"/>
      <c r="E794" s="34">
        <v>5215580247071</v>
      </c>
      <c r="F794" s="33"/>
      <c r="G794" s="33" t="s">
        <v>808</v>
      </c>
      <c r="H794" s="35"/>
      <c r="I794" s="33"/>
      <c r="J794" s="36"/>
      <c r="K794" t="s">
        <v>32</v>
      </c>
      <c r="N794" s="3">
        <f>L794*0.3</f>
        <v>0</v>
      </c>
      <c r="O794" s="3">
        <f>(IF(L794&lt;4172.98,0,MIN(L794*0.3,L794-4172.98)))-M794</f>
        <v>0</v>
      </c>
      <c r="S794" s="3" t="s">
        <v>69</v>
      </c>
      <c r="Z794" s="181">
        <v>0</v>
      </c>
    </row>
    <row r="795" spans="1:26" hidden="1">
      <c r="A795" s="30">
        <v>23640772</v>
      </c>
      <c r="B795" s="31">
        <v>46248</v>
      </c>
      <c r="C795" s="32">
        <v>0.57186342592592587</v>
      </c>
      <c r="D795" s="33"/>
      <c r="E795" s="34">
        <v>5218445334122</v>
      </c>
      <c r="F795" s="33"/>
      <c r="G795" s="33" t="s">
        <v>809</v>
      </c>
      <c r="H795" s="35"/>
      <c r="I795" s="33"/>
      <c r="J795" s="36"/>
      <c r="K795" t="s">
        <v>32</v>
      </c>
      <c r="N795" s="3">
        <f>L795*0.3</f>
        <v>0</v>
      </c>
      <c r="O795" s="3">
        <f>(IF(L795&lt;4172.98,0,MIN(L795*0.3,L795-4172.98)))-M795</f>
        <v>0</v>
      </c>
      <c r="S795" s="3" t="s">
        <v>69</v>
      </c>
      <c r="Z795" s="181">
        <v>0</v>
      </c>
    </row>
    <row r="796" spans="1:26" hidden="1">
      <c r="A796" s="30">
        <v>23641060</v>
      </c>
      <c r="B796" s="31">
        <v>46248</v>
      </c>
      <c r="C796" s="32">
        <v>0.57746527777777779</v>
      </c>
      <c r="D796" s="33"/>
      <c r="E796" s="34">
        <v>5212225058881</v>
      </c>
      <c r="F796" s="33"/>
      <c r="G796" s="33"/>
      <c r="H796" s="35" t="s">
        <v>810</v>
      </c>
      <c r="I796" s="33"/>
      <c r="J796" s="36"/>
      <c r="K796" t="s">
        <v>32</v>
      </c>
      <c r="N796" s="3">
        <f>L796*0.3</f>
        <v>0</v>
      </c>
      <c r="O796" s="3">
        <f>(IF(L796&lt;4172.98,0,MIN(L796*0.3,L796-4172.98)))-M796</f>
        <v>0</v>
      </c>
      <c r="S796" s="3" t="s">
        <v>69</v>
      </c>
      <c r="Z796" s="181">
        <v>0</v>
      </c>
    </row>
    <row r="797" spans="1:26">
      <c r="A797" s="30">
        <v>23641280</v>
      </c>
      <c r="B797" s="31">
        <v>46248</v>
      </c>
      <c r="C797" s="32">
        <v>0.58446759259259262</v>
      </c>
      <c r="D797" s="33"/>
      <c r="E797" s="34">
        <v>5216182179998</v>
      </c>
      <c r="F797" s="33"/>
      <c r="G797" s="33"/>
      <c r="H797" s="35">
        <v>31806415902</v>
      </c>
      <c r="I797" s="33"/>
      <c r="J797" s="36"/>
      <c r="K797" t="s">
        <v>38</v>
      </c>
      <c r="L797" s="111">
        <v>9504.7000000000007</v>
      </c>
      <c r="M797" s="111">
        <v>2029.6</v>
      </c>
      <c r="N797" s="3">
        <f>L797*0.3</f>
        <v>2851.4100000000003</v>
      </c>
      <c r="O797" s="3">
        <f>(IF(L797&lt;4172.98,0,MIN(L797*0.3,L797-4172.98)))-M797</f>
        <v>821.8100000000004</v>
      </c>
      <c r="P797" s="6">
        <v>46661</v>
      </c>
      <c r="Q797" t="s">
        <v>75</v>
      </c>
      <c r="R797" s="111">
        <v>2029.6</v>
      </c>
      <c r="S797" s="3" t="s">
        <v>271</v>
      </c>
      <c r="T797" s="48">
        <v>46248</v>
      </c>
      <c r="Z797" s="181">
        <v>2</v>
      </c>
    </row>
    <row r="798" spans="1:26" hidden="1">
      <c r="A798" s="30">
        <v>23641116</v>
      </c>
      <c r="B798" s="31">
        <v>46248</v>
      </c>
      <c r="C798" s="32">
        <v>0.58748842592592587</v>
      </c>
      <c r="D798" s="33"/>
      <c r="E798" s="34">
        <v>5215614790751</v>
      </c>
      <c r="F798" s="33"/>
      <c r="G798" s="33" t="s">
        <v>811</v>
      </c>
      <c r="H798" s="35"/>
      <c r="I798" s="33"/>
      <c r="J798" s="36"/>
      <c r="K798" t="s">
        <v>32</v>
      </c>
      <c r="N798" s="3">
        <f>L798*0.3</f>
        <v>0</v>
      </c>
      <c r="O798" s="3">
        <f>(IF(L798&lt;4172.98,0,MIN(L798*0.3,L798-4172.98)))-M798</f>
        <v>0</v>
      </c>
      <c r="S798" s="3" t="s">
        <v>69</v>
      </c>
      <c r="Z798" s="181">
        <v>0</v>
      </c>
    </row>
    <row r="799" spans="1:26" hidden="1">
      <c r="A799" s="30">
        <v>23641430</v>
      </c>
      <c r="B799" s="31">
        <v>46248</v>
      </c>
      <c r="C799" s="32">
        <v>0.58792824074074079</v>
      </c>
      <c r="D799" s="33"/>
      <c r="E799" s="34">
        <v>5218683892196</v>
      </c>
      <c r="F799" s="33"/>
      <c r="G799" s="33"/>
      <c r="H799" s="35">
        <v>49796242615</v>
      </c>
      <c r="I799" s="33"/>
      <c r="J799" s="36"/>
      <c r="K799" t="s">
        <v>30</v>
      </c>
      <c r="L799" s="111">
        <v>7880.51</v>
      </c>
      <c r="M799" s="111">
        <v>2334.21</v>
      </c>
      <c r="N799" s="3">
        <f>L799*0.3</f>
        <v>2364.1529999999998</v>
      </c>
      <c r="O799" s="3">
        <f>(IF(L799&lt;4172.98,0,MIN(L799*0.3,L799-4172.98)))-M799</f>
        <v>29.942999999999756</v>
      </c>
      <c r="P799" s="6">
        <v>46600</v>
      </c>
      <c r="Q799" t="s">
        <v>184</v>
      </c>
      <c r="R799" s="3">
        <v>1392.54</v>
      </c>
      <c r="S799" s="3" t="s">
        <v>69</v>
      </c>
      <c r="Z799" s="181">
        <v>2</v>
      </c>
    </row>
    <row r="800" spans="1:26">
      <c r="A800" s="30">
        <v>23641304</v>
      </c>
      <c r="B800" s="31">
        <v>46248</v>
      </c>
      <c r="C800" s="32">
        <v>0.59535879629629629</v>
      </c>
      <c r="D800" s="33" t="s">
        <v>812</v>
      </c>
      <c r="E800" s="34">
        <v>6658512987</v>
      </c>
      <c r="F800" s="33"/>
      <c r="G800" s="33" t="s">
        <v>813</v>
      </c>
      <c r="H800" s="35" t="s">
        <v>814</v>
      </c>
      <c r="I800" s="33"/>
      <c r="J800" s="36"/>
      <c r="K800" t="s">
        <v>27</v>
      </c>
      <c r="L800" s="111">
        <v>5776.61</v>
      </c>
      <c r="M800" s="111">
        <v>1445.81</v>
      </c>
      <c r="N800" s="3">
        <f>L800*0.3</f>
        <v>1732.9829999999999</v>
      </c>
      <c r="O800" s="3">
        <f>(IF(L800&lt;4172.98,0,MIN(L800*0.3,L800-4172.98)))-M800</f>
        <v>157.82000000000016</v>
      </c>
      <c r="P800" s="6">
        <v>46174</v>
      </c>
      <c r="Q800" t="s">
        <v>334</v>
      </c>
      <c r="R800" s="111">
        <v>1445.81</v>
      </c>
      <c r="S800" s="3" t="s">
        <v>63</v>
      </c>
      <c r="T800" s="48">
        <v>46248</v>
      </c>
      <c r="Z800" s="181">
        <v>2</v>
      </c>
    </row>
    <row r="801" spans="1:26" hidden="1">
      <c r="A801" s="30">
        <v>23642224</v>
      </c>
      <c r="B801" s="31">
        <v>46248</v>
      </c>
      <c r="C801" s="32">
        <v>0.61444444444444446</v>
      </c>
      <c r="D801" s="33"/>
      <c r="E801" s="34">
        <v>5215545170237</v>
      </c>
      <c r="F801" s="33"/>
      <c r="G801" s="33"/>
      <c r="H801" s="35">
        <v>11815902074</v>
      </c>
      <c r="I801" s="33"/>
      <c r="J801" s="36"/>
      <c r="K801" t="s">
        <v>30</v>
      </c>
      <c r="L801" s="111">
        <v>26604.2</v>
      </c>
      <c r="M801" s="111">
        <v>7980.85</v>
      </c>
      <c r="N801" s="3">
        <f>L801*0.3</f>
        <v>7981.26</v>
      </c>
      <c r="O801" s="3">
        <f>(IF(L801&lt;4172.98,0,MIN(L801*0.3,L801-4172.98)))-M801</f>
        <v>0.40999999999985448</v>
      </c>
      <c r="P801" s="6">
        <v>46722</v>
      </c>
      <c r="Q801" t="s">
        <v>141</v>
      </c>
      <c r="R801" s="3">
        <v>7050.72</v>
      </c>
      <c r="S801" s="3" t="s">
        <v>69</v>
      </c>
      <c r="Z801" s="181">
        <v>2</v>
      </c>
    </row>
    <row r="802" spans="1:26" hidden="1">
      <c r="A802" s="30">
        <v>23642234</v>
      </c>
      <c r="B802" s="31">
        <v>46248</v>
      </c>
      <c r="C802" s="32">
        <v>0.61499999999999999</v>
      </c>
      <c r="D802" s="33"/>
      <c r="E802" s="34">
        <v>5212284093974</v>
      </c>
      <c r="F802" s="33"/>
      <c r="G802" s="33"/>
      <c r="H802" s="35">
        <v>65795311581</v>
      </c>
      <c r="I802" s="33"/>
      <c r="J802" s="36"/>
      <c r="K802" t="s">
        <v>58</v>
      </c>
      <c r="L802" s="3">
        <v>3879.3</v>
      </c>
      <c r="N802" s="3">
        <f>L802*0.3</f>
        <v>1163.79</v>
      </c>
      <c r="O802" s="3">
        <f>(IF(L802&lt;4172.98,0,MIN(L802*0.3,L802-4172.98)))-M802</f>
        <v>0</v>
      </c>
      <c r="S802" s="3" t="s">
        <v>69</v>
      </c>
      <c r="Z802" s="181">
        <v>1</v>
      </c>
    </row>
    <row r="803" spans="1:26" hidden="1">
      <c r="A803" s="30">
        <v>23642258</v>
      </c>
      <c r="B803" s="31">
        <v>46248</v>
      </c>
      <c r="C803" s="32">
        <v>0.61715277777777777</v>
      </c>
      <c r="D803" s="33"/>
      <c r="E803" s="34">
        <v>5219992216854</v>
      </c>
      <c r="F803" s="33"/>
      <c r="G803" s="33"/>
      <c r="H803" s="35">
        <v>81983900028</v>
      </c>
      <c r="I803" s="33"/>
      <c r="J803" s="36"/>
      <c r="K803" t="s">
        <v>51</v>
      </c>
      <c r="N803" s="3">
        <f>L803*0.3</f>
        <v>0</v>
      </c>
      <c r="O803" s="3">
        <f>(IF(L803&lt;4172.98,0,MIN(L803*0.3,L803-4172.98)))-M803</f>
        <v>0</v>
      </c>
      <c r="S803" s="3" t="s">
        <v>69</v>
      </c>
      <c r="Z803" s="181">
        <v>1</v>
      </c>
    </row>
    <row r="804" spans="1:26" hidden="1">
      <c r="A804" s="30">
        <v>23642108</v>
      </c>
      <c r="B804" s="31">
        <v>46248</v>
      </c>
      <c r="C804" s="32">
        <v>0.61829861111111106</v>
      </c>
      <c r="D804" s="33"/>
      <c r="E804" s="34">
        <v>5216231056494</v>
      </c>
      <c r="F804" s="33"/>
      <c r="G804" s="33" t="s">
        <v>815</v>
      </c>
      <c r="H804" s="35"/>
      <c r="I804" s="33"/>
      <c r="J804" s="36">
        <v>1</v>
      </c>
      <c r="K804" t="s">
        <v>32</v>
      </c>
      <c r="N804" s="3">
        <f>L804*0.3</f>
        <v>0</v>
      </c>
      <c r="O804" s="3">
        <f>(IF(L804&lt;4172.98,0,MIN(L804*0.3,L804-4172.98)))-M804</f>
        <v>0</v>
      </c>
      <c r="S804" s="3" t="s">
        <v>69</v>
      </c>
      <c r="Z804" s="181">
        <v>0</v>
      </c>
    </row>
    <row r="805" spans="1:26" hidden="1">
      <c r="A805" s="30">
        <v>23642342</v>
      </c>
      <c r="B805" s="31">
        <v>46248</v>
      </c>
      <c r="C805" s="32">
        <v>0.62417824074074069</v>
      </c>
      <c r="D805" s="33"/>
      <c r="E805" s="34">
        <v>5217201260963</v>
      </c>
      <c r="F805" s="33"/>
      <c r="G805" s="33"/>
      <c r="H805" s="35" t="s">
        <v>816</v>
      </c>
      <c r="I805" s="33"/>
      <c r="J805" s="36"/>
      <c r="K805" t="s">
        <v>51</v>
      </c>
      <c r="N805" s="3">
        <f>L805*0.3</f>
        <v>0</v>
      </c>
      <c r="O805" s="3">
        <f>(IF(L805&lt;4172.98,0,MIN(L805*0.3,L805-4172.98)))-M805</f>
        <v>0</v>
      </c>
      <c r="S805" s="3" t="s">
        <v>69</v>
      </c>
      <c r="Z805" s="181">
        <v>1</v>
      </c>
    </row>
    <row r="806" spans="1:26">
      <c r="A806" s="12">
        <v>23642478</v>
      </c>
      <c r="B806" s="13">
        <v>46248</v>
      </c>
      <c r="C806" s="14">
        <v>0.6270486111111111</v>
      </c>
      <c r="D806" s="15"/>
      <c r="E806" s="16">
        <v>5219831655429</v>
      </c>
      <c r="F806" s="15"/>
      <c r="G806" s="15" t="s">
        <v>817</v>
      </c>
      <c r="H806" s="17"/>
      <c r="I806" s="15"/>
      <c r="J806" s="18"/>
      <c r="K806" t="s">
        <v>27</v>
      </c>
      <c r="L806" s="3">
        <v>6756.89</v>
      </c>
      <c r="M806" s="3">
        <v>1594.31</v>
      </c>
      <c r="N806" s="3">
        <f>L806*0.3</f>
        <v>2027.067</v>
      </c>
      <c r="O806" s="3">
        <f>(IF(L806&lt;4172.98,0,MIN(L806*0.3,L806-4172.98)))-M806</f>
        <v>432.75700000000006</v>
      </c>
      <c r="P806" s="6">
        <v>45778</v>
      </c>
      <c r="Q806" t="s">
        <v>818</v>
      </c>
      <c r="R806" s="3">
        <v>1594.31</v>
      </c>
      <c r="S806" s="3" t="s">
        <v>90</v>
      </c>
      <c r="T806" s="48">
        <v>46248</v>
      </c>
      <c r="Z806" s="181">
        <v>2</v>
      </c>
    </row>
    <row r="807" spans="1:26">
      <c r="A807" s="30">
        <v>23642552</v>
      </c>
      <c r="B807" s="31">
        <v>46248</v>
      </c>
      <c r="C807" s="32">
        <v>0.62815972222222227</v>
      </c>
      <c r="D807" s="33"/>
      <c r="E807" s="34">
        <v>5216862896867</v>
      </c>
      <c r="F807" s="33"/>
      <c r="G807" s="33" t="s">
        <v>819</v>
      </c>
      <c r="H807" s="35"/>
      <c r="I807" s="33"/>
      <c r="J807" s="36"/>
      <c r="K807" t="s">
        <v>54</v>
      </c>
      <c r="L807" s="3">
        <f>42900.71-32264.17</f>
        <v>10636.54</v>
      </c>
      <c r="N807" s="3">
        <f>L807*0.3</f>
        <v>3190.962</v>
      </c>
      <c r="O807" s="3">
        <f>(IF(L807&lt;4172.98,0,MIN(L807*0.3,L807-4172.98)))-M807</f>
        <v>3190.962</v>
      </c>
      <c r="S807" s="3" t="s">
        <v>63</v>
      </c>
      <c r="T807" s="48">
        <v>46248</v>
      </c>
      <c r="Z807" s="181">
        <v>1</v>
      </c>
    </row>
    <row r="808" spans="1:26" hidden="1">
      <c r="A808" s="12">
        <v>23642714</v>
      </c>
      <c r="B808" s="13">
        <v>46248</v>
      </c>
      <c r="C808" s="14">
        <v>0.63932870370370365</v>
      </c>
      <c r="D808" s="15"/>
      <c r="E808" s="16">
        <v>5216621520932</v>
      </c>
      <c r="F808" s="15"/>
      <c r="G808" s="15"/>
      <c r="H808" s="17">
        <v>24877237651</v>
      </c>
      <c r="I808" s="15"/>
      <c r="J808" s="18"/>
      <c r="K808" t="s">
        <v>30</v>
      </c>
      <c r="L808" s="111">
        <v>7395.98</v>
      </c>
      <c r="M808" s="111">
        <v>2051.6</v>
      </c>
      <c r="N808" s="3">
        <f>L808*0.3</f>
        <v>2218.7939999999999</v>
      </c>
      <c r="O808" s="3">
        <f>(IF(L808&lt;4172.98,0,MIN(L808*0.3,L808-4172.98)))-M808</f>
        <v>167.19399999999996</v>
      </c>
      <c r="P808" s="6">
        <v>46296</v>
      </c>
      <c r="Q808" t="s">
        <v>184</v>
      </c>
      <c r="R808" s="111">
        <v>2051.6</v>
      </c>
      <c r="S808" s="3" t="s">
        <v>69</v>
      </c>
      <c r="Z808" s="181">
        <v>2</v>
      </c>
    </row>
    <row r="809" spans="1:26" hidden="1">
      <c r="A809" s="30">
        <v>23642996</v>
      </c>
      <c r="B809" s="31">
        <v>46248</v>
      </c>
      <c r="C809" s="32">
        <v>0.64628472222222222</v>
      </c>
      <c r="D809" s="33"/>
      <c r="E809" s="34">
        <v>5213322921328</v>
      </c>
      <c r="F809" s="33"/>
      <c r="G809" s="33"/>
      <c r="H809" s="35" t="s">
        <v>820</v>
      </c>
      <c r="I809" s="33"/>
      <c r="J809" s="36"/>
      <c r="K809" t="s">
        <v>58</v>
      </c>
      <c r="L809" s="3">
        <v>3855.42</v>
      </c>
      <c r="N809" s="3">
        <f>L809*0.3</f>
        <v>1156.626</v>
      </c>
      <c r="O809" s="3">
        <f>(IF(L809&lt;4172.98,0,MIN(L809*0.3,L809-4172.98)))-M809</f>
        <v>0</v>
      </c>
      <c r="S809" s="3" t="s">
        <v>69</v>
      </c>
      <c r="Z809" s="181">
        <v>1</v>
      </c>
    </row>
    <row r="810" spans="1:26" hidden="1">
      <c r="A810" s="12">
        <v>23643120</v>
      </c>
      <c r="B810" s="13">
        <v>46248</v>
      </c>
      <c r="C810" s="14">
        <v>0.64914351851851848</v>
      </c>
      <c r="D810" s="15"/>
      <c r="E810" s="16">
        <v>5212294181704</v>
      </c>
      <c r="F810" s="15"/>
      <c r="G810" s="15"/>
      <c r="H810" s="17">
        <v>65937001341</v>
      </c>
      <c r="I810" s="15"/>
      <c r="J810" s="18"/>
      <c r="K810" t="s">
        <v>32</v>
      </c>
      <c r="N810" s="3">
        <f>L810*0.3</f>
        <v>0</v>
      </c>
      <c r="O810" s="3">
        <f>(IF(L810&lt;4172.98,0,MIN(L810*0.3,L810-4172.98)))-M810</f>
        <v>0</v>
      </c>
      <c r="S810" s="3" t="s">
        <v>69</v>
      </c>
      <c r="Z810" s="181">
        <v>0</v>
      </c>
    </row>
    <row r="811" spans="1:26" hidden="1">
      <c r="A811" s="30">
        <v>23643222</v>
      </c>
      <c r="B811" s="31">
        <v>46248</v>
      </c>
      <c r="C811" s="32">
        <v>0.65763888888888888</v>
      </c>
      <c r="D811" s="33"/>
      <c r="E811" s="34">
        <v>5217712024680</v>
      </c>
      <c r="F811" s="33"/>
      <c r="G811" s="33"/>
      <c r="H811" s="35" t="s">
        <v>821</v>
      </c>
      <c r="I811" s="33"/>
      <c r="J811" s="36"/>
      <c r="K811" t="s">
        <v>58</v>
      </c>
      <c r="L811" s="3">
        <f>3000.3+879</f>
        <v>3879.3</v>
      </c>
      <c r="M811" s="3">
        <v>879</v>
      </c>
      <c r="N811" s="3">
        <f>L811*0.3</f>
        <v>1163.79</v>
      </c>
      <c r="O811" s="3">
        <f>(IF(L811&lt;4172.98,0,MIN(L811*0.3,L811-4172.98)))-M811</f>
        <v>-879</v>
      </c>
      <c r="S811" s="3" t="s">
        <v>69</v>
      </c>
      <c r="Z811" s="181">
        <v>1</v>
      </c>
    </row>
    <row r="812" spans="1:26" hidden="1">
      <c r="A812" s="30">
        <v>23643088</v>
      </c>
      <c r="B812" s="31">
        <v>46248</v>
      </c>
      <c r="C812" s="32">
        <v>0.66270833333333334</v>
      </c>
      <c r="D812" s="33"/>
      <c r="E812" s="34">
        <v>5219613578200</v>
      </c>
      <c r="F812" s="33"/>
      <c r="G812" s="33"/>
      <c r="H812" s="35">
        <v>53906421135</v>
      </c>
      <c r="I812" s="33"/>
      <c r="J812" s="36"/>
      <c r="K812" t="s">
        <v>30</v>
      </c>
      <c r="L812" s="3">
        <f>5030.01+1252.38+900.74</f>
        <v>7183.13</v>
      </c>
      <c r="M812" s="3">
        <f>900.74+1252.38</f>
        <v>2153.12</v>
      </c>
      <c r="N812" s="3">
        <f>L812*0.3</f>
        <v>2154.9389999999999</v>
      </c>
      <c r="O812" s="3">
        <f>(IF(L812&lt;4172.98,0,MIN(L812*0.3,L812-4172.98)))-M812</f>
        <v>1.81899999999996</v>
      </c>
      <c r="P812" s="6">
        <v>46722</v>
      </c>
      <c r="Q812" t="s">
        <v>75</v>
      </c>
      <c r="R812" s="3">
        <v>900.74</v>
      </c>
      <c r="S812" s="3" t="s">
        <v>69</v>
      </c>
      <c r="Z812" s="181">
        <v>2</v>
      </c>
    </row>
    <row r="813" spans="1:26" hidden="1">
      <c r="A813" s="30">
        <v>23643508</v>
      </c>
      <c r="B813" s="31">
        <v>46248</v>
      </c>
      <c r="C813" s="32">
        <v>0.67288194444444449</v>
      </c>
      <c r="D813" s="33" t="s">
        <v>822</v>
      </c>
      <c r="E813" s="34">
        <v>5214423645729</v>
      </c>
      <c r="F813" s="33"/>
      <c r="G813" s="33" t="s">
        <v>823</v>
      </c>
      <c r="H813" s="35"/>
      <c r="I813" s="33"/>
      <c r="J813" s="36"/>
      <c r="K813" t="s">
        <v>32</v>
      </c>
      <c r="N813" s="3">
        <f>L813*0.3</f>
        <v>0</v>
      </c>
      <c r="O813" s="3">
        <f>(IF(L813&lt;4172.98,0,MIN(L813*0.3,L813-4172.98)))-M813</f>
        <v>0</v>
      </c>
      <c r="S813" s="3" t="s">
        <v>69</v>
      </c>
      <c r="Z813" s="181">
        <v>0</v>
      </c>
    </row>
    <row r="814" spans="1:26" hidden="1">
      <c r="A814" s="30">
        <v>23643846</v>
      </c>
      <c r="B814" s="31">
        <v>46248</v>
      </c>
      <c r="C814" s="32">
        <v>0.67804398148148148</v>
      </c>
      <c r="D814" s="33"/>
      <c r="E814" s="34" t="s">
        <v>824</v>
      </c>
      <c r="F814" s="33"/>
      <c r="G814" s="33"/>
      <c r="H814" s="35">
        <v>72887231156</v>
      </c>
      <c r="I814" s="33"/>
      <c r="J814" s="36"/>
      <c r="K814" t="s">
        <v>30</v>
      </c>
      <c r="L814" s="111">
        <v>5642.22</v>
      </c>
      <c r="M814" s="111">
        <v>1469.21</v>
      </c>
      <c r="N814" s="3">
        <f>L814*0.3</f>
        <v>1692.6659999999999</v>
      </c>
      <c r="O814" s="3">
        <f>(IF(L814&lt;4172.98,0,MIN(L814*0.3,L814-4172.98)))-M814</f>
        <v>3.0000000000654836E-2</v>
      </c>
      <c r="P814" s="6">
        <v>46784</v>
      </c>
      <c r="Q814" t="s">
        <v>77</v>
      </c>
      <c r="R814" s="3">
        <v>621.22</v>
      </c>
      <c r="S814" s="3" t="s">
        <v>69</v>
      </c>
      <c r="Z814" s="181">
        <v>2</v>
      </c>
    </row>
    <row r="815" spans="1:26">
      <c r="A815" s="30">
        <v>23644074</v>
      </c>
      <c r="B815" s="31">
        <v>46248</v>
      </c>
      <c r="C815" s="32">
        <v>0.68849537037037034</v>
      </c>
      <c r="D815" s="33"/>
      <c r="E815" s="34">
        <v>5215573491784</v>
      </c>
      <c r="F815" s="33"/>
      <c r="G815" s="33"/>
      <c r="H815" s="35" t="s">
        <v>825</v>
      </c>
      <c r="I815" s="33"/>
      <c r="J815" s="36"/>
      <c r="K815" t="s">
        <v>54</v>
      </c>
      <c r="L815" s="3">
        <v>11029.03</v>
      </c>
      <c r="N815" s="3">
        <f>L815*0.3</f>
        <v>3308.7090000000003</v>
      </c>
      <c r="O815" s="3">
        <f>(IF(L815&lt;4172.98,0,MIN(L815*0.3,L815-4172.98)))-M815</f>
        <v>3308.7090000000003</v>
      </c>
      <c r="S815" s="3" t="s">
        <v>28</v>
      </c>
      <c r="T815" s="48">
        <v>46248</v>
      </c>
      <c r="Z815" s="181">
        <v>1</v>
      </c>
    </row>
    <row r="816" spans="1:26" hidden="1">
      <c r="A816" s="30">
        <v>23644236</v>
      </c>
      <c r="B816" s="31">
        <v>46248</v>
      </c>
      <c r="C816" s="32">
        <v>0.70079861111111108</v>
      </c>
      <c r="D816" s="33"/>
      <c r="E816" s="34">
        <v>5212941606928</v>
      </c>
      <c r="F816" s="33"/>
      <c r="G816" s="33" t="s">
        <v>826</v>
      </c>
      <c r="H816" s="35"/>
      <c r="I816" s="33"/>
      <c r="J816" s="36"/>
      <c r="K816" t="s">
        <v>32</v>
      </c>
      <c r="N816" s="3">
        <f>L816*0.3</f>
        <v>0</v>
      </c>
      <c r="O816" s="3">
        <f>(IF(L816&lt;4172.98,0,MIN(L816*0.3,L816-4172.98)))-M816</f>
        <v>0</v>
      </c>
      <c r="S816" s="3" t="s">
        <v>69</v>
      </c>
      <c r="Z816" s="181">
        <v>0</v>
      </c>
    </row>
    <row r="817" spans="1:26" hidden="1">
      <c r="A817" s="30">
        <v>23645278</v>
      </c>
      <c r="B817" s="31">
        <v>46248</v>
      </c>
      <c r="C817" s="32">
        <v>0.74525462962962963</v>
      </c>
      <c r="D817" s="33"/>
      <c r="E817" s="34">
        <v>5214491950023</v>
      </c>
      <c r="F817" s="33"/>
      <c r="G817" s="33" t="s">
        <v>827</v>
      </c>
      <c r="H817" s="35">
        <v>3082640386</v>
      </c>
      <c r="I817" s="33"/>
      <c r="J817" s="36"/>
      <c r="K817" t="s">
        <v>32</v>
      </c>
      <c r="N817" s="3">
        <f>L817*0.3</f>
        <v>0</v>
      </c>
      <c r="O817" s="3">
        <f>(IF(L817&lt;4172.98,0,MIN(L817*0.3,L817-4172.98)))-M817</f>
        <v>0</v>
      </c>
      <c r="S817" s="3" t="s">
        <v>69</v>
      </c>
      <c r="U817" s="85"/>
      <c r="Z817" s="181">
        <v>0</v>
      </c>
    </row>
    <row r="818" spans="1:26" hidden="1">
      <c r="A818" s="12">
        <v>23645328</v>
      </c>
      <c r="B818" s="13">
        <v>46248</v>
      </c>
      <c r="C818" s="14">
        <v>0.75680555555555551</v>
      </c>
      <c r="D818" s="15"/>
      <c r="E818" s="16">
        <v>5216572312798</v>
      </c>
      <c r="F818" s="15"/>
      <c r="G818" s="15"/>
      <c r="H818" s="17" t="s">
        <v>828</v>
      </c>
      <c r="I818" s="15"/>
      <c r="J818" s="18"/>
      <c r="K818" t="s">
        <v>30</v>
      </c>
      <c r="L818" s="111">
        <v>5617.63</v>
      </c>
      <c r="M818" s="111">
        <v>1393.24</v>
      </c>
      <c r="N818" s="3">
        <f t="shared" ref="N818:N822" si="71">L818*0.3</f>
        <v>1685.289</v>
      </c>
      <c r="O818" s="3">
        <f>(IF(L818&lt;4172.98,0,MIN(L818*0.3,L818-4172.98)))-M818</f>
        <v>51.410000000000537</v>
      </c>
      <c r="P818" s="6">
        <v>46661</v>
      </c>
      <c r="Q818" t="s">
        <v>44</v>
      </c>
      <c r="R818" s="111">
        <v>1393.24</v>
      </c>
      <c r="S818" s="3" t="s">
        <v>69</v>
      </c>
      <c r="Z818" s="181">
        <v>2</v>
      </c>
    </row>
    <row r="819" spans="1:26">
      <c r="A819" s="12">
        <v>23645820</v>
      </c>
      <c r="B819" s="13">
        <v>46248</v>
      </c>
      <c r="C819" s="14">
        <v>0.76570601851851849</v>
      </c>
      <c r="D819" s="15"/>
      <c r="E819" s="16">
        <v>5218140062308</v>
      </c>
      <c r="F819" s="15"/>
      <c r="G819" s="15"/>
      <c r="H819" s="17" t="s">
        <v>829</v>
      </c>
      <c r="I819" s="15"/>
      <c r="J819" s="18"/>
      <c r="K819" t="s">
        <v>54</v>
      </c>
      <c r="L819" s="3">
        <f>137499.71-128995.76</f>
        <v>8503.9499999999971</v>
      </c>
      <c r="N819" s="3">
        <f t="shared" si="71"/>
        <v>2551.184999999999</v>
      </c>
      <c r="O819" s="3">
        <f>(IF(L819&lt;4172.98,0,MIN(L819*0.3,L819-4172.98)))-M819</f>
        <v>2551.184999999999</v>
      </c>
      <c r="S819" s="3" t="s">
        <v>211</v>
      </c>
      <c r="T819" s="48">
        <v>46249</v>
      </c>
      <c r="Z819" s="181">
        <v>1</v>
      </c>
    </row>
    <row r="820" spans="1:26">
      <c r="A820" s="12">
        <v>23645718</v>
      </c>
      <c r="B820" s="13">
        <v>46248</v>
      </c>
      <c r="C820" s="14">
        <v>0.7698842592592593</v>
      </c>
      <c r="D820" s="15"/>
      <c r="E820" s="16">
        <v>5213221338392</v>
      </c>
      <c r="F820" s="15"/>
      <c r="G820" s="15"/>
      <c r="H820" s="17">
        <v>54816100371</v>
      </c>
      <c r="I820" s="15"/>
      <c r="J820" s="18"/>
      <c r="K820" t="s">
        <v>54</v>
      </c>
      <c r="L820" s="3">
        <f>21273.08-10636</f>
        <v>10637.080000000002</v>
      </c>
      <c r="N820" s="3">
        <f t="shared" si="71"/>
        <v>3191.1240000000003</v>
      </c>
      <c r="O820" s="3">
        <f>(IF(L820&lt;4172.98,0,MIN(L820*0.3,L820-4172.98)))-M820</f>
        <v>3191.1240000000003</v>
      </c>
      <c r="S820" s="3" t="s">
        <v>830</v>
      </c>
      <c r="T820" s="48">
        <v>46249</v>
      </c>
      <c r="Z820" s="181">
        <v>1</v>
      </c>
    </row>
    <row r="821" spans="1:26" hidden="1">
      <c r="A821" s="12">
        <v>23646338</v>
      </c>
      <c r="B821" s="13">
        <v>46248</v>
      </c>
      <c r="C821" s="14">
        <v>0.79123842592592597</v>
      </c>
      <c r="D821" s="15"/>
      <c r="E821" s="16">
        <v>3281613716</v>
      </c>
      <c r="F821" s="15"/>
      <c r="G821" s="15" t="s">
        <v>831</v>
      </c>
      <c r="H821" s="17"/>
      <c r="I821" s="15"/>
      <c r="J821" s="18"/>
      <c r="K821" t="s">
        <v>30</v>
      </c>
      <c r="L821" s="111">
        <v>6262.86</v>
      </c>
      <c r="M821" s="111">
        <v>1800</v>
      </c>
      <c r="N821" s="3">
        <f t="shared" si="71"/>
        <v>1878.8579999999997</v>
      </c>
      <c r="O821" s="3">
        <f>(IF(L821&lt;4172.98,0,MIN(L821*0.3,L821-4172.98)))-M821</f>
        <v>78.85799999999972</v>
      </c>
      <c r="P821" s="6">
        <v>46478</v>
      </c>
      <c r="Q821" t="s">
        <v>75</v>
      </c>
      <c r="R821" s="111">
        <v>1800</v>
      </c>
      <c r="S821" s="3" t="s">
        <v>69</v>
      </c>
      <c r="Z821" s="181">
        <v>2</v>
      </c>
    </row>
    <row r="822" spans="1:26">
      <c r="A822" s="30">
        <v>23646300</v>
      </c>
      <c r="B822" s="31">
        <v>46248</v>
      </c>
      <c r="C822" s="32">
        <v>0.79667824074074078</v>
      </c>
      <c r="D822" s="33"/>
      <c r="E822" s="34">
        <v>5213328132626</v>
      </c>
      <c r="F822" s="33"/>
      <c r="G822" s="33"/>
      <c r="H822" s="35" t="s">
        <v>832</v>
      </c>
      <c r="I822" s="33"/>
      <c r="J822" s="36"/>
      <c r="K822" t="s">
        <v>107</v>
      </c>
      <c r="L822" s="111">
        <v>4320.46</v>
      </c>
      <c r="M822" s="111">
        <v>398</v>
      </c>
      <c r="N822" s="3">
        <f t="shared" si="71"/>
        <v>1296.1379999999999</v>
      </c>
      <c r="O822" s="3">
        <f>(IF(L822&lt;4172.98,0,MIN(L822*0.3,L822-4172.98)))-M822</f>
        <v>-250.51999999999953</v>
      </c>
      <c r="P822" s="6">
        <v>45689</v>
      </c>
      <c r="Q822" t="s">
        <v>833</v>
      </c>
      <c r="R822" s="111">
        <v>398</v>
      </c>
      <c r="S822" s="3" t="s">
        <v>266</v>
      </c>
      <c r="T822" s="48">
        <v>46249</v>
      </c>
      <c r="Z822" s="181">
        <v>2</v>
      </c>
    </row>
    <row r="823" spans="1:26">
      <c r="A823" s="12">
        <v>23646692</v>
      </c>
      <c r="B823" s="13">
        <v>46248</v>
      </c>
      <c r="C823" s="14">
        <v>0.81329861111111112</v>
      </c>
      <c r="D823" s="15"/>
      <c r="E823" s="16">
        <v>5216463840818</v>
      </c>
      <c r="F823" s="15"/>
      <c r="G823" s="15"/>
      <c r="H823" s="17">
        <v>21896603079</v>
      </c>
      <c r="I823" s="15"/>
      <c r="J823" s="18"/>
      <c r="K823" t="s">
        <v>54</v>
      </c>
      <c r="L823" s="3">
        <f>17373.02-6736.48</f>
        <v>10636.54</v>
      </c>
      <c r="N823" s="3">
        <f t="shared" ref="N823:N831" si="72">L823*0.3</f>
        <v>3190.962</v>
      </c>
      <c r="O823" s="3">
        <f>(IF(L823&lt;4172.98,0,MIN(L823*0.3,L823-4172.98)))-M823</f>
        <v>3190.962</v>
      </c>
      <c r="S823" s="3" t="s">
        <v>830</v>
      </c>
      <c r="T823" s="48">
        <v>46249</v>
      </c>
      <c r="Z823" s="181">
        <v>1</v>
      </c>
    </row>
    <row r="824" spans="1:26">
      <c r="A824" s="12">
        <v>23646872</v>
      </c>
      <c r="B824" s="13">
        <v>46248</v>
      </c>
      <c r="C824" s="14">
        <v>0.8181018518518518</v>
      </c>
      <c r="D824" s="15"/>
      <c r="E824" s="16">
        <v>5216623722075</v>
      </c>
      <c r="F824" s="15"/>
      <c r="G824" s="15"/>
      <c r="H824" s="17" t="s">
        <v>834</v>
      </c>
      <c r="I824" s="15"/>
      <c r="J824" s="18"/>
      <c r="K824" t="s">
        <v>54</v>
      </c>
      <c r="L824" s="3">
        <v>9760.32</v>
      </c>
      <c r="N824" s="3">
        <f t="shared" si="72"/>
        <v>2928.096</v>
      </c>
      <c r="O824" s="3">
        <f>(IF(L824&lt;4172.98,0,MIN(L824*0.3,L824-4172.98)))-M824</f>
        <v>2928.096</v>
      </c>
      <c r="S824" s="3" t="s">
        <v>211</v>
      </c>
      <c r="T824" s="48">
        <v>46249</v>
      </c>
      <c r="Z824" s="181">
        <v>1</v>
      </c>
    </row>
    <row r="825" spans="1:26" hidden="1">
      <c r="A825" s="12">
        <v>23646808</v>
      </c>
      <c r="B825" s="13">
        <v>46248</v>
      </c>
      <c r="C825" s="14">
        <v>0.81949074074074069</v>
      </c>
      <c r="D825" s="15"/>
      <c r="E825" s="16">
        <v>5218118972986</v>
      </c>
      <c r="F825" s="15"/>
      <c r="G825" s="15" t="s">
        <v>835</v>
      </c>
      <c r="H825" s="17"/>
      <c r="I825" s="15"/>
      <c r="J825" s="18"/>
      <c r="K825" t="s">
        <v>189</v>
      </c>
      <c r="N825" s="3">
        <f t="shared" si="72"/>
        <v>0</v>
      </c>
      <c r="O825" s="3">
        <f>(IF(L825&lt;4172.98,0,MIN(L825*0.3,L825-4172.98)))-M825</f>
        <v>0</v>
      </c>
      <c r="S825" s="3" t="s">
        <v>69</v>
      </c>
      <c r="Z825" s="181">
        <v>1</v>
      </c>
    </row>
    <row r="826" spans="1:26" hidden="1">
      <c r="A826" s="12">
        <v>23647044</v>
      </c>
      <c r="B826" s="13">
        <v>46248</v>
      </c>
      <c r="C826" s="14">
        <v>0.82784722222222218</v>
      </c>
      <c r="D826" s="15"/>
      <c r="E826" s="16">
        <v>5219611568674</v>
      </c>
      <c r="F826" s="15"/>
      <c r="G826" s="15" t="s">
        <v>836</v>
      </c>
      <c r="H826" s="17"/>
      <c r="I826" s="15"/>
      <c r="J826" s="18"/>
      <c r="K826" t="s">
        <v>32</v>
      </c>
      <c r="N826" s="3">
        <f t="shared" si="72"/>
        <v>0</v>
      </c>
      <c r="O826" s="3">
        <f>(IF(L826&lt;4172.98,0,MIN(L826*0.3,L826-4172.98)))-M826</f>
        <v>0</v>
      </c>
      <c r="S826" s="3" t="s">
        <v>69</v>
      </c>
      <c r="Z826" s="181">
        <v>0</v>
      </c>
    </row>
    <row r="827" spans="1:26" hidden="1">
      <c r="A827" s="12">
        <v>23647006</v>
      </c>
      <c r="B827" s="13">
        <v>46248</v>
      </c>
      <c r="C827" s="14">
        <v>0.82912037037037034</v>
      </c>
      <c r="D827" s="15"/>
      <c r="E827" s="16">
        <v>7731726790</v>
      </c>
      <c r="F827" s="15"/>
      <c r="G827" s="15"/>
      <c r="H827" s="17">
        <v>11786054194</v>
      </c>
      <c r="I827" s="15"/>
      <c r="J827" s="18"/>
      <c r="K827" t="s">
        <v>30</v>
      </c>
      <c r="L827" s="111">
        <v>5617.63</v>
      </c>
      <c r="M827" s="111">
        <v>1359.06</v>
      </c>
      <c r="N827" s="3">
        <f t="shared" si="72"/>
        <v>1685.289</v>
      </c>
      <c r="O827" s="3">
        <f>(IF(L827&lt;4172.98,0,MIN(L827*0.3,L827-4172.98)))-M827</f>
        <v>85.5900000000006</v>
      </c>
      <c r="P827" s="6">
        <v>46447</v>
      </c>
      <c r="Q827" t="s">
        <v>80</v>
      </c>
      <c r="R827" s="111">
        <v>1359.06</v>
      </c>
      <c r="S827" s="3" t="s">
        <v>69</v>
      </c>
      <c r="Z827" s="181">
        <v>2</v>
      </c>
    </row>
    <row r="828" spans="1:26" hidden="1">
      <c r="A828" s="12">
        <v>23647402</v>
      </c>
      <c r="B828" s="13">
        <v>46248</v>
      </c>
      <c r="C828" s="14">
        <v>0.84486111111111106</v>
      </c>
      <c r="D828" s="15"/>
      <c r="E828" s="16">
        <v>5215520827210</v>
      </c>
      <c r="F828" s="15"/>
      <c r="G828" s="15" t="s">
        <v>837</v>
      </c>
      <c r="H828" s="17"/>
      <c r="I828" s="15"/>
      <c r="J828" s="18"/>
      <c r="K828" t="s">
        <v>30</v>
      </c>
      <c r="L828" s="111">
        <v>7920.51</v>
      </c>
      <c r="M828" s="111">
        <v>2364.06</v>
      </c>
      <c r="N828" s="3">
        <f t="shared" si="72"/>
        <v>2376.1529999999998</v>
      </c>
      <c r="O828" s="3">
        <f>(IF(L828&lt;4172.98,0,MIN(L828*0.3,L828-4172.98)))-M828</f>
        <v>12.092999999999847</v>
      </c>
      <c r="P828" s="6">
        <v>46905</v>
      </c>
      <c r="Q828" t="s">
        <v>75</v>
      </c>
      <c r="R828" s="111">
        <v>2364.06</v>
      </c>
      <c r="S828" s="3" t="s">
        <v>69</v>
      </c>
      <c r="Z828" s="181">
        <v>2</v>
      </c>
    </row>
    <row r="829" spans="1:26" hidden="1">
      <c r="A829" s="12">
        <v>23647822</v>
      </c>
      <c r="B829" s="13">
        <v>46248</v>
      </c>
      <c r="C829" s="14">
        <v>0.8664236111111111</v>
      </c>
      <c r="D829" s="15"/>
      <c r="E829" s="16">
        <v>5213315004767</v>
      </c>
      <c r="F829" s="15"/>
      <c r="G829" s="15"/>
      <c r="H829" s="17">
        <v>54816481060</v>
      </c>
      <c r="I829" s="15"/>
      <c r="J829" s="18"/>
      <c r="K829" t="s">
        <v>30</v>
      </c>
      <c r="L829" s="111">
        <v>9760.32</v>
      </c>
      <c r="M829" s="111">
        <v>2922.27</v>
      </c>
      <c r="N829" s="3">
        <f t="shared" si="72"/>
        <v>2928.096</v>
      </c>
      <c r="O829" s="3">
        <f>(IF(L829&lt;4172.98,0,MIN(L829*0.3,L829-4172.98)))-M829</f>
        <v>5.8260000000000218</v>
      </c>
      <c r="P829" s="6">
        <v>46631</v>
      </c>
      <c r="Q829" t="s">
        <v>75</v>
      </c>
      <c r="R829" s="3">
        <v>2815.64</v>
      </c>
      <c r="S829" s="3" t="s">
        <v>69</v>
      </c>
      <c r="Z829" s="181">
        <v>2</v>
      </c>
    </row>
    <row r="830" spans="1:26">
      <c r="A830" s="12">
        <v>23648218</v>
      </c>
      <c r="B830" s="13">
        <v>46248</v>
      </c>
      <c r="C830" s="14">
        <v>0.90288194444444447</v>
      </c>
      <c r="D830" s="15"/>
      <c r="E830" s="16">
        <v>5218115089504</v>
      </c>
      <c r="F830" s="15"/>
      <c r="G830" s="15"/>
      <c r="H830" s="17">
        <v>43806034948</v>
      </c>
      <c r="I830" s="15"/>
      <c r="J830" s="18"/>
      <c r="K830" t="s">
        <v>34</v>
      </c>
      <c r="L830" s="111">
        <v>7920.51</v>
      </c>
      <c r="M830" s="111">
        <v>2195.27</v>
      </c>
      <c r="N830" s="3">
        <f t="shared" si="72"/>
        <v>2376.1529999999998</v>
      </c>
      <c r="O830" s="3">
        <f>(IF(L830&lt;4172.98,0,MIN(L830*0.3,L830-4172.98)))-M830</f>
        <v>180.88299999999981</v>
      </c>
      <c r="P830" s="6">
        <v>46113</v>
      </c>
      <c r="Q830" t="s">
        <v>141</v>
      </c>
      <c r="R830" s="111">
        <v>2195.27</v>
      </c>
      <c r="S830" s="3" t="s">
        <v>674</v>
      </c>
      <c r="T830" s="48">
        <v>46249</v>
      </c>
      <c r="Z830" s="181">
        <v>2</v>
      </c>
    </row>
    <row r="831" spans="1:26" hidden="1">
      <c r="A831" s="30">
        <v>23648424</v>
      </c>
      <c r="B831" s="31">
        <v>46248</v>
      </c>
      <c r="C831" s="32">
        <v>0.91328703703703706</v>
      </c>
      <c r="D831" s="33"/>
      <c r="E831" s="34">
        <v>5217774120576</v>
      </c>
      <c r="F831" s="33"/>
      <c r="G831" s="33"/>
      <c r="H831" s="35">
        <v>11755280609</v>
      </c>
      <c r="I831" s="33"/>
      <c r="J831" s="36"/>
      <c r="K831" t="s">
        <v>32</v>
      </c>
      <c r="N831" s="3">
        <f t="shared" si="72"/>
        <v>0</v>
      </c>
      <c r="O831" s="3">
        <f>(IF(L831&lt;4172.98,0,MIN(L831*0.3,L831-4172.98)))-M831</f>
        <v>0</v>
      </c>
      <c r="S831" s="3" t="s">
        <v>69</v>
      </c>
      <c r="Z831" s="181">
        <v>0</v>
      </c>
    </row>
    <row r="832" spans="1:26" hidden="1">
      <c r="A832" s="12">
        <v>23649096</v>
      </c>
      <c r="B832" s="13">
        <v>46248</v>
      </c>
      <c r="C832" s="14">
        <v>0.98971064814814813</v>
      </c>
      <c r="D832" s="15"/>
      <c r="E832" s="16">
        <v>5218112599564</v>
      </c>
      <c r="F832" s="15"/>
      <c r="G832" s="15"/>
      <c r="H832" s="17">
        <v>43876201518</v>
      </c>
      <c r="I832" s="15"/>
      <c r="J832" s="18"/>
      <c r="K832" t="s">
        <v>30</v>
      </c>
      <c r="L832" s="3">
        <v>8539.89</v>
      </c>
      <c r="M832" s="3">
        <v>2470.77</v>
      </c>
      <c r="N832" s="3">
        <f t="shared" ref="N832:N838" si="73">L832*0.3</f>
        <v>2561.9669999999996</v>
      </c>
      <c r="O832" s="3">
        <f>(IF(L832&lt;4172.98,0,MIN(L832*0.3,L832-4172.98)))-M832</f>
        <v>91.196999999999662</v>
      </c>
      <c r="P832" s="6">
        <v>46508</v>
      </c>
      <c r="Q832" t="s">
        <v>75</v>
      </c>
      <c r="R832" s="3">
        <v>2470.77</v>
      </c>
      <c r="S832" s="3" t="s">
        <v>69</v>
      </c>
      <c r="Z832" s="181">
        <v>2</v>
      </c>
    </row>
    <row r="833" spans="1:26" hidden="1">
      <c r="A833" s="12">
        <v>23649496</v>
      </c>
      <c r="B833" s="13">
        <v>46249</v>
      </c>
      <c r="C833" s="14">
        <v>7.149305555555556E-2</v>
      </c>
      <c r="D833" s="15"/>
      <c r="E833" s="16">
        <v>5215625680031</v>
      </c>
      <c r="F833" s="15"/>
      <c r="G833" s="15" t="s">
        <v>838</v>
      </c>
      <c r="H833" s="17"/>
      <c r="I833" s="15"/>
      <c r="J833" s="18"/>
      <c r="K833" t="s">
        <v>32</v>
      </c>
      <c r="N833" s="3">
        <f t="shared" si="73"/>
        <v>0</v>
      </c>
      <c r="O833" s="3">
        <f>(IF(L833&lt;4172.98,0,MIN(L833*0.3,L833-4172.98)))-M833</f>
        <v>0</v>
      </c>
      <c r="S833" s="3" t="s">
        <v>69</v>
      </c>
      <c r="Z833" s="181">
        <v>0</v>
      </c>
    </row>
    <row r="834" spans="1:26">
      <c r="A834" s="12">
        <v>23649522</v>
      </c>
      <c r="B834" s="13">
        <v>46249</v>
      </c>
      <c r="C834" s="14">
        <v>7.8553240740740743E-2</v>
      </c>
      <c r="D834" s="15"/>
      <c r="E834" s="16">
        <v>5218617982654</v>
      </c>
      <c r="F834" s="15"/>
      <c r="G834" s="15"/>
      <c r="H834" s="17" t="s">
        <v>839</v>
      </c>
      <c r="I834" s="15"/>
      <c r="J834" s="18"/>
      <c r="K834" t="s">
        <v>107</v>
      </c>
      <c r="L834" s="111">
        <v>18529.75</v>
      </c>
      <c r="M834" s="111">
        <v>5361.1</v>
      </c>
      <c r="N834" s="3">
        <f t="shared" si="73"/>
        <v>5558.9250000000002</v>
      </c>
      <c r="O834" s="3">
        <f>(IF(L834&lt;4172.98,0,MIN(L834*0.3,L834-4172.98)))-M834</f>
        <v>197.82499999999982</v>
      </c>
      <c r="P834" s="6">
        <v>45474</v>
      </c>
      <c r="Q834" t="s">
        <v>80</v>
      </c>
      <c r="R834" s="3">
        <v>897.73</v>
      </c>
      <c r="S834" s="3" t="s">
        <v>266</v>
      </c>
      <c r="T834" s="48">
        <v>46249</v>
      </c>
      <c r="Z834" s="181">
        <v>2</v>
      </c>
    </row>
    <row r="835" spans="1:26" hidden="1">
      <c r="A835" s="12">
        <v>23651620</v>
      </c>
      <c r="B835" s="13">
        <v>46249</v>
      </c>
      <c r="C835" s="14">
        <v>0.26144675925925925</v>
      </c>
      <c r="D835" s="15"/>
      <c r="E835" s="16">
        <v>5219171068471</v>
      </c>
      <c r="F835" s="15"/>
      <c r="G835" s="15"/>
      <c r="H835" s="17">
        <v>55844500250</v>
      </c>
      <c r="I835" s="15"/>
      <c r="J835" s="18"/>
      <c r="K835" t="s">
        <v>30</v>
      </c>
      <c r="L835" s="111">
        <v>6405.06</v>
      </c>
      <c r="M835" s="111">
        <v>1851.42</v>
      </c>
      <c r="N835" s="3">
        <f t="shared" si="73"/>
        <v>1921.518</v>
      </c>
      <c r="O835" s="3">
        <f>(IF(L835&lt;4172.98,0,MIN(L835*0.3,L835-4172.98)))-M835</f>
        <v>70.097999999999956</v>
      </c>
      <c r="P835" s="6">
        <v>46508</v>
      </c>
      <c r="Q835" t="s">
        <v>43</v>
      </c>
      <c r="R835" s="111">
        <v>1851.42</v>
      </c>
      <c r="S835" s="3" t="s">
        <v>69</v>
      </c>
      <c r="Z835" s="181">
        <v>2</v>
      </c>
    </row>
    <row r="836" spans="1:26" hidden="1">
      <c r="A836" s="12">
        <v>23652294</v>
      </c>
      <c r="B836" s="13">
        <v>46249</v>
      </c>
      <c r="C836" s="14">
        <v>0.28942129629629632</v>
      </c>
      <c r="D836" s="15"/>
      <c r="E836" s="16">
        <v>5215540149804</v>
      </c>
      <c r="F836" s="15"/>
      <c r="G836" s="15"/>
      <c r="H836" s="17" t="s">
        <v>840</v>
      </c>
      <c r="I836" s="15"/>
      <c r="J836" s="18"/>
      <c r="K836" t="s">
        <v>58</v>
      </c>
      <c r="L836" s="3">
        <v>1440.37</v>
      </c>
      <c r="N836" s="3">
        <f t="shared" si="73"/>
        <v>432.11099999999993</v>
      </c>
      <c r="O836" s="3">
        <f>(IF(L836&lt;4172.98,0,MIN(L836*0.3,L836-4172.98)))-M836</f>
        <v>0</v>
      </c>
      <c r="S836" s="3" t="s">
        <v>69</v>
      </c>
      <c r="Z836" s="181">
        <v>1</v>
      </c>
    </row>
    <row r="837" spans="1:26">
      <c r="A837" s="12">
        <v>23652612</v>
      </c>
      <c r="B837" s="13">
        <v>46249</v>
      </c>
      <c r="C837" s="14">
        <v>0.30175925925925928</v>
      </c>
      <c r="D837" s="15"/>
      <c r="E837" s="16">
        <v>5215647010283</v>
      </c>
      <c r="F837" s="15"/>
      <c r="G837" s="15" t="s">
        <v>841</v>
      </c>
      <c r="H837" s="17" t="s">
        <v>842</v>
      </c>
      <c r="I837" s="15"/>
      <c r="J837" s="18"/>
      <c r="K837" t="s">
        <v>34</v>
      </c>
      <c r="L837" s="3">
        <v>10879.87</v>
      </c>
      <c r="M837" s="3">
        <f>2316.12+338.05</f>
        <v>2654.17</v>
      </c>
      <c r="N837" s="3">
        <f t="shared" si="73"/>
        <v>3263.9610000000002</v>
      </c>
      <c r="O837" s="3">
        <f>(IF(L837&lt;4172.98,0,MIN(L837*0.3,L837-4172.98)))-M837</f>
        <v>609.79100000000017</v>
      </c>
      <c r="P837" s="6">
        <v>45536</v>
      </c>
      <c r="Q837" t="s">
        <v>141</v>
      </c>
      <c r="R837" s="3">
        <v>2654.17</v>
      </c>
      <c r="S837" s="3" t="s">
        <v>674</v>
      </c>
      <c r="T837" s="48">
        <v>46249</v>
      </c>
      <c r="Z837" s="181">
        <v>2</v>
      </c>
    </row>
    <row r="838" spans="1:26">
      <c r="A838" s="30">
        <v>23652660</v>
      </c>
      <c r="B838" s="31">
        <v>46249</v>
      </c>
      <c r="C838" s="32">
        <v>0.31001157407407409</v>
      </c>
      <c r="D838" s="33"/>
      <c r="E838" s="34">
        <v>5215573861092</v>
      </c>
      <c r="F838" s="33"/>
      <c r="G838" s="33"/>
      <c r="H838" s="35">
        <v>89846631656</v>
      </c>
      <c r="I838" s="33"/>
      <c r="J838" s="36"/>
      <c r="K838" t="s">
        <v>54</v>
      </c>
      <c r="L838" s="3">
        <v>14385.94</v>
      </c>
      <c r="N838" s="3">
        <f t="shared" si="73"/>
        <v>4315.7820000000002</v>
      </c>
      <c r="O838" s="3">
        <f>(IF(L838&lt;4172.98,0,MIN(L838*0.3,L838-4172.98)))-M838</f>
        <v>4315.7820000000002</v>
      </c>
      <c r="S838" s="3" t="s">
        <v>548</v>
      </c>
      <c r="T838" s="48">
        <v>46249</v>
      </c>
      <c r="Z838" s="181">
        <v>1</v>
      </c>
    </row>
    <row r="839" spans="1:26">
      <c r="A839" s="12">
        <v>23655578</v>
      </c>
      <c r="B839" s="13">
        <v>46249</v>
      </c>
      <c r="C839" s="14">
        <v>0.41902777777777778</v>
      </c>
      <c r="D839" s="15"/>
      <c r="E839" s="16">
        <v>5215515976123</v>
      </c>
      <c r="F839" s="15"/>
      <c r="G839" s="15"/>
      <c r="H839" s="17" t="s">
        <v>843</v>
      </c>
      <c r="I839" s="15"/>
      <c r="J839" s="18"/>
      <c r="K839" t="s">
        <v>38</v>
      </c>
      <c r="L839" s="3">
        <f>4769.63+848</f>
        <v>5617.63</v>
      </c>
      <c r="M839" s="3">
        <v>848</v>
      </c>
      <c r="N839" s="3">
        <f t="shared" ref="N839:N840" si="74">L839*0.3</f>
        <v>1685.289</v>
      </c>
      <c r="O839" s="3">
        <f>(IF(L839&lt;4172.98,0,MIN(L839*0.3,L839-4172.98)))-M839</f>
        <v>596.65000000000055</v>
      </c>
      <c r="S839" s="3" t="s">
        <v>266</v>
      </c>
      <c r="T839" s="48">
        <v>46249</v>
      </c>
      <c r="Z839" s="181">
        <v>1</v>
      </c>
    </row>
    <row r="840" spans="1:26" hidden="1">
      <c r="A840" s="30">
        <v>23655698</v>
      </c>
      <c r="B840" s="31">
        <v>46249</v>
      </c>
      <c r="C840" s="32">
        <v>0.42296296296296299</v>
      </c>
      <c r="D840" s="33" t="s">
        <v>844</v>
      </c>
      <c r="E840" s="34">
        <v>5219992411047</v>
      </c>
      <c r="F840" s="33"/>
      <c r="G840" s="33" t="s">
        <v>845</v>
      </c>
      <c r="H840" s="35"/>
      <c r="I840" s="33"/>
      <c r="J840" s="36"/>
      <c r="K840" t="s">
        <v>30</v>
      </c>
      <c r="L840" s="3">
        <v>9081.52</v>
      </c>
      <c r="M840" s="3">
        <v>2515.41</v>
      </c>
      <c r="N840" s="3">
        <f t="shared" si="74"/>
        <v>2724.4560000000001</v>
      </c>
      <c r="O840" s="3">
        <f>(IF(L840&lt;4172.98,0,MIN(L840*0.3,L840-4172.98)))-M840</f>
        <v>209.04600000000028</v>
      </c>
      <c r="P840" s="6">
        <v>46266</v>
      </c>
      <c r="Q840" t="s">
        <v>833</v>
      </c>
      <c r="R840" s="3">
        <v>2515.41</v>
      </c>
      <c r="S840" s="3" t="s">
        <v>69</v>
      </c>
      <c r="Z840" s="181">
        <v>2</v>
      </c>
    </row>
    <row r="841" spans="1:26" hidden="1">
      <c r="A841" s="30">
        <v>23634182</v>
      </c>
      <c r="B841" s="31">
        <v>46249</v>
      </c>
      <c r="C841" s="32">
        <v>0.44032407407407409</v>
      </c>
      <c r="D841" s="33" t="s">
        <v>846</v>
      </c>
      <c r="E841" s="34">
        <v>5213111651823</v>
      </c>
      <c r="F841" s="33"/>
      <c r="G841" s="33" t="s">
        <v>847</v>
      </c>
      <c r="H841" s="35"/>
      <c r="I841" s="33"/>
      <c r="J841" s="36"/>
      <c r="K841" t="s">
        <v>58</v>
      </c>
      <c r="L841" s="3">
        <f>3033.65+848</f>
        <v>3881.65</v>
      </c>
      <c r="M841" s="3">
        <v>848</v>
      </c>
      <c r="N841" s="3">
        <f>L841*0.3</f>
        <v>1164.4949999999999</v>
      </c>
      <c r="O841" s="3">
        <f>(IF(L841&lt;4172.98,0,MIN(L841*0.3,L841-4172.98)))-M841</f>
        <v>-848</v>
      </c>
      <c r="S841" s="53" t="s">
        <v>69</v>
      </c>
      <c r="Z841" s="181">
        <v>1</v>
      </c>
    </row>
    <row r="842" spans="1:26" hidden="1">
      <c r="A842" s="30">
        <v>23644162</v>
      </c>
      <c r="B842" s="31">
        <v>46249</v>
      </c>
      <c r="C842" s="32">
        <v>0.44171296296296297</v>
      </c>
      <c r="D842" s="33" t="s">
        <v>848</v>
      </c>
      <c r="E842" s="34">
        <v>17174725858</v>
      </c>
      <c r="F842" s="33"/>
      <c r="G842" s="33" t="s">
        <v>849</v>
      </c>
      <c r="H842" s="35"/>
      <c r="I842" s="33"/>
      <c r="J842" s="36"/>
      <c r="K842" t="s">
        <v>32</v>
      </c>
      <c r="N842" s="3">
        <f>L842*0.3</f>
        <v>0</v>
      </c>
      <c r="O842" s="3">
        <f>(IF(L842&lt;4172.98,0,MIN(L842*0.3,L842-4172.98)))-M842</f>
        <v>0</v>
      </c>
      <c r="S842" s="53" t="s">
        <v>69</v>
      </c>
      <c r="Z842" s="181">
        <v>0</v>
      </c>
    </row>
    <row r="843" spans="1:26" hidden="1">
      <c r="A843" s="30">
        <v>23646772</v>
      </c>
      <c r="B843" s="31">
        <v>46249</v>
      </c>
      <c r="C843" s="32">
        <v>0.44310185185185186</v>
      </c>
      <c r="D843" s="33" t="s">
        <v>850</v>
      </c>
      <c r="E843" s="34">
        <v>5216146019026</v>
      </c>
      <c r="F843" s="33"/>
      <c r="G843" s="33" t="s">
        <v>851</v>
      </c>
      <c r="H843" s="35"/>
      <c r="I843" s="33"/>
      <c r="J843" s="36"/>
      <c r="K843" t="s">
        <v>32</v>
      </c>
      <c r="N843" s="3">
        <f>L843*0.3</f>
        <v>0</v>
      </c>
      <c r="O843" s="3">
        <f>(IF(L843&lt;4172.98,0,MIN(L843*0.3,L843-4172.98)))-M843</f>
        <v>0</v>
      </c>
      <c r="S843" s="53" t="s">
        <v>69</v>
      </c>
      <c r="Z843" s="181">
        <v>0</v>
      </c>
    </row>
    <row r="844" spans="1:26">
      <c r="A844" s="30">
        <v>23656368</v>
      </c>
      <c r="B844" s="31">
        <v>46249</v>
      </c>
      <c r="C844" s="32">
        <v>0.44832175925925927</v>
      </c>
      <c r="D844" s="33"/>
      <c r="E844" s="34">
        <v>5219211453010</v>
      </c>
      <c r="F844" s="33"/>
      <c r="G844" s="33" t="s">
        <v>852</v>
      </c>
      <c r="H844" s="35"/>
      <c r="I844" s="33"/>
      <c r="J844" s="36"/>
      <c r="K844" t="s">
        <v>38</v>
      </c>
      <c r="L844" s="3">
        <v>18722.689999999999</v>
      </c>
      <c r="M844" s="3">
        <v>5100.74</v>
      </c>
      <c r="N844" s="3">
        <f>L844*0.3</f>
        <v>5616.8069999999998</v>
      </c>
      <c r="O844" s="3">
        <f>(IF(L844&lt;4172.98,0,MIN(L844*0.3,L844-4172.98)))-M844</f>
        <v>516.06700000000001</v>
      </c>
      <c r="P844" s="6">
        <v>46631</v>
      </c>
      <c r="Q844" t="s">
        <v>141</v>
      </c>
      <c r="R844" s="3">
        <v>3621.64</v>
      </c>
      <c r="S844" s="3" t="s">
        <v>266</v>
      </c>
      <c r="T844" s="48">
        <v>46249</v>
      </c>
      <c r="Z844" s="181">
        <v>2</v>
      </c>
    </row>
    <row r="845" spans="1:26" hidden="1">
      <c r="A845" s="30">
        <v>23656456</v>
      </c>
      <c r="B845" s="31">
        <v>46249</v>
      </c>
      <c r="C845" s="32">
        <v>0.4647222222222222</v>
      </c>
      <c r="D845" s="33" t="s">
        <v>853</v>
      </c>
      <c r="E845" s="34">
        <v>5216641109439</v>
      </c>
      <c r="F845" s="33"/>
      <c r="G845" s="33" t="s">
        <v>854</v>
      </c>
      <c r="H845" s="35"/>
      <c r="I845" s="33"/>
      <c r="J845" s="36"/>
      <c r="K845" t="s">
        <v>32</v>
      </c>
      <c r="N845" s="3">
        <f>L845*0.3</f>
        <v>0</v>
      </c>
      <c r="O845" s="3">
        <f>(IF(L845&lt;4172.98,0,MIN(L845*0.3,L845-4172.98)))-M845</f>
        <v>0</v>
      </c>
      <c r="S845" s="3" t="s">
        <v>69</v>
      </c>
      <c r="Z845" s="181">
        <v>0</v>
      </c>
    </row>
    <row r="846" spans="1:26" hidden="1">
      <c r="A846" s="30">
        <v>23656646</v>
      </c>
      <c r="B846" s="31">
        <v>46249</v>
      </c>
      <c r="C846" s="32">
        <v>0.46763888888888888</v>
      </c>
      <c r="D846" s="33"/>
      <c r="E846" s="34">
        <v>5218338448393</v>
      </c>
      <c r="F846" s="33"/>
      <c r="G846" s="33" t="s">
        <v>855</v>
      </c>
      <c r="H846" s="35"/>
      <c r="I846" s="33"/>
      <c r="J846" s="36"/>
      <c r="K846" t="s">
        <v>32</v>
      </c>
      <c r="N846" s="3">
        <f>L846*0.3</f>
        <v>0</v>
      </c>
      <c r="O846" s="3">
        <f>(IF(L846&lt;4172.98,0,MIN(L846*0.3,L846-4172.98)))-M846</f>
        <v>0</v>
      </c>
      <c r="S846" s="3" t="s">
        <v>69</v>
      </c>
      <c r="Z846" s="181">
        <v>0</v>
      </c>
    </row>
    <row r="847" spans="1:26" hidden="1">
      <c r="A847" s="30">
        <v>23657078</v>
      </c>
      <c r="B847" s="31">
        <v>46249</v>
      </c>
      <c r="C847" s="32">
        <v>0.47878472222222224</v>
      </c>
      <c r="D847" s="33"/>
      <c r="E847" s="34">
        <v>5218448811641</v>
      </c>
      <c r="F847" s="33"/>
      <c r="G847" s="33"/>
      <c r="H847" s="35">
        <v>32796208547</v>
      </c>
      <c r="I847" s="33"/>
      <c r="J847" s="36"/>
      <c r="K847" t="s">
        <v>30</v>
      </c>
      <c r="L847" s="3">
        <v>7116.73</v>
      </c>
      <c r="M847" s="3">
        <v>2057.6799999999998</v>
      </c>
      <c r="N847" s="3">
        <f>L847*0.3</f>
        <v>2135.0189999999998</v>
      </c>
      <c r="O847" s="3">
        <f>(IF(L847&lt;4172.98,0,MIN(L847*0.3,L847-4172.98)))-M847</f>
        <v>77.338999999999942</v>
      </c>
      <c r="P847" s="6">
        <v>46327</v>
      </c>
      <c r="Q847" t="s">
        <v>47</v>
      </c>
      <c r="R847" s="3">
        <v>1229.68</v>
      </c>
      <c r="S847" s="3" t="s">
        <v>69</v>
      </c>
      <c r="Z847" s="181">
        <v>2</v>
      </c>
    </row>
    <row r="848" spans="1:26" hidden="1">
      <c r="A848" s="30">
        <v>23657148</v>
      </c>
      <c r="B848" s="31">
        <v>46249</v>
      </c>
      <c r="C848" s="32">
        <v>0.48570601851851852</v>
      </c>
      <c r="D848" s="33"/>
      <c r="E848" s="34">
        <v>5218661696050</v>
      </c>
      <c r="F848" s="33"/>
      <c r="G848" s="33" t="s">
        <v>856</v>
      </c>
      <c r="H848" s="35"/>
      <c r="I848" s="33"/>
      <c r="J848" s="36"/>
      <c r="K848" t="s">
        <v>30</v>
      </c>
      <c r="L848" s="3">
        <v>9760.32</v>
      </c>
      <c r="M848" s="3">
        <v>2926.64</v>
      </c>
      <c r="N848" s="3">
        <f>L848*0.3</f>
        <v>2928.096</v>
      </c>
      <c r="O848" s="3">
        <f>(IF(L848&lt;4172.98,0,MIN(L848*0.3,L848-4172.98)))-M848</f>
        <v>1.456000000000131</v>
      </c>
      <c r="P848" s="6">
        <v>46874</v>
      </c>
      <c r="Q848" t="s">
        <v>43</v>
      </c>
      <c r="R848" s="3">
        <v>2926.64</v>
      </c>
      <c r="S848" s="3" t="s">
        <v>69</v>
      </c>
      <c r="Z848" s="181">
        <v>2</v>
      </c>
    </row>
    <row r="849" spans="1:26" hidden="1">
      <c r="A849" s="30">
        <v>23657188</v>
      </c>
      <c r="B849" s="31">
        <v>46249</v>
      </c>
      <c r="C849" s="32">
        <v>0.4883912037037037</v>
      </c>
      <c r="D849" s="33"/>
      <c r="E849" s="34">
        <v>5212851004997</v>
      </c>
      <c r="F849" s="33"/>
      <c r="G849" s="33"/>
      <c r="H849" s="35">
        <v>65816366143</v>
      </c>
      <c r="I849" s="33"/>
      <c r="J849" s="36"/>
      <c r="K849" t="s">
        <v>30</v>
      </c>
      <c r="L849" s="3">
        <v>9081.52</v>
      </c>
      <c r="M849" s="3">
        <v>2724.45</v>
      </c>
      <c r="N849" s="3">
        <f>L849*0.3</f>
        <v>2724.4560000000001</v>
      </c>
      <c r="O849" s="3">
        <f>(IF(L849&lt;4172.98,0,MIN(L849*0.3,L849-4172.98)))-M849</f>
        <v>6.0000000003128662E-3</v>
      </c>
      <c r="P849" s="6">
        <v>46813</v>
      </c>
      <c r="Q849" t="s">
        <v>80</v>
      </c>
      <c r="R849" s="3">
        <v>2724.45</v>
      </c>
      <c r="S849" s="3" t="s">
        <v>69</v>
      </c>
      <c r="Z849" s="181">
        <v>2</v>
      </c>
    </row>
    <row r="850" spans="1:26">
      <c r="A850" s="30">
        <v>23657324</v>
      </c>
      <c r="B850" s="31">
        <v>46249</v>
      </c>
      <c r="C850" s="32">
        <v>0.49163194444444447</v>
      </c>
      <c r="D850" s="33"/>
      <c r="E850" s="34">
        <v>5213322453427</v>
      </c>
      <c r="F850" s="33"/>
      <c r="G850" s="33"/>
      <c r="H850" s="35">
        <v>21735512838</v>
      </c>
      <c r="I850" s="33"/>
      <c r="J850" s="36"/>
      <c r="K850" t="s">
        <v>54</v>
      </c>
      <c r="L850" s="3">
        <v>6318.55</v>
      </c>
      <c r="N850" s="3">
        <f>L850*0.3</f>
        <v>1895.5650000000001</v>
      </c>
      <c r="O850" s="3">
        <f>(IF(L850&lt;4172.98,0,MIN(L850*0.3,L850-4172.98)))-M850</f>
        <v>1895.5650000000001</v>
      </c>
      <c r="S850" s="3" t="s">
        <v>857</v>
      </c>
      <c r="T850" s="48">
        <v>46249</v>
      </c>
      <c r="Z850" s="181">
        <v>1</v>
      </c>
    </row>
    <row r="851" spans="1:26">
      <c r="A851" s="30">
        <v>23658308</v>
      </c>
      <c r="B851" s="31">
        <v>46249</v>
      </c>
      <c r="C851" s="32">
        <v>0.53215277777777781</v>
      </c>
      <c r="D851" s="33" t="s">
        <v>858</v>
      </c>
      <c r="E851" s="34">
        <v>5216145096225</v>
      </c>
      <c r="F851" s="33"/>
      <c r="G851" s="33" t="s">
        <v>859</v>
      </c>
      <c r="H851" s="35">
        <v>33784903792</v>
      </c>
      <c r="I851" s="33"/>
      <c r="J851" s="36"/>
      <c r="K851" t="s">
        <v>107</v>
      </c>
      <c r="L851" s="3">
        <v>8539.2199999999993</v>
      </c>
      <c r="M851" s="3">
        <f>1313+1156.73</f>
        <v>2469.73</v>
      </c>
      <c r="N851" s="3">
        <f>L851*0.3</f>
        <v>2561.7659999999996</v>
      </c>
      <c r="O851" s="3">
        <f>(IF(L851&lt;4172.98,0,MIN(L851*0.3,L851-4172.98)))-M851</f>
        <v>92.035999999999603</v>
      </c>
      <c r="P851" s="6">
        <v>46569</v>
      </c>
      <c r="Q851" t="s">
        <v>184</v>
      </c>
      <c r="R851" s="3">
        <v>1156.73</v>
      </c>
      <c r="S851" s="3" t="s">
        <v>266</v>
      </c>
      <c r="T851" s="48">
        <v>46249</v>
      </c>
      <c r="Z851" s="181">
        <v>2</v>
      </c>
    </row>
    <row r="852" spans="1:26">
      <c r="A852" s="12">
        <v>23658658</v>
      </c>
      <c r="B852" s="13">
        <v>46249</v>
      </c>
      <c r="C852" s="14">
        <v>0.54767361111111112</v>
      </c>
      <c r="D852" s="15"/>
      <c r="E852" s="16">
        <v>5219811066614</v>
      </c>
      <c r="F852" s="15"/>
      <c r="G852" s="15"/>
      <c r="H852" s="17">
        <v>10805707808</v>
      </c>
      <c r="I852" s="15"/>
      <c r="J852" s="18"/>
      <c r="K852" t="s">
        <v>54</v>
      </c>
      <c r="L852" s="3">
        <v>41519.51</v>
      </c>
      <c r="N852" s="3">
        <f>L852*0.3</f>
        <v>12455.853000000001</v>
      </c>
      <c r="O852" s="3">
        <f>(IF(L852&lt;4172.98,0,MIN(L852*0.3,L852-4172.98)))-M852</f>
        <v>12455.853000000001</v>
      </c>
      <c r="S852" s="3" t="s">
        <v>548</v>
      </c>
      <c r="T852" s="48">
        <v>46249</v>
      </c>
      <c r="Z852" s="181">
        <v>1</v>
      </c>
    </row>
    <row r="853" spans="1:26" hidden="1">
      <c r="A853" s="30">
        <v>23658540</v>
      </c>
      <c r="B853" s="31">
        <v>46249</v>
      </c>
      <c r="C853" s="32">
        <v>0.549224537037037</v>
      </c>
      <c r="D853" s="33"/>
      <c r="E853" s="34">
        <v>5217351097780</v>
      </c>
      <c r="F853" s="33"/>
      <c r="G853" s="33" t="s">
        <v>860</v>
      </c>
      <c r="H853" s="35"/>
      <c r="I853" s="33"/>
      <c r="J853" s="36"/>
      <c r="K853" t="s">
        <v>32</v>
      </c>
      <c r="N853" s="3">
        <f>L853*0.3</f>
        <v>0</v>
      </c>
      <c r="O853" s="3">
        <f>(IF(L853&lt;4172.98,0,MIN(L853*0.3,L853-4172.98)))-M853</f>
        <v>0</v>
      </c>
      <c r="S853" s="3" t="s">
        <v>69</v>
      </c>
      <c r="Z853" s="181">
        <v>0</v>
      </c>
    </row>
    <row r="854" spans="1:26" hidden="1">
      <c r="A854" s="12">
        <v>23658882</v>
      </c>
      <c r="B854" s="13">
        <v>46249</v>
      </c>
      <c r="C854" s="14">
        <v>0.56009259259259259</v>
      </c>
      <c r="D854" s="15"/>
      <c r="E854" s="16">
        <v>5215564449121</v>
      </c>
      <c r="F854" s="15"/>
      <c r="G854" s="15" t="s">
        <v>861</v>
      </c>
      <c r="H854" s="17"/>
      <c r="I854" s="15"/>
      <c r="J854" s="18"/>
      <c r="K854" t="s">
        <v>30</v>
      </c>
      <c r="L854" s="3">
        <v>7116.73</v>
      </c>
      <c r="M854" s="3">
        <v>2058.9899999999998</v>
      </c>
      <c r="N854" s="3">
        <f>L854*0.3</f>
        <v>2135.0189999999998</v>
      </c>
      <c r="O854" s="3">
        <f>(IF(L854&lt;4172.98,0,MIN(L854*0.3,L854-4172.98)))-M854</f>
        <v>76.028999999999996</v>
      </c>
      <c r="P854" s="6">
        <v>46539</v>
      </c>
      <c r="Q854" t="s">
        <v>44</v>
      </c>
      <c r="R854" s="3">
        <v>1885.94</v>
      </c>
      <c r="S854" s="3" t="s">
        <v>69</v>
      </c>
      <c r="Z854" s="181">
        <v>2</v>
      </c>
    </row>
    <row r="855" spans="1:26" hidden="1">
      <c r="A855" s="30">
        <v>23658848</v>
      </c>
      <c r="B855" s="31">
        <v>46249</v>
      </c>
      <c r="C855" s="32">
        <v>0.56085648148148148</v>
      </c>
      <c r="D855" s="33" t="s">
        <v>862</v>
      </c>
      <c r="E855" s="34">
        <v>5212331170111</v>
      </c>
      <c r="F855" s="33"/>
      <c r="G855" s="33" t="s">
        <v>863</v>
      </c>
      <c r="H855" s="35"/>
      <c r="I855" s="33"/>
      <c r="J855" s="36"/>
      <c r="K855" t="s">
        <v>32</v>
      </c>
      <c r="N855" s="3">
        <f>L855*0.3</f>
        <v>0</v>
      </c>
      <c r="O855" s="3">
        <f>(IF(L855&lt;4172.98,0,MIN(L855*0.3,L855-4172.98)))-M855</f>
        <v>0</v>
      </c>
      <c r="S855" s="3" t="s">
        <v>69</v>
      </c>
      <c r="Z855" s="181">
        <v>0</v>
      </c>
    </row>
    <row r="856" spans="1:26">
      <c r="A856" s="30">
        <v>23657810</v>
      </c>
      <c r="B856" s="31">
        <v>46249</v>
      </c>
      <c r="C856" s="32" t="s">
        <v>864</v>
      </c>
      <c r="D856" s="33" t="s">
        <v>865</v>
      </c>
      <c r="E856" s="34">
        <v>19562821445</v>
      </c>
      <c r="F856" s="33"/>
      <c r="G856" s="33" t="s">
        <v>866</v>
      </c>
      <c r="H856" s="35"/>
      <c r="I856" s="33"/>
      <c r="J856" s="36"/>
      <c r="K856" t="s">
        <v>54</v>
      </c>
      <c r="L856" s="3">
        <v>37077.629999999997</v>
      </c>
      <c r="N856" s="3">
        <f>L856*0.3</f>
        <v>11123.288999999999</v>
      </c>
      <c r="O856" s="3">
        <f>(IF(L856&lt;4172.98,0,MIN(L856*0.3,L856-4172.98)))-M856</f>
        <v>11123.288999999999</v>
      </c>
      <c r="S856" s="53" t="s">
        <v>548</v>
      </c>
      <c r="T856" s="48">
        <v>46250</v>
      </c>
      <c r="Z856" s="181">
        <v>1</v>
      </c>
    </row>
    <row r="857" spans="1:26" hidden="1">
      <c r="A857" s="30">
        <v>23610436</v>
      </c>
      <c r="B857" s="31">
        <v>46249</v>
      </c>
      <c r="C857" s="32" t="s">
        <v>867</v>
      </c>
      <c r="D857" s="33" t="s">
        <v>868</v>
      </c>
      <c r="E857" s="34">
        <v>3332515512</v>
      </c>
      <c r="F857" s="33"/>
      <c r="G857" s="33" t="s">
        <v>869</v>
      </c>
      <c r="H857" s="35" t="s">
        <v>870</v>
      </c>
      <c r="I857" s="33"/>
      <c r="J857" s="36"/>
      <c r="K857" t="s">
        <v>58</v>
      </c>
      <c r="L857" s="3">
        <v>266.52</v>
      </c>
      <c r="N857" s="3">
        <f>L857*0.3</f>
        <v>79.955999999999989</v>
      </c>
      <c r="O857" s="3">
        <f>(IF(L857&lt;4172.98,0,MIN(L857*0.3,L857-4172.98)))-M857</f>
        <v>0</v>
      </c>
      <c r="S857" s="53" t="s">
        <v>69</v>
      </c>
      <c r="Z857" s="181">
        <v>1</v>
      </c>
    </row>
    <row r="858" spans="1:26">
      <c r="A858" s="30">
        <v>23613822</v>
      </c>
      <c r="B858" s="31">
        <v>46249</v>
      </c>
      <c r="C858" s="32" t="s">
        <v>871</v>
      </c>
      <c r="D858" s="33" t="s">
        <v>872</v>
      </c>
      <c r="E858" s="34">
        <v>5215619434280</v>
      </c>
      <c r="F858" s="33"/>
      <c r="G858" s="33"/>
      <c r="H858" s="35" t="s">
        <v>873</v>
      </c>
      <c r="I858" s="33"/>
      <c r="J858" s="36"/>
      <c r="K858" t="s">
        <v>38</v>
      </c>
      <c r="L858" s="3">
        <f>37750.98+3468.83+10500+1400</f>
        <v>53119.810000000005</v>
      </c>
      <c r="M858" s="3">
        <f>3468.83+10500+1400</f>
        <v>15368.83</v>
      </c>
      <c r="N858" s="3">
        <f>L858*0.3</f>
        <v>15935.943000000001</v>
      </c>
      <c r="O858" s="3">
        <f>(IF(L858&lt;4172.98,0,MIN(L858*0.3,L858-4172.98)))-M858</f>
        <v>567.11300000000119</v>
      </c>
      <c r="P858" s="6">
        <v>46478</v>
      </c>
      <c r="Q858" t="s">
        <v>44</v>
      </c>
      <c r="R858" s="3">
        <v>1400</v>
      </c>
      <c r="S858" s="53" t="s">
        <v>271</v>
      </c>
      <c r="T858" s="48">
        <v>46250</v>
      </c>
      <c r="Z858" s="181">
        <v>2</v>
      </c>
    </row>
    <row r="859" spans="1:26">
      <c r="A859" s="12">
        <v>23659672</v>
      </c>
      <c r="B859" s="13">
        <v>46249</v>
      </c>
      <c r="C859" s="14">
        <v>0.57207175925925924</v>
      </c>
      <c r="D859" s="15"/>
      <c r="E859" s="16">
        <v>5213313841884</v>
      </c>
      <c r="F859" s="15"/>
      <c r="G859" s="15" t="s">
        <v>874</v>
      </c>
      <c r="H859" s="17"/>
      <c r="I859" s="15"/>
      <c r="J859" s="18"/>
      <c r="K859" t="s">
        <v>38</v>
      </c>
      <c r="L859" s="3">
        <f>4654.64+848</f>
        <v>5502.64</v>
      </c>
      <c r="M859" s="3">
        <v>848</v>
      </c>
      <c r="N859" s="3">
        <f>L859*0.3</f>
        <v>1650.7920000000001</v>
      </c>
      <c r="O859" s="3">
        <f>(IF(L859&lt;4172.98,0,MIN(L859*0.3,L859-4172.98)))-M859</f>
        <v>481.66000000000076</v>
      </c>
      <c r="S859" s="3" t="s">
        <v>271</v>
      </c>
      <c r="T859" s="48">
        <v>46250</v>
      </c>
      <c r="Z859" s="181">
        <v>1</v>
      </c>
    </row>
    <row r="860" spans="1:26" hidden="1">
      <c r="A860" s="30">
        <v>23659608</v>
      </c>
      <c r="B860" s="31">
        <v>46249</v>
      </c>
      <c r="C860" s="32">
        <v>0.57293981481481482</v>
      </c>
      <c r="D860" s="33"/>
      <c r="E860" s="34">
        <v>5214423619169</v>
      </c>
      <c r="F860" s="33"/>
      <c r="G860" s="33" t="s">
        <v>875</v>
      </c>
      <c r="H860" s="35"/>
      <c r="I860" s="33"/>
      <c r="J860" s="36"/>
      <c r="K860" t="s">
        <v>30</v>
      </c>
      <c r="L860" s="3">
        <v>17354.66</v>
      </c>
      <c r="M860" s="3">
        <v>5019.7</v>
      </c>
      <c r="N860" s="3">
        <f>L860*0.3</f>
        <v>5206.3980000000001</v>
      </c>
      <c r="O860" s="3">
        <f>(IF(L860&lt;4172.98,0,MIN(L860*0.3,L860-4172.98)))-M860</f>
        <v>186.69800000000032</v>
      </c>
      <c r="P860" s="6">
        <v>46661</v>
      </c>
      <c r="Q860" t="s">
        <v>75</v>
      </c>
      <c r="R860" s="3">
        <v>5019.7</v>
      </c>
      <c r="S860" s="3" t="s">
        <v>69</v>
      </c>
      <c r="U860" s="85"/>
      <c r="Z860" s="181">
        <v>2</v>
      </c>
    </row>
    <row r="861" spans="1:26">
      <c r="A861" s="12">
        <v>23660004</v>
      </c>
      <c r="B861" s="13">
        <v>46249</v>
      </c>
      <c r="C861" s="14">
        <v>0.58780092592592592</v>
      </c>
      <c r="D861" s="15"/>
      <c r="E861" s="16">
        <v>5219811595806</v>
      </c>
      <c r="F861" s="15"/>
      <c r="G861" s="15" t="s">
        <v>876</v>
      </c>
      <c r="H861" s="17"/>
      <c r="I861" s="15"/>
      <c r="J861" s="18"/>
      <c r="K861" t="s">
        <v>54</v>
      </c>
      <c r="L861" s="3">
        <v>9760.32</v>
      </c>
      <c r="N861" s="3">
        <f t="shared" ref="N861:N885" si="75">L861*0.3</f>
        <v>2928.096</v>
      </c>
      <c r="O861" s="3">
        <f>(IF(L861&lt;4172.98,0,MIN(L861*0.3,L861-4172.98)))-M861</f>
        <v>2928.096</v>
      </c>
      <c r="S861" s="3" t="s">
        <v>211</v>
      </c>
      <c r="T861" s="48">
        <v>46250</v>
      </c>
      <c r="Z861" s="181">
        <v>1</v>
      </c>
    </row>
    <row r="862" spans="1:26" hidden="1">
      <c r="A862" s="12">
        <v>23659976</v>
      </c>
      <c r="B862" s="13">
        <v>46249</v>
      </c>
      <c r="C862" s="14">
        <v>0.58873842592592596</v>
      </c>
      <c r="D862" s="15"/>
      <c r="E862" s="16">
        <v>5214441324087</v>
      </c>
      <c r="F862" s="15"/>
      <c r="G862" s="15"/>
      <c r="H862" s="17">
        <v>41765203215</v>
      </c>
      <c r="I862" s="15"/>
      <c r="J862" s="18"/>
      <c r="K862" t="s">
        <v>58</v>
      </c>
      <c r="L862" s="3">
        <f>2990.36+879</f>
        <v>3869.36</v>
      </c>
      <c r="N862" s="3">
        <f t="shared" si="75"/>
        <v>1160.808</v>
      </c>
      <c r="O862" s="3">
        <f>(IF(L862&lt;4172.98,0,MIN(L862*0.3,L862-4172.98)))-M862</f>
        <v>0</v>
      </c>
      <c r="S862" s="3" t="s">
        <v>69</v>
      </c>
      <c r="Z862" s="181">
        <v>1</v>
      </c>
    </row>
    <row r="863" spans="1:26">
      <c r="A863" s="12">
        <v>23660262</v>
      </c>
      <c r="B863" s="13">
        <v>46249</v>
      </c>
      <c r="C863" s="14">
        <v>0.59804398148148152</v>
      </c>
      <c r="D863" s="15" t="s">
        <v>877</v>
      </c>
      <c r="E863" s="16">
        <v>5214492564194</v>
      </c>
      <c r="F863" s="15"/>
      <c r="G863" s="15" t="s">
        <v>878</v>
      </c>
      <c r="H863" s="17"/>
      <c r="I863" s="15"/>
      <c r="J863" s="18"/>
      <c r="K863" t="s">
        <v>54</v>
      </c>
      <c r="L863" s="3">
        <v>11182.26</v>
      </c>
      <c r="N863" s="3">
        <f t="shared" si="75"/>
        <v>3354.6779999999999</v>
      </c>
      <c r="O863" s="3">
        <f>(IF(L863&lt;4172.98,0,MIN(L863*0.3,L863-4172.98)))-M863</f>
        <v>3354.6779999999999</v>
      </c>
      <c r="S863" s="3" t="s">
        <v>879</v>
      </c>
      <c r="T863" s="48">
        <v>46250</v>
      </c>
      <c r="Z863" s="181">
        <v>1</v>
      </c>
    </row>
    <row r="864" spans="1:26" hidden="1">
      <c r="A864" s="12">
        <v>23660288</v>
      </c>
      <c r="B864" s="13">
        <v>46249</v>
      </c>
      <c r="C864" s="14">
        <v>0.60524305555555558</v>
      </c>
      <c r="D864" s="15"/>
      <c r="E864" s="16">
        <v>5214421731748</v>
      </c>
      <c r="F864" s="15"/>
      <c r="G864" s="15" t="s">
        <v>880</v>
      </c>
      <c r="H864" s="17"/>
      <c r="I864" s="15"/>
      <c r="J864" s="18"/>
      <c r="K864" t="s">
        <v>30</v>
      </c>
      <c r="L864" s="3">
        <v>7920.51</v>
      </c>
      <c r="M864" s="3">
        <v>2375.73</v>
      </c>
      <c r="N864" s="3">
        <f t="shared" si="75"/>
        <v>2376.1529999999998</v>
      </c>
      <c r="O864" s="3">
        <f>(IF(L864&lt;4172.98,0,MIN(L864*0.3,L864-4172.98)))-M864</f>
        <v>0.42299999999977445</v>
      </c>
      <c r="P864" s="6">
        <v>46784</v>
      </c>
      <c r="Q864" t="s">
        <v>75</v>
      </c>
      <c r="R864" s="3">
        <v>2375.73</v>
      </c>
      <c r="S864" s="3" t="s">
        <v>69</v>
      </c>
      <c r="Z864" s="181">
        <v>2</v>
      </c>
    </row>
    <row r="865" spans="1:26" hidden="1">
      <c r="A865" s="12">
        <v>23660222</v>
      </c>
      <c r="B865" s="13">
        <v>46249</v>
      </c>
      <c r="C865" s="14">
        <v>0.61196759259259259</v>
      </c>
      <c r="D865" s="15"/>
      <c r="E865" s="16">
        <v>5216642046531</v>
      </c>
      <c r="F865" s="15"/>
      <c r="G865" s="15" t="s">
        <v>881</v>
      </c>
      <c r="H865" s="17">
        <v>24745520825</v>
      </c>
      <c r="I865" s="15"/>
      <c r="J865" s="18"/>
      <c r="K865" t="s">
        <v>30</v>
      </c>
      <c r="L865" s="3">
        <v>40716.6</v>
      </c>
      <c r="M865" s="3">
        <v>11951.86</v>
      </c>
      <c r="N865" s="3">
        <f t="shared" si="75"/>
        <v>12214.98</v>
      </c>
      <c r="O865" s="3">
        <f>(IF(L865&lt;4172.98,0,MIN(L865*0.3,L865-4172.98)))-M865</f>
        <v>263.11999999999898</v>
      </c>
      <c r="P865" s="6">
        <v>46357</v>
      </c>
      <c r="Q865" t="s">
        <v>75</v>
      </c>
      <c r="R865" s="3">
        <v>7208.24</v>
      </c>
      <c r="S865" s="3" t="s">
        <v>69</v>
      </c>
      <c r="Z865" s="181">
        <v>2</v>
      </c>
    </row>
    <row r="866" spans="1:26" hidden="1">
      <c r="A866" s="12">
        <v>23660212</v>
      </c>
      <c r="B866" s="13">
        <v>46249</v>
      </c>
      <c r="C866" s="14">
        <v>0.61214120370370373</v>
      </c>
      <c r="D866" s="15" t="s">
        <v>882</v>
      </c>
      <c r="E866" s="16">
        <v>5215521710360</v>
      </c>
      <c r="F866" s="15"/>
      <c r="G866" s="15" t="s">
        <v>883</v>
      </c>
      <c r="H866" s="17"/>
      <c r="I866" s="15"/>
      <c r="J866" s="18"/>
      <c r="K866" t="s">
        <v>32</v>
      </c>
      <c r="N866" s="3">
        <f t="shared" si="75"/>
        <v>0</v>
      </c>
      <c r="O866" s="3">
        <f>(IF(L866&lt;4172.98,0,MIN(L866*0.3,L866-4172.98)))-M866</f>
        <v>0</v>
      </c>
      <c r="S866" s="3" t="s">
        <v>69</v>
      </c>
      <c r="Z866" s="181">
        <v>0</v>
      </c>
    </row>
    <row r="867" spans="1:26" hidden="1">
      <c r="A867" s="12">
        <v>23660546</v>
      </c>
      <c r="B867" s="13">
        <v>46249</v>
      </c>
      <c r="C867" s="14">
        <v>0.61724537037037042</v>
      </c>
      <c r="D867" s="15"/>
      <c r="E867" s="16">
        <v>5214931076522</v>
      </c>
      <c r="F867" s="15"/>
      <c r="G867" s="15" t="s">
        <v>884</v>
      </c>
      <c r="H867" s="17">
        <v>34806206370</v>
      </c>
      <c r="I867" s="15"/>
      <c r="J867" s="18"/>
      <c r="K867" t="s">
        <v>30</v>
      </c>
      <c r="L867" s="3">
        <v>19354.96</v>
      </c>
      <c r="M867" s="3">
        <v>5806</v>
      </c>
      <c r="N867" s="3">
        <f t="shared" si="75"/>
        <v>5806.4879999999994</v>
      </c>
      <c r="O867" s="3">
        <f>(IF(L867&lt;4172.98,0,MIN(L867*0.3,L867-4172.98)))-M867</f>
        <v>0.48799999999937427</v>
      </c>
      <c r="P867" s="6">
        <v>46478</v>
      </c>
      <c r="Q867" t="s">
        <v>80</v>
      </c>
      <c r="R867" s="3">
        <v>29990</v>
      </c>
      <c r="S867" s="3" t="s">
        <v>69</v>
      </c>
      <c r="Z867" s="181">
        <v>2</v>
      </c>
    </row>
    <row r="868" spans="1:26" hidden="1">
      <c r="A868" s="12">
        <v>23661296</v>
      </c>
      <c r="B868" s="13">
        <v>46249</v>
      </c>
      <c r="C868" s="14">
        <v>0.65975694444444444</v>
      </c>
      <c r="D868" s="15"/>
      <c r="E868" s="16">
        <v>5215531743115</v>
      </c>
      <c r="F868" s="15"/>
      <c r="G868" s="15" t="s">
        <v>885</v>
      </c>
      <c r="H868" s="17"/>
      <c r="I868" s="15"/>
      <c r="J868" s="18"/>
      <c r="K868" t="s">
        <v>32</v>
      </c>
      <c r="N868" s="3">
        <f t="shared" si="75"/>
        <v>0</v>
      </c>
      <c r="O868" s="3">
        <f>(IF(L868&lt;4172.98,0,MIN(L868*0.3,L868-4172.98)))-M868</f>
        <v>0</v>
      </c>
      <c r="S868" s="3" t="s">
        <v>69</v>
      </c>
      <c r="Z868" s="181">
        <v>0</v>
      </c>
    </row>
    <row r="869" spans="1:26" hidden="1">
      <c r="A869" s="12">
        <v>23661452</v>
      </c>
      <c r="B869" s="13">
        <v>46249</v>
      </c>
      <c r="C869" s="14">
        <v>0.66240740740740744</v>
      </c>
      <c r="D869" s="15"/>
      <c r="E869" s="16">
        <v>5215533868819</v>
      </c>
      <c r="F869" s="15"/>
      <c r="G869" s="15"/>
      <c r="H869" s="17">
        <v>39906300502</v>
      </c>
      <c r="I869" s="15"/>
      <c r="J869" s="18"/>
      <c r="K869" t="s">
        <v>30</v>
      </c>
      <c r="L869" s="3">
        <v>9081.52</v>
      </c>
      <c r="M869" s="3">
        <v>2722.42</v>
      </c>
      <c r="N869" s="3">
        <f t="shared" si="75"/>
        <v>2724.4560000000001</v>
      </c>
      <c r="O869" s="3">
        <f>(IF(L869&lt;4172.98,0,MIN(L869*0.3,L869-4172.98)))-M869</f>
        <v>2.0360000000000582</v>
      </c>
      <c r="P869" s="6">
        <v>46784</v>
      </c>
      <c r="Q869" t="s">
        <v>43</v>
      </c>
      <c r="R869" s="3">
        <v>2722.42</v>
      </c>
      <c r="S869" s="3" t="s">
        <v>69</v>
      </c>
      <c r="Z869" s="181">
        <v>2</v>
      </c>
    </row>
    <row r="870" spans="1:26">
      <c r="A870" s="12">
        <v>23661830</v>
      </c>
      <c r="B870" s="13">
        <v>46249</v>
      </c>
      <c r="C870" s="14">
        <v>0.67973379629629627</v>
      </c>
      <c r="D870" s="15"/>
      <c r="E870" s="16">
        <v>5212295277230</v>
      </c>
      <c r="F870" s="15"/>
      <c r="G870" s="15"/>
      <c r="H870" s="17">
        <v>65735701982</v>
      </c>
      <c r="I870" s="15"/>
      <c r="J870" s="18"/>
      <c r="K870" t="s">
        <v>27</v>
      </c>
      <c r="L870" s="3">
        <v>27695.83</v>
      </c>
      <c r="M870" s="3">
        <v>8305.43</v>
      </c>
      <c r="N870" s="3">
        <f t="shared" si="75"/>
        <v>8308.7489999999998</v>
      </c>
      <c r="O870" s="3">
        <f>(IF(L870&lt;4172.98,0,MIN(L870*0.3,L870-4172.98)))-M870</f>
        <v>3.3189999999995052</v>
      </c>
      <c r="P870" s="6">
        <v>46113</v>
      </c>
      <c r="Q870" t="s">
        <v>75</v>
      </c>
      <c r="R870" s="3">
        <v>3441.34</v>
      </c>
      <c r="S870" s="3" t="s">
        <v>886</v>
      </c>
      <c r="T870" s="48">
        <v>46250</v>
      </c>
      <c r="Z870" s="181">
        <v>2</v>
      </c>
    </row>
    <row r="871" spans="1:26" hidden="1">
      <c r="A871" s="12">
        <v>23662126</v>
      </c>
      <c r="B871" s="13">
        <v>46249</v>
      </c>
      <c r="C871" s="14">
        <v>0.69935185185185189</v>
      </c>
      <c r="D871" s="15"/>
      <c r="E871" s="16">
        <v>5217291077650</v>
      </c>
      <c r="F871" s="15"/>
      <c r="G871" s="15"/>
      <c r="H871" s="17">
        <v>92886902565</v>
      </c>
      <c r="I871" s="15"/>
      <c r="J871" s="18"/>
      <c r="K871" t="s">
        <v>58</v>
      </c>
      <c r="L871" s="3">
        <v>3526.69</v>
      </c>
      <c r="N871" s="3">
        <f t="shared" si="75"/>
        <v>1058.0070000000001</v>
      </c>
      <c r="O871" s="3">
        <f>(IF(L871&lt;4172.98,0,MIN(L871*0.3,L871-4172.98)))-M871</f>
        <v>0</v>
      </c>
      <c r="S871" s="3" t="s">
        <v>69</v>
      </c>
      <c r="Z871" s="181">
        <v>1</v>
      </c>
    </row>
    <row r="872" spans="1:26" hidden="1">
      <c r="A872" s="12">
        <v>23662398</v>
      </c>
      <c r="B872" s="13">
        <v>46249</v>
      </c>
      <c r="C872" s="14">
        <v>0.71276620370370369</v>
      </c>
      <c r="D872" s="15"/>
      <c r="E872" s="16">
        <v>5213350865061</v>
      </c>
      <c r="F872" s="15"/>
      <c r="G872" s="15" t="s">
        <v>887</v>
      </c>
      <c r="H872" s="17"/>
      <c r="I872" s="15"/>
      <c r="J872" s="18"/>
      <c r="K872" t="s">
        <v>32</v>
      </c>
      <c r="N872" s="3">
        <f t="shared" si="75"/>
        <v>0</v>
      </c>
      <c r="O872" s="3">
        <f>(IF(L872&lt;4172.98,0,MIN(L872*0.3,L872-4172.98)))-M872</f>
        <v>0</v>
      </c>
      <c r="S872" s="3" t="s">
        <v>69</v>
      </c>
      <c r="Z872" s="181">
        <v>0</v>
      </c>
    </row>
    <row r="873" spans="1:26" hidden="1">
      <c r="A873" s="12">
        <v>23662562</v>
      </c>
      <c r="B873" s="13">
        <v>46249</v>
      </c>
      <c r="C873" s="14">
        <v>0.72105324074074073</v>
      </c>
      <c r="D873" s="15" t="s">
        <v>888</v>
      </c>
      <c r="E873" s="16">
        <v>5216623576639</v>
      </c>
      <c r="F873" s="15"/>
      <c r="G873" s="15"/>
      <c r="H873" s="17" t="s">
        <v>889</v>
      </c>
      <c r="I873" s="15"/>
      <c r="J873" s="18"/>
      <c r="K873" t="s">
        <v>58</v>
      </c>
      <c r="L873" s="3">
        <v>3320.95</v>
      </c>
      <c r="N873" s="3">
        <f t="shared" si="75"/>
        <v>996.28499999999985</v>
      </c>
      <c r="O873" s="3">
        <f>(IF(L873&lt;4172.98,0,MIN(L873*0.3,L873-4172.98)))-M873</f>
        <v>0</v>
      </c>
      <c r="S873" s="3" t="s">
        <v>69</v>
      </c>
      <c r="Z873" s="181">
        <v>1</v>
      </c>
    </row>
    <row r="874" spans="1:26" hidden="1">
      <c r="A874" s="12">
        <v>23662526</v>
      </c>
      <c r="B874" s="13">
        <v>46249</v>
      </c>
      <c r="C874" s="14">
        <v>0.72166666666666668</v>
      </c>
      <c r="D874" s="15" t="s">
        <v>890</v>
      </c>
      <c r="E874" s="16">
        <v>5214462130021</v>
      </c>
      <c r="F874" s="15"/>
      <c r="G874" s="15" t="s">
        <v>891</v>
      </c>
      <c r="H874" s="17"/>
      <c r="I874" s="15"/>
      <c r="J874" s="18"/>
      <c r="K874" t="s">
        <v>30</v>
      </c>
      <c r="L874" s="3">
        <v>10171.209999999999</v>
      </c>
      <c r="M874" s="3">
        <v>2942.75</v>
      </c>
      <c r="N874" s="3">
        <f t="shared" si="75"/>
        <v>3051.3629999999998</v>
      </c>
      <c r="O874" s="3">
        <f>(IF(L874&lt;4172.98,0,MIN(L874*0.3,L874-4172.98)))-M874</f>
        <v>108.61299999999983</v>
      </c>
      <c r="P874" s="6">
        <v>46569</v>
      </c>
      <c r="Q874" t="s">
        <v>77</v>
      </c>
      <c r="R874" s="3">
        <v>2942.78</v>
      </c>
      <c r="S874" s="3" t="s">
        <v>69</v>
      </c>
      <c r="Z874" s="181">
        <v>2</v>
      </c>
    </row>
    <row r="875" spans="1:26">
      <c r="A875" s="12">
        <v>23663152</v>
      </c>
      <c r="B875" s="13">
        <v>46249</v>
      </c>
      <c r="C875" s="14">
        <v>0.75475694444444441</v>
      </c>
      <c r="D875" s="15"/>
      <c r="E875" s="16">
        <v>5218115035361</v>
      </c>
      <c r="F875" s="15"/>
      <c r="G875" s="15"/>
      <c r="H875" s="17">
        <v>43715422168</v>
      </c>
      <c r="I875" s="15"/>
      <c r="J875" s="18"/>
      <c r="K875" t="s">
        <v>34</v>
      </c>
      <c r="L875" s="3">
        <v>15583.51</v>
      </c>
      <c r="M875" s="3">
        <v>4124.3</v>
      </c>
      <c r="N875" s="3">
        <f t="shared" si="75"/>
        <v>4675.0529999999999</v>
      </c>
      <c r="O875" s="3">
        <f>(IF(L875&lt;4172.98,0,MIN(L875*0.3,L875-4172.98)))-M875</f>
        <v>550.7529999999997</v>
      </c>
      <c r="P875" s="6">
        <v>45809</v>
      </c>
      <c r="Q875" t="s">
        <v>57</v>
      </c>
      <c r="R875" s="3">
        <v>4124.3</v>
      </c>
      <c r="S875" s="3" t="s">
        <v>35</v>
      </c>
      <c r="T875" s="48">
        <v>46250</v>
      </c>
      <c r="Z875" s="181">
        <v>2</v>
      </c>
    </row>
    <row r="876" spans="1:26" hidden="1">
      <c r="A876" s="12">
        <v>23663320</v>
      </c>
      <c r="B876" s="13">
        <v>46249</v>
      </c>
      <c r="C876" s="14">
        <v>0.76728009259259256</v>
      </c>
      <c r="D876" s="15"/>
      <c r="E876" s="16">
        <v>5218446090361</v>
      </c>
      <c r="F876" s="15"/>
      <c r="G876" s="15"/>
      <c r="H876" s="17">
        <v>32815210706</v>
      </c>
      <c r="I876" s="15"/>
      <c r="J876" s="18"/>
      <c r="K876" t="s">
        <v>32</v>
      </c>
      <c r="N876" s="3">
        <f t="shared" si="75"/>
        <v>0</v>
      </c>
      <c r="O876" s="3">
        <f>(IF(L876&lt;4172.98,0,MIN(L876*0.3,L876-4172.98)))-M876</f>
        <v>0</v>
      </c>
      <c r="S876" s="3" t="s">
        <v>69</v>
      </c>
      <c r="Z876" s="181">
        <v>0</v>
      </c>
    </row>
    <row r="877" spans="1:26" hidden="1">
      <c r="A877" s="12">
        <v>23663368</v>
      </c>
      <c r="B877" s="13">
        <v>46249</v>
      </c>
      <c r="C877" s="14">
        <v>0.77497685185185183</v>
      </c>
      <c r="D877" s="15"/>
      <c r="E877" s="16">
        <v>5219192714277</v>
      </c>
      <c r="F877" s="15"/>
      <c r="G877" s="15" t="s">
        <v>892</v>
      </c>
      <c r="H877" s="17"/>
      <c r="I877" s="15"/>
      <c r="J877" s="18"/>
      <c r="K877" t="s">
        <v>32</v>
      </c>
      <c r="N877" s="3">
        <f t="shared" si="75"/>
        <v>0</v>
      </c>
      <c r="O877" s="3">
        <f>(IF(L877&lt;4172.98,0,MIN(L877*0.3,L877-4172.98)))-M877</f>
        <v>0</v>
      </c>
      <c r="S877" s="3" t="s">
        <v>69</v>
      </c>
      <c r="Z877" s="181">
        <v>0</v>
      </c>
    </row>
    <row r="878" spans="1:26">
      <c r="A878" s="12">
        <v>23663760</v>
      </c>
      <c r="B878" s="13">
        <v>46249</v>
      </c>
      <c r="C878" s="14">
        <v>0.79686342592592596</v>
      </c>
      <c r="D878" s="15"/>
      <c r="E878" s="16">
        <v>5214931006790</v>
      </c>
      <c r="F878" s="15"/>
      <c r="G878" s="103" t="s">
        <v>893</v>
      </c>
      <c r="H878" s="17"/>
      <c r="I878" s="15"/>
      <c r="J878" s="18"/>
      <c r="K878" t="s">
        <v>54</v>
      </c>
      <c r="L878" s="3">
        <v>16975.87</v>
      </c>
      <c r="N878" s="3">
        <f t="shared" si="75"/>
        <v>5092.7609999999995</v>
      </c>
      <c r="O878" s="3">
        <f>(IF(L878&lt;4172.98,0,MIN(L878*0.3,L878-4172.98)))-M878</f>
        <v>5092.7609999999995</v>
      </c>
      <c r="S878" s="121" t="s">
        <v>879</v>
      </c>
      <c r="T878" s="48">
        <v>46250</v>
      </c>
      <c r="Z878" s="181">
        <v>1</v>
      </c>
    </row>
    <row r="879" spans="1:26">
      <c r="A879" s="12">
        <v>23663956</v>
      </c>
      <c r="B879" s="13">
        <v>46249</v>
      </c>
      <c r="C879" s="14">
        <v>0.8057523148148148</v>
      </c>
      <c r="D879" s="15"/>
      <c r="E879" s="16">
        <v>5213317565937</v>
      </c>
      <c r="F879" s="15"/>
      <c r="G879" s="15" t="s">
        <v>894</v>
      </c>
      <c r="H879" s="17"/>
      <c r="I879" s="15"/>
      <c r="J879" s="18"/>
      <c r="K879" t="s">
        <v>54</v>
      </c>
      <c r="L879" s="3">
        <v>10636.54</v>
      </c>
      <c r="N879" s="3">
        <f t="shared" si="75"/>
        <v>3190.962</v>
      </c>
      <c r="O879" s="3">
        <f>(IF(L879&lt;4172.98,0,MIN(L879*0.3,L879-4172.98)))-M879</f>
        <v>3190.962</v>
      </c>
      <c r="S879" s="3" t="s">
        <v>830</v>
      </c>
      <c r="T879" s="48">
        <v>46250</v>
      </c>
      <c r="Z879" s="181">
        <v>1</v>
      </c>
    </row>
    <row r="880" spans="1:26" hidden="1">
      <c r="A880" s="12">
        <v>23663920</v>
      </c>
      <c r="B880" s="13">
        <v>46249</v>
      </c>
      <c r="C880" s="14">
        <v>0.80832175925925931</v>
      </c>
      <c r="D880" s="15"/>
      <c r="E880" s="16">
        <v>5216444042454</v>
      </c>
      <c r="F880" s="15"/>
      <c r="G880" s="15" t="s">
        <v>895</v>
      </c>
      <c r="H880" s="17"/>
      <c r="I880" s="15"/>
      <c r="J880" s="18"/>
      <c r="K880" t="s">
        <v>58</v>
      </c>
      <c r="L880" s="3">
        <v>2885.16</v>
      </c>
      <c r="N880" s="3">
        <f t="shared" si="75"/>
        <v>865.54799999999989</v>
      </c>
      <c r="O880" s="3">
        <f>(IF(L880&lt;4172.98,0,MIN(L880*0.3,L880-4172.98)))-M880</f>
        <v>0</v>
      </c>
      <c r="S880" s="3" t="s">
        <v>69</v>
      </c>
      <c r="Z880" s="181">
        <v>1</v>
      </c>
    </row>
    <row r="881" spans="1:26">
      <c r="A881" s="12">
        <v>23664094</v>
      </c>
      <c r="B881" s="13">
        <v>46249</v>
      </c>
      <c r="C881" s="14">
        <v>0.8118981481481482</v>
      </c>
      <c r="D881" s="15"/>
      <c r="E881" s="16">
        <v>5213314663665</v>
      </c>
      <c r="F881" s="15"/>
      <c r="G881" s="15"/>
      <c r="H881" s="17" t="s">
        <v>896</v>
      </c>
      <c r="I881" s="15"/>
      <c r="J881" s="18"/>
      <c r="K881" t="s">
        <v>27</v>
      </c>
      <c r="L881" s="3">
        <f>14370.21+5177.49</f>
        <v>19547.699999999997</v>
      </c>
      <c r="M881" s="3">
        <v>5177.49</v>
      </c>
      <c r="N881" s="3">
        <f t="shared" si="75"/>
        <v>5864.3099999999986</v>
      </c>
      <c r="O881" s="3">
        <f>(IF(L881&lt;4172.98,0,MIN(L881*0.3,L881-4172.98)))-M881</f>
        <v>686.8199999999988</v>
      </c>
      <c r="S881" s="3" t="s">
        <v>548</v>
      </c>
      <c r="T881" s="48">
        <v>46250</v>
      </c>
      <c r="Z881" s="181">
        <v>1</v>
      </c>
    </row>
    <row r="882" spans="1:26" hidden="1">
      <c r="A882" s="12">
        <v>23665488</v>
      </c>
      <c r="B882" s="13">
        <v>46249</v>
      </c>
      <c r="C882" s="14">
        <v>0.91547453703703707</v>
      </c>
      <c r="D882" s="15"/>
      <c r="E882" s="16">
        <v>5218661425247</v>
      </c>
      <c r="F882" s="15"/>
      <c r="G882" s="15"/>
      <c r="H882" s="17">
        <v>32745629025</v>
      </c>
      <c r="I882" s="15"/>
      <c r="J882" s="18"/>
      <c r="K882" t="s">
        <v>30</v>
      </c>
      <c r="L882" s="3">
        <f>51237.37+13136.71+842.24+4111.48+3868.45</f>
        <v>73196.25</v>
      </c>
      <c r="M882" s="3">
        <f>13136.71+842.24+4111.48+3868.45</f>
        <v>21958.880000000001</v>
      </c>
      <c r="N882" s="3">
        <f t="shared" si="75"/>
        <v>21958.875</v>
      </c>
      <c r="O882" s="3">
        <f>(IF(L882&lt;4172.98,0,MIN(L882*0.3,L882-4172.98)))-M882</f>
        <v>-5.0000000010186341E-3</v>
      </c>
      <c r="P882" s="6">
        <v>46478</v>
      </c>
      <c r="Q882" t="s">
        <v>59</v>
      </c>
      <c r="R882" s="3">
        <v>13136.71</v>
      </c>
      <c r="S882" s="3" t="s">
        <v>69</v>
      </c>
      <c r="Z882" s="181">
        <v>2</v>
      </c>
    </row>
    <row r="883" spans="1:26" hidden="1">
      <c r="A883" s="12">
        <v>23665952</v>
      </c>
      <c r="B883" s="13">
        <v>46249</v>
      </c>
      <c r="C883" s="14">
        <v>0.97415509259259259</v>
      </c>
      <c r="D883" s="15"/>
      <c r="E883" s="16">
        <v>5218999989790</v>
      </c>
      <c r="F883" s="15"/>
      <c r="G883" s="15"/>
      <c r="H883" s="17">
        <v>65675024270</v>
      </c>
      <c r="I883" s="15"/>
      <c r="J883" s="18"/>
      <c r="K883" t="s">
        <v>58</v>
      </c>
      <c r="L883" s="3">
        <f>3018.25+848</f>
        <v>3866.25</v>
      </c>
      <c r="N883" s="3">
        <f t="shared" si="75"/>
        <v>1159.875</v>
      </c>
      <c r="O883" s="3">
        <f>(IF(L883&lt;4172.98,0,MIN(L883*0.3,L883-4172.98)))-M883</f>
        <v>0</v>
      </c>
      <c r="S883" s="3" t="s">
        <v>69</v>
      </c>
      <c r="Z883" s="181">
        <v>1</v>
      </c>
    </row>
    <row r="884" spans="1:26" hidden="1">
      <c r="A884" s="12">
        <v>23666028</v>
      </c>
      <c r="B884" s="13">
        <v>46249</v>
      </c>
      <c r="C884" s="14">
        <v>0.9851388888888889</v>
      </c>
      <c r="D884" s="15"/>
      <c r="E884" s="16">
        <v>5214881123110</v>
      </c>
      <c r="F884" s="15"/>
      <c r="G884" s="15"/>
      <c r="H884" s="17">
        <v>41846412066</v>
      </c>
      <c r="I884" s="15"/>
      <c r="J884" s="18"/>
      <c r="K884" t="s">
        <v>32</v>
      </c>
      <c r="N884" s="3">
        <f t="shared" si="75"/>
        <v>0</v>
      </c>
      <c r="O884" s="3">
        <f>(IF(L884&lt;4172.98,0,MIN(L884*0.3,L884-4172.98)))-M884</f>
        <v>0</v>
      </c>
      <c r="S884" s="3" t="s">
        <v>69</v>
      </c>
      <c r="Z884" s="181">
        <v>0</v>
      </c>
    </row>
    <row r="885" spans="1:26">
      <c r="A885" s="30">
        <v>23671064</v>
      </c>
      <c r="B885" s="31">
        <v>46250</v>
      </c>
      <c r="C885" s="32">
        <v>0.39612268518518517</v>
      </c>
      <c r="D885" s="33" t="s">
        <v>897</v>
      </c>
      <c r="E885" s="34">
        <v>5216242199836</v>
      </c>
      <c r="F885" s="33"/>
      <c r="G885" s="33" t="s">
        <v>898</v>
      </c>
      <c r="H885" s="35" t="s">
        <v>899</v>
      </c>
      <c r="I885" s="33"/>
      <c r="J885" s="36"/>
      <c r="K885" t="s">
        <v>54</v>
      </c>
      <c r="L885" s="3">
        <v>11029.03</v>
      </c>
      <c r="N885" s="3">
        <f t="shared" si="75"/>
        <v>3308.7090000000003</v>
      </c>
      <c r="O885" s="3">
        <f>(IF(L885&lt;4172.98,0,MIN(L885*0.3,L885-4172.98)))-M885</f>
        <v>3308.7090000000003</v>
      </c>
      <c r="S885" s="3" t="s">
        <v>211</v>
      </c>
      <c r="T885" s="48">
        <v>46250</v>
      </c>
      <c r="Z885" s="181">
        <v>1</v>
      </c>
    </row>
    <row r="886" spans="1:26" hidden="1">
      <c r="A886" s="12">
        <v>23671416</v>
      </c>
      <c r="B886" s="13">
        <v>46250</v>
      </c>
      <c r="C886" s="14">
        <v>0.41395833333333332</v>
      </c>
      <c r="D886" s="15"/>
      <c r="E886" s="16">
        <v>5214424523104</v>
      </c>
      <c r="F886" s="15"/>
      <c r="G886" s="15"/>
      <c r="H886" s="17">
        <v>42826009211</v>
      </c>
      <c r="I886" s="15"/>
      <c r="J886" s="18"/>
      <c r="K886" t="s">
        <v>30</v>
      </c>
      <c r="L886" s="3">
        <f>36273.28+825+12107.99+2608</f>
        <v>51814.27</v>
      </c>
      <c r="M886" s="3">
        <f>825+12107.99+2608</f>
        <v>15540.99</v>
      </c>
      <c r="N886" s="3">
        <f t="shared" ref="N886:N887" si="76">L886*0.3</f>
        <v>15544.280999999999</v>
      </c>
      <c r="O886" s="3">
        <f>(IF(L886&lt;4172.98,0,MIN(L886*0.3,L886-4172.98)))-M886</f>
        <v>3.2909999999992579</v>
      </c>
      <c r="P886" s="6">
        <v>46419</v>
      </c>
      <c r="Q886" t="s">
        <v>44</v>
      </c>
      <c r="R886" s="3">
        <v>2608</v>
      </c>
      <c r="S886" s="3" t="s">
        <v>69</v>
      </c>
      <c r="Z886" s="181">
        <v>2</v>
      </c>
    </row>
    <row r="887" spans="1:26" hidden="1">
      <c r="A887" s="30">
        <v>23672372</v>
      </c>
      <c r="B887" s="31">
        <v>46250</v>
      </c>
      <c r="C887" s="32">
        <v>0.45839120370370373</v>
      </c>
      <c r="D887" s="33"/>
      <c r="E887" s="34">
        <v>2189719144</v>
      </c>
      <c r="F887" s="33"/>
      <c r="G887" s="33"/>
      <c r="H887" s="35">
        <v>21897191447</v>
      </c>
      <c r="I887" s="33"/>
      <c r="J887" s="36"/>
      <c r="K887" t="s">
        <v>32</v>
      </c>
      <c r="N887" s="3">
        <f t="shared" si="76"/>
        <v>0</v>
      </c>
      <c r="O887" s="3">
        <f>(IF(L887&lt;4172.98,0,MIN(L887*0.3,L887-4172.98)))-M887</f>
        <v>0</v>
      </c>
      <c r="S887" s="3" t="s">
        <v>69</v>
      </c>
      <c r="Z887" s="181">
        <v>0</v>
      </c>
    </row>
    <row r="888" spans="1:26" hidden="1">
      <c r="A888" s="12">
        <v>23673604</v>
      </c>
      <c r="B888" s="13">
        <v>46250</v>
      </c>
      <c r="C888" s="14">
        <v>0.52983796296296293</v>
      </c>
      <c r="D888" s="15" t="s">
        <v>900</v>
      </c>
      <c r="E888" s="16">
        <v>9712636103</v>
      </c>
      <c r="F888" s="15"/>
      <c r="G888" s="15" t="s">
        <v>901</v>
      </c>
      <c r="H888" s="17"/>
      <c r="I888" s="15"/>
      <c r="J888" s="18"/>
      <c r="K888" t="s">
        <v>51</v>
      </c>
      <c r="N888" s="3">
        <f t="shared" ref="N888:N889" si="77">L888*0.3</f>
        <v>0</v>
      </c>
      <c r="O888" s="3">
        <f>(IF(L888&lt;4172.98,0,MIN(L888*0.3,L888-4172.98)))-M888</f>
        <v>0</v>
      </c>
      <c r="S888" s="3" t="s">
        <v>69</v>
      </c>
      <c r="Z888" s="181">
        <v>1</v>
      </c>
    </row>
    <row r="889" spans="1:26" hidden="1">
      <c r="A889" s="30">
        <v>23673976</v>
      </c>
      <c r="B889" s="31">
        <v>46250</v>
      </c>
      <c r="C889" s="32">
        <v>0.53396990740740746</v>
      </c>
      <c r="D889" s="33"/>
      <c r="E889" s="34">
        <v>5218771367258</v>
      </c>
      <c r="F889" s="33"/>
      <c r="G889" s="33" t="s">
        <v>902</v>
      </c>
      <c r="H889" s="35"/>
      <c r="I889" s="33"/>
      <c r="J889" s="36"/>
      <c r="K889" t="s">
        <v>30</v>
      </c>
      <c r="L889" s="3">
        <f>8742.86+3559.32</f>
        <v>12302.18</v>
      </c>
      <c r="M889" s="3">
        <v>3559.32</v>
      </c>
      <c r="N889" s="3">
        <f t="shared" si="77"/>
        <v>3690.654</v>
      </c>
      <c r="O889" s="3">
        <f>(IF(L889&lt;4172.98,0,MIN(L889*0.3,L889-4172.98)))-M889</f>
        <v>131.33399999999983</v>
      </c>
      <c r="P889" s="6">
        <v>46692</v>
      </c>
      <c r="Q889" t="s">
        <v>75</v>
      </c>
      <c r="R889" s="3">
        <v>3559.32</v>
      </c>
      <c r="S889" s="3" t="s">
        <v>69</v>
      </c>
      <c r="Z889" s="181">
        <v>2</v>
      </c>
    </row>
    <row r="890" spans="1:26" hidden="1">
      <c r="A890" s="12">
        <v>23674294</v>
      </c>
      <c r="B890" s="13">
        <v>46250</v>
      </c>
      <c r="C890" s="14">
        <v>0.55326388888888889</v>
      </c>
      <c r="D890" s="15"/>
      <c r="E890" s="16">
        <v>16264741430</v>
      </c>
      <c r="F890" s="15"/>
      <c r="G890" s="15" t="s">
        <v>903</v>
      </c>
      <c r="H890" s="17"/>
      <c r="I890" s="15"/>
      <c r="J890" s="18"/>
      <c r="K890" t="s">
        <v>32</v>
      </c>
      <c r="N890" s="3">
        <f t="shared" ref="N890:N895" si="78">L890*0.3</f>
        <v>0</v>
      </c>
      <c r="O890" s="3">
        <f>(IF(L890&lt;4172.98,0,MIN(L890*0.3,L890-4172.98)))-M890</f>
        <v>0</v>
      </c>
      <c r="S890" s="3" t="s">
        <v>69</v>
      </c>
      <c r="Z890" s="181">
        <v>0</v>
      </c>
    </row>
    <row r="891" spans="1:26" hidden="1">
      <c r="A891" s="12">
        <v>23674422</v>
      </c>
      <c r="B891" s="13">
        <v>46250</v>
      </c>
      <c r="C891" s="14">
        <v>0.55442129629629633</v>
      </c>
      <c r="D891" s="15"/>
      <c r="E891" s="16">
        <v>5214423175555</v>
      </c>
      <c r="F891" s="15"/>
      <c r="G891" s="15" t="s">
        <v>904</v>
      </c>
      <c r="H891" s="17">
        <v>6856412066</v>
      </c>
      <c r="I891" s="15"/>
      <c r="J891" s="18"/>
      <c r="K891" t="s">
        <v>30</v>
      </c>
      <c r="L891" s="3">
        <f>6560.17+1147.35+1374</f>
        <v>9081.52</v>
      </c>
      <c r="M891" s="3">
        <f>1147.35+1374</f>
        <v>2521.35</v>
      </c>
      <c r="N891" s="3">
        <f t="shared" si="78"/>
        <v>2724.4560000000001</v>
      </c>
      <c r="O891" s="3">
        <f>(IF(L891&lt;4172.98,0,MIN(L891*0.3,L891-4172.98)))-M891</f>
        <v>203.10600000000022</v>
      </c>
      <c r="P891" s="6">
        <v>46327</v>
      </c>
      <c r="Q891" t="s">
        <v>77</v>
      </c>
      <c r="R891" s="3">
        <v>1374</v>
      </c>
      <c r="S891" s="3" t="s">
        <v>69</v>
      </c>
      <c r="Z891" s="181">
        <v>2</v>
      </c>
    </row>
    <row r="892" spans="1:26" hidden="1">
      <c r="A892" s="12">
        <v>23674650</v>
      </c>
      <c r="B892" s="13">
        <v>46250</v>
      </c>
      <c r="C892" s="14">
        <v>0.56417824074074074</v>
      </c>
      <c r="D892" s="15" t="s">
        <v>905</v>
      </c>
      <c r="E892" s="16">
        <v>5219843122974</v>
      </c>
      <c r="F892" s="15"/>
      <c r="G892" s="15"/>
      <c r="H892" s="17">
        <v>81917027492</v>
      </c>
      <c r="I892" s="15"/>
      <c r="J892" s="18"/>
      <c r="K892" t="s">
        <v>30</v>
      </c>
      <c r="L892" s="3">
        <v>5055.87</v>
      </c>
      <c r="M892" s="3">
        <v>1300</v>
      </c>
      <c r="N892" s="3">
        <f t="shared" si="78"/>
        <v>1516.761</v>
      </c>
      <c r="O892" s="3">
        <f>(IF(L892&lt;4172.98,0,MIN(L892*0.3,L892-4172.98)))-M892</f>
        <v>-417.10999999999967</v>
      </c>
      <c r="P892" s="6">
        <v>46844</v>
      </c>
      <c r="Q892" t="s">
        <v>906</v>
      </c>
      <c r="R892" s="3">
        <v>1300</v>
      </c>
      <c r="S892" s="3" t="s">
        <v>69</v>
      </c>
      <c r="Z892" s="181">
        <v>2</v>
      </c>
    </row>
    <row r="893" spans="1:26" hidden="1">
      <c r="A893" s="12">
        <v>23674954</v>
      </c>
      <c r="B893" s="13">
        <v>46250</v>
      </c>
      <c r="C893" s="14">
        <v>0.57517361111111109</v>
      </c>
      <c r="D893" s="15"/>
      <c r="E893" s="16">
        <v>5218337570009</v>
      </c>
      <c r="F893" s="15"/>
      <c r="G893" s="15"/>
      <c r="H893" s="17">
        <v>49895305891</v>
      </c>
      <c r="I893" s="15"/>
      <c r="J893" s="18"/>
      <c r="K893" t="s">
        <v>30</v>
      </c>
      <c r="L893" s="3">
        <v>7888.26</v>
      </c>
      <c r="M893" s="3">
        <v>2366.48</v>
      </c>
      <c r="N893" s="3">
        <f t="shared" si="78"/>
        <v>2366.4780000000001</v>
      </c>
      <c r="O893" s="3">
        <f>(IF(L893&lt;4172.98,0,MIN(L893*0.3,L893-4172.98)))-M893</f>
        <v>-1.9999999999527063E-3</v>
      </c>
      <c r="P893" s="6">
        <v>46508</v>
      </c>
      <c r="Q893" t="s">
        <v>80</v>
      </c>
      <c r="R893" s="3">
        <v>412</v>
      </c>
      <c r="S893" s="3" t="s">
        <v>69</v>
      </c>
      <c r="Z893" s="181">
        <v>2</v>
      </c>
    </row>
    <row r="894" spans="1:26" hidden="1">
      <c r="A894" s="12">
        <v>23674824</v>
      </c>
      <c r="B894" s="13">
        <v>46250</v>
      </c>
      <c r="C894" s="14">
        <v>0.5761574074074074</v>
      </c>
      <c r="D894" s="15"/>
      <c r="E894" s="16">
        <v>5215585483964</v>
      </c>
      <c r="F894" s="15"/>
      <c r="G894" s="15" t="s">
        <v>907</v>
      </c>
      <c r="H894" s="17"/>
      <c r="I894" s="15"/>
      <c r="J894" s="18"/>
      <c r="K894" t="s">
        <v>30</v>
      </c>
      <c r="L894" s="3">
        <f>15175.32+230.73+6271.88</f>
        <v>21677.93</v>
      </c>
      <c r="M894" s="3">
        <f>230.73+6271.88</f>
        <v>6502.61</v>
      </c>
      <c r="N894" s="3">
        <f t="shared" si="78"/>
        <v>6503.3789999999999</v>
      </c>
      <c r="O894" s="3">
        <f>(IF(L894&lt;4172.98,0,MIN(L894*0.3,L894-4172.98)))-M894</f>
        <v>0.76900000000023283</v>
      </c>
      <c r="P894" s="6">
        <v>46600</v>
      </c>
      <c r="Q894" t="s">
        <v>77</v>
      </c>
      <c r="R894" s="3">
        <v>6271.88</v>
      </c>
      <c r="S894" s="3" t="s">
        <v>69</v>
      </c>
      <c r="Z894" s="181">
        <v>2</v>
      </c>
    </row>
    <row r="895" spans="1:26" hidden="1">
      <c r="A895" s="30">
        <v>23674932</v>
      </c>
      <c r="B895" s="31">
        <v>46250</v>
      </c>
      <c r="C895" s="32">
        <v>0.57756944444444447</v>
      </c>
      <c r="D895" s="33"/>
      <c r="E895" s="34">
        <v>5215567756463</v>
      </c>
      <c r="F895" s="33"/>
      <c r="G895" s="33" t="s">
        <v>908</v>
      </c>
      <c r="H895" s="35">
        <v>7816328418</v>
      </c>
      <c r="I895" s="33"/>
      <c r="J895" s="36"/>
      <c r="K895" t="s">
        <v>32</v>
      </c>
      <c r="N895" s="3">
        <f t="shared" si="78"/>
        <v>0</v>
      </c>
      <c r="O895" s="3">
        <f>(IF(L895&lt;4172.98,0,MIN(L895*0.3,L895-4172.98)))-M895</f>
        <v>0</v>
      </c>
      <c r="S895" s="3" t="s">
        <v>69</v>
      </c>
      <c r="Z895" s="181">
        <v>0</v>
      </c>
    </row>
    <row r="896" spans="1:26" hidden="1">
      <c r="A896" s="30">
        <v>23675246</v>
      </c>
      <c r="B896" s="31">
        <v>46250</v>
      </c>
      <c r="C896" s="32">
        <v>0.5815393518518519</v>
      </c>
      <c r="D896" s="33" t="s">
        <v>909</v>
      </c>
      <c r="E896" s="34">
        <v>5219983426995</v>
      </c>
      <c r="F896" s="33"/>
      <c r="G896" s="33" t="s">
        <v>910</v>
      </c>
      <c r="H896" s="35"/>
      <c r="I896" s="33"/>
      <c r="J896" s="36"/>
      <c r="K896" t="s">
        <v>32</v>
      </c>
      <c r="N896" s="3">
        <f>L896*0.3</f>
        <v>0</v>
      </c>
      <c r="O896" s="3">
        <f>(IF(L896&lt;4172.98,0,MIN(L896*0.3,L896-4172.98)))-M896</f>
        <v>0</v>
      </c>
      <c r="S896" s="3" t="s">
        <v>69</v>
      </c>
      <c r="Z896" s="181">
        <v>0</v>
      </c>
    </row>
    <row r="897" spans="1:26" hidden="1">
      <c r="A897" s="12">
        <v>23675350</v>
      </c>
      <c r="B897" s="13">
        <v>46250</v>
      </c>
      <c r="C897" s="14">
        <v>0.59104166666666669</v>
      </c>
      <c r="D897" s="15"/>
      <c r="E897" s="16">
        <v>5214775626740</v>
      </c>
      <c r="F897" s="15"/>
      <c r="G897" s="15" t="s">
        <v>911</v>
      </c>
      <c r="H897" s="17"/>
      <c r="I897" s="15"/>
      <c r="J897" s="18"/>
      <c r="K897" t="s">
        <v>51</v>
      </c>
      <c r="N897" s="3">
        <f t="shared" ref="N897:N898" si="79">L897*0.3</f>
        <v>0</v>
      </c>
      <c r="O897" s="3">
        <f>(IF(L897&lt;4172.98,0,MIN(L897*0.3,L897-4172.98)))-M897</f>
        <v>0</v>
      </c>
      <c r="S897" s="3" t="s">
        <v>69</v>
      </c>
      <c r="Z897" s="181">
        <v>1</v>
      </c>
    </row>
    <row r="898" spans="1:26">
      <c r="A898" s="30">
        <v>23675408</v>
      </c>
      <c r="B898" s="31">
        <v>46250</v>
      </c>
      <c r="C898" s="32">
        <v>0.59219907407407413</v>
      </c>
      <c r="D898" s="33"/>
      <c r="E898" s="34">
        <v>5217774225647</v>
      </c>
      <c r="F898" s="33"/>
      <c r="G898" s="33"/>
      <c r="H898" s="35">
        <v>15816205114</v>
      </c>
      <c r="I898" s="33"/>
      <c r="J898" s="36"/>
      <c r="K898" t="s">
        <v>54</v>
      </c>
      <c r="L898" s="3">
        <v>6262.86</v>
      </c>
      <c r="N898" s="3">
        <f t="shared" si="79"/>
        <v>1878.8579999999997</v>
      </c>
      <c r="O898" s="3">
        <f>(IF(L898&lt;4172.98,0,MIN(L898*0.3,L898-4172.98)))-M898</f>
        <v>1878.8579999999997</v>
      </c>
      <c r="S898" s="3" t="s">
        <v>879</v>
      </c>
      <c r="T898" s="48">
        <v>46250</v>
      </c>
      <c r="U898" s="85"/>
      <c r="Z898" s="181">
        <v>1</v>
      </c>
    </row>
    <row r="899" spans="1:26" hidden="1">
      <c r="A899" s="12">
        <v>23675946</v>
      </c>
      <c r="B899" s="13">
        <v>46250</v>
      </c>
      <c r="C899" s="14">
        <v>0.62224537037037042</v>
      </c>
      <c r="D899" s="15"/>
      <c r="E899" s="16">
        <v>5218717961931</v>
      </c>
      <c r="F899" s="15"/>
      <c r="G899" s="15" t="s">
        <v>912</v>
      </c>
      <c r="H899" s="17"/>
      <c r="I899" s="15"/>
      <c r="J899" s="18">
        <v>1</v>
      </c>
      <c r="K899" t="s">
        <v>30</v>
      </c>
      <c r="L899" s="3">
        <v>7116.73</v>
      </c>
      <c r="M899" s="3">
        <v>2121.13</v>
      </c>
      <c r="N899" s="3">
        <f t="shared" ref="N899:N906" si="80">L899*0.3</f>
        <v>2135.0189999999998</v>
      </c>
      <c r="O899" s="3">
        <f>(IF(L899&lt;4172.98,0,MIN(L899*0.3,L899-4172.98)))-M899</f>
        <v>13.888999999999669</v>
      </c>
      <c r="P899" s="6">
        <v>46784</v>
      </c>
      <c r="Q899" t="s">
        <v>43</v>
      </c>
      <c r="R899" s="3">
        <v>2121.13</v>
      </c>
      <c r="S899" s="3" t="s">
        <v>69</v>
      </c>
      <c r="Z899" s="181">
        <v>2</v>
      </c>
    </row>
    <row r="900" spans="1:26" hidden="1">
      <c r="A900" s="12">
        <v>23674962</v>
      </c>
      <c r="B900" s="13">
        <v>46250</v>
      </c>
      <c r="C900" s="14">
        <v>0.63209490740740737</v>
      </c>
      <c r="D900" s="15" t="s">
        <v>913</v>
      </c>
      <c r="E900" s="16"/>
      <c r="F900" s="15"/>
      <c r="G900" s="15"/>
      <c r="H900" s="17" t="s">
        <v>914</v>
      </c>
      <c r="I900" s="15"/>
      <c r="J900" s="18">
        <v>1</v>
      </c>
      <c r="K900" t="s">
        <v>58</v>
      </c>
      <c r="L900" s="3">
        <v>4199.87</v>
      </c>
      <c r="N900" s="3">
        <f t="shared" si="80"/>
        <v>1259.961</v>
      </c>
      <c r="O900" s="3">
        <f>(IF(L900&lt;4172.98,0,MIN(L900*0.3,L900-4172.98)))-M900</f>
        <v>26.890000000000327</v>
      </c>
      <c r="S900" s="3" t="s">
        <v>69</v>
      </c>
      <c r="Z900" s="181">
        <v>1</v>
      </c>
    </row>
    <row r="901" spans="1:26" hidden="1">
      <c r="A901" s="12">
        <v>23676490</v>
      </c>
      <c r="B901" s="13">
        <v>46250</v>
      </c>
      <c r="C901" s="14">
        <v>0.6495023148148148</v>
      </c>
      <c r="D901" s="15"/>
      <c r="E901" s="16">
        <v>5216643483311</v>
      </c>
      <c r="F901" s="15"/>
      <c r="G901" s="15"/>
      <c r="H901" s="17">
        <v>24108404179</v>
      </c>
      <c r="I901" s="15"/>
      <c r="J901" s="18">
        <v>1</v>
      </c>
      <c r="K901" t="s">
        <v>51</v>
      </c>
      <c r="N901" s="3">
        <f t="shared" si="80"/>
        <v>0</v>
      </c>
      <c r="O901" s="3">
        <f>(IF(L901&lt;4172.98,0,MIN(L901*0.3,L901-4172.98)))-M901</f>
        <v>0</v>
      </c>
      <c r="S901" s="3" t="s">
        <v>69</v>
      </c>
      <c r="Z901" s="181">
        <v>1</v>
      </c>
    </row>
    <row r="902" spans="1:26" hidden="1">
      <c r="A902" s="12">
        <v>23676844</v>
      </c>
      <c r="B902" s="13">
        <v>46250</v>
      </c>
      <c r="C902" s="14">
        <v>0.66425925925925922</v>
      </c>
      <c r="D902" s="15"/>
      <c r="E902" s="16">
        <v>6961117254</v>
      </c>
      <c r="F902" s="15"/>
      <c r="G902" s="15" t="s">
        <v>915</v>
      </c>
      <c r="H902" s="17"/>
      <c r="I902" s="15"/>
      <c r="J902" s="18">
        <v>1</v>
      </c>
      <c r="K902" t="s">
        <v>32</v>
      </c>
      <c r="N902" s="3">
        <f t="shared" si="80"/>
        <v>0</v>
      </c>
      <c r="O902" s="3">
        <f>(IF(L902&lt;4172.98,0,MIN(L902*0.3,L902-4172.98)))-M902</f>
        <v>0</v>
      </c>
      <c r="S902" s="3" t="s">
        <v>69</v>
      </c>
      <c r="Z902" s="181">
        <v>0</v>
      </c>
    </row>
    <row r="903" spans="1:26" hidden="1">
      <c r="A903" s="12">
        <v>23677208</v>
      </c>
      <c r="B903" s="13">
        <v>46250</v>
      </c>
      <c r="C903" s="14">
        <v>0.68435185185185188</v>
      </c>
      <c r="D903" s="15"/>
      <c r="E903" s="16">
        <v>5218711366240</v>
      </c>
      <c r="F903" s="15"/>
      <c r="G903" s="15"/>
      <c r="H903" s="17">
        <v>32827405378</v>
      </c>
      <c r="I903" s="15"/>
      <c r="J903" s="18">
        <v>1</v>
      </c>
      <c r="K903" t="s">
        <v>32</v>
      </c>
      <c r="N903" s="3">
        <f t="shared" si="80"/>
        <v>0</v>
      </c>
      <c r="O903" s="3">
        <f>(IF(L903&lt;4172.98,0,MIN(L903*0.3,L903-4172.98)))-M903</f>
        <v>0</v>
      </c>
      <c r="S903" s="3" t="s">
        <v>69</v>
      </c>
      <c r="Z903" s="181">
        <v>0</v>
      </c>
    </row>
    <row r="904" spans="1:26">
      <c r="A904" s="12">
        <v>23677200</v>
      </c>
      <c r="B904" s="13">
        <v>46250</v>
      </c>
      <c r="C904" s="14">
        <v>0.6892476851851852</v>
      </c>
      <c r="D904" s="15"/>
      <c r="E904" s="16">
        <v>5214151967951</v>
      </c>
      <c r="F904" s="15"/>
      <c r="G904" s="15" t="s">
        <v>916</v>
      </c>
      <c r="H904" s="17"/>
      <c r="I904" s="15"/>
      <c r="J904" s="18">
        <v>1</v>
      </c>
      <c r="K904" t="s">
        <v>27</v>
      </c>
      <c r="L904" s="3">
        <v>6446.28</v>
      </c>
      <c r="M904" s="3">
        <v>1690.73</v>
      </c>
      <c r="N904" s="3">
        <f t="shared" si="80"/>
        <v>1933.8839999999998</v>
      </c>
      <c r="O904" s="3">
        <f>(IF(L904&lt;4172.98,0,MIN(L904*0.3,L904-4172.98)))-M904</f>
        <v>243.15399999999977</v>
      </c>
      <c r="P904" s="6">
        <v>45778</v>
      </c>
      <c r="Q904" t="s">
        <v>47</v>
      </c>
      <c r="R904" s="3" t="s">
        <v>917</v>
      </c>
      <c r="S904" s="3" t="s">
        <v>35</v>
      </c>
      <c r="T904" s="48">
        <v>46251</v>
      </c>
      <c r="U904" t="s">
        <v>368</v>
      </c>
      <c r="Z904" s="181">
        <v>2</v>
      </c>
    </row>
    <row r="905" spans="1:26" hidden="1">
      <c r="A905" s="12">
        <v>23677292</v>
      </c>
      <c r="B905" s="13">
        <v>46250</v>
      </c>
      <c r="C905" s="14">
        <v>0.69215277777777773</v>
      </c>
      <c r="D905" s="15"/>
      <c r="E905" s="16">
        <v>5218992665391</v>
      </c>
      <c r="F905" s="15"/>
      <c r="G905" s="15"/>
      <c r="H905" s="17">
        <v>49836106143</v>
      </c>
      <c r="I905" s="15"/>
      <c r="J905" s="18">
        <v>1</v>
      </c>
      <c r="K905" t="s">
        <v>30</v>
      </c>
      <c r="L905" s="3">
        <v>6262.86</v>
      </c>
      <c r="M905" s="3">
        <v>1811</v>
      </c>
      <c r="N905" s="3">
        <f t="shared" si="80"/>
        <v>1878.8579999999997</v>
      </c>
      <c r="O905" s="3">
        <f>(IF(L905&lt;4172.98,0,MIN(L905*0.3,L905-4172.98)))-M905</f>
        <v>67.85799999999972</v>
      </c>
      <c r="P905" s="6">
        <v>46539</v>
      </c>
      <c r="Q905" t="s">
        <v>44</v>
      </c>
      <c r="R905" s="3">
        <v>1811</v>
      </c>
      <c r="S905" s="3" t="s">
        <v>69</v>
      </c>
      <c r="Z905" s="181">
        <v>2</v>
      </c>
    </row>
    <row r="906" spans="1:26" hidden="1">
      <c r="A906" s="30">
        <v>23677322</v>
      </c>
      <c r="B906" s="31">
        <v>46250</v>
      </c>
      <c r="C906" s="32">
        <v>0.69457175925925929</v>
      </c>
      <c r="D906" s="33"/>
      <c r="E906" s="34">
        <v>5219933704602</v>
      </c>
      <c r="F906" s="33"/>
      <c r="G906" s="33" t="s">
        <v>918</v>
      </c>
      <c r="H906" s="35"/>
      <c r="I906" s="33"/>
      <c r="J906" s="36">
        <v>1</v>
      </c>
      <c r="K906" t="s">
        <v>32</v>
      </c>
      <c r="N906" s="3">
        <f t="shared" si="80"/>
        <v>0</v>
      </c>
      <c r="O906" s="3">
        <f>(IF(L906&lt;4172.98,0,MIN(L906*0.3,L906-4172.98)))-M906</f>
        <v>0</v>
      </c>
      <c r="S906" s="3" t="s">
        <v>69</v>
      </c>
      <c r="Z906" s="181">
        <v>0</v>
      </c>
    </row>
    <row r="907" spans="1:26">
      <c r="A907" s="12">
        <v>23677336</v>
      </c>
      <c r="B907" s="13">
        <v>46250</v>
      </c>
      <c r="C907" s="14">
        <v>0.69547453703703699</v>
      </c>
      <c r="D907" s="15"/>
      <c r="E907" s="16">
        <v>5216184469392</v>
      </c>
      <c r="F907" s="15"/>
      <c r="G907" s="15" t="s">
        <v>919</v>
      </c>
      <c r="H907" s="17">
        <v>3101780408</v>
      </c>
      <c r="I907" s="15"/>
      <c r="J907" s="18">
        <v>1</v>
      </c>
      <c r="K907" t="s">
        <v>54</v>
      </c>
      <c r="L907" s="3">
        <v>5777.75</v>
      </c>
      <c r="N907" s="3">
        <f t="shared" ref="N907:N911" si="81">L907*0.3</f>
        <v>1733.325</v>
      </c>
      <c r="O907" s="3">
        <f>(IF(L907&lt;4172.98,0,MIN(L907*0.3,L907-4172.98)))-M907</f>
        <v>1604.7700000000004</v>
      </c>
      <c r="S907" s="3" t="s">
        <v>879</v>
      </c>
      <c r="T907" s="48">
        <v>46251</v>
      </c>
      <c r="Z907" s="181">
        <v>1</v>
      </c>
    </row>
    <row r="908" spans="1:26">
      <c r="A908" s="12">
        <v>23677584</v>
      </c>
      <c r="B908" s="13">
        <v>46250</v>
      </c>
      <c r="C908" s="14">
        <v>0.70748842592592598</v>
      </c>
      <c r="D908" s="15"/>
      <c r="E908" s="16">
        <v>5215538376784</v>
      </c>
      <c r="F908" s="15"/>
      <c r="G908" s="15"/>
      <c r="H908" s="17">
        <v>64826307643</v>
      </c>
      <c r="I908" s="15"/>
      <c r="J908" s="18">
        <v>1</v>
      </c>
      <c r="K908" t="s">
        <v>54</v>
      </c>
      <c r="L908" s="3">
        <v>9081.52</v>
      </c>
      <c r="N908" s="3">
        <f t="shared" si="81"/>
        <v>2724.4560000000001</v>
      </c>
      <c r="O908" s="3">
        <f>(IF(L908&lt;4172.98,0,MIN(L908*0.3,L908-4172.98)))-M908</f>
        <v>2724.4560000000001</v>
      </c>
      <c r="S908" s="3" t="s">
        <v>348</v>
      </c>
      <c r="T908" s="48">
        <v>46251</v>
      </c>
      <c r="Z908" s="181">
        <v>1</v>
      </c>
    </row>
    <row r="909" spans="1:26">
      <c r="A909" s="12">
        <v>23677662</v>
      </c>
      <c r="B909" s="13">
        <v>46250</v>
      </c>
      <c r="C909" s="14">
        <v>0.7230671296296296</v>
      </c>
      <c r="D909" s="15" t="s">
        <v>920</v>
      </c>
      <c r="E909" s="16">
        <v>5216391724621</v>
      </c>
      <c r="F909" s="15"/>
      <c r="G909" s="15" t="s">
        <v>921</v>
      </c>
      <c r="H909" s="17" t="s">
        <v>922</v>
      </c>
      <c r="I909" s="15"/>
      <c r="J909" s="18">
        <v>1</v>
      </c>
      <c r="K909" t="s">
        <v>107</v>
      </c>
      <c r="L909" s="3">
        <v>15687.41</v>
      </c>
      <c r="M909" s="3">
        <v>4705.6899999999996</v>
      </c>
      <c r="N909" s="3">
        <f t="shared" si="81"/>
        <v>4706.223</v>
      </c>
      <c r="O909" s="3">
        <f>(IF(L909&lt;4172.98,0,MIN(L909*0.3,L909-4172.98)))-M909</f>
        <v>0.53300000000035652</v>
      </c>
      <c r="P909" s="6">
        <v>46235</v>
      </c>
      <c r="Q909" t="s">
        <v>658</v>
      </c>
      <c r="R909" s="3">
        <v>335.99</v>
      </c>
      <c r="S909" s="3" t="s">
        <v>35</v>
      </c>
      <c r="T909" s="48">
        <v>46251</v>
      </c>
      <c r="U909" t="s">
        <v>368</v>
      </c>
      <c r="Z909" s="181">
        <v>2</v>
      </c>
    </row>
    <row r="910" spans="1:26" hidden="1">
      <c r="A910" s="12">
        <v>23677996</v>
      </c>
      <c r="B910" s="13">
        <v>46250</v>
      </c>
      <c r="C910" s="14">
        <v>0.72880787037037043</v>
      </c>
      <c r="D910" s="15"/>
      <c r="E910" s="16">
        <v>5219212591071</v>
      </c>
      <c r="F910" s="15"/>
      <c r="G910" s="15"/>
      <c r="H910" s="17" t="s">
        <v>923</v>
      </c>
      <c r="I910" s="15"/>
      <c r="J910" s="18">
        <v>1</v>
      </c>
      <c r="K910" t="s">
        <v>32</v>
      </c>
      <c r="N910" s="3">
        <f t="shared" si="81"/>
        <v>0</v>
      </c>
      <c r="O910" s="3">
        <f>(IF(L910&lt;4172.98,0,MIN(L910*0.3,L910-4172.98)))-M910</f>
        <v>0</v>
      </c>
      <c r="S910" s="3" t="s">
        <v>69</v>
      </c>
      <c r="Z910" s="181">
        <v>0</v>
      </c>
    </row>
    <row r="911" spans="1:26" hidden="1">
      <c r="A911" s="12">
        <v>23677954</v>
      </c>
      <c r="B911" s="13">
        <v>46250</v>
      </c>
      <c r="C911" s="14">
        <v>0.73222222222222222</v>
      </c>
      <c r="D911" s="15"/>
      <c r="E911" s="16">
        <v>5219321275860</v>
      </c>
      <c r="F911" s="15"/>
      <c r="G911" s="15" t="s">
        <v>924</v>
      </c>
      <c r="H911" s="17"/>
      <c r="I911" s="15"/>
      <c r="J911" s="18">
        <v>1</v>
      </c>
      <c r="K911" t="s">
        <v>32</v>
      </c>
      <c r="N911" s="3">
        <f t="shared" si="81"/>
        <v>0</v>
      </c>
      <c r="O911" s="3">
        <f>(IF(L911&lt;4172.98,0,MIN(L911*0.3,L911-4172.98)))-M911</f>
        <v>0</v>
      </c>
      <c r="S911" s="3" t="s">
        <v>69</v>
      </c>
      <c r="Z911" s="181">
        <v>0</v>
      </c>
    </row>
    <row r="912" spans="1:26">
      <c r="A912" s="12">
        <v>23678318</v>
      </c>
      <c r="B912" s="13">
        <v>46250</v>
      </c>
      <c r="C912" s="14">
        <v>0.74296296296296294</v>
      </c>
      <c r="D912" s="15" t="s">
        <v>925</v>
      </c>
      <c r="E912" s="16">
        <v>5214443418877</v>
      </c>
      <c r="F912" s="15"/>
      <c r="G912" s="15"/>
      <c r="H912" s="17">
        <v>4176580537</v>
      </c>
      <c r="I912" s="15"/>
      <c r="J912" s="18">
        <v>1</v>
      </c>
      <c r="K912" t="s">
        <v>54</v>
      </c>
      <c r="L912" s="3">
        <v>10635.77</v>
      </c>
      <c r="M912" s="3">
        <v>1215.77</v>
      </c>
      <c r="N912" s="3">
        <f t="shared" ref="N912:N922" si="82">L912*0.3</f>
        <v>3190.7310000000002</v>
      </c>
      <c r="O912" s="3">
        <f>(IF(L912&lt;4172.98,0,MIN(L912*0.3,L912-4172.98)))-M912</f>
        <v>1974.9610000000002</v>
      </c>
      <c r="P912" s="6">
        <v>46235</v>
      </c>
      <c r="Q912" t="s">
        <v>57</v>
      </c>
      <c r="R912" s="3">
        <v>367.77</v>
      </c>
      <c r="S912" s="3" t="s">
        <v>358</v>
      </c>
      <c r="T912" s="48">
        <v>46251</v>
      </c>
      <c r="Z912" s="181">
        <v>2</v>
      </c>
    </row>
    <row r="913" spans="1:26" hidden="1">
      <c r="A913" s="12">
        <v>23678548</v>
      </c>
      <c r="B913" s="13">
        <v>46250</v>
      </c>
      <c r="C913" s="14">
        <v>0.75586805555555558</v>
      </c>
      <c r="D913" s="15"/>
      <c r="E913" s="16">
        <v>5218683615286</v>
      </c>
      <c r="F913" s="15"/>
      <c r="G913" s="15"/>
      <c r="H913" s="17">
        <v>49806230477</v>
      </c>
      <c r="I913" s="15"/>
      <c r="J913" s="18">
        <v>1</v>
      </c>
      <c r="K913" t="s">
        <v>30</v>
      </c>
      <c r="L913" s="3">
        <v>7920.51</v>
      </c>
      <c r="M913" s="3">
        <v>2291.59</v>
      </c>
      <c r="N913" s="3">
        <f t="shared" si="82"/>
        <v>2376.1529999999998</v>
      </c>
      <c r="O913" s="3">
        <f>(IF(L913&lt;4172.98,0,MIN(L913*0.3,L913-4172.98)))-M913</f>
        <v>84.562999999999647</v>
      </c>
      <c r="P913" s="6">
        <v>46661</v>
      </c>
      <c r="Q913" t="s">
        <v>658</v>
      </c>
      <c r="R913" s="3">
        <v>2095</v>
      </c>
      <c r="S913" s="3" t="s">
        <v>69</v>
      </c>
      <c r="Z913" s="181">
        <v>2</v>
      </c>
    </row>
    <row r="914" spans="1:26" hidden="1">
      <c r="A914" s="12">
        <v>23678614</v>
      </c>
      <c r="B914" s="13">
        <v>46250</v>
      </c>
      <c r="C914" s="14">
        <v>0.76232638888888893</v>
      </c>
      <c r="D914" s="15"/>
      <c r="E914" s="16">
        <v>5219361125153</v>
      </c>
      <c r="F914" s="15"/>
      <c r="G914" s="15" t="s">
        <v>926</v>
      </c>
      <c r="H914" s="17"/>
      <c r="I914" s="15"/>
      <c r="J914" s="18">
        <v>1</v>
      </c>
      <c r="K914" t="s">
        <v>32</v>
      </c>
      <c r="N914" s="3">
        <f t="shared" si="82"/>
        <v>0</v>
      </c>
      <c r="O914" s="3">
        <f>(IF(L914&lt;4172.98,0,MIN(L914*0.3,L914-4172.98)))-M914</f>
        <v>0</v>
      </c>
      <c r="S914" s="3" t="s">
        <v>69</v>
      </c>
      <c r="Z914" s="181">
        <v>0</v>
      </c>
    </row>
    <row r="915" spans="1:26" hidden="1">
      <c r="A915" s="12">
        <v>23678766</v>
      </c>
      <c r="B915" s="13">
        <v>46250</v>
      </c>
      <c r="C915" s="14">
        <v>0.76348379629629626</v>
      </c>
      <c r="D915" s="15"/>
      <c r="E915" s="16">
        <v>5213314600949</v>
      </c>
      <c r="F915" s="15"/>
      <c r="G915" s="15"/>
      <c r="H915" s="17" t="s">
        <v>927</v>
      </c>
      <c r="I915" s="15"/>
      <c r="J915" s="18">
        <v>1</v>
      </c>
      <c r="K915" t="s">
        <v>30</v>
      </c>
      <c r="L915" s="3">
        <f>4174.2+1000+297.16+352.08</f>
        <v>5823.44</v>
      </c>
      <c r="M915" s="3">
        <f>1000+297.16+352.08</f>
        <v>1649.24</v>
      </c>
      <c r="N915" s="3">
        <f t="shared" si="82"/>
        <v>1747.0319999999999</v>
      </c>
      <c r="O915" s="3">
        <f>(IF(L915&lt;4172.98,0,MIN(L915*0.3,L915-4172.98)))-M915</f>
        <v>1.2200000000000273</v>
      </c>
      <c r="P915" s="6">
        <v>46266</v>
      </c>
      <c r="Q915" t="s">
        <v>44</v>
      </c>
      <c r="R915" s="3">
        <v>1000</v>
      </c>
      <c r="S915" s="3" t="s">
        <v>69</v>
      </c>
      <c r="Z915" s="181">
        <v>2</v>
      </c>
    </row>
    <row r="916" spans="1:26" hidden="1">
      <c r="A916" s="12">
        <v>23678886</v>
      </c>
      <c r="B916" s="13">
        <v>46250</v>
      </c>
      <c r="C916" s="14">
        <v>0.77233796296296298</v>
      </c>
      <c r="D916" s="15"/>
      <c r="E916" s="16">
        <v>5216391200176</v>
      </c>
      <c r="F916" s="15"/>
      <c r="G916" s="15" t="s">
        <v>928</v>
      </c>
      <c r="H916" s="17"/>
      <c r="I916" s="15"/>
      <c r="J916" s="18">
        <v>1</v>
      </c>
      <c r="K916" t="s">
        <v>30</v>
      </c>
      <c r="L916" s="3">
        <f>6358.06+375.99+590.98+376.04+336.1+315.48+353.98+374.89</f>
        <v>9081.52</v>
      </c>
      <c r="M916" s="3">
        <f>375.99+590.98+376.04+336.1+315.48+353.98+374.89</f>
        <v>2723.46</v>
      </c>
      <c r="N916" s="3">
        <f t="shared" si="82"/>
        <v>2724.4560000000001</v>
      </c>
      <c r="O916" s="3">
        <f>(IF(L916&lt;4172.98,0,MIN(L916*0.3,L916-4172.98)))-M916</f>
        <v>0.99600000000009459</v>
      </c>
      <c r="P916" s="6">
        <v>46631</v>
      </c>
      <c r="Q916" t="s">
        <v>929</v>
      </c>
      <c r="R916" s="3">
        <v>375.99</v>
      </c>
      <c r="S916" s="3" t="s">
        <v>69</v>
      </c>
      <c r="Z916" s="181">
        <v>2</v>
      </c>
    </row>
    <row r="917" spans="1:26" hidden="1">
      <c r="A917" s="12">
        <v>23679022</v>
      </c>
      <c r="B917" s="13">
        <v>46250</v>
      </c>
      <c r="C917" s="14">
        <v>0.78410879629629626</v>
      </c>
      <c r="D917" s="15"/>
      <c r="E917" s="16">
        <v>5214493444748</v>
      </c>
      <c r="F917" s="15"/>
      <c r="G917" s="15" t="s">
        <v>930</v>
      </c>
      <c r="H917" s="17"/>
      <c r="I917" s="15"/>
      <c r="J917" s="18">
        <v>1</v>
      </c>
      <c r="K917" t="s">
        <v>30</v>
      </c>
      <c r="L917" s="3">
        <f>7447.53+3189.01</f>
        <v>10636.54</v>
      </c>
      <c r="M917" s="3">
        <v>3189.01</v>
      </c>
      <c r="N917" s="3">
        <f t="shared" si="82"/>
        <v>3190.962</v>
      </c>
      <c r="O917" s="3">
        <f>(IF(L917&lt;4172.98,0,MIN(L917*0.3,L917-4172.98)))-M917</f>
        <v>1.9519999999997708</v>
      </c>
      <c r="P917" s="6">
        <v>46966</v>
      </c>
      <c r="Q917" t="s">
        <v>47</v>
      </c>
      <c r="R917" s="3">
        <v>3189.01</v>
      </c>
      <c r="S917" s="3" t="s">
        <v>69</v>
      </c>
      <c r="Z917" s="181">
        <v>2</v>
      </c>
    </row>
    <row r="918" spans="1:26" hidden="1">
      <c r="A918" s="12">
        <v>23679180</v>
      </c>
      <c r="B918" s="13">
        <v>46250</v>
      </c>
      <c r="C918" s="14">
        <v>0.79561342592592588</v>
      </c>
      <c r="D918" s="15"/>
      <c r="E918" s="16">
        <v>5213330276855</v>
      </c>
      <c r="F918" s="15"/>
      <c r="G918" s="15"/>
      <c r="H918" s="17">
        <v>54816027988</v>
      </c>
      <c r="I918" s="15"/>
      <c r="J918" s="18">
        <v>1</v>
      </c>
      <c r="K918" t="s">
        <v>30</v>
      </c>
      <c r="L918" s="3">
        <f>4451.86+1811</f>
        <v>6262.86</v>
      </c>
      <c r="M918" s="3">
        <v>1811</v>
      </c>
      <c r="N918" s="3">
        <f t="shared" si="82"/>
        <v>1878.8579999999997</v>
      </c>
      <c r="O918" s="3">
        <f>(IF(L918&lt;4172.98,0,MIN(L918*0.3,L918-4172.98)))-M918</f>
        <v>67.85799999999972</v>
      </c>
      <c r="P918" s="6">
        <v>46692</v>
      </c>
      <c r="Q918" t="s">
        <v>75</v>
      </c>
      <c r="R918" s="3">
        <v>1811</v>
      </c>
      <c r="S918" s="3" t="s">
        <v>69</v>
      </c>
      <c r="Z918" s="181">
        <v>2</v>
      </c>
    </row>
    <row r="919" spans="1:26" hidden="1">
      <c r="A919" s="12">
        <v>23679332</v>
      </c>
      <c r="B919" s="13">
        <v>46250</v>
      </c>
      <c r="C919" s="14">
        <v>0.79781250000000004</v>
      </c>
      <c r="D919" s="15"/>
      <c r="E919" s="16">
        <v>5216861529288</v>
      </c>
      <c r="F919" s="15"/>
      <c r="G919" s="15" t="s">
        <v>931</v>
      </c>
      <c r="H919" s="17"/>
      <c r="I919" s="15"/>
      <c r="J919" s="18">
        <v>1</v>
      </c>
      <c r="K919" t="s">
        <v>58</v>
      </c>
      <c r="L919" s="3">
        <v>4342.43</v>
      </c>
      <c r="N919" s="3">
        <f t="shared" si="82"/>
        <v>1302.729</v>
      </c>
      <c r="O919" s="3">
        <f>(IF(L919&lt;4172.98,0,MIN(L919*0.3,L919-4172.98)))-M919</f>
        <v>169.45000000000073</v>
      </c>
      <c r="S919" s="3" t="s">
        <v>69</v>
      </c>
      <c r="Z919" s="181">
        <v>1</v>
      </c>
    </row>
    <row r="920" spans="1:26">
      <c r="A920" s="12">
        <v>23679708</v>
      </c>
      <c r="B920" s="13">
        <v>46250</v>
      </c>
      <c r="C920" s="14">
        <v>0.82041666666666668</v>
      </c>
      <c r="D920" s="15"/>
      <c r="E920" s="16">
        <v>5218133815243</v>
      </c>
      <c r="F920" s="15"/>
      <c r="G920" s="15"/>
      <c r="H920" s="17">
        <v>19816432470</v>
      </c>
      <c r="I920" s="15"/>
      <c r="J920" s="18">
        <v>1</v>
      </c>
      <c r="K920" t="s">
        <v>54</v>
      </c>
      <c r="L920" s="3">
        <f>10360.32+848</f>
        <v>11208.32</v>
      </c>
      <c r="M920" s="3">
        <v>848</v>
      </c>
      <c r="N920" s="3">
        <f t="shared" si="82"/>
        <v>3362.4959999999996</v>
      </c>
      <c r="O920" s="3">
        <f>(IF(L920&lt;4172.98,0,MIN(L920*0.3,L920-4172.98)))-M920</f>
        <v>2514.4959999999996</v>
      </c>
      <c r="S920" s="3" t="s">
        <v>55</v>
      </c>
      <c r="T920" s="48">
        <v>46251</v>
      </c>
      <c r="Z920" s="181">
        <v>1</v>
      </c>
    </row>
    <row r="921" spans="1:26" hidden="1">
      <c r="A921" s="12">
        <v>23679874</v>
      </c>
      <c r="B921" s="13">
        <v>46250</v>
      </c>
      <c r="C921" s="14">
        <v>0.82837962962962963</v>
      </c>
      <c r="D921" s="15"/>
      <c r="E921" s="16">
        <v>5219232315619</v>
      </c>
      <c r="F921" s="15"/>
      <c r="G921" s="15" t="s">
        <v>932</v>
      </c>
      <c r="H921" s="17"/>
      <c r="I921" s="15"/>
      <c r="J921" s="18">
        <v>1</v>
      </c>
      <c r="K921" t="s">
        <v>32</v>
      </c>
      <c r="N921" s="3">
        <f t="shared" si="82"/>
        <v>0</v>
      </c>
      <c r="O921" s="3">
        <f>(IF(L921&lt;4172.98,0,MIN(L921*0.3,L921-4172.98)))-M921</f>
        <v>0</v>
      </c>
      <c r="S921" s="3" t="s">
        <v>69</v>
      </c>
      <c r="Z921" s="181">
        <v>0</v>
      </c>
    </row>
    <row r="922" spans="1:26" hidden="1">
      <c r="A922" s="30">
        <v>23680508</v>
      </c>
      <c r="B922" s="31">
        <v>46250</v>
      </c>
      <c r="C922" s="32">
        <v>0.86067129629629635</v>
      </c>
      <c r="D922" s="33"/>
      <c r="E922" s="34">
        <v>5212224879068</v>
      </c>
      <c r="F922" s="33"/>
      <c r="G922" s="33"/>
      <c r="H922" s="35">
        <v>62846328664</v>
      </c>
      <c r="I922" s="33"/>
      <c r="J922" s="36">
        <v>1</v>
      </c>
      <c r="K922" t="s">
        <v>30</v>
      </c>
      <c r="L922" s="3">
        <f>12610.83+2633+2770.89</f>
        <v>18014.72</v>
      </c>
      <c r="M922" s="3">
        <f>2770.89+2633</f>
        <v>5403.8899999999994</v>
      </c>
      <c r="N922" s="3">
        <f t="shared" si="82"/>
        <v>5404.4160000000002</v>
      </c>
      <c r="O922" s="3">
        <f>(IF(L922&lt;4172.98,0,MIN(L922*0.3,L922-4172.98)))-M922</f>
        <v>0.52600000000074942</v>
      </c>
      <c r="P922" s="6">
        <v>46600</v>
      </c>
      <c r="Q922" t="s">
        <v>73</v>
      </c>
      <c r="R922" s="3">
        <v>2770.89</v>
      </c>
      <c r="S922" s="3" t="s">
        <v>69</v>
      </c>
      <c r="Z922" s="181">
        <v>2</v>
      </c>
    </row>
    <row r="923" spans="1:26" hidden="1">
      <c r="A923" s="12">
        <v>23680632</v>
      </c>
      <c r="B923" s="13">
        <v>46250</v>
      </c>
      <c r="C923" s="14">
        <v>0.87302083333333336</v>
      </c>
      <c r="D923" s="15"/>
      <c r="E923" s="16">
        <v>5214423461200</v>
      </c>
      <c r="F923" s="15"/>
      <c r="G923" s="15"/>
      <c r="H923" s="17" t="s">
        <v>933</v>
      </c>
      <c r="I923" s="15"/>
      <c r="J923" s="18"/>
      <c r="K923" t="s">
        <v>51</v>
      </c>
      <c r="N923" s="3">
        <f t="shared" ref="N923:N932" si="83">L923*0.3</f>
        <v>0</v>
      </c>
      <c r="O923" s="3">
        <f>(IF(L923&lt;4172.98,0,MIN(L923*0.3,L923-4172.98)))-M923</f>
        <v>0</v>
      </c>
      <c r="S923" s="3" t="s">
        <v>69</v>
      </c>
      <c r="Z923" s="181">
        <v>1</v>
      </c>
    </row>
    <row r="924" spans="1:26">
      <c r="A924" s="12">
        <v>23680836</v>
      </c>
      <c r="B924" s="13">
        <v>46250</v>
      </c>
      <c r="C924" s="14">
        <v>0.88413194444444443</v>
      </c>
      <c r="D924" s="15"/>
      <c r="E924" s="16">
        <v>5216622565294</v>
      </c>
      <c r="F924" s="15"/>
      <c r="G924" s="15"/>
      <c r="H924" s="17">
        <v>24896635943</v>
      </c>
      <c r="I924" s="15"/>
      <c r="J924" s="18"/>
      <c r="K924" t="s">
        <v>54</v>
      </c>
      <c r="L924" s="3">
        <f>79339.62-59668.64</f>
        <v>19670.979999999996</v>
      </c>
      <c r="N924" s="3">
        <f t="shared" si="83"/>
        <v>5901.293999999999</v>
      </c>
      <c r="O924" s="3">
        <f>(IF(L924&lt;4172.98,0,MIN(L924*0.3,L924-4172.98)))-M924</f>
        <v>5901.293999999999</v>
      </c>
      <c r="S924" s="3" t="s">
        <v>348</v>
      </c>
      <c r="T924" s="48">
        <v>46251</v>
      </c>
      <c r="Z924" s="181">
        <v>1</v>
      </c>
    </row>
    <row r="925" spans="1:26" hidden="1">
      <c r="A925" s="12">
        <v>23680972</v>
      </c>
      <c r="B925" s="13">
        <v>46250</v>
      </c>
      <c r="C925" s="14">
        <v>0.89197916666666666</v>
      </c>
      <c r="D925" s="15"/>
      <c r="E925" s="16">
        <v>5215529133337</v>
      </c>
      <c r="F925" s="15"/>
      <c r="G925" s="15"/>
      <c r="H925" s="17">
        <v>20937520193</v>
      </c>
      <c r="I925" s="15"/>
      <c r="J925" s="18"/>
      <c r="K925" t="s">
        <v>32</v>
      </c>
      <c r="N925" s="3">
        <f t="shared" si="83"/>
        <v>0</v>
      </c>
      <c r="O925" s="3">
        <f>(IF(L925&lt;4172.98,0,MIN(L925*0.3,L925-4172.98)))-M925</f>
        <v>0</v>
      </c>
      <c r="S925" s="3" t="s">
        <v>69</v>
      </c>
      <c r="Z925" s="181">
        <v>0</v>
      </c>
    </row>
    <row r="926" spans="1:26" hidden="1">
      <c r="A926" s="12">
        <v>23681182</v>
      </c>
      <c r="B926" s="13">
        <v>46250</v>
      </c>
      <c r="C926" s="14">
        <v>0.91555555555555557</v>
      </c>
      <c r="D926" s="15"/>
      <c r="E926" s="16">
        <v>5219931675167</v>
      </c>
      <c r="F926" s="15"/>
      <c r="G926" s="15" t="s">
        <v>934</v>
      </c>
      <c r="H926" s="17"/>
      <c r="I926" s="15"/>
      <c r="J926" s="18"/>
      <c r="K926" t="s">
        <v>32</v>
      </c>
      <c r="N926" s="3">
        <f t="shared" si="83"/>
        <v>0</v>
      </c>
      <c r="O926" s="3">
        <f>(IF(L926&lt;4172.98,0,MIN(L926*0.3,L926-4172.98)))-M926</f>
        <v>0</v>
      </c>
      <c r="S926" s="3" t="s">
        <v>69</v>
      </c>
      <c r="Z926" s="181">
        <v>0</v>
      </c>
    </row>
    <row r="927" spans="1:26" hidden="1">
      <c r="A927" s="12">
        <v>23681934</v>
      </c>
      <c r="B927" s="13">
        <v>46250</v>
      </c>
      <c r="C927" s="14">
        <v>0.94846064814814812</v>
      </c>
      <c r="D927" s="15"/>
      <c r="E927" s="16">
        <v>5213321862970</v>
      </c>
      <c r="F927" s="15"/>
      <c r="G927" s="15" t="s">
        <v>935</v>
      </c>
      <c r="H927" s="17">
        <v>54806447873</v>
      </c>
      <c r="I927" s="15"/>
      <c r="J927" s="18"/>
      <c r="K927" t="s">
        <v>30</v>
      </c>
      <c r="L927" s="3">
        <f>19124.07+611+7584</f>
        <v>27319.07</v>
      </c>
      <c r="M927" s="3">
        <f>611+7584</f>
        <v>8195</v>
      </c>
      <c r="N927" s="3">
        <f t="shared" si="83"/>
        <v>8195.7209999999995</v>
      </c>
      <c r="O927" s="3">
        <f>(IF(L927&lt;4172.98,0,MIN(L927*0.3,L927-4172.98)))-M927</f>
        <v>0.72099999999954889</v>
      </c>
      <c r="P927" s="6">
        <v>46266</v>
      </c>
      <c r="Q927" t="s">
        <v>77</v>
      </c>
      <c r="R927" s="3">
        <v>7584</v>
      </c>
      <c r="S927" s="3" t="s">
        <v>69</v>
      </c>
      <c r="Z927" s="181">
        <v>2</v>
      </c>
    </row>
    <row r="928" spans="1:26">
      <c r="A928" s="12">
        <v>23682004</v>
      </c>
      <c r="B928" s="13">
        <v>46250</v>
      </c>
      <c r="C928" s="14">
        <v>0.96454861111111112</v>
      </c>
      <c r="D928" s="15"/>
      <c r="E928" s="16">
        <v>5213222393200</v>
      </c>
      <c r="F928" s="15"/>
      <c r="G928" s="15"/>
      <c r="H928" s="17" t="s">
        <v>936</v>
      </c>
      <c r="I928" s="15"/>
      <c r="J928" s="18"/>
      <c r="K928" t="s">
        <v>27</v>
      </c>
      <c r="L928" s="3">
        <f>4282.66+1334.97</f>
        <v>5617.63</v>
      </c>
      <c r="M928" s="3">
        <v>1334.97</v>
      </c>
      <c r="N928" s="3">
        <f t="shared" si="83"/>
        <v>1685.289</v>
      </c>
      <c r="O928" s="3">
        <f>(IF(L928&lt;4172.98,0,MIN(L928*0.3,L928-4172.98)))-M928</f>
        <v>109.68000000000052</v>
      </c>
      <c r="P928" s="6">
        <v>46174</v>
      </c>
      <c r="Q928" t="s">
        <v>80</v>
      </c>
      <c r="R928" s="3">
        <v>1334.9</v>
      </c>
      <c r="S928" s="3" t="s">
        <v>879</v>
      </c>
      <c r="T928" s="48">
        <v>46251</v>
      </c>
      <c r="Z928" s="181">
        <v>2</v>
      </c>
    </row>
    <row r="929" spans="1:26">
      <c r="A929" s="12">
        <v>23682310</v>
      </c>
      <c r="B929" s="13">
        <v>46251</v>
      </c>
      <c r="C929" s="14">
        <v>6.0416666666666665E-3</v>
      </c>
      <c r="D929" s="15"/>
      <c r="E929" s="16">
        <v>5215554541418</v>
      </c>
      <c r="F929" s="15"/>
      <c r="G929" s="15"/>
      <c r="H929" s="17">
        <v>11644657980</v>
      </c>
      <c r="I929" s="15"/>
      <c r="J929" s="18"/>
      <c r="K929" t="s">
        <v>54</v>
      </c>
      <c r="L929" s="3">
        <f>19159.5+1196.25+1801.7</f>
        <v>22157.45</v>
      </c>
      <c r="M929" s="3">
        <f>1196.25+1801.22</f>
        <v>2997.4700000000003</v>
      </c>
      <c r="N929" s="3">
        <f t="shared" si="83"/>
        <v>6647.2349999999997</v>
      </c>
      <c r="O929" s="3">
        <f>(IF(L929&lt;4172.98,0,MIN(L929*0.3,L929-4172.98)))-M929</f>
        <v>3649.7649999999994</v>
      </c>
      <c r="P929" s="6">
        <v>46692</v>
      </c>
      <c r="Q929" t="s">
        <v>47</v>
      </c>
      <c r="R929" s="3">
        <v>1801.22</v>
      </c>
      <c r="S929" s="3" t="s">
        <v>55</v>
      </c>
      <c r="T929" s="48">
        <v>46251</v>
      </c>
      <c r="Z929" s="181">
        <v>2</v>
      </c>
    </row>
    <row r="930" spans="1:26">
      <c r="A930" s="12">
        <v>23682400</v>
      </c>
      <c r="B930" s="13">
        <v>46251</v>
      </c>
      <c r="C930" s="14">
        <v>1.3668981481481482E-2</v>
      </c>
      <c r="D930" s="15"/>
      <c r="E930" s="16">
        <v>5215630007837</v>
      </c>
      <c r="F930" s="15"/>
      <c r="G930" s="15"/>
      <c r="H930" s="17" t="s">
        <v>937</v>
      </c>
      <c r="I930" s="15"/>
      <c r="J930" s="18"/>
      <c r="K930" t="s">
        <v>27</v>
      </c>
      <c r="L930" s="3">
        <f>5544.36+1528.15+848</f>
        <v>7920.51</v>
      </c>
      <c r="M930" s="3">
        <f>1528.15+848</f>
        <v>2376.15</v>
      </c>
      <c r="N930" s="3">
        <f t="shared" si="83"/>
        <v>2376.1529999999998</v>
      </c>
      <c r="O930" s="3">
        <f>(IF(L930&lt;4172.98,0,MIN(L930*0.3,L930-4172.98)))-M930</f>
        <v>2.9999999997016857E-3</v>
      </c>
      <c r="P930" s="6">
        <v>46143</v>
      </c>
      <c r="Q930" t="s">
        <v>44</v>
      </c>
      <c r="R930" s="3">
        <v>1528.15</v>
      </c>
      <c r="S930" s="3" t="s">
        <v>358</v>
      </c>
      <c r="T930" s="48">
        <v>46251</v>
      </c>
      <c r="Z930" s="181">
        <v>2</v>
      </c>
    </row>
    <row r="931" spans="1:26">
      <c r="A931" s="12">
        <v>23682388</v>
      </c>
      <c r="B931" s="13">
        <v>46251</v>
      </c>
      <c r="C931" s="14">
        <v>1.4236111111111111E-2</v>
      </c>
      <c r="D931" s="15"/>
      <c r="E931" s="16">
        <v>5215578877924</v>
      </c>
      <c r="F931" s="15"/>
      <c r="G931" s="15" t="s">
        <v>938</v>
      </c>
      <c r="H931" s="17"/>
      <c r="I931" s="15"/>
      <c r="J931" s="18"/>
      <c r="K931" t="s">
        <v>38</v>
      </c>
      <c r="L931" s="3">
        <f>5021.4+221</f>
        <v>5242.3999999999996</v>
      </c>
      <c r="M931" s="3">
        <v>221</v>
      </c>
      <c r="N931" s="3">
        <f t="shared" si="83"/>
        <v>1572.7199999999998</v>
      </c>
      <c r="O931" s="3">
        <f>(IF(L931&lt;4172.98,0,MIN(L931*0.3,L931-4172.98)))-M931</f>
        <v>848.42000000000007</v>
      </c>
      <c r="P931" s="6">
        <v>46935</v>
      </c>
      <c r="Q931" t="s">
        <v>44</v>
      </c>
      <c r="R931" s="3">
        <v>221</v>
      </c>
      <c r="S931" s="3" t="s">
        <v>266</v>
      </c>
      <c r="T931" s="48">
        <v>46251</v>
      </c>
      <c r="Z931" s="181">
        <v>2</v>
      </c>
    </row>
    <row r="932" spans="1:26" hidden="1">
      <c r="A932" s="30">
        <v>23682512</v>
      </c>
      <c r="B932" s="31">
        <v>46251</v>
      </c>
      <c r="C932" s="32">
        <v>4.670138888888889E-2</v>
      </c>
      <c r="D932" s="33"/>
      <c r="E932" s="34">
        <v>5214492087104</v>
      </c>
      <c r="F932" s="33"/>
      <c r="G932" s="33" t="s">
        <v>939</v>
      </c>
      <c r="H932" s="35"/>
      <c r="I932" s="33"/>
      <c r="J932" s="36"/>
      <c r="K932" t="s">
        <v>30</v>
      </c>
      <c r="L932" s="3">
        <f>3762.8+1043.65+249.42</f>
        <v>5055.8700000000008</v>
      </c>
      <c r="M932" s="3">
        <f>1043.65+249.42</f>
        <v>1293.0700000000002</v>
      </c>
      <c r="N932" s="3">
        <f t="shared" si="83"/>
        <v>1516.7610000000002</v>
      </c>
      <c r="O932" s="3">
        <f>(IF(L932&lt;4172.98,0,MIN(L932*0.3,L932-4172.98)))-M932</f>
        <v>-410.17999999999893</v>
      </c>
      <c r="P932" s="6">
        <v>46905</v>
      </c>
      <c r="Q932" t="s">
        <v>43</v>
      </c>
      <c r="R932" s="3">
        <v>1043.6500000000001</v>
      </c>
      <c r="S932" s="3" t="s">
        <v>69</v>
      </c>
      <c r="Z932" s="181">
        <v>2</v>
      </c>
    </row>
    <row r="933" spans="1:26" hidden="1">
      <c r="A933" s="12">
        <v>23683390</v>
      </c>
      <c r="B933" s="13">
        <v>46251</v>
      </c>
      <c r="C933" s="14">
        <v>7.0324074074074081E-2</v>
      </c>
      <c r="D933" s="15"/>
      <c r="E933" s="16">
        <v>5215579427160</v>
      </c>
      <c r="F933" s="15"/>
      <c r="G933" s="15" t="s">
        <v>940</v>
      </c>
      <c r="H933" s="17"/>
      <c r="I933" s="15"/>
      <c r="J933" s="18"/>
      <c r="K933" t="s">
        <v>32</v>
      </c>
      <c r="N933" s="3">
        <f t="shared" ref="N933:N938" si="84">L933*0.3</f>
        <v>0</v>
      </c>
      <c r="O933" s="3">
        <f>(IF(L933&lt;4172.98,0,MIN(L933*0.3,L933-4172.98)))-M933</f>
        <v>0</v>
      </c>
      <c r="S933" s="3" t="s">
        <v>69</v>
      </c>
      <c r="Z933" s="181">
        <v>0</v>
      </c>
    </row>
    <row r="934" spans="1:26" hidden="1">
      <c r="A934" s="12">
        <v>23690712</v>
      </c>
      <c r="B934" s="13">
        <v>46251</v>
      </c>
      <c r="C934" s="14">
        <v>0.2769212962962963</v>
      </c>
      <c r="D934" s="15"/>
      <c r="E934" s="16">
        <v>5215539398673</v>
      </c>
      <c r="F934" s="15"/>
      <c r="G934" s="15" t="s">
        <v>941</v>
      </c>
      <c r="H934" s="17"/>
      <c r="I934" s="15"/>
      <c r="J934" s="18"/>
      <c r="K934" t="s">
        <v>32</v>
      </c>
      <c r="N934" s="3">
        <f t="shared" si="84"/>
        <v>0</v>
      </c>
      <c r="O934" s="3">
        <f>(IF(L934&lt;4172.98,0,MIN(L934*0.3,L934-4172.98)))-M934</f>
        <v>0</v>
      </c>
      <c r="S934" s="3" t="s">
        <v>69</v>
      </c>
      <c r="Z934" s="181">
        <v>0</v>
      </c>
    </row>
    <row r="935" spans="1:26" hidden="1">
      <c r="A935" s="12">
        <v>23691518</v>
      </c>
      <c r="B935" s="13">
        <v>46251</v>
      </c>
      <c r="C935" s="14">
        <v>0.29870370370370369</v>
      </c>
      <c r="D935" s="15"/>
      <c r="E935" s="16">
        <v>5217751444257</v>
      </c>
      <c r="F935" s="15"/>
      <c r="G935" s="15"/>
      <c r="H935" s="17" t="s">
        <v>942</v>
      </c>
      <c r="I935" s="15"/>
      <c r="J935" s="18"/>
      <c r="K935" t="s">
        <v>30</v>
      </c>
      <c r="L935" s="3">
        <f>6454.12+2627.4</f>
        <v>9081.52</v>
      </c>
      <c r="M935" s="3">
        <v>2627.4</v>
      </c>
      <c r="N935" s="3">
        <f t="shared" si="84"/>
        <v>2724.4560000000001</v>
      </c>
      <c r="O935" s="3">
        <f>(IF(L935&lt;4172.98,0,MIN(L935*0.3,L935-4172.98)))-M935</f>
        <v>97.05600000000004</v>
      </c>
      <c r="P935" s="6">
        <v>46722</v>
      </c>
      <c r="Q935" t="s">
        <v>75</v>
      </c>
      <c r="R935" s="3">
        <v>2627.4</v>
      </c>
      <c r="S935" s="3" t="s">
        <v>69</v>
      </c>
      <c r="Z935" s="181">
        <v>2</v>
      </c>
    </row>
    <row r="936" spans="1:26" hidden="1">
      <c r="A936" s="12">
        <v>23691796</v>
      </c>
      <c r="B936" s="13">
        <v>46251</v>
      </c>
      <c r="C936" s="14">
        <v>0.30927083333333333</v>
      </c>
      <c r="D936" s="15"/>
      <c r="E936" s="16">
        <v>5215564698131</v>
      </c>
      <c r="F936" s="15"/>
      <c r="G936" s="15"/>
      <c r="H936" s="17" t="s">
        <v>943</v>
      </c>
      <c r="I936" s="15"/>
      <c r="J936" s="18"/>
      <c r="K936" t="s">
        <v>58</v>
      </c>
      <c r="L936" s="3">
        <f>2939.93+979</f>
        <v>3918.93</v>
      </c>
      <c r="M936" s="3">
        <v>979</v>
      </c>
      <c r="N936" s="3">
        <f t="shared" si="84"/>
        <v>1175.6789999999999</v>
      </c>
      <c r="O936" s="3">
        <f>(IF(L936&lt;4172.98,0,MIN(L936*0.3,L936-4172.98)))-M936</f>
        <v>-979</v>
      </c>
      <c r="S936" s="3" t="s">
        <v>69</v>
      </c>
      <c r="Z936" s="181">
        <v>1</v>
      </c>
    </row>
    <row r="937" spans="1:26">
      <c r="A937" s="12">
        <v>23692646</v>
      </c>
      <c r="B937" s="13">
        <v>46251</v>
      </c>
      <c r="C937" s="14">
        <v>0.32680555555555557</v>
      </c>
      <c r="D937" s="15" t="s">
        <v>944</v>
      </c>
      <c r="E937" s="16">
        <v>5215573244550</v>
      </c>
      <c r="F937" s="15"/>
      <c r="G937" s="15" t="s">
        <v>945</v>
      </c>
      <c r="H937" s="17" t="s">
        <v>946</v>
      </c>
      <c r="I937" s="15"/>
      <c r="J937" s="18"/>
      <c r="K937" t="s">
        <v>38</v>
      </c>
      <c r="L937" s="3">
        <v>4867.63</v>
      </c>
      <c r="N937" s="3">
        <f t="shared" si="84"/>
        <v>1460.289</v>
      </c>
      <c r="O937" s="3">
        <f>(IF(L937&lt;4172.98,0,MIN(L937*0.3,L937-4172.98)))-M937</f>
        <v>694.65000000000055</v>
      </c>
      <c r="S937" s="3" t="s">
        <v>271</v>
      </c>
      <c r="T937" s="48">
        <v>46251</v>
      </c>
      <c r="Z937" s="181">
        <v>1</v>
      </c>
    </row>
    <row r="938" spans="1:26" hidden="1">
      <c r="A938" s="30">
        <v>23680494</v>
      </c>
      <c r="B938" s="31">
        <v>46251</v>
      </c>
      <c r="C938" s="32">
        <v>0.35197916666666668</v>
      </c>
      <c r="D938" s="33"/>
      <c r="E938" s="34"/>
      <c r="F938" s="33"/>
      <c r="G938" s="33" t="s">
        <v>947</v>
      </c>
      <c r="H938" s="35"/>
      <c r="I938" s="33"/>
      <c r="J938" s="36"/>
      <c r="K938" t="s">
        <v>30</v>
      </c>
      <c r="L938" s="3">
        <f>9818.18+4192.63</f>
        <v>14010.810000000001</v>
      </c>
      <c r="M938" s="3">
        <v>4192.63</v>
      </c>
      <c r="N938" s="3">
        <f t="shared" si="84"/>
        <v>4203.2430000000004</v>
      </c>
      <c r="O938" s="3">
        <f>(IF(L938&lt;4172.98,0,MIN(L938*0.3,L938-4172.98)))-M938</f>
        <v>10.613000000000284</v>
      </c>
      <c r="P938" s="6">
        <v>46935</v>
      </c>
      <c r="Q938" t="s">
        <v>57</v>
      </c>
      <c r="R938" s="3">
        <v>4192.63</v>
      </c>
      <c r="S938" s="3" t="s">
        <v>69</v>
      </c>
      <c r="Z938" s="181">
        <v>2</v>
      </c>
    </row>
    <row r="939" spans="1:26" hidden="1">
      <c r="A939" s="12">
        <v>23693642</v>
      </c>
      <c r="B939" s="13">
        <v>46251</v>
      </c>
      <c r="C939" s="14">
        <v>0.35736111111111113</v>
      </c>
      <c r="D939" s="15" t="s">
        <v>948</v>
      </c>
      <c r="E939" s="16">
        <v>5213328147093</v>
      </c>
      <c r="F939" s="15"/>
      <c r="G939" s="15" t="s">
        <v>949</v>
      </c>
      <c r="H939" s="17"/>
      <c r="I939" s="15"/>
      <c r="J939" s="18"/>
      <c r="K939" t="s">
        <v>58</v>
      </c>
      <c r="L939" s="3">
        <f>3335.87+848</f>
        <v>4183.87</v>
      </c>
      <c r="N939" s="3">
        <f t="shared" ref="N939:N941" si="85">L939*0.3</f>
        <v>1255.1609999999998</v>
      </c>
      <c r="O939" s="3">
        <f>(IF(L939&lt;4172.98,0,MIN(L939*0.3,L939-4172.98)))-M939</f>
        <v>10.890000000000327</v>
      </c>
      <c r="S939" s="3" t="s">
        <v>69</v>
      </c>
      <c r="Z939" s="181">
        <v>1</v>
      </c>
    </row>
    <row r="940" spans="1:26">
      <c r="A940" s="12">
        <v>23694228</v>
      </c>
      <c r="B940" s="13">
        <v>46251</v>
      </c>
      <c r="C940" s="14">
        <v>0.36787037037037035</v>
      </c>
      <c r="D940" s="15"/>
      <c r="E940" s="16">
        <v>5216371232999</v>
      </c>
      <c r="F940" s="15"/>
      <c r="G940" s="15"/>
      <c r="H940" s="17">
        <v>24715424479</v>
      </c>
      <c r="I940" s="15"/>
      <c r="J940" s="18"/>
      <c r="K940" t="s">
        <v>54</v>
      </c>
      <c r="L940" s="3">
        <f>6182.14+848</f>
        <v>7030.14</v>
      </c>
      <c r="M940" s="3">
        <v>848</v>
      </c>
      <c r="N940" s="3">
        <f t="shared" si="85"/>
        <v>2109.0419999999999</v>
      </c>
      <c r="O940" s="3">
        <f>(IF(L940&lt;4172.98,0,MIN(L940*0.3,L940-4172.98)))-M940</f>
        <v>1261.0419999999999</v>
      </c>
      <c r="S940" s="3" t="s">
        <v>358</v>
      </c>
      <c r="T940" s="48">
        <v>46251</v>
      </c>
      <c r="Z940" s="181">
        <v>1</v>
      </c>
    </row>
    <row r="941" spans="1:26">
      <c r="A941" s="30">
        <v>23694616</v>
      </c>
      <c r="B941" s="31">
        <v>46251</v>
      </c>
      <c r="C941" s="32">
        <v>0.38120370370370371</v>
      </c>
      <c r="D941" s="33"/>
      <c r="E941" s="34">
        <v>5214775730463</v>
      </c>
      <c r="F941" s="33"/>
      <c r="G941" s="33" t="s">
        <v>950</v>
      </c>
      <c r="H941" s="35"/>
      <c r="I941" s="33"/>
      <c r="J941" s="36"/>
      <c r="K941" t="s">
        <v>34</v>
      </c>
      <c r="L941" s="3">
        <f>12405.58</f>
        <v>12405.58</v>
      </c>
      <c r="M941" s="3">
        <v>739.46</v>
      </c>
      <c r="N941" s="3">
        <f t="shared" si="85"/>
        <v>3721.674</v>
      </c>
      <c r="O941" s="3">
        <f>(IF(L941&lt;4172.98,0,MIN(L941*0.3,L941-4172.98)))-M941</f>
        <v>2982.2139999999999</v>
      </c>
      <c r="P941" s="6">
        <v>45931</v>
      </c>
      <c r="Q941" t="s">
        <v>141</v>
      </c>
      <c r="R941" s="3">
        <v>739.46</v>
      </c>
      <c r="S941" s="3" t="s">
        <v>35</v>
      </c>
      <c r="T941" s="48">
        <v>46251</v>
      </c>
      <c r="Z941" s="181">
        <v>2</v>
      </c>
    </row>
    <row r="942" spans="1:26" hidden="1">
      <c r="A942" s="30">
        <v>23695244</v>
      </c>
      <c r="B942" s="31">
        <v>46251</v>
      </c>
      <c r="C942" s="32">
        <v>0.4014699074074074</v>
      </c>
      <c r="D942" s="33"/>
      <c r="E942" s="34">
        <v>5216221427362</v>
      </c>
      <c r="F942" s="33"/>
      <c r="G942" s="33"/>
      <c r="H942" s="35" t="s">
        <v>951</v>
      </c>
      <c r="I942" s="33"/>
      <c r="J942" s="36"/>
      <c r="K942" t="s">
        <v>30</v>
      </c>
      <c r="L942" s="3">
        <f>7446.3+878.86+2311.38</f>
        <v>10636.54</v>
      </c>
      <c r="M942" s="3">
        <f>878.86+2311.38</f>
        <v>3190.2400000000002</v>
      </c>
      <c r="N942" s="3">
        <f>L942*0.3</f>
        <v>3190.962</v>
      </c>
      <c r="O942" s="3">
        <f>(IF(L942&lt;4172.98,0,MIN(L942*0.3,L942-4172.98)))-M942</f>
        <v>0.72199999999975262</v>
      </c>
      <c r="P942" s="6">
        <v>46935</v>
      </c>
      <c r="Q942" t="s">
        <v>43</v>
      </c>
      <c r="R942" s="3">
        <v>2311.38</v>
      </c>
      <c r="S942" s="3" t="s">
        <v>69</v>
      </c>
      <c r="Z942" s="181">
        <v>2</v>
      </c>
    </row>
    <row r="943" spans="1:26">
      <c r="A943" s="30">
        <v>23695804</v>
      </c>
      <c r="B943" s="31">
        <v>46251</v>
      </c>
      <c r="C943" s="32">
        <v>0.40689814814814818</v>
      </c>
      <c r="D943" s="33"/>
      <c r="E943" s="34">
        <v>5218342525775</v>
      </c>
      <c r="F943" s="33"/>
      <c r="G943" s="33"/>
      <c r="H943" s="35">
        <v>49845901401</v>
      </c>
      <c r="I943" s="33"/>
      <c r="J943" s="36"/>
      <c r="K943" t="s">
        <v>38</v>
      </c>
      <c r="L943" s="3">
        <f>4769.63+848</f>
        <v>5617.63</v>
      </c>
      <c r="M943" s="3">
        <v>848</v>
      </c>
      <c r="N943" s="3">
        <f>L943*0.3</f>
        <v>1685.289</v>
      </c>
      <c r="O943" s="3">
        <f>(IF(L943&lt;4172.98,0,MIN(L943*0.3,L943-4172.98)))-M943</f>
        <v>596.65000000000055</v>
      </c>
      <c r="S943" s="3" t="s">
        <v>271</v>
      </c>
      <c r="T943" s="48">
        <v>46251</v>
      </c>
      <c r="Z943" s="181">
        <v>1</v>
      </c>
    </row>
    <row r="944" spans="1:26" hidden="1">
      <c r="A944" s="30">
        <v>23695868</v>
      </c>
      <c r="B944" s="31">
        <v>46251</v>
      </c>
      <c r="C944" s="32">
        <v>0.41072916666666665</v>
      </c>
      <c r="D944" s="33"/>
      <c r="E944" s="34">
        <v>5218993180771</v>
      </c>
      <c r="F944" s="33"/>
      <c r="G944" s="33" t="s">
        <v>952</v>
      </c>
      <c r="H944" s="35"/>
      <c r="I944" s="33"/>
      <c r="J944" s="36"/>
      <c r="K944" t="s">
        <v>32</v>
      </c>
      <c r="N944" s="3">
        <f>L944*0.3</f>
        <v>0</v>
      </c>
      <c r="O944" s="3">
        <f>(IF(L944&lt;4172.98,0,MIN(L944*0.3,L944-4172.98)))-M944</f>
        <v>0</v>
      </c>
      <c r="S944" s="3" t="s">
        <v>69</v>
      </c>
      <c r="Z944" s="181">
        <v>0</v>
      </c>
    </row>
    <row r="945" spans="1:26" hidden="1">
      <c r="A945" s="30">
        <v>23369780</v>
      </c>
      <c r="B945" s="31">
        <v>46251</v>
      </c>
      <c r="C945" s="32">
        <v>0.41767361111111112</v>
      </c>
      <c r="D945" s="33" t="s">
        <v>953</v>
      </c>
      <c r="E945" s="34">
        <v>5214481135328</v>
      </c>
      <c r="F945" s="33"/>
      <c r="G945" s="33"/>
      <c r="H945" s="35">
        <v>14866702401</v>
      </c>
      <c r="I945" s="33"/>
      <c r="J945" s="36"/>
      <c r="K945" t="s">
        <v>51</v>
      </c>
      <c r="N945" s="3">
        <f>L945*0.3</f>
        <v>0</v>
      </c>
      <c r="O945" s="3">
        <f>(IF(L945&lt;4172.98,0,MIN(L945*0.3,L945-4172.98)))-M945</f>
        <v>0</v>
      </c>
      <c r="S945" s="53" t="s">
        <v>69</v>
      </c>
      <c r="Z945" s="181">
        <v>1</v>
      </c>
    </row>
    <row r="946" spans="1:26" hidden="1">
      <c r="A946" s="30">
        <v>23696894</v>
      </c>
      <c r="B946" s="31">
        <v>46251</v>
      </c>
      <c r="C946" s="32">
        <v>0.43846064814814817</v>
      </c>
      <c r="D946" s="33" t="s">
        <v>954</v>
      </c>
      <c r="E946" s="34">
        <v>5218311028879</v>
      </c>
      <c r="F946" s="33"/>
      <c r="G946" s="33"/>
      <c r="H946" s="35" t="s">
        <v>955</v>
      </c>
      <c r="I946" s="33"/>
      <c r="J946" s="36"/>
      <c r="K946" t="s">
        <v>30</v>
      </c>
      <c r="L946" s="3">
        <f>4195.79+617.9</f>
        <v>4813.6899999999996</v>
      </c>
      <c r="M946" s="3">
        <v>617.9</v>
      </c>
      <c r="N946" s="3">
        <f>L946*0.3</f>
        <v>1444.1069999999997</v>
      </c>
      <c r="O946" s="3">
        <f>(IF(L946&lt;4172.98,0,MIN(L946*0.3,L946-4172.98)))-M946</f>
        <v>22.810000000000059</v>
      </c>
      <c r="P946" s="6">
        <v>46508</v>
      </c>
      <c r="Q946" t="s">
        <v>43</v>
      </c>
      <c r="R946" s="3">
        <v>617.9</v>
      </c>
      <c r="S946" s="3" t="s">
        <v>69</v>
      </c>
      <c r="Z946" s="181">
        <v>2</v>
      </c>
    </row>
    <row r="947" spans="1:26" hidden="1">
      <c r="A947" s="30">
        <v>23697624</v>
      </c>
      <c r="B947" s="31">
        <v>46251</v>
      </c>
      <c r="C947" s="32">
        <v>0.45013888888888887</v>
      </c>
      <c r="D947" s="33"/>
      <c r="E947" s="34">
        <v>5219222171364</v>
      </c>
      <c r="F947" s="33"/>
      <c r="G947" s="33"/>
      <c r="H947" s="35">
        <v>67866676199</v>
      </c>
      <c r="I947" s="33"/>
      <c r="J947" s="36"/>
      <c r="K947" t="s">
        <v>32</v>
      </c>
      <c r="N947" s="3">
        <f>L947*0.3</f>
        <v>0</v>
      </c>
      <c r="O947" s="3">
        <f>(IF(L947&lt;4172.98,0,MIN(L947*0.3,L947-4172.98)))-M947</f>
        <v>0</v>
      </c>
      <c r="S947" s="3" t="s">
        <v>69</v>
      </c>
      <c r="Z947" s="181">
        <v>0</v>
      </c>
    </row>
    <row r="948" spans="1:26" hidden="1">
      <c r="A948" s="30">
        <v>23698108</v>
      </c>
      <c r="B948" s="31">
        <v>46251</v>
      </c>
      <c r="C948" s="32">
        <v>0.46658564814814812</v>
      </c>
      <c r="D948" s="33"/>
      <c r="E948" s="34">
        <v>5216441348613</v>
      </c>
      <c r="F948" s="33"/>
      <c r="G948" s="33"/>
      <c r="H948" s="35">
        <v>24786121814</v>
      </c>
      <c r="I948" s="33"/>
      <c r="J948" s="36"/>
      <c r="K948" t="s">
        <v>30</v>
      </c>
      <c r="L948" s="3">
        <f>4387.45+1689.41+186</f>
        <v>6262.86</v>
      </c>
      <c r="M948" s="3">
        <f>1689.41+186</f>
        <v>1875.41</v>
      </c>
      <c r="N948" s="3">
        <f>L948*0.3</f>
        <v>1878.8579999999997</v>
      </c>
      <c r="O948" s="3">
        <f>(IF(L948&lt;4172.98,0,MIN(L948*0.3,L948-4172.98)))-M948</f>
        <v>3.447999999999638</v>
      </c>
      <c r="P948" s="6">
        <v>46784</v>
      </c>
      <c r="Q948" t="s">
        <v>141</v>
      </c>
      <c r="R948" s="3">
        <v>1689.41</v>
      </c>
      <c r="S948" s="3" t="s">
        <v>69</v>
      </c>
      <c r="Z948" s="181">
        <v>2</v>
      </c>
    </row>
    <row r="949" spans="1:26">
      <c r="A949" s="30">
        <v>23698672</v>
      </c>
      <c r="B949" s="31">
        <v>46251</v>
      </c>
      <c r="C949" s="32">
        <v>0.47438657407407409</v>
      </c>
      <c r="D949" s="33"/>
      <c r="E949" s="34">
        <v>5214421380475</v>
      </c>
      <c r="F949" s="33"/>
      <c r="G949" s="33"/>
      <c r="H949" s="35">
        <v>83917221588</v>
      </c>
      <c r="I949" s="33"/>
      <c r="J949" s="36"/>
      <c r="K949" t="s">
        <v>54</v>
      </c>
      <c r="L949" s="3">
        <f>6256.6+879</f>
        <v>7135.6</v>
      </c>
      <c r="M949" s="3">
        <v>879</v>
      </c>
      <c r="N949" s="3">
        <f>L949*0.3</f>
        <v>2140.6799999999998</v>
      </c>
      <c r="O949" s="3">
        <f>(IF(L949&lt;4172.98,0,MIN(L949*0.3,L949-4172.98)))-M949</f>
        <v>1261.6799999999998</v>
      </c>
      <c r="S949" s="3" t="s">
        <v>358</v>
      </c>
      <c r="T949" s="48">
        <v>46251</v>
      </c>
      <c r="Z949" s="181">
        <v>1</v>
      </c>
    </row>
    <row r="950" spans="1:26">
      <c r="A950" s="30">
        <v>23699562</v>
      </c>
      <c r="B950" s="31">
        <v>46251</v>
      </c>
      <c r="C950" s="32">
        <v>0.49505787037037036</v>
      </c>
      <c r="D950" s="33"/>
      <c r="E950" s="34">
        <v>5215542944661</v>
      </c>
      <c r="F950" s="33"/>
      <c r="G950" s="33"/>
      <c r="H950" s="35">
        <v>75816416681</v>
      </c>
      <c r="I950" s="33"/>
      <c r="J950" s="36"/>
      <c r="K950" t="s">
        <v>54</v>
      </c>
      <c r="L950" s="3">
        <v>10377.799999999999</v>
      </c>
      <c r="N950" s="3">
        <f>L950*0.3</f>
        <v>3113.3399999999997</v>
      </c>
      <c r="O950" s="3">
        <f>(IF(L950&lt;4172.98,0,MIN(L950*0.3,L950-4172.98)))-M950</f>
        <v>3113.3399999999997</v>
      </c>
      <c r="S950" s="3" t="s">
        <v>28</v>
      </c>
      <c r="T950" s="48">
        <v>46251</v>
      </c>
      <c r="Z950" s="181">
        <v>1</v>
      </c>
    </row>
    <row r="951" spans="1:26">
      <c r="A951" s="30">
        <v>23700116</v>
      </c>
      <c r="B951" s="31">
        <v>46251</v>
      </c>
      <c r="C951" s="32">
        <v>0.51587962962962963</v>
      </c>
      <c r="D951" s="33"/>
      <c r="E951" s="34">
        <v>5219987583782</v>
      </c>
      <c r="F951" s="33"/>
      <c r="G951" s="33"/>
      <c r="H951" s="35" t="s">
        <v>956</v>
      </c>
      <c r="I951" s="33"/>
      <c r="J951" s="36"/>
      <c r="K951" t="s">
        <v>54</v>
      </c>
      <c r="L951" s="3">
        <v>8173.37</v>
      </c>
      <c r="N951" s="3">
        <f>L951*0.3</f>
        <v>2452.011</v>
      </c>
      <c r="O951" s="3">
        <f>(IF(L951&lt;4172.98,0,MIN(L951*0.3,L951-4172.98)))-M951</f>
        <v>2452.011</v>
      </c>
      <c r="S951" s="3" t="s">
        <v>35</v>
      </c>
      <c r="T951" s="48">
        <v>46251</v>
      </c>
      <c r="Z951" s="181">
        <v>1</v>
      </c>
    </row>
    <row r="952" spans="1:26" hidden="1">
      <c r="A952" s="30">
        <v>23700182</v>
      </c>
      <c r="B952" s="31">
        <v>46251</v>
      </c>
      <c r="C952" s="32">
        <v>0.51717592592592587</v>
      </c>
      <c r="D952" s="33"/>
      <c r="E952" s="34">
        <v>5216647091635</v>
      </c>
      <c r="F952" s="33"/>
      <c r="G952" s="33"/>
      <c r="H952" s="35" t="s">
        <v>957</v>
      </c>
      <c r="I952" s="33"/>
      <c r="J952" s="36"/>
      <c r="K952" t="s">
        <v>30</v>
      </c>
      <c r="L952" s="3">
        <v>7920.51</v>
      </c>
      <c r="M952" s="3">
        <v>2290.3200000000002</v>
      </c>
      <c r="N952" s="3">
        <f>L952*0.3</f>
        <v>2376.1529999999998</v>
      </c>
      <c r="O952" s="3">
        <f>(IF(L952&lt;4172.98,0,MIN(L952*0.3,L952-4172.98)))-M952</f>
        <v>85.832999999999629</v>
      </c>
      <c r="P952" s="6">
        <v>46661</v>
      </c>
      <c r="Q952" t="s">
        <v>906</v>
      </c>
      <c r="R952" s="3">
        <v>2290.3200000000002</v>
      </c>
      <c r="S952" s="3" t="s">
        <v>69</v>
      </c>
      <c r="Z952" s="181">
        <v>2</v>
      </c>
    </row>
    <row r="953" spans="1:26" hidden="1">
      <c r="A953" s="30">
        <v>23700296</v>
      </c>
      <c r="B953" s="31">
        <v>46251</v>
      </c>
      <c r="C953" s="32">
        <v>0.520625</v>
      </c>
      <c r="D953" s="33"/>
      <c r="E953" s="34">
        <v>5214891222113</v>
      </c>
      <c r="F953" s="33"/>
      <c r="G953" s="33" t="s">
        <v>958</v>
      </c>
      <c r="H953" s="35"/>
      <c r="I953" s="33"/>
      <c r="J953" s="36"/>
      <c r="K953" t="s">
        <v>32</v>
      </c>
      <c r="N953" s="3">
        <f>L953*0.3</f>
        <v>0</v>
      </c>
      <c r="O953" s="3">
        <f>(IF(L953&lt;4172.98,0,MIN(L953*0.3,L953-4172.98)))-M953</f>
        <v>0</v>
      </c>
      <c r="S953" s="3" t="s">
        <v>69</v>
      </c>
      <c r="Z953" s="181">
        <v>0</v>
      </c>
    </row>
    <row r="954" spans="1:26">
      <c r="A954" s="30">
        <v>23700570</v>
      </c>
      <c r="B954" s="31">
        <v>46251</v>
      </c>
      <c r="C954" s="32">
        <v>0.52128472222222222</v>
      </c>
      <c r="D954" s="33"/>
      <c r="E954" s="34">
        <v>5219211454434</v>
      </c>
      <c r="F954" s="33"/>
      <c r="G954" s="33"/>
      <c r="H954" s="35" t="s">
        <v>959</v>
      </c>
      <c r="I954" s="33"/>
      <c r="J954" s="36"/>
      <c r="K954" t="s">
        <v>54</v>
      </c>
      <c r="L954" s="3">
        <v>53693.9</v>
      </c>
      <c r="M954" s="3">
        <v>4259.8999999999996</v>
      </c>
      <c r="N954" s="3">
        <f>L954*0.3</f>
        <v>16108.17</v>
      </c>
      <c r="O954" s="3">
        <f>(IF(L954&lt;4172.98,0,MIN(L954*0.3,L954-4172.98)))-M954</f>
        <v>11848.27</v>
      </c>
      <c r="P954" s="6">
        <v>45597</v>
      </c>
      <c r="Q954" t="s">
        <v>59</v>
      </c>
      <c r="R954" s="3">
        <v>2161.14</v>
      </c>
      <c r="S954" s="3" t="s">
        <v>28</v>
      </c>
      <c r="T954" s="48">
        <v>46251</v>
      </c>
      <c r="Z954" s="181">
        <v>2</v>
      </c>
    </row>
    <row r="955" spans="1:26" hidden="1">
      <c r="A955" s="30">
        <v>23700458</v>
      </c>
      <c r="B955" s="31">
        <v>46251</v>
      </c>
      <c r="C955" s="32">
        <v>0.52322916666666663</v>
      </c>
      <c r="D955" s="33"/>
      <c r="E955" s="34">
        <v>5219837525964</v>
      </c>
      <c r="F955" s="33"/>
      <c r="G955" s="33" t="s">
        <v>960</v>
      </c>
      <c r="H955" s="35"/>
      <c r="I955" s="33"/>
      <c r="J955" s="36"/>
      <c r="K955" t="s">
        <v>32</v>
      </c>
      <c r="N955" s="3">
        <f>L955*0.3</f>
        <v>0</v>
      </c>
      <c r="O955" s="3">
        <f>(IF(L955&lt;4172.98,0,MIN(L955*0.3,L955-4172.98)))-M955</f>
        <v>0</v>
      </c>
      <c r="S955" s="3" t="s">
        <v>69</v>
      </c>
      <c r="Z955" s="181">
        <v>0</v>
      </c>
    </row>
    <row r="956" spans="1:26" hidden="1">
      <c r="A956" s="12">
        <v>23700494</v>
      </c>
      <c r="B956" s="13">
        <v>46251</v>
      </c>
      <c r="C956" s="14">
        <v>0.53023148148148147</v>
      </c>
      <c r="D956" s="15"/>
      <c r="E956" s="16">
        <v>5219191385190</v>
      </c>
      <c r="F956" s="15"/>
      <c r="G956" s="15" t="s">
        <v>961</v>
      </c>
      <c r="H956" s="17"/>
      <c r="I956" s="15"/>
      <c r="J956" s="18"/>
      <c r="K956" t="s">
        <v>32</v>
      </c>
      <c r="N956" s="3">
        <f t="shared" ref="N956:N957" si="86">L956*0.3</f>
        <v>0</v>
      </c>
      <c r="O956" s="3">
        <f>(IF(L956&lt;4172.98,0,MIN(L956*0.3,L956-4172.98)))-M956</f>
        <v>0</v>
      </c>
      <c r="S956" s="3" t="s">
        <v>69</v>
      </c>
      <c r="Z956" s="181">
        <v>0</v>
      </c>
    </row>
    <row r="957" spans="1:26" hidden="1">
      <c r="A957" s="30">
        <v>23700850</v>
      </c>
      <c r="B957" s="31">
        <v>46251</v>
      </c>
      <c r="C957" s="32">
        <v>0.53063657407407405</v>
      </c>
      <c r="D957" s="33"/>
      <c r="E957" s="34">
        <v>5218448697540</v>
      </c>
      <c r="F957" s="33"/>
      <c r="G957" s="33" t="s">
        <v>962</v>
      </c>
      <c r="H957" s="35">
        <v>32816378734</v>
      </c>
      <c r="I957" s="33"/>
      <c r="J957" s="36"/>
      <c r="K957" t="s">
        <v>30</v>
      </c>
      <c r="L957" s="3">
        <v>9081.52</v>
      </c>
      <c r="M957" s="3">
        <v>2615.8200000000002</v>
      </c>
      <c r="N957" s="3">
        <f t="shared" si="86"/>
        <v>2724.4560000000001</v>
      </c>
      <c r="O957" s="3">
        <f>(IF(L957&lt;4172.98,0,MIN(L957*0.3,L957-4172.98)))-M957</f>
        <v>108.63599999999997</v>
      </c>
      <c r="P957" s="6">
        <v>46447</v>
      </c>
      <c r="Q957" t="s">
        <v>77</v>
      </c>
      <c r="R957" s="3">
        <v>2615.8200000000002</v>
      </c>
      <c r="S957" s="3" t="s">
        <v>69</v>
      </c>
      <c r="Z957" s="181">
        <v>2</v>
      </c>
    </row>
    <row r="958" spans="1:26" hidden="1">
      <c r="A958" s="30">
        <v>23701096</v>
      </c>
      <c r="B958" s="31">
        <v>46251</v>
      </c>
      <c r="C958" s="32">
        <v>0.53597222222222218</v>
      </c>
      <c r="D958" s="33"/>
      <c r="E958" s="34">
        <v>5215516886549</v>
      </c>
      <c r="F958" s="33"/>
      <c r="G958" s="33"/>
      <c r="H958" s="35">
        <v>90129448263</v>
      </c>
      <c r="I958" s="33"/>
      <c r="J958" s="36"/>
      <c r="K958" t="s">
        <v>51</v>
      </c>
      <c r="N958" s="3">
        <f>L958*0.3</f>
        <v>0</v>
      </c>
      <c r="O958" s="3">
        <f>(IF(L958&lt;4172.98,0,MIN(L958*0.3,L958-4172.98)))-M958</f>
        <v>0</v>
      </c>
      <c r="S958" s="3" t="s">
        <v>69</v>
      </c>
      <c r="Z958" s="181">
        <v>1</v>
      </c>
    </row>
    <row r="959" spans="1:26" hidden="1">
      <c r="A959" s="30">
        <v>23701132</v>
      </c>
      <c r="B959" s="31">
        <v>46251</v>
      </c>
      <c r="C959" s="32">
        <v>0.54173611111111108</v>
      </c>
      <c r="D959" s="33"/>
      <c r="E959" s="34">
        <v>5216241187880</v>
      </c>
      <c r="F959" s="33"/>
      <c r="G959" s="33"/>
      <c r="H959" s="35" t="s">
        <v>963</v>
      </c>
      <c r="I959" s="33"/>
      <c r="J959" s="36"/>
      <c r="K959" t="s">
        <v>30</v>
      </c>
      <c r="L959" s="3">
        <v>37875.4</v>
      </c>
      <c r="M959" s="3">
        <v>11360.56</v>
      </c>
      <c r="N959" s="3">
        <f>L959*0.3</f>
        <v>11362.62</v>
      </c>
      <c r="O959" s="3">
        <f>(IF(L959&lt;4172.98,0,MIN(L959*0.3,L959-4172.98)))-M959</f>
        <v>2.0600000000013097</v>
      </c>
      <c r="P959" s="6">
        <v>46478</v>
      </c>
      <c r="Q959" t="s">
        <v>964</v>
      </c>
      <c r="R959" s="3">
        <v>3828.86</v>
      </c>
      <c r="S959" s="3" t="s">
        <v>69</v>
      </c>
      <c r="Z959" s="181">
        <v>2</v>
      </c>
    </row>
    <row r="960" spans="1:26" hidden="1">
      <c r="A960" s="12">
        <v>23701114</v>
      </c>
      <c r="B960" s="13">
        <v>46251</v>
      </c>
      <c r="C960" s="14">
        <v>0.54429398148148145</v>
      </c>
      <c r="D960" s="15"/>
      <c r="E960" s="16">
        <v>5212311208780</v>
      </c>
      <c r="F960" s="15"/>
      <c r="G960" s="15" t="s">
        <v>965</v>
      </c>
      <c r="H960" s="17"/>
      <c r="I960" s="15"/>
      <c r="J960" s="18"/>
      <c r="K960" t="s">
        <v>32</v>
      </c>
      <c r="N960" s="3">
        <f t="shared" ref="N960:N961" si="87">L960*0.3</f>
        <v>0</v>
      </c>
      <c r="O960" s="3">
        <f>(IF(L960&lt;4172.98,0,MIN(L960*0.3,L960-4172.98)))-M960</f>
        <v>0</v>
      </c>
      <c r="S960" s="3" t="s">
        <v>69</v>
      </c>
      <c r="Z960" s="181">
        <v>0</v>
      </c>
    </row>
    <row r="961" spans="1:26" hidden="1">
      <c r="A961" s="30">
        <v>23701462</v>
      </c>
      <c r="B961" s="31">
        <v>46251</v>
      </c>
      <c r="C961" s="32">
        <v>0.54531249999999998</v>
      </c>
      <c r="D961" s="33"/>
      <c r="E961" s="34">
        <v>5215612026266</v>
      </c>
      <c r="F961" s="33"/>
      <c r="G961" s="33"/>
      <c r="H961" s="35" t="s">
        <v>966</v>
      </c>
      <c r="I961" s="33"/>
      <c r="J961" s="36"/>
      <c r="K961" t="s">
        <v>58</v>
      </c>
      <c r="L961" s="3">
        <v>4342.43</v>
      </c>
      <c r="N961" s="3">
        <f t="shared" si="87"/>
        <v>1302.729</v>
      </c>
      <c r="O961" s="3">
        <f>(IF(L961&lt;4172.98,0,MIN(L961*0.3,L961-4172.98)))-M961</f>
        <v>169.45000000000073</v>
      </c>
      <c r="S961" s="3" t="s">
        <v>69</v>
      </c>
      <c r="Z961" s="181">
        <v>1</v>
      </c>
    </row>
    <row r="962" spans="1:26" hidden="1">
      <c r="A962" s="30">
        <v>23665726</v>
      </c>
      <c r="B962" s="31">
        <v>46251</v>
      </c>
      <c r="C962" s="32">
        <v>0.54947916666666663</v>
      </c>
      <c r="D962" s="33"/>
      <c r="E962" s="34">
        <v>5215546374639</v>
      </c>
      <c r="F962" s="33"/>
      <c r="G962" s="33" t="s">
        <v>967</v>
      </c>
      <c r="H962" s="35"/>
      <c r="I962" s="33"/>
      <c r="J962" s="36"/>
      <c r="K962" t="s">
        <v>30</v>
      </c>
      <c r="L962" s="111">
        <v>7116.73</v>
      </c>
      <c r="M962" s="111">
        <v>2112.91</v>
      </c>
      <c r="N962" s="3">
        <f>L962*0.3</f>
        <v>2135.0189999999998</v>
      </c>
      <c r="O962" s="3">
        <f>(IF(L962&lt;4172.98,0,MIN(L962*0.3,L962-4172.98)))-M962</f>
        <v>22.108999999999924</v>
      </c>
      <c r="P962" s="6">
        <v>46569</v>
      </c>
      <c r="Q962" t="s">
        <v>43</v>
      </c>
      <c r="R962" s="3">
        <v>868.89</v>
      </c>
      <c r="S962" s="53" t="s">
        <v>69</v>
      </c>
      <c r="Z962" s="181">
        <v>2</v>
      </c>
    </row>
    <row r="963" spans="1:26" hidden="1">
      <c r="A963" s="30">
        <v>23676094</v>
      </c>
      <c r="B963" s="31">
        <v>46251</v>
      </c>
      <c r="C963" s="32">
        <v>0.55017361111111107</v>
      </c>
      <c r="D963" s="33" t="s">
        <v>968</v>
      </c>
      <c r="E963" s="34">
        <v>5217701857372</v>
      </c>
      <c r="F963" s="33"/>
      <c r="G963" s="33" t="s">
        <v>969</v>
      </c>
      <c r="H963" s="35">
        <v>15795807773</v>
      </c>
      <c r="I963" s="33"/>
      <c r="J963" s="36">
        <v>1</v>
      </c>
      <c r="K963" t="s">
        <v>30</v>
      </c>
      <c r="L963" s="3">
        <v>6262.86</v>
      </c>
      <c r="M963" s="3">
        <v>1808.36</v>
      </c>
      <c r="N963" s="3">
        <f>L963*0.3</f>
        <v>1878.8579999999997</v>
      </c>
      <c r="O963" s="3">
        <f>(IF(L963&lt;4172.98,0,MIN(L963*0.3,L963-4172.98)))-M963</f>
        <v>70.49799999999982</v>
      </c>
      <c r="P963" s="6">
        <v>46357</v>
      </c>
      <c r="Q963" t="s">
        <v>75</v>
      </c>
      <c r="S963" s="53" t="s">
        <v>69</v>
      </c>
      <c r="Z963" s="181">
        <v>2</v>
      </c>
    </row>
    <row r="964" spans="1:26" hidden="1">
      <c r="A964" s="30">
        <v>23677088</v>
      </c>
      <c r="B964" s="31">
        <v>46251</v>
      </c>
      <c r="C964" s="32">
        <v>0.55156249999999996</v>
      </c>
      <c r="D964" s="33" t="s">
        <v>970</v>
      </c>
      <c r="E964" s="34">
        <v>5216568253232</v>
      </c>
      <c r="F964" s="33"/>
      <c r="G964" s="33"/>
      <c r="H964" s="35">
        <v>32987000802</v>
      </c>
      <c r="I964" s="33"/>
      <c r="J964" s="36">
        <v>1</v>
      </c>
      <c r="K964" t="s">
        <v>51</v>
      </c>
      <c r="N964" s="3">
        <f>L964*0.3</f>
        <v>0</v>
      </c>
      <c r="O964" s="3">
        <f>(IF(L964&lt;4172.98,0,MIN(L964*0.3,L964-4172.98)))-M964</f>
        <v>0</v>
      </c>
      <c r="S964" s="53" t="s">
        <v>69</v>
      </c>
      <c r="Z964" s="181">
        <v>1</v>
      </c>
    </row>
    <row r="965" spans="1:26">
      <c r="A965" s="30">
        <v>23678068</v>
      </c>
      <c r="B965" s="31">
        <v>46251</v>
      </c>
      <c r="C965" s="32">
        <v>0.55295138888888884</v>
      </c>
      <c r="D965" s="33" t="s">
        <v>971</v>
      </c>
      <c r="E965" s="34">
        <v>5216464566018</v>
      </c>
      <c r="F965" s="33"/>
      <c r="G965" s="33" t="s">
        <v>972</v>
      </c>
      <c r="H965" s="35"/>
      <c r="I965" s="33"/>
      <c r="J965" s="36">
        <v>1</v>
      </c>
      <c r="K965" t="s">
        <v>38</v>
      </c>
      <c r="L965" s="111">
        <v>9081.52</v>
      </c>
      <c r="M965" s="111">
        <v>1634.27</v>
      </c>
      <c r="N965" s="3">
        <f>L965*0.3</f>
        <v>2724.4560000000001</v>
      </c>
      <c r="O965" s="3">
        <f>(IF(L965&lt;4172.98,0,MIN(L965*0.3,L965-4172.98)))-M965</f>
        <v>1090.1860000000001</v>
      </c>
      <c r="P965" s="6">
        <v>46600</v>
      </c>
      <c r="Q965" t="s">
        <v>47</v>
      </c>
      <c r="R965" s="111">
        <v>1634.27</v>
      </c>
      <c r="S965" s="53" t="s">
        <v>266</v>
      </c>
      <c r="T965" s="48">
        <v>46251</v>
      </c>
      <c r="Z965" s="181">
        <v>2</v>
      </c>
    </row>
    <row r="966" spans="1:26">
      <c r="A966" s="12">
        <v>23701422</v>
      </c>
      <c r="B966" s="13">
        <v>46251</v>
      </c>
      <c r="C966" s="14">
        <v>0.55223379629629632</v>
      </c>
      <c r="D966" s="15"/>
      <c r="E966" s="16">
        <v>5213123093699</v>
      </c>
      <c r="F966" s="15"/>
      <c r="G966" s="15"/>
      <c r="H966" s="17">
        <v>12836421441</v>
      </c>
      <c r="I966" s="15"/>
      <c r="J966" s="18"/>
      <c r="K966" t="s">
        <v>54</v>
      </c>
      <c r="L966" s="3">
        <v>16599.240000000002</v>
      </c>
      <c r="N966" s="3">
        <f t="shared" ref="N966:N967" si="88">L966*0.3</f>
        <v>4979.7719999999999</v>
      </c>
      <c r="O966" s="3">
        <f>(IF(L966&lt;4172.98,0,MIN(L966*0.3,L966-4172.98)))-M966</f>
        <v>4979.7719999999999</v>
      </c>
      <c r="S966" s="3" t="s">
        <v>63</v>
      </c>
      <c r="T966" s="48">
        <v>46251</v>
      </c>
      <c r="Z966" s="181">
        <v>1</v>
      </c>
    </row>
    <row r="967" spans="1:26" hidden="1">
      <c r="A967" s="30">
        <v>23701524</v>
      </c>
      <c r="B967" s="31">
        <v>46251</v>
      </c>
      <c r="C967" s="32">
        <v>0.55277777777777781</v>
      </c>
      <c r="D967" s="33"/>
      <c r="E967" s="34">
        <v>5218671131171</v>
      </c>
      <c r="F967" s="33"/>
      <c r="G967" s="33" t="s">
        <v>973</v>
      </c>
      <c r="H967" s="35"/>
      <c r="I967" s="33"/>
      <c r="J967" s="36"/>
      <c r="K967" t="s">
        <v>30</v>
      </c>
      <c r="L967" s="3">
        <v>7116.73</v>
      </c>
      <c r="M967" s="3">
        <v>2134.12</v>
      </c>
      <c r="N967" s="3">
        <f t="shared" si="88"/>
        <v>2135.0189999999998</v>
      </c>
      <c r="O967" s="3">
        <f>(IF(L967&lt;4172.98,0,MIN(L967*0.3,L967-4172.98)))-M967</f>
        <v>0.89899999999988722</v>
      </c>
      <c r="P967" s="6">
        <v>46357</v>
      </c>
      <c r="Q967" t="s">
        <v>44</v>
      </c>
      <c r="R967" s="3">
        <v>1432</v>
      </c>
      <c r="S967" s="3" t="s">
        <v>69</v>
      </c>
      <c r="Z967" s="181">
        <v>2</v>
      </c>
    </row>
    <row r="968" spans="1:26" hidden="1">
      <c r="A968" s="30">
        <v>23701872</v>
      </c>
      <c r="B968" s="31">
        <v>46251</v>
      </c>
      <c r="C968" s="32">
        <v>0.55600694444444443</v>
      </c>
      <c r="D968" s="33"/>
      <c r="E968" s="34">
        <v>5216641604604</v>
      </c>
      <c r="F968" s="33"/>
      <c r="G968" s="33" t="s">
        <v>974</v>
      </c>
      <c r="H968" s="35">
        <v>21785815297</v>
      </c>
      <c r="I968" s="33"/>
      <c r="J968" s="36"/>
      <c r="K968" t="s">
        <v>30</v>
      </c>
      <c r="L968" s="3">
        <v>13781.73</v>
      </c>
      <c r="M968" s="3">
        <v>4133.71</v>
      </c>
      <c r="N968" s="3">
        <f>L968*0.3</f>
        <v>4134.5189999999993</v>
      </c>
      <c r="O968" s="3">
        <f>(IF(L968&lt;4172.98,0,MIN(L968*0.3,L968-4172.98)))-M968</f>
        <v>0.80899999999928696</v>
      </c>
      <c r="P968" s="6">
        <v>46600</v>
      </c>
      <c r="Q968" t="s">
        <v>421</v>
      </c>
      <c r="R968" s="3">
        <v>532</v>
      </c>
      <c r="S968" s="3" t="s">
        <v>69</v>
      </c>
      <c r="Z968" s="181">
        <v>2</v>
      </c>
    </row>
    <row r="969" spans="1:26">
      <c r="A969" s="30">
        <v>23701964</v>
      </c>
      <c r="B969" s="31">
        <v>46251</v>
      </c>
      <c r="C969" s="32">
        <v>0.56239583333333332</v>
      </c>
      <c r="D969" s="33"/>
      <c r="E969" s="34">
        <v>5218662009081</v>
      </c>
      <c r="F969" s="33"/>
      <c r="G969" s="33" t="s">
        <v>975</v>
      </c>
      <c r="H969" s="35" t="s">
        <v>976</v>
      </c>
      <c r="I969" s="33"/>
      <c r="J969" s="36"/>
      <c r="K969" t="s">
        <v>54</v>
      </c>
      <c r="L969" s="111">
        <v>49687.17</v>
      </c>
      <c r="M969" s="111">
        <v>13362.71</v>
      </c>
      <c r="N969" s="3">
        <f>L969*0.3</f>
        <v>14906.150999999998</v>
      </c>
      <c r="O969" s="3">
        <f>(IF(L969&lt;4172.98,0,MIN(L969*0.3,L969-4172.98)))-M969</f>
        <v>1543.4409999999989</v>
      </c>
      <c r="P969" s="6">
        <v>46327</v>
      </c>
      <c r="Q969" t="s">
        <v>44</v>
      </c>
      <c r="R969" s="111">
        <v>9672.56</v>
      </c>
      <c r="S969" s="3" t="s">
        <v>98</v>
      </c>
      <c r="T969" s="48">
        <v>46251</v>
      </c>
      <c r="Z969" s="181">
        <v>2</v>
      </c>
    </row>
    <row r="970" spans="1:26" hidden="1">
      <c r="A970" s="30">
        <v>23702750</v>
      </c>
      <c r="B970" s="31">
        <v>46251</v>
      </c>
      <c r="C970" s="32">
        <v>0.58089120370370373</v>
      </c>
      <c r="D970" s="33"/>
      <c r="E970" s="34">
        <v>5218110722999</v>
      </c>
      <c r="F970" s="33"/>
      <c r="G970" s="33"/>
      <c r="H970" s="35">
        <v>43816428551</v>
      </c>
      <c r="I970" s="33"/>
      <c r="J970" s="36"/>
      <c r="K970" t="s">
        <v>30</v>
      </c>
      <c r="L970" s="111">
        <v>9081.52</v>
      </c>
      <c r="M970" s="111">
        <v>2511.2399999999998</v>
      </c>
      <c r="N970" s="3">
        <f>L970*0.3</f>
        <v>2724.4560000000001</v>
      </c>
      <c r="O970" s="3">
        <f>(IF(L970&lt;4172.98,0,MIN(L970*0.3,L970-4172.98)))-M970</f>
        <v>213.21600000000035</v>
      </c>
      <c r="P970" s="6">
        <v>46357</v>
      </c>
      <c r="Q970" t="s">
        <v>44</v>
      </c>
      <c r="R970" s="111">
        <v>2511.2399999999998</v>
      </c>
      <c r="S970" s="3" t="s">
        <v>69</v>
      </c>
      <c r="Z970" s="181">
        <v>2</v>
      </c>
    </row>
    <row r="971" spans="1:26" hidden="1">
      <c r="A971" s="30">
        <v>23703074</v>
      </c>
      <c r="B971" s="31">
        <v>46251</v>
      </c>
      <c r="C971" s="32">
        <v>0.58787037037037038</v>
      </c>
      <c r="D971" s="33"/>
      <c r="E971" s="34">
        <v>5215651753314</v>
      </c>
      <c r="F971" s="33"/>
      <c r="G971" s="33"/>
      <c r="H971" s="35">
        <v>42806315752</v>
      </c>
      <c r="I971" s="33"/>
      <c r="J971" s="36"/>
      <c r="K971" t="s">
        <v>51</v>
      </c>
      <c r="N971" s="3">
        <f>L971*0.3</f>
        <v>0</v>
      </c>
      <c r="O971" s="3">
        <f>(IF(L971&lt;4172.98,0,MIN(L971*0.3,L971-4172.98)))-M971</f>
        <v>0</v>
      </c>
      <c r="S971" s="3" t="s">
        <v>69</v>
      </c>
      <c r="Z971" s="181">
        <v>1</v>
      </c>
    </row>
    <row r="972" spans="1:26">
      <c r="A972" s="30">
        <v>23703336</v>
      </c>
      <c r="B972" s="31">
        <v>46251</v>
      </c>
      <c r="C972" s="32">
        <v>0.59937499999999999</v>
      </c>
      <c r="D972" s="33"/>
      <c r="E972" s="34">
        <v>5216674937505</v>
      </c>
      <c r="F972" s="33"/>
      <c r="G972" s="33"/>
      <c r="H972" s="35" t="s">
        <v>977</v>
      </c>
      <c r="I972" s="33"/>
      <c r="J972" s="36"/>
      <c r="K972" t="s">
        <v>38</v>
      </c>
      <c r="L972" s="111">
        <v>6413.58</v>
      </c>
      <c r="M972" s="111">
        <v>848</v>
      </c>
      <c r="N972" s="3">
        <f>L972*0.3</f>
        <v>1924.0739999999998</v>
      </c>
      <c r="O972" s="3">
        <f>(IF(L972&lt;4172.98,0,MIN(L972*0.3,L972-4172.98)))-M972</f>
        <v>1076.0739999999998</v>
      </c>
      <c r="S972" s="3" t="s">
        <v>271</v>
      </c>
      <c r="T972" s="48">
        <v>46251</v>
      </c>
      <c r="Z972" s="181">
        <v>1</v>
      </c>
    </row>
    <row r="973" spans="1:26">
      <c r="A973" s="30">
        <v>23703686</v>
      </c>
      <c r="B973" s="31">
        <v>46251</v>
      </c>
      <c r="C973" s="32">
        <v>0.60700231481481481</v>
      </c>
      <c r="D973" s="33"/>
      <c r="E973" s="34">
        <v>5214421068024</v>
      </c>
      <c r="F973" s="33"/>
      <c r="G973" s="33" t="s">
        <v>978</v>
      </c>
      <c r="H973" s="35"/>
      <c r="I973" s="33"/>
      <c r="J973" s="36"/>
      <c r="K973" t="s">
        <v>27</v>
      </c>
      <c r="L973" s="111">
        <v>24895.99</v>
      </c>
      <c r="M973" s="111">
        <v>7446.16</v>
      </c>
      <c r="N973" s="3">
        <f>L973*0.3</f>
        <v>7468.7970000000005</v>
      </c>
      <c r="O973" s="3">
        <f>(IF(L973&lt;4172.98,0,MIN(L973*0.3,L973-4172.98)))-M973</f>
        <v>22.637000000000626</v>
      </c>
      <c r="P973" s="6">
        <v>46174</v>
      </c>
      <c r="Q973" t="s">
        <v>75</v>
      </c>
      <c r="R973" s="111">
        <v>4979.71</v>
      </c>
      <c r="S973" s="3" t="s">
        <v>90</v>
      </c>
      <c r="T973" s="48">
        <v>46251</v>
      </c>
      <c r="Z973" s="181">
        <v>2</v>
      </c>
    </row>
    <row r="974" spans="1:26" hidden="1">
      <c r="A974" s="30">
        <v>23704054</v>
      </c>
      <c r="B974" s="31">
        <v>46251</v>
      </c>
      <c r="C974" s="32">
        <v>0.62571759259259263</v>
      </c>
      <c r="D974" s="33" t="s">
        <v>979</v>
      </c>
      <c r="E974" s="34">
        <v>5218771403483</v>
      </c>
      <c r="F974" s="33"/>
      <c r="G974" s="33" t="s">
        <v>980</v>
      </c>
      <c r="H974" s="35">
        <v>76965900152</v>
      </c>
      <c r="I974" s="33"/>
      <c r="J974" s="36"/>
      <c r="K974" t="s">
        <v>30</v>
      </c>
      <c r="L974" s="3">
        <f>4196.99+617</f>
        <v>4813.99</v>
      </c>
      <c r="M974" s="3">
        <v>617</v>
      </c>
      <c r="N974" s="3">
        <f>L974*0.3</f>
        <v>1444.1969999999999</v>
      </c>
      <c r="O974" s="3">
        <f>(IF(L974&lt;4172.98,0,MIN(L974*0.3,L974-4172.98)))-M974</f>
        <v>24.010000000000218</v>
      </c>
      <c r="S974" s="3" t="s">
        <v>69</v>
      </c>
      <c r="Z974" s="181">
        <v>1</v>
      </c>
    </row>
    <row r="975" spans="1:26">
      <c r="A975" s="12">
        <v>23704644</v>
      </c>
      <c r="B975" s="13">
        <v>46251</v>
      </c>
      <c r="C975" s="14">
        <v>0.63217592592592597</v>
      </c>
      <c r="D975" s="15" t="s">
        <v>981</v>
      </c>
      <c r="E975" s="16">
        <v>5214311001316</v>
      </c>
      <c r="F975" s="15"/>
      <c r="G975" s="123" t="s">
        <v>982</v>
      </c>
      <c r="H975" s="17"/>
      <c r="I975" s="15"/>
      <c r="J975" s="18"/>
      <c r="K975" t="s">
        <v>27</v>
      </c>
      <c r="L975" s="3">
        <f>5721.49+2199.02</f>
        <v>7920.51</v>
      </c>
      <c r="M975" s="3">
        <v>2199.02</v>
      </c>
      <c r="N975" s="3">
        <f t="shared" ref="N975:N976" si="89">L975*0.3</f>
        <v>2376.1529999999998</v>
      </c>
      <c r="O975" s="3">
        <f>(IF(L975&lt;4172.98,0,MIN(L975*0.3,L975-4172.98)))-M975</f>
        <v>177.13299999999981</v>
      </c>
      <c r="P975" s="6">
        <v>46204</v>
      </c>
      <c r="Q975" t="s">
        <v>77</v>
      </c>
      <c r="R975" s="3">
        <v>2199.02</v>
      </c>
      <c r="S975" s="3" t="s">
        <v>886</v>
      </c>
      <c r="T975" s="48">
        <v>46251</v>
      </c>
      <c r="Z975" s="181">
        <v>2</v>
      </c>
    </row>
    <row r="976" spans="1:26" hidden="1">
      <c r="A976" s="30">
        <v>23704628</v>
      </c>
      <c r="B976" s="31">
        <v>46251</v>
      </c>
      <c r="C976" s="32">
        <v>0.63483796296296291</v>
      </c>
      <c r="D976" s="33"/>
      <c r="E976" s="34">
        <v>5216621873184</v>
      </c>
      <c r="F976" s="33"/>
      <c r="G976" s="33"/>
      <c r="H976" s="35">
        <v>24917060014</v>
      </c>
      <c r="I976" s="33"/>
      <c r="J976" s="36"/>
      <c r="K976" t="s">
        <v>58</v>
      </c>
      <c r="L976" s="3">
        <v>4332.32</v>
      </c>
      <c r="M976" s="3">
        <v>848</v>
      </c>
      <c r="N976" s="3">
        <f t="shared" si="89"/>
        <v>1299.6959999999999</v>
      </c>
      <c r="O976" s="3">
        <f>(IF(L976&lt;4172.98,0,MIN(L976*0.3,L976-4172.98)))-M976</f>
        <v>-688.65999999999985</v>
      </c>
      <c r="S976" s="3" t="s">
        <v>69</v>
      </c>
      <c r="Z976" s="181">
        <v>1</v>
      </c>
    </row>
    <row r="977" spans="1:26">
      <c r="A977" s="12">
        <v>23704812</v>
      </c>
      <c r="B977" s="13">
        <v>46251</v>
      </c>
      <c r="C977" s="14">
        <v>0.64959490740740744</v>
      </c>
      <c r="D977" s="15" t="s">
        <v>983</v>
      </c>
      <c r="E977" s="16">
        <v>5218447679131</v>
      </c>
      <c r="F977" s="15"/>
      <c r="G977" s="15" t="s">
        <v>984</v>
      </c>
      <c r="H977" s="17"/>
      <c r="I977" s="15"/>
      <c r="J977" s="18"/>
      <c r="K977" t="s">
        <v>54</v>
      </c>
      <c r="L977" s="3">
        <v>9081.52</v>
      </c>
      <c r="N977" s="3">
        <f t="shared" ref="N977:N978" si="90">L977*0.3</f>
        <v>2724.4560000000001</v>
      </c>
      <c r="O977" s="3">
        <f>(IF(L977&lt;4172.98,0,MIN(L977*0.3,L977-4172.98)))-M977</f>
        <v>2724.4560000000001</v>
      </c>
      <c r="S977" s="3" t="s">
        <v>63</v>
      </c>
      <c r="T977" s="48">
        <v>46251</v>
      </c>
      <c r="Z977" s="181">
        <v>1</v>
      </c>
    </row>
    <row r="978" spans="1:26" hidden="1">
      <c r="A978" s="30">
        <v>23705104</v>
      </c>
      <c r="B978" s="31">
        <v>46251</v>
      </c>
      <c r="C978" s="32">
        <v>0.65745370370370371</v>
      </c>
      <c r="D978" s="33"/>
      <c r="E978" s="34">
        <v>5218182803184</v>
      </c>
      <c r="F978" s="33"/>
      <c r="G978" s="33" t="s">
        <v>985</v>
      </c>
      <c r="H978" s="35"/>
      <c r="I978" s="33"/>
      <c r="J978" s="36"/>
      <c r="K978" t="s">
        <v>32</v>
      </c>
      <c r="N978" s="3">
        <f t="shared" si="90"/>
        <v>0</v>
      </c>
      <c r="O978" s="3">
        <f>(IF(L978&lt;4172.98,0,MIN(L978*0.3,L978-4172.98)))-M978</f>
        <v>0</v>
      </c>
      <c r="S978" s="3" t="s">
        <v>69</v>
      </c>
      <c r="Z978" s="181">
        <v>0</v>
      </c>
    </row>
    <row r="979" spans="1:26" hidden="1">
      <c r="A979" s="12">
        <v>23706002</v>
      </c>
      <c r="B979" s="13">
        <v>46251</v>
      </c>
      <c r="C979" s="14">
        <v>0.67373842592592592</v>
      </c>
      <c r="D979" s="15"/>
      <c r="E979" s="16">
        <v>5215545147845</v>
      </c>
      <c r="F979" s="15"/>
      <c r="G979" s="15"/>
      <c r="H979" s="17" t="s">
        <v>986</v>
      </c>
      <c r="I979" s="15"/>
      <c r="J979" s="18"/>
      <c r="K979" t="s">
        <v>30</v>
      </c>
      <c r="L979" s="111">
        <v>19923.82</v>
      </c>
      <c r="M979" s="111">
        <v>5976.98</v>
      </c>
      <c r="N979" s="3">
        <f t="shared" ref="N979:N981" si="91">L979*0.3</f>
        <v>5977.1459999999997</v>
      </c>
      <c r="O979" s="3">
        <f>(IF(L979&lt;4172.98,0,MIN(L979*0.3,L979-4172.98)))-M979</f>
        <v>0.16600000000016735</v>
      </c>
      <c r="P979" s="6">
        <v>46539</v>
      </c>
      <c r="Q979" t="s">
        <v>421</v>
      </c>
      <c r="R979" s="3">
        <v>396</v>
      </c>
      <c r="S979" s="3" t="s">
        <v>69</v>
      </c>
      <c r="Z979" s="181">
        <v>2</v>
      </c>
    </row>
    <row r="980" spans="1:26">
      <c r="A980" s="12">
        <v>23706316</v>
      </c>
      <c r="B980" s="13">
        <v>46251</v>
      </c>
      <c r="C980" s="14">
        <v>0.67561342592592588</v>
      </c>
      <c r="D980" s="15"/>
      <c r="E980" s="16">
        <v>5218443587999</v>
      </c>
      <c r="F980" s="15"/>
      <c r="G980" s="15"/>
      <c r="H980" s="17">
        <v>32937476763</v>
      </c>
      <c r="I980" s="15"/>
      <c r="J980" s="18"/>
      <c r="K980" t="s">
        <v>54</v>
      </c>
      <c r="L980" s="3">
        <v>8784.2900000000009</v>
      </c>
      <c r="N980" s="3">
        <f t="shared" si="91"/>
        <v>2635.2870000000003</v>
      </c>
      <c r="O980" s="3">
        <f>(IF(L980&lt;4172.98,0,MIN(L980*0.3,L980-4172.98)))-M980</f>
        <v>2635.2870000000003</v>
      </c>
      <c r="S980" s="3" t="s">
        <v>886</v>
      </c>
      <c r="T980" s="48">
        <v>46251</v>
      </c>
      <c r="Z980" s="181">
        <v>1</v>
      </c>
    </row>
    <row r="981" spans="1:26" hidden="1">
      <c r="A981" s="30">
        <v>23706192</v>
      </c>
      <c r="B981" s="31">
        <v>46251</v>
      </c>
      <c r="C981" s="32">
        <v>0.67803240740740744</v>
      </c>
      <c r="D981" s="33"/>
      <c r="E981" s="34">
        <v>5217122234173</v>
      </c>
      <c r="F981" s="33"/>
      <c r="G981" s="33" t="s">
        <v>987</v>
      </c>
      <c r="H981" s="35"/>
      <c r="I981" s="33"/>
      <c r="J981" s="36"/>
      <c r="K981" t="s">
        <v>32</v>
      </c>
      <c r="N981" s="3">
        <f t="shared" si="91"/>
        <v>0</v>
      </c>
      <c r="O981" s="3">
        <f>(IF(L981&lt;4172.98,0,MIN(L981*0.3,L981-4172.98)))-M981</f>
        <v>0</v>
      </c>
      <c r="S981" s="3" t="s">
        <v>69</v>
      </c>
      <c r="Z981" s="181">
        <v>0</v>
      </c>
    </row>
    <row r="982" spans="1:26">
      <c r="A982" s="30">
        <v>23706390</v>
      </c>
      <c r="B982" s="31">
        <v>46251</v>
      </c>
      <c r="C982" s="32">
        <v>0.68115740740740738</v>
      </c>
      <c r="D982" s="33"/>
      <c r="E982" s="34">
        <v>5218126153296</v>
      </c>
      <c r="F982" s="33"/>
      <c r="G982" s="33"/>
      <c r="H982" s="35" t="s">
        <v>988</v>
      </c>
      <c r="I982" s="33"/>
      <c r="J982" s="36"/>
      <c r="K982" t="s">
        <v>107</v>
      </c>
      <c r="L982" s="111">
        <v>6262.86</v>
      </c>
      <c r="M982" s="111">
        <v>1808.41</v>
      </c>
      <c r="N982" s="3">
        <f>L982*0.3</f>
        <v>1878.8579999999997</v>
      </c>
      <c r="O982" s="3">
        <f>(IF(L982&lt;4172.98,0,MIN(L982*0.3,L982-4172.98)))-M982</f>
        <v>70.447999999999638</v>
      </c>
      <c r="P982" s="6">
        <v>45383</v>
      </c>
      <c r="Q982" t="s">
        <v>47</v>
      </c>
      <c r="R982" s="3">
        <v>710.85</v>
      </c>
      <c r="S982" s="3" t="s">
        <v>266</v>
      </c>
      <c r="T982" s="48">
        <v>46251</v>
      </c>
      <c r="Z982" s="181">
        <v>2</v>
      </c>
    </row>
    <row r="983" spans="1:26" hidden="1">
      <c r="A983" s="30">
        <v>23694314</v>
      </c>
      <c r="B983" s="31">
        <v>46251</v>
      </c>
      <c r="C983" s="32">
        <v>0.68393518518518515</v>
      </c>
      <c r="D983" s="33" t="s">
        <v>989</v>
      </c>
      <c r="E983" s="34">
        <v>5212721840068</v>
      </c>
      <c r="F983" s="33"/>
      <c r="G983" s="33" t="s">
        <v>990</v>
      </c>
      <c r="H983" s="35"/>
      <c r="I983" s="33"/>
      <c r="J983" s="36"/>
      <c r="K983" t="s">
        <v>51</v>
      </c>
      <c r="N983" s="3">
        <f>L983*0.3</f>
        <v>0</v>
      </c>
      <c r="O983" s="3">
        <f>(IF(L983&lt;4172.98,0,MIN(L983*0.3,L983-4172.98)))-M983</f>
        <v>0</v>
      </c>
      <c r="S983" s="53" t="s">
        <v>69</v>
      </c>
      <c r="Z983" s="181">
        <v>1</v>
      </c>
    </row>
    <row r="984" spans="1:26">
      <c r="A984" s="12">
        <v>23706412</v>
      </c>
      <c r="B984" s="13">
        <v>46251</v>
      </c>
      <c r="C984" s="14">
        <v>0.68289351851851854</v>
      </c>
      <c r="D984" s="15"/>
      <c r="E984" s="16">
        <v>5216631601577</v>
      </c>
      <c r="F984" s="15"/>
      <c r="G984" s="15"/>
      <c r="H984" s="17" t="s">
        <v>991</v>
      </c>
      <c r="I984" s="15"/>
      <c r="J984" s="18"/>
      <c r="K984" t="s">
        <v>54</v>
      </c>
      <c r="L984" s="3">
        <f>44673.46-34036.92</f>
        <v>10636.54</v>
      </c>
      <c r="N984" s="3">
        <f t="shared" ref="N984:N985" si="92">L984*0.3</f>
        <v>3190.962</v>
      </c>
      <c r="O984" s="3">
        <f>(IF(L984&lt;4172.98,0,MIN(L984*0.3,L984-4172.98)))-M984</f>
        <v>3190.962</v>
      </c>
      <c r="S984" s="3" t="s">
        <v>35</v>
      </c>
      <c r="T984" s="48">
        <v>46251</v>
      </c>
      <c r="Z984" s="181">
        <v>1</v>
      </c>
    </row>
    <row r="985" spans="1:26">
      <c r="A985" s="30">
        <v>23706484</v>
      </c>
      <c r="B985" s="31">
        <v>46251</v>
      </c>
      <c r="C985" s="32">
        <v>0.68297453703703703</v>
      </c>
      <c r="D985" s="33"/>
      <c r="E985" s="34">
        <v>5216121006112</v>
      </c>
      <c r="F985" s="33"/>
      <c r="G985" s="33"/>
      <c r="H985" s="35" t="s">
        <v>992</v>
      </c>
      <c r="I985" s="33"/>
      <c r="J985" s="36"/>
      <c r="K985" t="s">
        <v>54</v>
      </c>
      <c r="L985" s="111">
        <v>7920.51</v>
      </c>
      <c r="M985" s="111">
        <v>718.31</v>
      </c>
      <c r="N985" s="3">
        <f t="shared" si="92"/>
        <v>2376.1529999999998</v>
      </c>
      <c r="O985" s="3">
        <f>(IF(L985&lt;4172.98,0,MIN(L985*0.3,L985-4172.98)))-M985</f>
        <v>1657.8429999999998</v>
      </c>
      <c r="P985" s="6">
        <v>46784</v>
      </c>
      <c r="Q985" t="s">
        <v>44</v>
      </c>
      <c r="R985" s="111">
        <v>718.31</v>
      </c>
      <c r="S985" s="3" t="s">
        <v>98</v>
      </c>
      <c r="T985" s="48">
        <v>46251</v>
      </c>
      <c r="Z985" s="181">
        <v>2</v>
      </c>
    </row>
    <row r="986" spans="1:26" hidden="1">
      <c r="A986" s="30">
        <v>23706618</v>
      </c>
      <c r="B986" s="31">
        <v>46251</v>
      </c>
      <c r="C986" s="32">
        <v>0.68821759259259263</v>
      </c>
      <c r="D986" s="33"/>
      <c r="E986" s="34">
        <v>5216241698502</v>
      </c>
      <c r="F986" s="33"/>
      <c r="G986" s="33" t="s">
        <v>993</v>
      </c>
      <c r="H986" s="35"/>
      <c r="I986" s="33"/>
      <c r="J986" s="36"/>
      <c r="K986" t="s">
        <v>32</v>
      </c>
      <c r="N986" s="3">
        <f>L986*0.3</f>
        <v>0</v>
      </c>
      <c r="O986" s="3">
        <f>(IF(L986&lt;4172.98,0,MIN(L986*0.3,L986-4172.98)))-M986</f>
        <v>0</v>
      </c>
      <c r="S986" s="3" t="s">
        <v>69</v>
      </c>
      <c r="Z986" s="181">
        <v>0</v>
      </c>
    </row>
    <row r="987" spans="1:26">
      <c r="A987" s="30">
        <v>23707562</v>
      </c>
      <c r="B987" s="31">
        <v>46251</v>
      </c>
      <c r="C987" s="32">
        <v>0.7174652777777778</v>
      </c>
      <c r="D987" s="33"/>
      <c r="E987" s="34">
        <v>5213513044551</v>
      </c>
      <c r="F987" s="33"/>
      <c r="G987" s="33"/>
      <c r="H987" s="35">
        <v>53836516707</v>
      </c>
      <c r="I987" s="33"/>
      <c r="J987" s="36"/>
      <c r="K987" t="s">
        <v>38</v>
      </c>
      <c r="L987" s="111">
        <v>5636.89</v>
      </c>
      <c r="M987" s="111">
        <v>848</v>
      </c>
      <c r="N987" s="3">
        <f>L987*0.3</f>
        <v>1691.067</v>
      </c>
      <c r="O987" s="3">
        <f>(IF(L987&lt;4172.98,0,MIN(L987*0.3,L987-4172.98)))-M987</f>
        <v>615.91000000000076</v>
      </c>
      <c r="S987" s="3" t="s">
        <v>271</v>
      </c>
      <c r="T987" s="48">
        <v>46251</v>
      </c>
      <c r="Z987" s="181">
        <v>1</v>
      </c>
    </row>
    <row r="988" spans="1:26" hidden="1">
      <c r="A988" s="30">
        <v>23708042</v>
      </c>
      <c r="B988" s="31">
        <v>46251</v>
      </c>
      <c r="C988" s="32">
        <v>0.73732638888888891</v>
      </c>
      <c r="D988" s="33"/>
      <c r="E988" s="34">
        <v>5218661747612</v>
      </c>
      <c r="F988" s="33"/>
      <c r="G988" s="33"/>
      <c r="H988" s="35">
        <v>32977996837</v>
      </c>
      <c r="I988" s="33"/>
      <c r="J988" s="36"/>
      <c r="K988" t="s">
        <v>51</v>
      </c>
      <c r="N988" s="3">
        <f>L988*0.3</f>
        <v>0</v>
      </c>
      <c r="O988" s="3">
        <f>(IF(L988&lt;4172.98,0,MIN(L988*0.3,L988-4172.98)))-M988</f>
        <v>0</v>
      </c>
      <c r="S988" s="3" t="s">
        <v>69</v>
      </c>
      <c r="Z988" s="181">
        <v>1</v>
      </c>
    </row>
    <row r="989" spans="1:26" hidden="1">
      <c r="A989" s="30">
        <v>23708220</v>
      </c>
      <c r="B989" s="31">
        <v>46251</v>
      </c>
      <c r="C989" s="32">
        <v>0.74230324074074072</v>
      </c>
      <c r="D989" s="33"/>
      <c r="E989" s="34">
        <v>7207706466</v>
      </c>
      <c r="F989" s="33"/>
      <c r="G989" s="33"/>
      <c r="H989" s="35" t="s">
        <v>994</v>
      </c>
      <c r="I989" s="33"/>
      <c r="J989" s="36"/>
      <c r="K989" t="s">
        <v>30</v>
      </c>
      <c r="L989" s="111">
        <v>8793.09</v>
      </c>
      <c r="M989" s="111">
        <v>2544.0500000000002</v>
      </c>
      <c r="N989" s="3">
        <f>L989*0.3</f>
        <v>2637.9270000000001</v>
      </c>
      <c r="O989" s="3">
        <f>(IF(L989&lt;4172.98,0,MIN(L989*0.3,L989-4172.98)))-M989</f>
        <v>93.876999999999953</v>
      </c>
      <c r="P989" s="6">
        <v>46600</v>
      </c>
      <c r="Q989" t="s">
        <v>77</v>
      </c>
      <c r="R989" s="111">
        <v>2544.0500000000002</v>
      </c>
      <c r="S989" s="3" t="s">
        <v>69</v>
      </c>
      <c r="U989" s="85"/>
      <c r="Z989" s="181">
        <v>2</v>
      </c>
    </row>
    <row r="990" spans="1:26" hidden="1">
      <c r="A990" s="30">
        <v>23708406</v>
      </c>
      <c r="B990" s="31">
        <v>46251</v>
      </c>
      <c r="C990" s="32">
        <v>0.75475694444444441</v>
      </c>
      <c r="D990" s="33"/>
      <c r="E990" s="34">
        <v>5216622761128</v>
      </c>
      <c r="F990" s="33"/>
      <c r="G990" s="33"/>
      <c r="H990" s="35">
        <v>24815714639</v>
      </c>
      <c r="I990" s="33"/>
      <c r="J990" s="36"/>
      <c r="K990" t="s">
        <v>30</v>
      </c>
      <c r="L990" s="3">
        <v>50326.89</v>
      </c>
      <c r="M990" s="3">
        <v>15095.97</v>
      </c>
      <c r="N990" s="3">
        <f>L990*0.3</f>
        <v>15098.066999999999</v>
      </c>
      <c r="O990" s="3">
        <f>(IF(L990&lt;4172.98,0,MIN(L990*0.3,L990-4172.98)))-M990</f>
        <v>2.0969999999997526</v>
      </c>
      <c r="P990" s="6">
        <v>46935</v>
      </c>
      <c r="Q990" t="s">
        <v>73</v>
      </c>
      <c r="R990" s="3">
        <v>15095.97</v>
      </c>
      <c r="S990" s="3" t="s">
        <v>69</v>
      </c>
      <c r="Z990" s="181">
        <v>2</v>
      </c>
    </row>
    <row r="991" spans="1:26">
      <c r="A991" s="12">
        <v>23708740</v>
      </c>
      <c r="B991" s="13">
        <v>46251</v>
      </c>
      <c r="C991" s="14">
        <v>0.76822916666666663</v>
      </c>
      <c r="D991" s="15"/>
      <c r="E991" s="16">
        <v>5218132524879</v>
      </c>
      <c r="F991" s="15"/>
      <c r="G991" s="15" t="s">
        <v>995</v>
      </c>
      <c r="H991" s="17" t="s">
        <v>996</v>
      </c>
      <c r="I991" s="15"/>
      <c r="J991" s="18"/>
      <c r="K991" t="s">
        <v>54</v>
      </c>
      <c r="L991" s="3">
        <v>7128.48</v>
      </c>
      <c r="N991" s="3">
        <f t="shared" ref="N991:N997" si="93">L991*0.3</f>
        <v>2138.5439999999999</v>
      </c>
      <c r="O991" s="3">
        <f>(IF(L991&lt;4172.98,0,MIN(L991*0.3,L991-4172.98)))-M991</f>
        <v>2138.5439999999999</v>
      </c>
      <c r="S991" s="3" t="s">
        <v>55</v>
      </c>
      <c r="T991" s="48">
        <v>46252</v>
      </c>
      <c r="Z991" s="181">
        <v>1</v>
      </c>
    </row>
    <row r="992" spans="1:26">
      <c r="A992" s="12">
        <v>23708962</v>
      </c>
      <c r="B992" s="13">
        <v>46251</v>
      </c>
      <c r="C992" s="14">
        <v>0.77087962962962964</v>
      </c>
      <c r="D992" s="15"/>
      <c r="E992" s="16">
        <v>5219994037225</v>
      </c>
      <c r="F992" s="15"/>
      <c r="G992" s="15"/>
      <c r="H992" s="17">
        <v>84946604034</v>
      </c>
      <c r="I992" s="15"/>
      <c r="J992" s="18"/>
      <c r="K992" t="s">
        <v>54</v>
      </c>
      <c r="L992" s="3">
        <v>10636.54</v>
      </c>
      <c r="N992" s="3">
        <f t="shared" si="93"/>
        <v>3190.962</v>
      </c>
      <c r="O992" s="3">
        <f>(IF(L992&lt;4172.98,0,MIN(L992*0.3,L992-4172.98)))-M992</f>
        <v>3190.962</v>
      </c>
      <c r="S992" s="3" t="s">
        <v>55</v>
      </c>
      <c r="T992" s="48">
        <v>46252</v>
      </c>
      <c r="Z992" s="181">
        <v>1</v>
      </c>
    </row>
    <row r="993" spans="1:26" hidden="1">
      <c r="A993" s="12">
        <v>23709198</v>
      </c>
      <c r="B993" s="13">
        <v>46251</v>
      </c>
      <c r="C993" s="14">
        <v>0.79130787037037043</v>
      </c>
      <c r="D993" s="15"/>
      <c r="E993" s="16">
        <v>5212228131217</v>
      </c>
      <c r="F993" s="15"/>
      <c r="G993" s="15" t="s">
        <v>997</v>
      </c>
      <c r="H993" s="17">
        <v>62946200607</v>
      </c>
      <c r="I993" s="15"/>
      <c r="J993" s="18"/>
      <c r="K993" t="s">
        <v>30</v>
      </c>
      <c r="L993" s="3">
        <v>7268.14</v>
      </c>
      <c r="M993" s="3">
        <v>2180.42</v>
      </c>
      <c r="N993" s="3">
        <f t="shared" si="93"/>
        <v>2180.442</v>
      </c>
      <c r="O993" s="3">
        <f>(IF(L993&lt;4172.98,0,MIN(L993*0.3,L993-4172.98)))-M993</f>
        <v>2.1999999999934516E-2</v>
      </c>
      <c r="P993" s="6">
        <v>46447</v>
      </c>
      <c r="Q993" t="s">
        <v>77</v>
      </c>
      <c r="R993" s="3">
        <v>384.68</v>
      </c>
      <c r="S993" s="3" t="s">
        <v>69</v>
      </c>
      <c r="Z993" s="181">
        <v>2</v>
      </c>
    </row>
    <row r="994" spans="1:26">
      <c r="A994" s="12">
        <v>23709224</v>
      </c>
      <c r="B994" s="13">
        <v>46251</v>
      </c>
      <c r="C994" s="14">
        <v>0.80391203703703706</v>
      </c>
      <c r="D994" s="15"/>
      <c r="E994" s="16">
        <v>5219992177919</v>
      </c>
      <c r="F994" s="15"/>
      <c r="G994" s="15" t="s">
        <v>998</v>
      </c>
      <c r="H994" s="17"/>
      <c r="I994" s="15"/>
      <c r="J994" s="18"/>
      <c r="K994" t="s">
        <v>27</v>
      </c>
      <c r="L994" s="3">
        <v>9081.52</v>
      </c>
      <c r="M994" s="3">
        <v>2521.35</v>
      </c>
      <c r="N994" s="3">
        <f t="shared" si="93"/>
        <v>2724.4560000000001</v>
      </c>
      <c r="O994" s="3">
        <f>(IF(L994&lt;4172.98,0,MIN(L994*0.3,L994-4172.98)))-M994</f>
        <v>203.10600000000022</v>
      </c>
      <c r="P994" s="6">
        <v>46143</v>
      </c>
      <c r="Q994" t="s">
        <v>44</v>
      </c>
      <c r="R994" s="3">
        <v>2521.35</v>
      </c>
      <c r="S994" s="3" t="s">
        <v>879</v>
      </c>
      <c r="T994" s="48">
        <v>46252</v>
      </c>
      <c r="Z994" s="181">
        <v>2</v>
      </c>
    </row>
    <row r="995" spans="1:26" hidden="1">
      <c r="A995" s="12">
        <v>23709860</v>
      </c>
      <c r="B995" s="13">
        <v>46251</v>
      </c>
      <c r="C995" s="14">
        <v>0.8087037037037037</v>
      </c>
      <c r="D995" s="15" t="s">
        <v>999</v>
      </c>
      <c r="E995" s="16">
        <v>9851162799</v>
      </c>
      <c r="F995" s="15"/>
      <c r="G995" s="15" t="s">
        <v>1000</v>
      </c>
      <c r="H995" s="17">
        <v>84704210503</v>
      </c>
      <c r="I995" s="15"/>
      <c r="J995" s="18"/>
      <c r="K995" t="s">
        <v>30</v>
      </c>
      <c r="L995" s="124">
        <f>4176.1+676.79+110.77+722.86</f>
        <v>5686.52</v>
      </c>
      <c r="M995" s="3">
        <f>676.79+110.77+722.86</f>
        <v>1510.42</v>
      </c>
      <c r="N995" s="3">
        <f t="shared" si="93"/>
        <v>1705.9560000000001</v>
      </c>
      <c r="O995" s="3">
        <f>(IF(L995&lt;4172.98,0,MIN(L995*0.3,L995-4172.98)))-M995</f>
        <v>3.1200000000008004</v>
      </c>
      <c r="P995" s="6">
        <v>46447</v>
      </c>
      <c r="Q995" t="s">
        <v>421</v>
      </c>
      <c r="R995" s="3">
        <v>2378.42</v>
      </c>
      <c r="S995" s="3" t="s">
        <v>69</v>
      </c>
      <c r="Z995" s="181">
        <v>2</v>
      </c>
    </row>
    <row r="996" spans="1:26" hidden="1">
      <c r="A996" s="12">
        <v>23710156</v>
      </c>
      <c r="B996" s="13">
        <v>46251</v>
      </c>
      <c r="C996" s="14">
        <v>0.82488425925925923</v>
      </c>
      <c r="D996" s="15"/>
      <c r="E996" s="16"/>
      <c r="F996" s="15"/>
      <c r="G996" s="15" t="s">
        <v>1001</v>
      </c>
      <c r="H996" s="17"/>
      <c r="I996" s="15"/>
      <c r="J996" s="18"/>
      <c r="K996" t="s">
        <v>30</v>
      </c>
      <c r="L996" s="3">
        <f>5993.96+2568.84</f>
        <v>8562.7999999999993</v>
      </c>
      <c r="M996" s="3">
        <v>2568.84</v>
      </c>
      <c r="N996" s="3">
        <f t="shared" si="93"/>
        <v>2568.8399999999997</v>
      </c>
      <c r="O996" s="3">
        <f>(IF(L996&lt;4172.98,0,MIN(L996*0.3,L996-4172.98)))-M996</f>
        <v>0</v>
      </c>
      <c r="P996" s="6">
        <v>46966</v>
      </c>
      <c r="Q996" t="s">
        <v>77</v>
      </c>
      <c r="R996" s="3">
        <v>2568.84</v>
      </c>
      <c r="S996" s="3" t="s">
        <v>69</v>
      </c>
      <c r="Z996" s="181">
        <v>2</v>
      </c>
    </row>
    <row r="997" spans="1:26" hidden="1">
      <c r="A997" s="30">
        <v>23711566</v>
      </c>
      <c r="B997" s="31">
        <v>46251</v>
      </c>
      <c r="C997" s="32">
        <v>0.8709837962962963</v>
      </c>
      <c r="D997" s="33" t="s">
        <v>1002</v>
      </c>
      <c r="E997" s="34">
        <v>5219996032849</v>
      </c>
      <c r="F997" s="33"/>
      <c r="G997" s="33"/>
      <c r="H997" s="35">
        <v>82897202121</v>
      </c>
      <c r="I997" s="33"/>
      <c r="J997" s="36"/>
      <c r="K997" t="s">
        <v>30</v>
      </c>
      <c r="L997" s="3">
        <f>5845.63+2378.42</f>
        <v>8224.0499999999993</v>
      </c>
      <c r="M997" s="3">
        <v>2378.42</v>
      </c>
      <c r="N997" s="3">
        <f t="shared" si="93"/>
        <v>2467.2149999999997</v>
      </c>
      <c r="O997" s="3">
        <f>(IF(L997&lt;4172.98,0,MIN(L997*0.3,L997-4172.98)))-M997</f>
        <v>88.794999999999618</v>
      </c>
      <c r="P997" s="6">
        <v>46447</v>
      </c>
      <c r="Q997" t="s">
        <v>80</v>
      </c>
      <c r="R997" s="3">
        <v>2378.42</v>
      </c>
      <c r="S997" s="3" t="s">
        <v>69</v>
      </c>
      <c r="Z997" s="181">
        <v>2</v>
      </c>
    </row>
    <row r="998" spans="1:26" hidden="1">
      <c r="A998" s="12">
        <v>23711696</v>
      </c>
      <c r="B998" s="13">
        <v>46251</v>
      </c>
      <c r="C998" s="14">
        <v>0.87994212962962959</v>
      </c>
      <c r="D998" s="15"/>
      <c r="E998" s="16">
        <v>5212212880194</v>
      </c>
      <c r="F998" s="15"/>
      <c r="G998" s="15" t="s">
        <v>1003</v>
      </c>
      <c r="H998" s="17"/>
      <c r="I998" s="15"/>
      <c r="J998" s="18"/>
      <c r="K998" t="s">
        <v>30</v>
      </c>
      <c r="L998" s="3">
        <f>6454.04+813.99+1500+313.49</f>
        <v>9081.5199999999986</v>
      </c>
      <c r="M998" s="3">
        <f>813.99+1500+313.49</f>
        <v>2627.4799999999996</v>
      </c>
      <c r="N998" s="3">
        <f t="shared" ref="N998:N1004" si="94">L998*0.3</f>
        <v>2724.4559999999997</v>
      </c>
      <c r="O998" s="3">
        <f>(IF(L998&lt;4172.98,0,MIN(L998*0.3,L998-4172.98)))-M998</f>
        <v>96.976000000000113</v>
      </c>
      <c r="P998" s="6">
        <v>46266</v>
      </c>
      <c r="Q998" t="s">
        <v>77</v>
      </c>
      <c r="R998" s="3">
        <v>1500</v>
      </c>
      <c r="S998" s="3" t="s">
        <v>69</v>
      </c>
      <c r="Z998" s="181">
        <v>2</v>
      </c>
    </row>
    <row r="999" spans="1:26" hidden="1">
      <c r="A999" s="12">
        <v>23712052</v>
      </c>
      <c r="B999" s="13">
        <v>46251</v>
      </c>
      <c r="C999" s="14">
        <v>0.90226851851851853</v>
      </c>
      <c r="D999" s="15" t="s">
        <v>1004</v>
      </c>
      <c r="E999" s="16">
        <v>5216862259558</v>
      </c>
      <c r="F999" s="15"/>
      <c r="G999" s="15"/>
      <c r="H999" s="17" t="s">
        <v>1005</v>
      </c>
      <c r="I999" s="15"/>
      <c r="J999" s="18"/>
      <c r="K999" t="s">
        <v>30</v>
      </c>
      <c r="L999" s="3">
        <f>4225.43+1392.2</f>
        <v>5617.63</v>
      </c>
      <c r="M999" s="3">
        <v>1392.2</v>
      </c>
      <c r="N999" s="3">
        <f t="shared" si="94"/>
        <v>1685.289</v>
      </c>
      <c r="O999" s="3">
        <f>(IF(L999&lt;4172.98,0,MIN(L999*0.3,L999-4172.98)))-M999</f>
        <v>52.4500000000005</v>
      </c>
      <c r="P999" s="6">
        <v>46631</v>
      </c>
      <c r="Q999" t="s">
        <v>59</v>
      </c>
      <c r="R999" s="3">
        <v>1392.2</v>
      </c>
      <c r="S999" s="3" t="s">
        <v>69</v>
      </c>
      <c r="Z999" s="181">
        <v>2</v>
      </c>
    </row>
    <row r="1000" spans="1:26" hidden="1">
      <c r="A1000" s="12">
        <v>23712088</v>
      </c>
      <c r="B1000" s="13">
        <v>46251</v>
      </c>
      <c r="C1000" s="14">
        <v>0.90782407407407406</v>
      </c>
      <c r="D1000" s="15"/>
      <c r="E1000" s="16">
        <v>5215581195260</v>
      </c>
      <c r="F1000" s="15"/>
      <c r="G1000" s="15"/>
      <c r="H1000" s="17" t="s">
        <v>1006</v>
      </c>
      <c r="I1000" s="15"/>
      <c r="J1000" s="18"/>
      <c r="K1000" t="s">
        <v>58</v>
      </c>
      <c r="L1000" s="3">
        <v>1799.7</v>
      </c>
      <c r="N1000" s="3">
        <f t="shared" si="94"/>
        <v>539.91</v>
      </c>
      <c r="O1000" s="3">
        <f>(IF(L1000&lt;4172.98,0,MIN(L1000*0.3,L1000-4172.98)))-M1000</f>
        <v>0</v>
      </c>
      <c r="S1000" s="3" t="s">
        <v>69</v>
      </c>
      <c r="Z1000" s="181">
        <v>1</v>
      </c>
    </row>
    <row r="1001" spans="1:26" hidden="1">
      <c r="A1001" s="12">
        <v>23712172</v>
      </c>
      <c r="B1001" s="13">
        <v>46251</v>
      </c>
      <c r="C1001" s="14">
        <v>0.9094444444444445</v>
      </c>
      <c r="D1001" s="15" t="s">
        <v>1007</v>
      </c>
      <c r="E1001" s="16">
        <v>5214742066828</v>
      </c>
      <c r="F1001" s="15"/>
      <c r="G1001" s="15" t="s">
        <v>1008</v>
      </c>
      <c r="H1001" s="17"/>
      <c r="I1001" s="15"/>
      <c r="J1001" s="18"/>
      <c r="K1001" t="s">
        <v>32</v>
      </c>
      <c r="N1001" s="3">
        <f t="shared" si="94"/>
        <v>0</v>
      </c>
      <c r="O1001" s="3">
        <f>(IF(L1001&lt;4172.98,0,MIN(L1001*0.3,L1001-4172.98)))-M1001</f>
        <v>0</v>
      </c>
      <c r="S1001" s="3" t="s">
        <v>69</v>
      </c>
      <c r="Z1001" s="181">
        <v>0</v>
      </c>
    </row>
    <row r="1002" spans="1:26">
      <c r="A1002" s="12">
        <v>23712674</v>
      </c>
      <c r="B1002" s="13">
        <v>46251</v>
      </c>
      <c r="C1002" s="14">
        <v>0.95284722222222218</v>
      </c>
      <c r="D1002" s="15"/>
      <c r="E1002" s="16">
        <v>5212213484276</v>
      </c>
      <c r="F1002" s="15"/>
      <c r="G1002" s="15" t="s">
        <v>1009</v>
      </c>
      <c r="H1002" s="17"/>
      <c r="I1002" s="15"/>
      <c r="J1002" s="18"/>
      <c r="K1002" t="s">
        <v>27</v>
      </c>
      <c r="L1002" s="3">
        <f>8323.56+2714.84</f>
        <v>11038.4</v>
      </c>
      <c r="M1002" s="3">
        <v>2714.84</v>
      </c>
      <c r="N1002" s="3">
        <f t="shared" si="94"/>
        <v>3311.52</v>
      </c>
      <c r="O1002" s="3">
        <f>(IF(L1002&lt;4172.98,0,MIN(L1002*0.3,L1002-4172.98)))-M1002</f>
        <v>596.67999999999984</v>
      </c>
      <c r="P1002" s="6">
        <v>45597</v>
      </c>
      <c r="Q1002" t="s">
        <v>59</v>
      </c>
      <c r="R1002" s="3">
        <v>2714.84</v>
      </c>
      <c r="S1002" s="3" t="s">
        <v>879</v>
      </c>
      <c r="T1002" s="48">
        <v>46252</v>
      </c>
      <c r="Z1002" s="181">
        <v>2</v>
      </c>
    </row>
    <row r="1003" spans="1:26" hidden="1">
      <c r="A1003" s="12">
        <v>23723720</v>
      </c>
      <c r="B1003" s="13">
        <v>46252</v>
      </c>
      <c r="C1003" s="14">
        <v>0.37172453703703706</v>
      </c>
      <c r="D1003" s="15"/>
      <c r="E1003" s="16">
        <v>5218441427768</v>
      </c>
      <c r="F1003" s="15"/>
      <c r="G1003" s="15"/>
      <c r="H1003" s="17">
        <v>49897357064</v>
      </c>
      <c r="I1003" s="15"/>
      <c r="J1003" s="18"/>
      <c r="K1003" t="s">
        <v>32</v>
      </c>
      <c r="N1003" s="3">
        <f t="shared" si="94"/>
        <v>0</v>
      </c>
      <c r="O1003" s="3">
        <f>(IF(L1003&lt;4172.98,0,MIN(L1003*0.3,L1003-4172.98)))-M1003</f>
        <v>0</v>
      </c>
      <c r="S1003" s="3" t="s">
        <v>69</v>
      </c>
      <c r="Z1003" s="181">
        <v>0</v>
      </c>
    </row>
    <row r="1004" spans="1:26" hidden="1">
      <c r="A1004" s="30">
        <v>23723642</v>
      </c>
      <c r="B1004" s="31">
        <v>46252</v>
      </c>
      <c r="C1004" s="32">
        <v>0.37363425925925925</v>
      </c>
      <c r="D1004" s="33"/>
      <c r="E1004" s="34">
        <v>5216252065446</v>
      </c>
      <c r="F1004" s="33"/>
      <c r="G1004" s="33"/>
      <c r="H1004" s="35" t="s">
        <v>1010</v>
      </c>
      <c r="I1004" s="33"/>
      <c r="J1004" s="36"/>
      <c r="K1004" t="s">
        <v>30</v>
      </c>
      <c r="L1004" s="3">
        <f>6937.42+2822.9</f>
        <v>9760.32</v>
      </c>
      <c r="M1004" s="3">
        <v>2822.9</v>
      </c>
      <c r="N1004" s="3">
        <f t="shared" si="94"/>
        <v>2928.096</v>
      </c>
      <c r="O1004" s="3">
        <f>(IF(L1004&lt;4172.98,0,MIN(L1004*0.3,L1004-4172.98)))-M1004</f>
        <v>105.19599999999991</v>
      </c>
      <c r="P1004" s="6">
        <v>46692</v>
      </c>
      <c r="Q1004" t="s">
        <v>44</v>
      </c>
      <c r="R1004" s="3">
        <v>2822.9</v>
      </c>
      <c r="S1004" s="3" t="s">
        <v>69</v>
      </c>
      <c r="Z1004" s="181">
        <v>2</v>
      </c>
    </row>
    <row r="1005" spans="1:26">
      <c r="A1005" s="12">
        <v>23725514</v>
      </c>
      <c r="B1005" s="13">
        <v>46252</v>
      </c>
      <c r="C1005" s="14">
        <v>0.40231481481481479</v>
      </c>
      <c r="D1005" s="15"/>
      <c r="E1005" s="16">
        <v>5213122457174</v>
      </c>
      <c r="F1005" s="15"/>
      <c r="G1005" s="15" t="s">
        <v>1011</v>
      </c>
      <c r="H1005" s="17"/>
      <c r="I1005" s="15"/>
      <c r="J1005" s="18"/>
      <c r="K1005" t="s">
        <v>54</v>
      </c>
      <c r="L1005" s="3">
        <v>12257.9</v>
      </c>
      <c r="N1005" s="3">
        <f t="shared" ref="N1005" si="95">L1005*0.3</f>
        <v>3677.37</v>
      </c>
      <c r="O1005" s="3">
        <f>(IF(L1005&lt;4172.98,0,MIN(L1005*0.3,L1005-4172.98)))-M1005</f>
        <v>3677.37</v>
      </c>
      <c r="S1005" s="3" t="s">
        <v>55</v>
      </c>
      <c r="T1005" s="48">
        <v>46252</v>
      </c>
      <c r="Z1005" s="181">
        <v>1</v>
      </c>
    </row>
    <row r="1006" spans="1:26">
      <c r="A1006" s="30">
        <v>23727870</v>
      </c>
      <c r="B1006" s="31">
        <v>46252</v>
      </c>
      <c r="C1006" s="32">
        <v>0.45846064814814813</v>
      </c>
      <c r="D1006" s="33"/>
      <c r="E1006" s="34">
        <v>5216644340055</v>
      </c>
      <c r="F1006" s="33"/>
      <c r="G1006" s="33"/>
      <c r="H1006" s="35">
        <v>23795808288</v>
      </c>
      <c r="I1006" s="33"/>
      <c r="J1006" s="36"/>
      <c r="K1006" t="s">
        <v>54</v>
      </c>
      <c r="L1006" s="3">
        <v>5617.63</v>
      </c>
      <c r="N1006" s="3">
        <f>L1006*0.3</f>
        <v>1685.289</v>
      </c>
      <c r="O1006" s="3">
        <f>(IF(L1006&lt;4172.98,0,MIN(L1006*0.3,L1006-4172.98)))-M1006</f>
        <v>1444.6500000000005</v>
      </c>
      <c r="S1006" s="3" t="s">
        <v>62</v>
      </c>
      <c r="T1006" s="48">
        <v>46252</v>
      </c>
      <c r="Z1006" s="181">
        <v>1</v>
      </c>
    </row>
    <row r="1007" spans="1:26">
      <c r="A1007" s="30">
        <v>23727890</v>
      </c>
      <c r="B1007" s="31">
        <v>46252</v>
      </c>
      <c r="C1007" s="32">
        <v>0.45947916666666666</v>
      </c>
      <c r="D1007" s="33"/>
      <c r="E1007" s="34">
        <v>5214444166599</v>
      </c>
      <c r="F1007" s="33"/>
      <c r="G1007" s="33"/>
      <c r="H1007" s="35">
        <v>41806211151</v>
      </c>
      <c r="I1007" s="33"/>
      <c r="J1007" s="36"/>
      <c r="K1007" t="s">
        <v>27</v>
      </c>
      <c r="L1007" s="3">
        <v>13274.85</v>
      </c>
      <c r="M1007" s="3">
        <v>3837.43</v>
      </c>
      <c r="N1007" s="3">
        <f>L1007*0.3</f>
        <v>3982.4549999999999</v>
      </c>
      <c r="O1007" s="3">
        <f>(IF(L1007&lt;4172.98,0,MIN(L1007*0.3,L1007-4172.98)))-M1007</f>
        <v>145.02500000000009</v>
      </c>
      <c r="P1007" s="6">
        <v>46235</v>
      </c>
      <c r="Q1007" t="s">
        <v>75</v>
      </c>
      <c r="R1007" s="3">
        <v>2904.77</v>
      </c>
      <c r="S1007" s="3" t="s">
        <v>879</v>
      </c>
      <c r="T1007" s="48">
        <v>46252</v>
      </c>
      <c r="Z1007" s="181">
        <v>2</v>
      </c>
    </row>
    <row r="1008" spans="1:26" hidden="1">
      <c r="A1008" s="12">
        <v>23728050</v>
      </c>
      <c r="B1008" s="13">
        <v>46252</v>
      </c>
      <c r="C1008" s="14">
        <v>0.46668981481481481</v>
      </c>
      <c r="D1008" s="15"/>
      <c r="E1008" s="16">
        <v>5215560101160</v>
      </c>
      <c r="F1008" s="15"/>
      <c r="G1008" s="15" t="s">
        <v>1012</v>
      </c>
      <c r="H1008" s="17"/>
      <c r="I1008" s="15"/>
      <c r="J1008" s="18"/>
      <c r="K1008" t="s">
        <v>30</v>
      </c>
      <c r="L1008" s="3">
        <v>9760.32</v>
      </c>
      <c r="M1008" s="3">
        <v>2927.84</v>
      </c>
      <c r="N1008" s="3">
        <f t="shared" ref="N1008:N1009" si="96">L1008*0.3</f>
        <v>2928.096</v>
      </c>
      <c r="O1008" s="3">
        <f>(IF(L1008&lt;4172.98,0,MIN(L1008*0.3,L1008-4172.98)))-M1008</f>
        <v>0.25599999999985812</v>
      </c>
      <c r="P1008" s="6">
        <v>46813</v>
      </c>
      <c r="Q1008" t="s">
        <v>77</v>
      </c>
      <c r="R1008" s="3">
        <v>2927.84</v>
      </c>
      <c r="S1008" s="3" t="s">
        <v>69</v>
      </c>
      <c r="Z1008" s="181">
        <v>2</v>
      </c>
    </row>
    <row r="1009" spans="1:26" hidden="1">
      <c r="A1009" s="30">
        <v>23727950</v>
      </c>
      <c r="B1009" s="31">
        <v>46252</v>
      </c>
      <c r="C1009" s="32">
        <v>0.4667824074074074</v>
      </c>
      <c r="D1009" s="33"/>
      <c r="E1009" s="34">
        <v>5212722074497</v>
      </c>
      <c r="F1009" s="33"/>
      <c r="G1009" s="33" t="s">
        <v>1013</v>
      </c>
      <c r="H1009" s="35"/>
      <c r="I1009" s="33"/>
      <c r="J1009" s="36"/>
      <c r="K1009" t="s">
        <v>58</v>
      </c>
      <c r="L1009" s="3">
        <v>3961.31</v>
      </c>
      <c r="N1009" s="3">
        <f t="shared" si="96"/>
        <v>1188.393</v>
      </c>
      <c r="O1009" s="3">
        <f>(IF(L1009&lt;4172.98,0,MIN(L1009*0.3,L1009-4172.98)))-M1009</f>
        <v>0</v>
      </c>
      <c r="S1009" s="3" t="s">
        <v>69</v>
      </c>
      <c r="Z1009" s="181">
        <v>1</v>
      </c>
    </row>
    <row r="1010" spans="1:26" hidden="1">
      <c r="A1010" s="12">
        <v>23728184</v>
      </c>
      <c r="B1010" s="13">
        <v>46252</v>
      </c>
      <c r="C1010" s="14">
        <v>0.47116898148148151</v>
      </c>
      <c r="D1010" s="15"/>
      <c r="E1010" s="16">
        <v>5217293441528</v>
      </c>
      <c r="F1010" s="15"/>
      <c r="G1010" s="15" t="s">
        <v>1014</v>
      </c>
      <c r="H1010" s="17"/>
      <c r="I1010" s="15"/>
      <c r="J1010" s="18"/>
      <c r="K1010" t="s">
        <v>32</v>
      </c>
      <c r="N1010" s="3">
        <f t="shared" ref="N1010:N1012" si="97">L1010*0.3</f>
        <v>0</v>
      </c>
      <c r="O1010" s="3">
        <f>(IF(L1010&lt;4172.98,0,MIN(L1010*0.3,L1010-4172.98)))-M1010</f>
        <v>0</v>
      </c>
      <c r="S1010" s="3" t="s">
        <v>69</v>
      </c>
      <c r="Z1010" s="181">
        <v>0</v>
      </c>
    </row>
    <row r="1011" spans="1:26">
      <c r="A1011" s="12">
        <v>23728198</v>
      </c>
      <c r="B1011" s="13">
        <v>46252</v>
      </c>
      <c r="C1011" s="14">
        <v>0.47461805555555553</v>
      </c>
      <c r="D1011" s="15" t="s">
        <v>1015</v>
      </c>
      <c r="E1011" s="16">
        <v>5218211032035</v>
      </c>
      <c r="F1011" s="15"/>
      <c r="G1011" s="15" t="s">
        <v>1016</v>
      </c>
      <c r="H1011" s="17"/>
      <c r="I1011" s="15"/>
      <c r="J1011" s="18"/>
      <c r="K1011" t="s">
        <v>38</v>
      </c>
      <c r="L1011" s="3">
        <v>40950.629999999997</v>
      </c>
      <c r="M1011" s="3">
        <v>11975.92</v>
      </c>
      <c r="N1011" s="3">
        <f t="shared" si="97"/>
        <v>12285.188999999998</v>
      </c>
      <c r="O1011" s="3">
        <f>(IF(L1011&lt;4172.98,0,MIN(L1011*0.3,L1011-4172.98)))-M1011</f>
        <v>309.26899999999841</v>
      </c>
      <c r="P1011" s="6">
        <v>46600</v>
      </c>
      <c r="Q1011" t="s">
        <v>75</v>
      </c>
      <c r="R1011" s="3">
        <v>11795.92</v>
      </c>
      <c r="S1011" s="3" t="s">
        <v>39</v>
      </c>
      <c r="T1011" s="48">
        <v>46252</v>
      </c>
      <c r="Z1011" s="181">
        <v>2</v>
      </c>
    </row>
    <row r="1012" spans="1:26" hidden="1">
      <c r="A1012" s="30">
        <v>23728482</v>
      </c>
      <c r="B1012" s="31">
        <v>46252</v>
      </c>
      <c r="C1012" s="32">
        <v>0.47848379629629628</v>
      </c>
      <c r="D1012" s="33"/>
      <c r="E1012" s="34">
        <v>5215538189110</v>
      </c>
      <c r="F1012" s="33"/>
      <c r="G1012" s="33" t="s">
        <v>1017</v>
      </c>
      <c r="H1012" s="35"/>
      <c r="I1012" s="33"/>
      <c r="J1012" s="36"/>
      <c r="K1012" t="s">
        <v>58</v>
      </c>
      <c r="L1012" s="3">
        <v>4172.99</v>
      </c>
      <c r="N1012" s="3">
        <f t="shared" si="97"/>
        <v>1251.8969999999999</v>
      </c>
      <c r="O1012" s="3">
        <f>(IF(L1012&lt;4172.98,0,MIN(L1012*0.3,L1012-4172.98)))-M1012</f>
        <v>1.0000000000218279E-2</v>
      </c>
      <c r="S1012" s="3" t="s">
        <v>69</v>
      </c>
      <c r="Z1012" s="181">
        <v>1</v>
      </c>
    </row>
    <row r="1013" spans="1:26" hidden="1">
      <c r="A1013" s="30">
        <v>23728694</v>
      </c>
      <c r="B1013" s="31">
        <v>46252</v>
      </c>
      <c r="C1013" s="32">
        <v>0.48590277777777779</v>
      </c>
      <c r="D1013" s="33"/>
      <c r="E1013" s="34">
        <v>5215580140589</v>
      </c>
      <c r="F1013" s="33"/>
      <c r="G1013" s="33" t="s">
        <v>1018</v>
      </c>
      <c r="H1013" s="35">
        <v>63815403348</v>
      </c>
      <c r="I1013" s="33"/>
      <c r="J1013" s="36"/>
      <c r="K1013" t="s">
        <v>32</v>
      </c>
      <c r="N1013" s="3">
        <f>L1013*0.3</f>
        <v>0</v>
      </c>
      <c r="O1013" s="3">
        <f>(IF(L1013&lt;4172.98,0,MIN(L1013*0.3,L1013-4172.98)))-M1013</f>
        <v>0</v>
      </c>
      <c r="S1013" s="3" t="s">
        <v>69</v>
      </c>
      <c r="Z1013" s="181">
        <v>0</v>
      </c>
    </row>
    <row r="1014" spans="1:26" hidden="1">
      <c r="A1014" s="30">
        <v>23729222</v>
      </c>
      <c r="B1014" s="31">
        <v>46252</v>
      </c>
      <c r="C1014" s="32">
        <v>0.49577546296296299</v>
      </c>
      <c r="D1014" s="33"/>
      <c r="E1014" s="34">
        <v>5218187992362</v>
      </c>
      <c r="F1014" s="33"/>
      <c r="G1014" s="33"/>
      <c r="H1014" s="35">
        <v>43836408237</v>
      </c>
      <c r="I1014" s="33"/>
      <c r="J1014" s="36"/>
      <c r="K1014" t="s">
        <v>30</v>
      </c>
      <c r="L1014" s="3">
        <v>9504.7000000000007</v>
      </c>
      <c r="M1014" s="3">
        <v>2748</v>
      </c>
      <c r="N1014" s="3">
        <f>L1014*0.3</f>
        <v>2851.4100000000003</v>
      </c>
      <c r="O1014" s="3">
        <f>(IF(L1014&lt;4172.98,0,MIN(L1014*0.3,L1014-4172.98)))-M1014</f>
        <v>103.41000000000031</v>
      </c>
      <c r="P1014" s="6">
        <v>46722</v>
      </c>
      <c r="Q1014" t="s">
        <v>44</v>
      </c>
      <c r="R1014" s="3">
        <v>1900</v>
      </c>
      <c r="S1014" s="3" t="s">
        <v>69</v>
      </c>
      <c r="Z1014" s="181">
        <v>2</v>
      </c>
    </row>
    <row r="1015" spans="1:26" hidden="1">
      <c r="A1015" s="30">
        <v>23729656</v>
      </c>
      <c r="B1015" s="31">
        <v>46252</v>
      </c>
      <c r="C1015" s="32">
        <v>0.50699074074074069</v>
      </c>
      <c r="D1015" s="33" t="s">
        <v>1019</v>
      </c>
      <c r="E1015" s="34">
        <v>5216563003860</v>
      </c>
      <c r="F1015" s="33"/>
      <c r="G1015" s="33"/>
      <c r="H1015" s="35">
        <v>64978048961</v>
      </c>
      <c r="I1015" s="33"/>
      <c r="J1015" s="36"/>
      <c r="K1015" t="s">
        <v>51</v>
      </c>
      <c r="N1015" s="3">
        <f>L1015*0.3</f>
        <v>0</v>
      </c>
      <c r="O1015" s="3">
        <f>(IF(L1015&lt;4172.98,0,MIN(L1015*0.3,L1015-4172.98)))-M1015</f>
        <v>0</v>
      </c>
      <c r="S1015" s="3" t="s">
        <v>69</v>
      </c>
      <c r="Z1015" s="181">
        <v>1</v>
      </c>
    </row>
    <row r="1016" spans="1:26" hidden="1">
      <c r="A1016" s="30">
        <v>23729984</v>
      </c>
      <c r="B1016" s="31">
        <v>46252</v>
      </c>
      <c r="C1016" s="32">
        <v>0.51276620370370374</v>
      </c>
      <c r="D1016" s="33"/>
      <c r="E1016" s="34">
        <v>5218442059677</v>
      </c>
      <c r="F1016" s="33"/>
      <c r="G1016" s="33" t="s">
        <v>1020</v>
      </c>
      <c r="H1016" s="35"/>
      <c r="I1016" s="33"/>
      <c r="J1016" s="36"/>
      <c r="K1016" t="s">
        <v>30</v>
      </c>
      <c r="L1016" s="111">
        <v>45540.92</v>
      </c>
      <c r="M1016" s="111">
        <v>13662.26</v>
      </c>
      <c r="N1016" s="3">
        <f>L1016*0.3</f>
        <v>13662.276</v>
      </c>
      <c r="O1016" s="3">
        <f>(IF(L1016&lt;4172.98,0,MIN(L1016*0.3,L1016-4172.98)))-M1016</f>
        <v>1.599999999962165E-2</v>
      </c>
      <c r="P1016" s="6">
        <v>46478</v>
      </c>
      <c r="Q1016" t="s">
        <v>59</v>
      </c>
      <c r="R1016" s="3">
        <v>4065.51</v>
      </c>
      <c r="S1016" s="3" t="s">
        <v>69</v>
      </c>
      <c r="Z1016" s="181">
        <v>2</v>
      </c>
    </row>
    <row r="1017" spans="1:26" hidden="1">
      <c r="A1017" s="30">
        <v>23730066</v>
      </c>
      <c r="B1017" s="31">
        <v>46252</v>
      </c>
      <c r="C1017" s="32">
        <v>0.52322916666666663</v>
      </c>
      <c r="D1017" s="33" t="s">
        <v>1021</v>
      </c>
      <c r="E1017" s="34">
        <v>5214521509717</v>
      </c>
      <c r="F1017" s="33"/>
      <c r="G1017" s="33" t="s">
        <v>1022</v>
      </c>
      <c r="H1017" s="35" t="s">
        <v>1023</v>
      </c>
      <c r="I1017" s="33"/>
      <c r="J1017" s="36"/>
      <c r="K1017" t="s">
        <v>30</v>
      </c>
      <c r="L1017" s="111">
        <v>7920.51</v>
      </c>
      <c r="M1017" s="111">
        <v>2376</v>
      </c>
      <c r="N1017" s="3">
        <f>L1017*0.3</f>
        <v>2376.1529999999998</v>
      </c>
      <c r="O1017" s="3">
        <f>(IF(L1017&lt;4172.98,0,MIN(L1017*0.3,L1017-4172.98)))-M1017</f>
        <v>0.15299999999979264</v>
      </c>
      <c r="P1017" s="6">
        <v>46966</v>
      </c>
      <c r="Q1017" t="s">
        <v>658</v>
      </c>
      <c r="R1017" s="111">
        <v>2376</v>
      </c>
      <c r="S1017" s="3" t="s">
        <v>69</v>
      </c>
      <c r="Z1017" s="181">
        <v>2</v>
      </c>
    </row>
    <row r="1018" spans="1:26">
      <c r="A1018" s="30">
        <v>23730476</v>
      </c>
      <c r="B1018" s="31">
        <v>46252</v>
      </c>
      <c r="C1018" s="32">
        <v>0.52872685185185186</v>
      </c>
      <c r="D1018" s="33"/>
      <c r="E1018" s="34">
        <v>5216671888130</v>
      </c>
      <c r="F1018" s="33"/>
      <c r="G1018" s="33" t="s">
        <v>1024</v>
      </c>
      <c r="H1018" s="35"/>
      <c r="I1018" s="33"/>
      <c r="J1018" s="36"/>
      <c r="K1018" t="s">
        <v>38</v>
      </c>
      <c r="L1018" s="111">
        <v>4813.6899999999996</v>
      </c>
      <c r="M1018" s="111">
        <v>519.13</v>
      </c>
      <c r="N1018" s="3">
        <f>L1018*0.3</f>
        <v>1444.1069999999997</v>
      </c>
      <c r="O1018" s="3">
        <f>(IF(L1018&lt;4172.98,0,MIN(L1018*0.3,L1018-4172.98)))-M1018</f>
        <v>121.58000000000004</v>
      </c>
      <c r="P1018" s="6">
        <v>45689</v>
      </c>
      <c r="Q1018" t="s">
        <v>184</v>
      </c>
      <c r="R1018" s="111">
        <v>519.13</v>
      </c>
      <c r="S1018" s="3" t="s">
        <v>266</v>
      </c>
      <c r="T1018" s="48">
        <v>46252</v>
      </c>
      <c r="Z1018" s="181">
        <v>2</v>
      </c>
    </row>
    <row r="1019" spans="1:26" hidden="1">
      <c r="A1019" s="30">
        <v>23731128</v>
      </c>
      <c r="B1019" s="31">
        <v>46252</v>
      </c>
      <c r="C1019" s="32">
        <v>0.54291666666666671</v>
      </c>
      <c r="D1019" s="33"/>
      <c r="E1019" s="34">
        <v>5213114600218</v>
      </c>
      <c r="F1019" s="33"/>
      <c r="G1019" s="33" t="s">
        <v>1025</v>
      </c>
      <c r="H1019" s="35"/>
      <c r="I1019" s="33"/>
      <c r="J1019" s="36"/>
      <c r="K1019" t="s">
        <v>32</v>
      </c>
      <c r="N1019" s="3">
        <f>L1019*0.3</f>
        <v>0</v>
      </c>
      <c r="O1019" s="3">
        <f>(IF(L1019&lt;4172.98,0,MIN(L1019*0.3,L1019-4172.98)))-M1019</f>
        <v>0</v>
      </c>
      <c r="S1019" s="3" t="s">
        <v>69</v>
      </c>
      <c r="Z1019" s="181">
        <v>0</v>
      </c>
    </row>
    <row r="1020" spans="1:26" hidden="1">
      <c r="A1020" s="30">
        <v>23731268</v>
      </c>
      <c r="B1020" s="31">
        <v>46252</v>
      </c>
      <c r="C1020" s="32">
        <v>0.55377314814814815</v>
      </c>
      <c r="D1020" s="33"/>
      <c r="E1020" s="34">
        <v>5215567805448</v>
      </c>
      <c r="F1020" s="33"/>
      <c r="G1020" s="33" t="s">
        <v>1026</v>
      </c>
      <c r="H1020" s="35"/>
      <c r="I1020" s="33"/>
      <c r="J1020" s="36"/>
      <c r="K1020" t="s">
        <v>58</v>
      </c>
      <c r="L1020" s="3">
        <v>4172.99</v>
      </c>
      <c r="N1020" s="3">
        <f>L1020*0.3</f>
        <v>1251.8969999999999</v>
      </c>
      <c r="O1020" s="3">
        <f>(IF(L1020&lt;4172.98,0,MIN(L1020*0.3,L1020-4172.98)))-M1020</f>
        <v>1.0000000000218279E-2</v>
      </c>
      <c r="S1020" s="3" t="s">
        <v>69</v>
      </c>
      <c r="Z1020" s="181">
        <v>1</v>
      </c>
    </row>
    <row r="1021" spans="1:26">
      <c r="A1021" s="30">
        <v>23731776</v>
      </c>
      <c r="B1021" s="31">
        <v>46252</v>
      </c>
      <c r="C1021" s="32">
        <v>0.5612731481481481</v>
      </c>
      <c r="D1021" s="33"/>
      <c r="E1021" s="34">
        <v>5216861413239</v>
      </c>
      <c r="F1021" s="33"/>
      <c r="G1021" s="33" t="s">
        <v>1027</v>
      </c>
      <c r="H1021" s="35" t="s">
        <v>1028</v>
      </c>
      <c r="I1021" s="33"/>
      <c r="J1021" s="36"/>
      <c r="K1021" t="s">
        <v>38</v>
      </c>
      <c r="L1021" s="3">
        <v>4669.49</v>
      </c>
      <c r="N1021" s="3">
        <f>L1021*0.3</f>
        <v>1400.847</v>
      </c>
      <c r="O1021" s="3">
        <f>(IF(L1021&lt;4172.98,0,MIN(L1021*0.3,L1021-4172.98)))-M1021</f>
        <v>496.51000000000022</v>
      </c>
      <c r="S1021" s="3" t="s">
        <v>266</v>
      </c>
      <c r="T1021" s="48">
        <v>46252</v>
      </c>
      <c r="Z1021" s="181">
        <v>1</v>
      </c>
    </row>
    <row r="1022" spans="1:26">
      <c r="A1022" s="30">
        <v>23732082</v>
      </c>
      <c r="B1022" s="31">
        <v>46252</v>
      </c>
      <c r="C1022" s="32">
        <v>0.56619212962962961</v>
      </c>
      <c r="D1022" s="33"/>
      <c r="E1022" s="34" t="s">
        <v>1029</v>
      </c>
      <c r="F1022" s="33"/>
      <c r="G1022" s="33" t="s">
        <v>1030</v>
      </c>
      <c r="H1022" s="35"/>
      <c r="I1022" s="33"/>
      <c r="J1022" s="36"/>
      <c r="K1022" t="s">
        <v>54</v>
      </c>
      <c r="L1022" s="3">
        <f>42900.71-32264.17</f>
        <v>10636.54</v>
      </c>
      <c r="N1022" s="3">
        <f>L1022*0.3</f>
        <v>3190.962</v>
      </c>
      <c r="O1022" s="3">
        <f>(IF(L1022&lt;4172.98,0,MIN(L1022*0.3,L1022-4172.98)))-M1022</f>
        <v>3190.962</v>
      </c>
      <c r="S1022" s="3" t="s">
        <v>28</v>
      </c>
      <c r="T1022" s="48">
        <v>46252</v>
      </c>
      <c r="Z1022" s="181">
        <v>1</v>
      </c>
    </row>
    <row r="1023" spans="1:26" hidden="1">
      <c r="A1023" s="30">
        <v>23662726</v>
      </c>
      <c r="B1023" s="31">
        <v>46252</v>
      </c>
      <c r="C1023" s="32">
        <v>0.5675810185185185</v>
      </c>
      <c r="D1023" s="33" t="s">
        <v>1031</v>
      </c>
      <c r="E1023" s="34">
        <v>5218683489397</v>
      </c>
      <c r="F1023" s="33"/>
      <c r="G1023" s="33" t="s">
        <v>1032</v>
      </c>
      <c r="H1023" s="35"/>
      <c r="I1023" s="33"/>
      <c r="J1023" s="36"/>
      <c r="K1023" t="s">
        <v>32</v>
      </c>
      <c r="N1023" s="3">
        <f>L1023*0.3</f>
        <v>0</v>
      </c>
      <c r="O1023" s="3">
        <f>(IF(L1023&lt;4172.98,0,MIN(L1023*0.3,L1023-4172.98)))-M1023</f>
        <v>0</v>
      </c>
      <c r="S1023" s="53" t="s">
        <v>69</v>
      </c>
      <c r="Z1023" s="181">
        <v>0</v>
      </c>
    </row>
    <row r="1024" spans="1:26">
      <c r="A1024" s="30">
        <v>23681658</v>
      </c>
      <c r="B1024" s="31">
        <v>46252</v>
      </c>
      <c r="C1024" s="32">
        <v>0.56896990740740738</v>
      </c>
      <c r="D1024" s="33" t="s">
        <v>1033</v>
      </c>
      <c r="E1024" s="34">
        <v>5214425948864</v>
      </c>
      <c r="F1024" s="33"/>
      <c r="G1024" s="33" t="s">
        <v>1034</v>
      </c>
      <c r="H1024" s="35"/>
      <c r="I1024" s="33"/>
      <c r="J1024" s="36"/>
      <c r="K1024" t="s">
        <v>38</v>
      </c>
      <c r="L1024" s="125">
        <v>16301.39</v>
      </c>
      <c r="M1024" s="125">
        <v>4551.47</v>
      </c>
      <c r="N1024" s="3">
        <f>L1024*0.3</f>
        <v>4890.4169999999995</v>
      </c>
      <c r="O1024" s="3">
        <f>(IF(L1024&lt;4172.98,0,MIN(L1024*0.3,L1024-4172.98)))-M1024</f>
        <v>338.94699999999921</v>
      </c>
      <c r="P1024" s="6">
        <v>46478</v>
      </c>
      <c r="Q1024" t="s">
        <v>47</v>
      </c>
      <c r="R1024" s="3">
        <v>378.34</v>
      </c>
      <c r="S1024" s="53" t="s">
        <v>266</v>
      </c>
      <c r="T1024" s="48">
        <v>46252</v>
      </c>
      <c r="Z1024" s="181">
        <v>2</v>
      </c>
    </row>
    <row r="1025" spans="1:26" hidden="1">
      <c r="A1025" s="30">
        <v>23729274</v>
      </c>
      <c r="B1025" s="31">
        <v>46252</v>
      </c>
      <c r="C1025" s="32">
        <v>0.57105324074074071</v>
      </c>
      <c r="D1025" s="33" t="s">
        <v>1035</v>
      </c>
      <c r="E1025" s="34">
        <v>5216146140600</v>
      </c>
      <c r="F1025" s="33"/>
      <c r="G1025" s="33" t="s">
        <v>1036</v>
      </c>
      <c r="H1025" s="35"/>
      <c r="I1025" s="33"/>
      <c r="J1025" s="36"/>
      <c r="K1025" t="s">
        <v>51</v>
      </c>
      <c r="N1025" s="3">
        <f>L1025*0.3</f>
        <v>0</v>
      </c>
      <c r="O1025" s="3">
        <f>(IF(L1025&lt;4172.98,0,MIN(L1025*0.3,L1025-4172.98)))-M1025</f>
        <v>0</v>
      </c>
      <c r="S1025" s="53" t="s">
        <v>69</v>
      </c>
      <c r="Z1025" s="181">
        <v>1</v>
      </c>
    </row>
    <row r="1026" spans="1:26" hidden="1">
      <c r="A1026" s="30">
        <v>23731962</v>
      </c>
      <c r="B1026" s="31">
        <v>46252</v>
      </c>
      <c r="C1026" s="32">
        <v>0.57548611111111114</v>
      </c>
      <c r="D1026" s="33"/>
      <c r="E1026" s="34">
        <v>5213317402481</v>
      </c>
      <c r="F1026" s="33"/>
      <c r="G1026" s="33" t="s">
        <v>1037</v>
      </c>
      <c r="H1026" s="35" t="s">
        <v>1038</v>
      </c>
      <c r="I1026" s="33"/>
      <c r="J1026" s="36"/>
      <c r="K1026" t="s">
        <v>32</v>
      </c>
      <c r="N1026" s="3">
        <f>L1026*0.3</f>
        <v>0</v>
      </c>
      <c r="O1026" s="3">
        <f>(IF(L1026&lt;4172.98,0,MIN(L1026*0.3,L1026-4172.98)))-M1026</f>
        <v>0</v>
      </c>
      <c r="S1026" s="3" t="s">
        <v>69</v>
      </c>
      <c r="Z1026" s="181">
        <v>0</v>
      </c>
    </row>
    <row r="1027" spans="1:26" hidden="1">
      <c r="A1027" s="30">
        <v>23732518</v>
      </c>
      <c r="B1027" s="31">
        <v>46252</v>
      </c>
      <c r="C1027" s="32">
        <v>0.58203703703703702</v>
      </c>
      <c r="D1027" s="33"/>
      <c r="E1027" s="34">
        <v>5216391107935</v>
      </c>
      <c r="F1027" s="33"/>
      <c r="G1027" s="33" t="s">
        <v>1039</v>
      </c>
      <c r="H1027" s="35"/>
      <c r="I1027" s="33"/>
      <c r="J1027" s="36"/>
      <c r="K1027" t="s">
        <v>51</v>
      </c>
      <c r="N1027" s="3">
        <f>L1027*0.3</f>
        <v>0</v>
      </c>
      <c r="O1027" s="3">
        <f>(IF(L1027&lt;4172.98,0,MIN(L1027*0.3,L1027-4172.98)))-M1027</f>
        <v>0</v>
      </c>
      <c r="S1027" s="3" t="s">
        <v>69</v>
      </c>
      <c r="Z1027" s="181">
        <v>1</v>
      </c>
    </row>
    <row r="1028" spans="1:26" hidden="1">
      <c r="A1028" s="30">
        <v>23732690</v>
      </c>
      <c r="B1028" s="31">
        <v>46252</v>
      </c>
      <c r="C1028" s="32">
        <v>0.58584490740740736</v>
      </c>
      <c r="D1028" s="33"/>
      <c r="E1028" s="34">
        <v>5214521001857</v>
      </c>
      <c r="F1028" s="33"/>
      <c r="G1028" s="33" t="s">
        <v>1040</v>
      </c>
      <c r="H1028" s="35" t="s">
        <v>1041</v>
      </c>
      <c r="I1028" s="33"/>
      <c r="J1028" s="36"/>
      <c r="K1028" t="s">
        <v>58</v>
      </c>
      <c r="L1028" s="125">
        <v>4482.5600000000004</v>
      </c>
      <c r="M1028" s="125">
        <v>848</v>
      </c>
      <c r="N1028" s="3">
        <f>L1028*0.3</f>
        <v>1344.768</v>
      </c>
      <c r="O1028" s="3">
        <f>(IF(L1028&lt;4172.98,0,MIN(L1028*0.3,L1028-4172.98)))-M1028</f>
        <v>-538.41999999999916</v>
      </c>
      <c r="S1028" s="3" t="s">
        <v>69</v>
      </c>
      <c r="Z1028" s="181">
        <v>1</v>
      </c>
    </row>
    <row r="1029" spans="1:26" hidden="1">
      <c r="A1029" s="12">
        <v>23732994</v>
      </c>
      <c r="B1029" s="13">
        <v>46252</v>
      </c>
      <c r="C1029" s="14">
        <v>0.58983796296296298</v>
      </c>
      <c r="D1029" s="15" t="s">
        <v>1042</v>
      </c>
      <c r="E1029" s="16">
        <v>5215515940253</v>
      </c>
      <c r="F1029" s="15"/>
      <c r="G1029" s="15" t="s">
        <v>1043</v>
      </c>
      <c r="H1029" s="17"/>
      <c r="I1029" s="15"/>
      <c r="J1029" s="18"/>
      <c r="K1029" t="s">
        <v>30</v>
      </c>
      <c r="L1029" s="125">
        <v>7920.51</v>
      </c>
      <c r="M1029" s="125">
        <v>2375.37</v>
      </c>
      <c r="N1029" s="3">
        <f t="shared" ref="N1029:N1030" si="98">L1029*0.3</f>
        <v>2376.1529999999998</v>
      </c>
      <c r="O1029" s="3">
        <f>(IF(L1029&lt;4172.98,0,MIN(L1029*0.3,L1029-4172.98)))-M1029</f>
        <v>0.78299999999990177</v>
      </c>
      <c r="P1029" s="6">
        <v>46874</v>
      </c>
      <c r="Q1029" t="s">
        <v>206</v>
      </c>
      <c r="R1029" s="3">
        <v>697.37</v>
      </c>
      <c r="S1029" s="3" t="s">
        <v>69</v>
      </c>
      <c r="Z1029" s="181">
        <v>2</v>
      </c>
    </row>
    <row r="1030" spans="1:26">
      <c r="A1030" s="30">
        <v>23732970</v>
      </c>
      <c r="B1030" s="31">
        <v>46252</v>
      </c>
      <c r="C1030" s="32">
        <v>0.5900347222222222</v>
      </c>
      <c r="D1030" s="33" t="s">
        <v>1044</v>
      </c>
      <c r="E1030" s="34">
        <v>5218661018999</v>
      </c>
      <c r="F1030" s="33"/>
      <c r="G1030" s="33" t="s">
        <v>1045</v>
      </c>
      <c r="H1030" s="35">
        <v>32846726456</v>
      </c>
      <c r="I1030" s="33"/>
      <c r="J1030" s="36"/>
      <c r="K1030" t="s">
        <v>54</v>
      </c>
      <c r="L1030" s="3">
        <v>8445.8799999999992</v>
      </c>
      <c r="N1030" s="3">
        <f t="shared" si="98"/>
        <v>2533.7639999999997</v>
      </c>
      <c r="O1030" s="3">
        <f>(IF(L1030&lt;4172.98,0,MIN(L1030*0.3,L1030-4172.98)))-M1030</f>
        <v>2533.7639999999997</v>
      </c>
      <c r="S1030" s="3" t="s">
        <v>28</v>
      </c>
      <c r="T1030" s="48">
        <v>46252</v>
      </c>
      <c r="Z1030" s="181">
        <v>1</v>
      </c>
    </row>
    <row r="1031" spans="1:26">
      <c r="A1031" s="30">
        <v>23733012</v>
      </c>
      <c r="B1031" s="31">
        <v>46252</v>
      </c>
      <c r="C1031" s="32">
        <v>0.5967824074074074</v>
      </c>
      <c r="D1031" s="33"/>
      <c r="E1031" s="34">
        <v>5214623090645</v>
      </c>
      <c r="F1031" s="33"/>
      <c r="G1031" s="33" t="s">
        <v>1046</v>
      </c>
      <c r="H1031" s="35"/>
      <c r="I1031" s="33"/>
      <c r="J1031" s="36"/>
      <c r="K1031" t="s">
        <v>34</v>
      </c>
      <c r="L1031" s="3">
        <f>5761.5+1879.02</f>
        <v>7640.52</v>
      </c>
      <c r="M1031" s="3">
        <v>1879.02</v>
      </c>
      <c r="N1031" s="3">
        <f>L1031*0.3</f>
        <v>2292.1559999999999</v>
      </c>
      <c r="O1031" s="3">
        <f>(IF(L1031&lt;4172.98,0,MIN(L1031*0.3,L1031-4172.98)))-M1031</f>
        <v>413.13599999999997</v>
      </c>
      <c r="P1031" s="6">
        <v>45505</v>
      </c>
      <c r="Q1031" t="s">
        <v>57</v>
      </c>
      <c r="R1031" s="3">
        <v>1879.02</v>
      </c>
      <c r="S1031" s="3" t="s">
        <v>674</v>
      </c>
      <c r="T1031" s="48">
        <v>46252</v>
      </c>
      <c r="Z1031" s="181">
        <v>2</v>
      </c>
    </row>
    <row r="1032" spans="1:26" hidden="1">
      <c r="A1032" s="30">
        <v>23733220</v>
      </c>
      <c r="B1032" s="31">
        <v>46252</v>
      </c>
      <c r="C1032" s="32">
        <v>0.59953703703703709</v>
      </c>
      <c r="D1032" s="33"/>
      <c r="E1032" s="34">
        <v>5218343532388</v>
      </c>
      <c r="F1032" s="33"/>
      <c r="G1032" s="33"/>
      <c r="H1032" s="35">
        <v>49926501013</v>
      </c>
      <c r="I1032" s="33"/>
      <c r="J1032" s="36"/>
      <c r="K1032" t="s">
        <v>30</v>
      </c>
      <c r="L1032" s="3">
        <f>6832.47+1082+1845.45</f>
        <v>9759.92</v>
      </c>
      <c r="M1032" s="3">
        <f>1082+1845.85</f>
        <v>2927.85</v>
      </c>
      <c r="N1032" s="3">
        <f>L1032*0.3</f>
        <v>2927.9760000000001</v>
      </c>
      <c r="O1032" s="3">
        <f>(IF(L1032&lt;4172.98,0,MIN(L1032*0.3,L1032-4172.98)))-M1032</f>
        <v>0.12600000000020373</v>
      </c>
      <c r="P1032" s="6">
        <v>46113</v>
      </c>
      <c r="Q1032" t="s">
        <v>77</v>
      </c>
      <c r="R1032" s="3">
        <v>1845.85</v>
      </c>
      <c r="S1032" s="3" t="s">
        <v>69</v>
      </c>
      <c r="Z1032" s="181">
        <v>2</v>
      </c>
    </row>
    <row r="1033" spans="1:26">
      <c r="A1033" s="12">
        <v>23733378</v>
      </c>
      <c r="B1033" s="13">
        <v>46252</v>
      </c>
      <c r="C1033" s="14">
        <v>0.60081018518518514</v>
      </c>
      <c r="D1033" s="15"/>
      <c r="E1033" s="16">
        <v>5213333994229</v>
      </c>
      <c r="F1033" s="15"/>
      <c r="G1033" s="15"/>
      <c r="H1033" s="17" t="s">
        <v>1047</v>
      </c>
      <c r="I1033" s="15"/>
      <c r="J1033" s="18"/>
      <c r="K1033" t="s">
        <v>54</v>
      </c>
      <c r="L1033" s="3">
        <f>20308.32-10548</f>
        <v>9760.32</v>
      </c>
      <c r="M1033" s="3">
        <v>879</v>
      </c>
      <c r="N1033" s="3">
        <f>L1033*0.3</f>
        <v>2928.096</v>
      </c>
      <c r="O1033" s="3">
        <f>(IF(L1033&lt;4172.98,0,MIN(L1033*0.3,L1033-4172.98)))-M1033</f>
        <v>2049.096</v>
      </c>
      <c r="S1033" s="3" t="s">
        <v>35</v>
      </c>
      <c r="T1033" s="48">
        <v>46252</v>
      </c>
      <c r="Z1033" s="181">
        <v>1</v>
      </c>
    </row>
    <row r="1034" spans="1:26" hidden="1">
      <c r="A1034" s="12">
        <v>23733232</v>
      </c>
      <c r="B1034" s="13">
        <v>46252</v>
      </c>
      <c r="C1034" s="14">
        <v>0.60116898148148146</v>
      </c>
      <c r="D1034" s="15"/>
      <c r="E1034" s="16">
        <v>5215661902594</v>
      </c>
      <c r="F1034" s="15"/>
      <c r="G1034" s="15"/>
      <c r="H1034" s="17">
        <v>30935202827</v>
      </c>
      <c r="I1034" s="15"/>
      <c r="J1034" s="18"/>
      <c r="K1034" t="s">
        <v>58</v>
      </c>
      <c r="L1034" s="3">
        <f>3002.65+879</f>
        <v>3881.65</v>
      </c>
      <c r="N1034" s="3">
        <f>L1034*0.3</f>
        <v>1164.4949999999999</v>
      </c>
      <c r="O1034" s="3">
        <f>(IF(L1034&lt;4172.98,0,MIN(L1034*0.3,L1034-4172.98)))-M1034</f>
        <v>0</v>
      </c>
      <c r="S1034" s="3" t="s">
        <v>69</v>
      </c>
      <c r="Z1034" s="181">
        <v>1</v>
      </c>
    </row>
    <row r="1035" spans="1:26">
      <c r="A1035" s="12">
        <v>23733358</v>
      </c>
      <c r="B1035" s="13">
        <v>46252</v>
      </c>
      <c r="C1035" s="14">
        <v>0.60310185185185183</v>
      </c>
      <c r="D1035" s="15"/>
      <c r="E1035" s="16">
        <v>5218123094604</v>
      </c>
      <c r="F1035" s="15"/>
      <c r="G1035" s="15"/>
      <c r="H1035" s="17">
        <v>43836624890</v>
      </c>
      <c r="I1035" s="15"/>
      <c r="J1035" s="18"/>
      <c r="K1035" t="s">
        <v>54</v>
      </c>
      <c r="L1035" s="3">
        <v>10636.54</v>
      </c>
      <c r="N1035" s="3">
        <f>L1035*0.3</f>
        <v>3190.962</v>
      </c>
      <c r="O1035" s="3">
        <f>(IF(L1035&lt;4172.98,0,MIN(L1035*0.3,L1035-4172.98)))-M1035</f>
        <v>3190.962</v>
      </c>
      <c r="S1035" s="3" t="s">
        <v>35</v>
      </c>
      <c r="T1035" s="48">
        <v>46252</v>
      </c>
      <c r="Z1035" s="181">
        <v>1</v>
      </c>
    </row>
    <row r="1036" spans="1:26" hidden="1">
      <c r="A1036" s="12">
        <v>23733118</v>
      </c>
      <c r="B1036" s="13">
        <v>46252</v>
      </c>
      <c r="C1036" s="14">
        <v>0.60325231481481478</v>
      </c>
      <c r="D1036" s="15"/>
      <c r="E1036" s="16">
        <v>5216674972602</v>
      </c>
      <c r="F1036" s="15"/>
      <c r="G1036" s="15" t="s">
        <v>1048</v>
      </c>
      <c r="H1036" s="17"/>
      <c r="I1036" s="15"/>
      <c r="J1036" s="18"/>
      <c r="K1036" t="s">
        <v>32</v>
      </c>
      <c r="N1036" s="3">
        <f>L1036*0.3</f>
        <v>0</v>
      </c>
      <c r="O1036" s="3">
        <f>(IF(L1036&lt;4172.98,0,MIN(L1036*0.3,L1036-4172.98)))-M1036</f>
        <v>0</v>
      </c>
      <c r="S1036" s="3" t="s">
        <v>69</v>
      </c>
      <c r="Z1036" s="181">
        <v>0</v>
      </c>
    </row>
    <row r="1037" spans="1:26">
      <c r="A1037" s="30">
        <v>23733490</v>
      </c>
      <c r="B1037" s="31">
        <v>46252</v>
      </c>
      <c r="C1037" s="32">
        <v>0.60773148148148148</v>
      </c>
      <c r="D1037" s="33" t="s">
        <v>1049</v>
      </c>
      <c r="E1037" s="34">
        <v>5212281443652</v>
      </c>
      <c r="F1037" s="33"/>
      <c r="G1037" s="33"/>
      <c r="H1037" s="35" t="s">
        <v>1050</v>
      </c>
      <c r="I1037" s="33"/>
      <c r="J1037" s="36"/>
      <c r="K1037" t="s">
        <v>54</v>
      </c>
      <c r="L1037" s="3">
        <v>9582.4699999999993</v>
      </c>
      <c r="N1037" s="3">
        <f>L1037*0.3</f>
        <v>2874.7409999999995</v>
      </c>
      <c r="O1037" s="3">
        <f>(IF(L1037&lt;4172.98,0,MIN(L1037*0.3,L1037-4172.98)))-M1037</f>
        <v>2874.7409999999995</v>
      </c>
      <c r="S1037" s="3" t="s">
        <v>95</v>
      </c>
      <c r="T1037" s="48">
        <v>46252</v>
      </c>
      <c r="Z1037" s="181">
        <v>1</v>
      </c>
    </row>
    <row r="1038" spans="1:26" hidden="1">
      <c r="A1038" s="30">
        <v>23733610</v>
      </c>
      <c r="B1038" s="31">
        <v>46252</v>
      </c>
      <c r="C1038" s="32">
        <v>0.61459490740740741</v>
      </c>
      <c r="D1038" s="33"/>
      <c r="E1038" s="34">
        <v>5217451197641</v>
      </c>
      <c r="F1038" s="33"/>
      <c r="G1038" s="33" t="s">
        <v>1051</v>
      </c>
      <c r="H1038" s="35"/>
      <c r="I1038" s="33"/>
      <c r="J1038" s="36"/>
      <c r="K1038" t="s">
        <v>51</v>
      </c>
      <c r="N1038" s="3">
        <f>L1038*0.3</f>
        <v>0</v>
      </c>
      <c r="O1038" s="3">
        <f>(IF(L1038&lt;4172.98,0,MIN(L1038*0.3,L1038-4172.98)))-M1038</f>
        <v>0</v>
      </c>
      <c r="S1038" s="3" t="s">
        <v>69</v>
      </c>
      <c r="Z1038" s="181">
        <v>1</v>
      </c>
    </row>
    <row r="1039" spans="1:26" hidden="1">
      <c r="A1039" s="30">
        <v>23733926</v>
      </c>
      <c r="B1039" s="31">
        <v>46252</v>
      </c>
      <c r="C1039" s="32">
        <v>0.61804398148148143</v>
      </c>
      <c r="D1039" s="33"/>
      <c r="E1039" s="34">
        <v>5218662046103</v>
      </c>
      <c r="F1039" s="33"/>
      <c r="G1039" s="33"/>
      <c r="H1039" s="35">
        <v>32856625465</v>
      </c>
      <c r="I1039" s="33"/>
      <c r="J1039" s="36"/>
      <c r="K1039" t="s">
        <v>32</v>
      </c>
      <c r="N1039" s="3">
        <f>L1039*0.3</f>
        <v>0</v>
      </c>
      <c r="O1039" s="3">
        <f>(IF(L1039&lt;4172.98,0,MIN(L1039*0.3,L1039-4172.98)))-M1039</f>
        <v>0</v>
      </c>
      <c r="S1039" s="3" t="s">
        <v>69</v>
      </c>
      <c r="Z1039" s="181">
        <v>0</v>
      </c>
    </row>
    <row r="1040" spans="1:26" hidden="1">
      <c r="A1040" s="30">
        <v>23734006</v>
      </c>
      <c r="B1040" s="31">
        <v>46252</v>
      </c>
      <c r="C1040" s="32">
        <v>0.61896990740740743</v>
      </c>
      <c r="D1040" s="33"/>
      <c r="E1040" s="34">
        <v>5218119040615</v>
      </c>
      <c r="F1040" s="33"/>
      <c r="G1040" s="33" t="s">
        <v>1052</v>
      </c>
      <c r="H1040" s="35"/>
      <c r="I1040" s="33"/>
      <c r="J1040" s="36"/>
      <c r="K1040" t="s">
        <v>32</v>
      </c>
      <c r="N1040" s="3">
        <f>L1040*0.3</f>
        <v>0</v>
      </c>
      <c r="O1040" s="3">
        <f>(IF(L1040&lt;4172.98,0,MIN(L1040*0.3,L1040-4172.98)))-M1040</f>
        <v>0</v>
      </c>
      <c r="S1040" s="3" t="s">
        <v>69</v>
      </c>
      <c r="Z1040" s="181">
        <v>0</v>
      </c>
    </row>
    <row r="1041" spans="1:26">
      <c r="A1041" s="30">
        <v>23734174</v>
      </c>
      <c r="B1041" s="31">
        <v>46252</v>
      </c>
      <c r="C1041" s="32">
        <v>0.63305555555555559</v>
      </c>
      <c r="D1041" s="33"/>
      <c r="E1041" s="34">
        <v>5218182088305</v>
      </c>
      <c r="F1041" s="33"/>
      <c r="G1041" s="33"/>
      <c r="H1041" s="123">
        <v>43796343200</v>
      </c>
      <c r="I1041" s="33"/>
      <c r="J1041" s="36"/>
      <c r="K1041" t="s">
        <v>38</v>
      </c>
      <c r="L1041" s="125">
        <v>47111.92</v>
      </c>
      <c r="M1041" s="125">
        <v>13618.75</v>
      </c>
      <c r="N1041" s="3">
        <f>L1041*0.3</f>
        <v>14133.575999999999</v>
      </c>
      <c r="O1041" s="3">
        <f>(IF(L1041&lt;4172.98,0,MIN(L1041*0.3,L1041-4172.98)))-M1041</f>
        <v>514.82599999999911</v>
      </c>
      <c r="P1041" s="6">
        <v>46722</v>
      </c>
      <c r="Q1041" t="s">
        <v>141</v>
      </c>
      <c r="R1041" s="125">
        <v>13618.75</v>
      </c>
      <c r="S1041" s="3" t="s">
        <v>39</v>
      </c>
      <c r="T1041" s="48">
        <v>46252</v>
      </c>
      <c r="Z1041" s="181">
        <v>2</v>
      </c>
    </row>
    <row r="1042" spans="1:26" hidden="1">
      <c r="A1042" s="30">
        <v>23735174</v>
      </c>
      <c r="B1042" s="31">
        <v>46252</v>
      </c>
      <c r="C1042" s="32">
        <v>0.66081018518518519</v>
      </c>
      <c r="D1042" s="33"/>
      <c r="E1042" s="34">
        <v>86615551559</v>
      </c>
      <c r="F1042" s="33"/>
      <c r="G1042" s="33" t="s">
        <v>1053</v>
      </c>
      <c r="H1042" s="35"/>
      <c r="I1042" s="33"/>
      <c r="J1042" s="36"/>
      <c r="K1042" t="s">
        <v>30</v>
      </c>
      <c r="L1042" s="125">
        <v>11029.03</v>
      </c>
      <c r="M1042" s="125">
        <v>3298.04</v>
      </c>
      <c r="N1042" s="3">
        <f>L1042*0.3</f>
        <v>3308.7090000000003</v>
      </c>
      <c r="O1042" s="3">
        <f>(IF(L1042&lt;4172.98,0,MIN(L1042*0.3,L1042-4172.98)))-M1042</f>
        <v>10.669000000000324</v>
      </c>
      <c r="P1042" s="6">
        <v>46813</v>
      </c>
      <c r="Q1042" t="s">
        <v>206</v>
      </c>
      <c r="R1042" s="125">
        <v>3298.04</v>
      </c>
      <c r="S1042" s="3" t="s">
        <v>69</v>
      </c>
      <c r="Z1042" s="181">
        <v>2</v>
      </c>
    </row>
    <row r="1043" spans="1:26" hidden="1">
      <c r="A1043" s="12">
        <v>23735482</v>
      </c>
      <c r="B1043" s="13">
        <v>46252</v>
      </c>
      <c r="C1043" s="14">
        <v>0.67374999999999996</v>
      </c>
      <c r="D1043" s="15"/>
      <c r="E1043" s="16">
        <v>5217351640209</v>
      </c>
      <c r="F1043" s="15"/>
      <c r="G1043" s="15" t="s">
        <v>1054</v>
      </c>
      <c r="H1043" s="17"/>
      <c r="I1043" s="15"/>
      <c r="J1043" s="18"/>
      <c r="K1043" t="s">
        <v>30</v>
      </c>
      <c r="L1043" s="111">
        <v>7116.73</v>
      </c>
      <c r="M1043" s="111">
        <v>2051.79</v>
      </c>
      <c r="N1043" s="3">
        <f t="shared" ref="N1043:N1044" si="99">L1043*0.3</f>
        <v>2135.0189999999998</v>
      </c>
      <c r="O1043" s="3">
        <f>(IF(L1043&lt;4172.98,0,MIN(L1043*0.3,L1043-4172.98)))-M1043</f>
        <v>83.228999999999814</v>
      </c>
      <c r="P1043" s="6">
        <v>46296</v>
      </c>
      <c r="Q1043" t="s">
        <v>57</v>
      </c>
      <c r="R1043" s="3">
        <v>979.52</v>
      </c>
      <c r="S1043" s="3" t="s">
        <v>69</v>
      </c>
      <c r="Z1043" s="181">
        <v>2</v>
      </c>
    </row>
    <row r="1044" spans="1:26" hidden="1">
      <c r="A1044" s="30">
        <v>23735608</v>
      </c>
      <c r="B1044" s="31">
        <v>46252</v>
      </c>
      <c r="C1044" s="32">
        <v>0.6744444444444444</v>
      </c>
      <c r="D1044" s="33"/>
      <c r="E1044" s="34">
        <v>5216691324591</v>
      </c>
      <c r="F1044" s="33"/>
      <c r="G1044" s="33" t="s">
        <v>1055</v>
      </c>
      <c r="H1044" s="35"/>
      <c r="I1044" s="33"/>
      <c r="J1044" s="36"/>
      <c r="K1044" t="s">
        <v>30</v>
      </c>
      <c r="L1044" s="111">
        <v>7920.51</v>
      </c>
      <c r="M1044" s="111">
        <v>2180</v>
      </c>
      <c r="N1044" s="3">
        <f t="shared" si="99"/>
        <v>2376.1529999999998</v>
      </c>
      <c r="O1044" s="3">
        <f>(IF(L1044&lt;4172.98,0,MIN(L1044*0.3,L1044-4172.98)))-M1044</f>
        <v>196.15299999999979</v>
      </c>
      <c r="P1044" s="6">
        <v>46388</v>
      </c>
      <c r="Q1044" t="s">
        <v>75</v>
      </c>
      <c r="R1044" s="111">
        <v>2180</v>
      </c>
      <c r="S1044" s="3" t="s">
        <v>69</v>
      </c>
      <c r="Z1044" s="181">
        <v>2</v>
      </c>
    </row>
    <row r="1045" spans="1:26" hidden="1">
      <c r="A1045" s="30">
        <v>23735480</v>
      </c>
      <c r="B1045" s="31">
        <v>46252</v>
      </c>
      <c r="C1045" s="32">
        <v>0.67453703703703705</v>
      </c>
      <c r="D1045" s="33"/>
      <c r="E1045" s="34">
        <v>5219612476375</v>
      </c>
      <c r="F1045" s="33"/>
      <c r="G1045" s="33" t="s">
        <v>1056</v>
      </c>
      <c r="H1045" s="35"/>
      <c r="I1045" s="33"/>
      <c r="J1045" s="36"/>
      <c r="K1045" t="s">
        <v>32</v>
      </c>
      <c r="N1045" s="3">
        <f>L1045*0.3</f>
        <v>0</v>
      </c>
      <c r="O1045" s="3">
        <f>(IF(L1045&lt;4172.98,0,MIN(L1045*0.3,L1045-4172.98)))-M1045</f>
        <v>0</v>
      </c>
      <c r="S1045" s="3" t="s">
        <v>69</v>
      </c>
      <c r="Z1045" s="181">
        <v>0</v>
      </c>
    </row>
    <row r="1046" spans="1:26">
      <c r="A1046" s="30">
        <v>23725540</v>
      </c>
      <c r="B1046" s="31">
        <v>46252</v>
      </c>
      <c r="C1046" s="32">
        <v>0.40437499999999998</v>
      </c>
      <c r="D1046" s="33" t="s">
        <v>1057</v>
      </c>
      <c r="E1046" s="34">
        <v>5215527205822</v>
      </c>
      <c r="F1046" s="33"/>
      <c r="G1046" s="33" t="s">
        <v>1058</v>
      </c>
      <c r="H1046" s="35">
        <v>88805706509</v>
      </c>
      <c r="I1046" s="33"/>
      <c r="J1046" s="36"/>
      <c r="K1046" t="s">
        <v>54</v>
      </c>
      <c r="L1046" s="3">
        <v>10636.54</v>
      </c>
      <c r="N1046" s="3">
        <f>L1046*0.3</f>
        <v>3190.962</v>
      </c>
      <c r="O1046" s="3">
        <f>(IF(L1046&lt;4172.98,0,MIN(L1046*0.3,L1046-4172.98)))-M1046</f>
        <v>3190.962</v>
      </c>
      <c r="S1046" s="53" t="s">
        <v>63</v>
      </c>
      <c r="T1046" s="48">
        <v>46252</v>
      </c>
      <c r="Z1046" s="181">
        <v>1</v>
      </c>
    </row>
    <row r="1047" spans="1:26" hidden="1">
      <c r="A1047" s="30">
        <v>23726712</v>
      </c>
      <c r="B1047" s="31">
        <v>46252</v>
      </c>
      <c r="C1047" s="32">
        <v>0.4397685185185185</v>
      </c>
      <c r="D1047" s="33" t="s">
        <v>1059</v>
      </c>
      <c r="E1047" s="34">
        <v>5219984110496</v>
      </c>
      <c r="F1047" s="33"/>
      <c r="G1047" s="33" t="s">
        <v>1060</v>
      </c>
      <c r="H1047" s="35">
        <v>6764601503</v>
      </c>
      <c r="I1047" s="33"/>
      <c r="J1047" s="36"/>
      <c r="K1047" t="s">
        <v>58</v>
      </c>
      <c r="L1047" s="3">
        <v>3881.65</v>
      </c>
      <c r="N1047" s="3">
        <f>L1047*0.3</f>
        <v>1164.4949999999999</v>
      </c>
      <c r="O1047" s="3">
        <f>(IF(L1047&lt;4172.98,0,MIN(L1047*0.3,L1047-4172.98)))-M1047</f>
        <v>0</v>
      </c>
      <c r="S1047" s="53" t="s">
        <v>69</v>
      </c>
      <c r="Z1047" s="181">
        <v>1</v>
      </c>
    </row>
    <row r="1048" spans="1:26" hidden="1">
      <c r="A1048" s="30">
        <v>23735536</v>
      </c>
      <c r="B1048" s="31">
        <v>46252</v>
      </c>
      <c r="C1048" s="32">
        <v>0.68502314814814813</v>
      </c>
      <c r="D1048" s="33"/>
      <c r="E1048" s="34">
        <v>5219841432522</v>
      </c>
      <c r="F1048" s="33"/>
      <c r="G1048" s="33"/>
      <c r="H1048" s="35">
        <v>10815807945</v>
      </c>
      <c r="I1048" s="33"/>
      <c r="J1048" s="36"/>
      <c r="K1048" t="s">
        <v>32</v>
      </c>
      <c r="N1048" s="3">
        <f>L1048*0.3</f>
        <v>0</v>
      </c>
      <c r="O1048" s="3">
        <f>(IF(L1048&lt;4172.98,0,MIN(L1048*0.3,L1048-4172.98)))-M1048</f>
        <v>0</v>
      </c>
      <c r="S1048" s="3" t="s">
        <v>69</v>
      </c>
      <c r="Z1048" s="181">
        <v>0</v>
      </c>
    </row>
    <row r="1049" spans="1:26" hidden="1">
      <c r="A1049" s="12">
        <v>23736092</v>
      </c>
      <c r="B1049" s="13">
        <v>46252</v>
      </c>
      <c r="C1049" s="14">
        <v>0.69362268518518522</v>
      </c>
      <c r="D1049" s="15"/>
      <c r="E1049" s="16">
        <v>5216143668714</v>
      </c>
      <c r="F1049" s="15"/>
      <c r="G1049" s="15"/>
      <c r="H1049" s="17" t="s">
        <v>1061</v>
      </c>
      <c r="I1049" s="15"/>
      <c r="J1049" s="18"/>
      <c r="K1049" t="s">
        <v>30</v>
      </c>
      <c r="L1049" s="3">
        <v>6876.47</v>
      </c>
      <c r="M1049" s="3">
        <v>1982.48</v>
      </c>
      <c r="N1049" s="3">
        <f t="shared" ref="N1049:N1051" si="100">L1049*0.3</f>
        <v>2062.9409999999998</v>
      </c>
      <c r="O1049" s="3">
        <f>(IF(L1049&lt;4172.98,0,MIN(L1049*0.3,L1049-4172.98)))-M1049</f>
        <v>80.460999999999785</v>
      </c>
      <c r="P1049" s="6">
        <v>46569</v>
      </c>
      <c r="Q1049" t="s">
        <v>141</v>
      </c>
      <c r="R1049" s="3">
        <v>1982</v>
      </c>
      <c r="S1049" s="3" t="s">
        <v>69</v>
      </c>
      <c r="Z1049" s="181">
        <v>2</v>
      </c>
    </row>
    <row r="1050" spans="1:26">
      <c r="A1050" s="12">
        <v>23736064</v>
      </c>
      <c r="B1050" s="13">
        <v>46252</v>
      </c>
      <c r="C1050" s="14">
        <v>0.69396990740740738</v>
      </c>
      <c r="D1050" s="15" t="s">
        <v>1062</v>
      </c>
      <c r="E1050" s="16">
        <v>5213471101070</v>
      </c>
      <c r="F1050" s="15"/>
      <c r="G1050" s="15" t="s">
        <v>1063</v>
      </c>
      <c r="H1050" s="17">
        <v>54835890077</v>
      </c>
      <c r="I1050" s="15"/>
      <c r="J1050" s="18"/>
      <c r="K1050" t="s">
        <v>38</v>
      </c>
      <c r="L1050" s="3">
        <v>4636.43</v>
      </c>
      <c r="N1050" s="3">
        <f t="shared" si="100"/>
        <v>1390.9290000000001</v>
      </c>
      <c r="O1050" s="3">
        <f>(IF(L1050&lt;4172.98,0,MIN(L1050*0.3,L1050-4172.98)))-M1050</f>
        <v>463.45000000000073</v>
      </c>
      <c r="S1050" s="3" t="s">
        <v>39</v>
      </c>
      <c r="T1050" s="48">
        <v>46252</v>
      </c>
      <c r="Z1050" s="181">
        <v>1</v>
      </c>
    </row>
    <row r="1051" spans="1:26" hidden="1">
      <c r="A1051" s="30">
        <v>23736132</v>
      </c>
      <c r="B1051" s="31">
        <v>46252</v>
      </c>
      <c r="C1051" s="32">
        <v>0.69421296296296298</v>
      </c>
      <c r="D1051" s="33"/>
      <c r="E1051" s="34">
        <v>5216471252670</v>
      </c>
      <c r="F1051" s="33"/>
      <c r="G1051" s="33"/>
      <c r="H1051" s="35">
        <v>24846125003</v>
      </c>
      <c r="I1051" s="33"/>
      <c r="J1051" s="36"/>
      <c r="K1051" t="s">
        <v>30</v>
      </c>
      <c r="L1051" s="111">
        <v>6262.86</v>
      </c>
      <c r="M1051" s="111">
        <v>1878.86</v>
      </c>
      <c r="N1051" s="3">
        <f t="shared" si="100"/>
        <v>1878.8579999999997</v>
      </c>
      <c r="O1051" s="3">
        <f>(IF(L1051&lt;4172.98,0,MIN(L1051*0.3,L1051-4172.98)))-M1051</f>
        <v>-2.00000000018008E-3</v>
      </c>
      <c r="P1051" s="6">
        <v>46813</v>
      </c>
      <c r="Q1051" t="s">
        <v>206</v>
      </c>
      <c r="R1051" s="111">
        <v>1030.8599999999999</v>
      </c>
      <c r="S1051" s="3" t="s">
        <v>69</v>
      </c>
      <c r="Z1051" s="181">
        <v>2</v>
      </c>
    </row>
    <row r="1052" spans="1:26" hidden="1">
      <c r="A1052" s="30">
        <v>23736568</v>
      </c>
      <c r="B1052" s="31">
        <v>46252</v>
      </c>
      <c r="C1052" s="32">
        <v>0.70584490740740746</v>
      </c>
      <c r="D1052" s="33" t="s">
        <v>1064</v>
      </c>
      <c r="E1052" s="34">
        <v>5214433066375</v>
      </c>
      <c r="F1052" s="33"/>
      <c r="G1052" s="126" t="s">
        <v>1065</v>
      </c>
      <c r="H1052" s="35" t="s">
        <v>1066</v>
      </c>
      <c r="I1052" s="33"/>
      <c r="J1052" s="36"/>
      <c r="K1052" t="s">
        <v>30</v>
      </c>
      <c r="L1052" s="111">
        <v>57122.66</v>
      </c>
      <c r="M1052" s="111">
        <v>17136.79</v>
      </c>
      <c r="N1052" s="3">
        <f>L1052*0.3</f>
        <v>17136.797999999999</v>
      </c>
      <c r="O1052" s="3">
        <f>(IF(L1052&lt;4172.98,0,MIN(L1052*0.3,L1052-4172.98)))-M1052</f>
        <v>7.9999999979918357E-3</v>
      </c>
      <c r="P1052" s="6">
        <v>46357</v>
      </c>
      <c r="Q1052" t="s">
        <v>77</v>
      </c>
      <c r="R1052" s="3">
        <v>5914</v>
      </c>
      <c r="S1052" s="3" t="s">
        <v>69</v>
      </c>
      <c r="Z1052" s="181">
        <v>2</v>
      </c>
    </row>
    <row r="1053" spans="1:26">
      <c r="A1053" s="30">
        <v>23736620</v>
      </c>
      <c r="B1053" s="31">
        <v>46252</v>
      </c>
      <c r="C1053" s="32">
        <v>0.70898148148148143</v>
      </c>
      <c r="D1053" s="33"/>
      <c r="E1053" s="34">
        <v>5218661028776</v>
      </c>
      <c r="F1053" s="33"/>
      <c r="G1053" s="33"/>
      <c r="H1053" s="35">
        <v>32927527369</v>
      </c>
      <c r="I1053" s="33"/>
      <c r="J1053" s="36"/>
      <c r="K1053" t="s">
        <v>54</v>
      </c>
      <c r="L1053" s="3">
        <v>6411.47</v>
      </c>
      <c r="N1053" s="3">
        <f>L1053*0.3</f>
        <v>1923.441</v>
      </c>
      <c r="O1053" s="3">
        <f>(IF(L1053&lt;4172.98,0,MIN(L1053*0.3,L1053-4172.98)))-M1053</f>
        <v>1923.441</v>
      </c>
      <c r="S1053" s="3" t="s">
        <v>886</v>
      </c>
      <c r="T1053" s="48">
        <v>46252</v>
      </c>
      <c r="Z1053" s="181">
        <v>1</v>
      </c>
    </row>
    <row r="1054" spans="1:26" hidden="1">
      <c r="A1054" s="30">
        <v>23737476</v>
      </c>
      <c r="B1054" s="31">
        <v>46252</v>
      </c>
      <c r="C1054" s="32">
        <v>0.74626157407407412</v>
      </c>
      <c r="D1054" s="33"/>
      <c r="E1054" s="34">
        <v>5216241060286</v>
      </c>
      <c r="F1054" s="33"/>
      <c r="G1054" s="33" t="s">
        <v>1067</v>
      </c>
      <c r="H1054" s="35"/>
      <c r="I1054" s="33"/>
      <c r="J1054" s="36"/>
      <c r="K1054" t="s">
        <v>32</v>
      </c>
      <c r="N1054" s="3">
        <f>L1054*0.3</f>
        <v>0</v>
      </c>
      <c r="O1054" s="3">
        <f>(IF(L1054&lt;4172.98,0,MIN(L1054*0.3,L1054-4172.98)))-M1054</f>
        <v>0</v>
      </c>
      <c r="S1054" s="3" t="s">
        <v>69</v>
      </c>
      <c r="U1054" s="85"/>
      <c r="Z1054" s="181">
        <v>0</v>
      </c>
    </row>
    <row r="1055" spans="1:26">
      <c r="A1055" s="12">
        <v>23737786</v>
      </c>
      <c r="B1055" s="13">
        <v>46252</v>
      </c>
      <c r="C1055" s="14">
        <v>0.75719907407407405</v>
      </c>
      <c r="D1055" s="15"/>
      <c r="E1055" s="16">
        <v>5218311836207</v>
      </c>
      <c r="F1055" s="15"/>
      <c r="G1055" s="15"/>
      <c r="H1055" s="17" t="s">
        <v>1068</v>
      </c>
      <c r="I1055" s="15"/>
      <c r="J1055" s="18"/>
      <c r="K1055" t="s">
        <v>38</v>
      </c>
      <c r="L1055" s="3">
        <f>5460.44+818.69</f>
        <v>6279.1299999999992</v>
      </c>
      <c r="M1055" s="3">
        <v>818.69</v>
      </c>
      <c r="N1055" s="3">
        <f>L1055*0.3</f>
        <v>1883.7389999999996</v>
      </c>
      <c r="O1055" s="3">
        <f>(IF(L1055&lt;4172.98,0,MIN(L1055*0.3,L1055-4172.98)))-M1055</f>
        <v>1065.0489999999995</v>
      </c>
      <c r="P1055" s="6">
        <v>46692</v>
      </c>
      <c r="Q1055" t="s">
        <v>75</v>
      </c>
      <c r="R1055" s="3">
        <v>818.69</v>
      </c>
      <c r="S1055" s="3" t="s">
        <v>266</v>
      </c>
      <c r="T1055" s="48">
        <v>46253</v>
      </c>
      <c r="V1055" s="51">
        <v>0.37291666666666667</v>
      </c>
      <c r="W1055" s="51">
        <v>0.4201388888888889</v>
      </c>
      <c r="X1055" s="51">
        <v>0.42569444444444443</v>
      </c>
      <c r="Y1055" s="51">
        <v>0.42777777777777776</v>
      </c>
      <c r="Z1055" s="181">
        <v>2</v>
      </c>
    </row>
    <row r="1056" spans="1:26" hidden="1">
      <c r="A1056" s="12">
        <v>23737924</v>
      </c>
      <c r="B1056" s="13">
        <v>46252</v>
      </c>
      <c r="C1056" s="14">
        <v>0.76115740740740745</v>
      </c>
      <c r="D1056" s="15"/>
      <c r="E1056" s="16">
        <v>5218715712006</v>
      </c>
      <c r="F1056" s="15"/>
      <c r="G1056" s="15"/>
      <c r="H1056" s="17">
        <v>31008335957</v>
      </c>
      <c r="I1056" s="15"/>
      <c r="J1056" s="18"/>
      <c r="K1056" t="s">
        <v>51</v>
      </c>
      <c r="N1056" s="3">
        <f>L1056*0.3</f>
        <v>0</v>
      </c>
      <c r="O1056" s="3">
        <f>(IF(L1056&lt;4172.98,0,MIN(L1056*0.3,L1056-4172.98)))-M1056</f>
        <v>0</v>
      </c>
      <c r="S1056" s="3" t="s">
        <v>69</v>
      </c>
      <c r="V1056" s="51">
        <v>0.37291666666666667</v>
      </c>
      <c r="W1056" s="51"/>
      <c r="Z1056" s="181">
        <v>1</v>
      </c>
    </row>
    <row r="1057" spans="1:26">
      <c r="A1057" s="12">
        <v>23737964</v>
      </c>
      <c r="B1057" s="13">
        <v>46252</v>
      </c>
      <c r="C1057" s="14">
        <v>0.76333333333333331</v>
      </c>
      <c r="D1057" s="15"/>
      <c r="E1057" s="16">
        <v>5213111458489</v>
      </c>
      <c r="F1057" s="15"/>
      <c r="G1057" s="15"/>
      <c r="H1057" s="17">
        <v>55765900372</v>
      </c>
      <c r="I1057" s="15"/>
      <c r="J1057" s="18"/>
      <c r="K1057" t="s">
        <v>54</v>
      </c>
      <c r="L1057" s="3">
        <v>10636.54</v>
      </c>
      <c r="N1057" s="3">
        <f>L1057*0.3</f>
        <v>3190.962</v>
      </c>
      <c r="O1057" s="3">
        <f>(IF(L1057&lt;4172.98,0,MIN(L1057*0.3,L1057-4172.98)))-M1057</f>
        <v>3190.962</v>
      </c>
      <c r="S1057" s="3" t="s">
        <v>90</v>
      </c>
      <c r="T1057" s="48">
        <v>46253</v>
      </c>
      <c r="V1057" s="51">
        <v>0.37291666666666667</v>
      </c>
      <c r="W1057" s="51">
        <v>0.41458333333333336</v>
      </c>
      <c r="X1057" s="51">
        <v>0.42083333333333334</v>
      </c>
      <c r="Y1057" s="51">
        <v>0.42222222222222222</v>
      </c>
      <c r="Z1057" s="181">
        <v>1</v>
      </c>
    </row>
    <row r="1058" spans="1:26" hidden="1">
      <c r="A1058" s="12">
        <v>23738118</v>
      </c>
      <c r="B1058" s="13">
        <v>46252</v>
      </c>
      <c r="C1058" s="14">
        <v>0.77582175925925922</v>
      </c>
      <c r="D1058" s="15" t="s">
        <v>1069</v>
      </c>
      <c r="E1058" s="16">
        <v>5218948468968</v>
      </c>
      <c r="F1058" s="15"/>
      <c r="G1058" s="15" t="s">
        <v>1070</v>
      </c>
      <c r="H1058" s="17"/>
      <c r="I1058" s="15"/>
      <c r="J1058" s="18"/>
      <c r="K1058" t="s">
        <v>30</v>
      </c>
      <c r="L1058" s="3">
        <f>4981.73+2135</f>
        <v>7116.73</v>
      </c>
      <c r="M1058" s="3">
        <v>2135</v>
      </c>
      <c r="N1058" s="3">
        <f>L1058*0.3</f>
        <v>2135.0189999999998</v>
      </c>
      <c r="O1058" s="3">
        <f>(IF(L1058&lt;4172.98,0,MIN(L1058*0.3,L1058-4172.98)))-M1058</f>
        <v>1.8999999999778083E-2</v>
      </c>
      <c r="P1058" s="6">
        <v>46966</v>
      </c>
      <c r="Q1058" t="s">
        <v>210</v>
      </c>
      <c r="R1058" s="3">
        <v>2135</v>
      </c>
      <c r="S1058" s="3" t="s">
        <v>69</v>
      </c>
      <c r="V1058" s="51">
        <v>0.37291666666666667</v>
      </c>
      <c r="W1058" s="51"/>
      <c r="Z1058" s="181">
        <v>2</v>
      </c>
    </row>
    <row r="1059" spans="1:26" hidden="1">
      <c r="A1059" s="12">
        <v>23738298</v>
      </c>
      <c r="B1059" s="13">
        <v>46252</v>
      </c>
      <c r="C1059" s="14">
        <v>0.7801851851851852</v>
      </c>
      <c r="D1059" s="15"/>
      <c r="E1059" s="16">
        <v>5215546988354</v>
      </c>
      <c r="F1059" s="15"/>
      <c r="G1059" s="15" t="s">
        <v>1071</v>
      </c>
      <c r="H1059" s="17"/>
      <c r="I1059" s="15"/>
      <c r="J1059" s="18"/>
      <c r="K1059" t="s">
        <v>30</v>
      </c>
      <c r="L1059" s="3">
        <f>6457.3+2624.22</f>
        <v>9081.52</v>
      </c>
      <c r="M1059" s="3">
        <v>2624.22</v>
      </c>
      <c r="N1059" s="3">
        <f>L1059*0.3</f>
        <v>2724.4560000000001</v>
      </c>
      <c r="O1059" s="3">
        <f>(IF(L1059&lt;4172.98,0,MIN(L1059*0.3,L1059-4172.98)))-M1059</f>
        <v>100.23600000000033</v>
      </c>
      <c r="P1059" s="6">
        <v>46661</v>
      </c>
      <c r="Q1059" t="s">
        <v>77</v>
      </c>
      <c r="R1059" s="3">
        <v>2624.22</v>
      </c>
      <c r="S1059" s="3" t="s">
        <v>69</v>
      </c>
      <c r="V1059" s="51">
        <v>0.37291666666666667</v>
      </c>
      <c r="W1059" s="51"/>
      <c r="Z1059" s="181">
        <v>2</v>
      </c>
    </row>
    <row r="1060" spans="1:26" hidden="1">
      <c r="A1060" s="12">
        <v>23738394</v>
      </c>
      <c r="B1060" s="13">
        <v>46252</v>
      </c>
      <c r="C1060" s="14">
        <v>0.7855671296296296</v>
      </c>
      <c r="D1060" s="15"/>
      <c r="E1060" s="16">
        <v>5219371646819</v>
      </c>
      <c r="F1060" s="15"/>
      <c r="G1060" s="15"/>
      <c r="H1060" s="17" t="s">
        <v>1072</v>
      </c>
      <c r="I1060" s="15"/>
      <c r="J1060" s="18"/>
      <c r="K1060" t="s">
        <v>30</v>
      </c>
      <c r="L1060" s="3">
        <f>9794.36+150.67+4037.57</f>
        <v>13982.6</v>
      </c>
      <c r="M1060" s="3">
        <f>150.67+4037.57</f>
        <v>4188.24</v>
      </c>
      <c r="N1060" s="3">
        <f>L1060*0.3</f>
        <v>4194.78</v>
      </c>
      <c r="O1060" s="3">
        <f>(IF(L1060&lt;4172.98,0,MIN(L1060*0.3,L1060-4172.98)))-M1060</f>
        <v>6.5399999999999636</v>
      </c>
      <c r="P1060" s="6">
        <v>46539</v>
      </c>
      <c r="Q1060" t="s">
        <v>47</v>
      </c>
      <c r="R1060" s="3">
        <v>4037.57</v>
      </c>
      <c r="S1060" s="3" t="s">
        <v>69</v>
      </c>
      <c r="V1060" s="51">
        <v>0.37291666666666667</v>
      </c>
      <c r="W1060" s="51"/>
      <c r="Z1060" s="181">
        <v>2</v>
      </c>
    </row>
    <row r="1061" spans="1:26" hidden="1">
      <c r="A1061" s="12">
        <v>23738400</v>
      </c>
      <c r="B1061" s="13">
        <v>46252</v>
      </c>
      <c r="C1061" s="14">
        <v>0.78842592592592597</v>
      </c>
      <c r="D1061" s="15"/>
      <c r="E1061" s="16">
        <v>5213325925448</v>
      </c>
      <c r="F1061" s="15"/>
      <c r="G1061" s="15" t="s">
        <v>1073</v>
      </c>
      <c r="H1061" s="17"/>
      <c r="I1061" s="15"/>
      <c r="J1061" s="18"/>
      <c r="K1061" t="s">
        <v>30</v>
      </c>
      <c r="L1061" s="3">
        <f>8387.15+3592.35</f>
        <v>11979.5</v>
      </c>
      <c r="M1061" s="3">
        <v>3592.35</v>
      </c>
      <c r="N1061" s="3">
        <f>L1061*0.3</f>
        <v>3593.85</v>
      </c>
      <c r="O1061" s="3">
        <f>(IF(L1061&lt;4172.98,0,MIN(L1061*0.3,L1061-4172.98)))-M1061</f>
        <v>1.5</v>
      </c>
      <c r="P1061" s="6">
        <v>46966</v>
      </c>
      <c r="Q1061" t="s">
        <v>43</v>
      </c>
      <c r="R1061" s="3">
        <v>3592.35</v>
      </c>
      <c r="S1061" s="3" t="s">
        <v>69</v>
      </c>
      <c r="V1061" s="51">
        <v>0.37291666666666667</v>
      </c>
      <c r="W1061" s="51"/>
      <c r="Z1061" s="181">
        <v>2</v>
      </c>
    </row>
    <row r="1062" spans="1:26" hidden="1">
      <c r="A1062" s="12">
        <v>23738654</v>
      </c>
      <c r="B1062" s="13">
        <v>46252</v>
      </c>
      <c r="C1062" s="14">
        <v>0.80023148148148149</v>
      </c>
      <c r="D1062" s="15"/>
      <c r="E1062" s="16">
        <v>5219331339163</v>
      </c>
      <c r="F1062" s="15"/>
      <c r="G1062" s="15" t="s">
        <v>1074</v>
      </c>
      <c r="H1062" s="17"/>
      <c r="I1062" s="15"/>
      <c r="J1062" s="18"/>
      <c r="K1062" t="s">
        <v>30</v>
      </c>
      <c r="L1062" s="3">
        <f>6860.26+2900.06</f>
        <v>9760.32</v>
      </c>
      <c r="M1062" s="3">
        <v>2900.06</v>
      </c>
      <c r="N1062" s="3">
        <f>L1062*0.3</f>
        <v>2928.096</v>
      </c>
      <c r="O1062" s="3">
        <f>(IF(L1062&lt;4172.98,0,MIN(L1062*0.3,L1062-4172.98)))-M1062</f>
        <v>28.036000000000058</v>
      </c>
      <c r="P1062" s="6">
        <v>46813</v>
      </c>
      <c r="Q1062" t="s">
        <v>73</v>
      </c>
      <c r="R1062" s="3">
        <v>2900.06</v>
      </c>
      <c r="S1062" s="3" t="s">
        <v>69</v>
      </c>
      <c r="V1062" s="51">
        <v>0.37291666666666667</v>
      </c>
      <c r="W1062" s="51"/>
      <c r="Z1062" s="181">
        <v>2</v>
      </c>
    </row>
    <row r="1063" spans="1:26">
      <c r="A1063" s="12">
        <v>23738744</v>
      </c>
      <c r="B1063" s="13">
        <v>46252</v>
      </c>
      <c r="C1063" s="14">
        <v>0.80508101851851854</v>
      </c>
      <c r="D1063" s="15"/>
      <c r="E1063" s="16">
        <v>5218281088366</v>
      </c>
      <c r="F1063" s="15"/>
      <c r="G1063" s="15"/>
      <c r="H1063" s="17">
        <v>16138805938</v>
      </c>
      <c r="I1063" s="15"/>
      <c r="J1063" s="18"/>
      <c r="K1063" t="s">
        <v>54</v>
      </c>
      <c r="L1063" s="3">
        <v>8179.32</v>
      </c>
      <c r="N1063" s="3">
        <f>L1063*0.3</f>
        <v>2453.7959999999998</v>
      </c>
      <c r="O1063" s="3">
        <f>(IF(L1063&lt;4172.98,0,MIN(L1063*0.3,L1063-4172.98)))-M1063</f>
        <v>2453.7959999999998</v>
      </c>
      <c r="S1063" s="3" t="s">
        <v>63</v>
      </c>
      <c r="T1063" s="48">
        <v>46253</v>
      </c>
      <c r="V1063" s="51">
        <v>0.37291666666666667</v>
      </c>
      <c r="W1063" s="51">
        <v>0.41388888888888886</v>
      </c>
      <c r="X1063" s="51">
        <v>0.42152777777777778</v>
      </c>
      <c r="Y1063" s="51">
        <v>0.42986111111111114</v>
      </c>
      <c r="Z1063" s="181">
        <v>1</v>
      </c>
    </row>
    <row r="1064" spans="1:26" hidden="1">
      <c r="A1064" s="12">
        <v>23738954</v>
      </c>
      <c r="B1064" s="13">
        <v>46252</v>
      </c>
      <c r="C1064" s="14">
        <v>0.81325231481481486</v>
      </c>
      <c r="D1064" s="15"/>
      <c r="E1064" s="16">
        <v>5218331040404</v>
      </c>
      <c r="F1064" s="15"/>
      <c r="G1064" s="15" t="s">
        <v>1075</v>
      </c>
      <c r="H1064" s="17"/>
      <c r="I1064" s="15"/>
      <c r="J1064" s="18"/>
      <c r="K1064" t="s">
        <v>30</v>
      </c>
      <c r="L1064" s="3">
        <f>5057.73+1074+985</f>
        <v>7116.73</v>
      </c>
      <c r="M1064" s="3">
        <f>985+1074</f>
        <v>2059</v>
      </c>
      <c r="N1064" s="3">
        <f>L1064*0.3</f>
        <v>2135.0189999999998</v>
      </c>
      <c r="O1064" s="3">
        <f>(IF(L1064&lt;4172.98,0,MIN(L1064*0.3,L1064-4172.98)))-M1064</f>
        <v>76.018999999999778</v>
      </c>
      <c r="P1064" s="6">
        <v>46419</v>
      </c>
      <c r="Q1064" t="s">
        <v>80</v>
      </c>
      <c r="R1064" s="3">
        <v>985</v>
      </c>
      <c r="S1064" s="3" t="s">
        <v>69</v>
      </c>
      <c r="V1064" s="51">
        <v>0.37291666666666667</v>
      </c>
      <c r="W1064" s="51"/>
      <c r="Z1064" s="181">
        <v>2</v>
      </c>
    </row>
    <row r="1065" spans="1:26" hidden="1">
      <c r="A1065" s="12">
        <v>23738856</v>
      </c>
      <c r="B1065" s="13">
        <v>46252</v>
      </c>
      <c r="C1065" s="14">
        <v>0.82427083333333329</v>
      </c>
      <c r="D1065" s="15"/>
      <c r="E1065" s="16">
        <v>5218262640000</v>
      </c>
      <c r="F1065" s="15"/>
      <c r="G1065" s="15"/>
      <c r="H1065" s="17">
        <v>43887190775</v>
      </c>
      <c r="I1065" s="15"/>
      <c r="J1065" s="18"/>
      <c r="K1065" t="s">
        <v>30</v>
      </c>
      <c r="L1065" s="3">
        <f>6955.24+1142.41+1838.41</f>
        <v>9936.06</v>
      </c>
      <c r="M1065" s="3">
        <f>1142.41+1838.41</f>
        <v>2980.82</v>
      </c>
      <c r="N1065" s="3">
        <f>L1065*0.3</f>
        <v>2980.8179999999998</v>
      </c>
      <c r="O1065" s="3">
        <f>(IF(L1065&lt;4172.98,0,MIN(L1065*0.3,L1065-4172.98)))-M1065</f>
        <v>-2.0000000004074536E-3</v>
      </c>
      <c r="P1065" s="6">
        <v>46935</v>
      </c>
      <c r="Q1065" t="s">
        <v>206</v>
      </c>
      <c r="R1065" s="3">
        <v>1838.41</v>
      </c>
      <c r="S1065" s="3" t="s">
        <v>69</v>
      </c>
      <c r="V1065" s="51">
        <v>0.37291666666666667</v>
      </c>
      <c r="W1065" s="51"/>
      <c r="Z1065" s="181">
        <v>2</v>
      </c>
    </row>
    <row r="1066" spans="1:26">
      <c r="A1066" s="30">
        <v>23739672</v>
      </c>
      <c r="B1066" s="31">
        <v>46252</v>
      </c>
      <c r="C1066" s="32">
        <v>0.85306712962962961</v>
      </c>
      <c r="D1066" s="33"/>
      <c r="E1066" s="34">
        <v>5218333504526</v>
      </c>
      <c r="F1066" s="33"/>
      <c r="G1066" s="33"/>
      <c r="H1066" s="35">
        <v>49806334618</v>
      </c>
      <c r="I1066" s="33"/>
      <c r="J1066" s="36"/>
      <c r="K1066" t="s">
        <v>54</v>
      </c>
      <c r="L1066" s="3">
        <v>16623.22</v>
      </c>
      <c r="N1066" s="3">
        <f>L1066*0.3</f>
        <v>4986.9660000000003</v>
      </c>
      <c r="O1066" s="3">
        <f>(IF(L1066&lt;4172.98,0,MIN(L1066*0.3,L1066-4172.98)))-M1066</f>
        <v>4986.9660000000003</v>
      </c>
      <c r="S1066" s="3" t="s">
        <v>348</v>
      </c>
      <c r="T1066" s="48">
        <v>46253</v>
      </c>
      <c r="V1066" s="51">
        <v>0.37291666666666667</v>
      </c>
      <c r="W1066" s="51">
        <v>0.41319444444444442</v>
      </c>
      <c r="X1066" s="51">
        <v>0.41458333333333336</v>
      </c>
      <c r="Y1066" s="51">
        <v>0.41805555555555557</v>
      </c>
      <c r="Z1066" s="181">
        <v>1</v>
      </c>
    </row>
    <row r="1067" spans="1:26" hidden="1">
      <c r="A1067" s="12">
        <v>23740220</v>
      </c>
      <c r="B1067" s="13">
        <v>46252</v>
      </c>
      <c r="C1067" s="14">
        <v>0.85745370370370366</v>
      </c>
      <c r="D1067" s="15"/>
      <c r="E1067" s="16">
        <v>5213331057739</v>
      </c>
      <c r="F1067" s="15"/>
      <c r="G1067" s="15" t="s">
        <v>1076</v>
      </c>
      <c r="H1067" s="17"/>
      <c r="I1067" s="15"/>
      <c r="J1067" s="18"/>
      <c r="K1067" t="s">
        <v>30</v>
      </c>
      <c r="L1067" s="3">
        <v>57912.67</v>
      </c>
      <c r="M1067" s="3">
        <v>17369.04</v>
      </c>
      <c r="N1067" s="3">
        <f>L1067*0.3</f>
        <v>17373.800999999999</v>
      </c>
      <c r="O1067" s="3">
        <f>(IF(L1067&lt;4172.98,0,MIN(L1067*0.3,L1067-4172.98)))-M1067</f>
        <v>4.760999999998603</v>
      </c>
      <c r="P1067" s="6">
        <v>46784</v>
      </c>
      <c r="Q1067" t="s">
        <v>1077</v>
      </c>
      <c r="R1067" s="127">
        <v>16739</v>
      </c>
      <c r="S1067" s="3" t="s">
        <v>69</v>
      </c>
      <c r="V1067" s="51">
        <v>0.375</v>
      </c>
      <c r="W1067" s="51"/>
      <c r="Z1067" s="181">
        <v>2</v>
      </c>
    </row>
    <row r="1068" spans="1:26">
      <c r="A1068" s="12">
        <v>23740390</v>
      </c>
      <c r="B1068" s="13">
        <v>46252</v>
      </c>
      <c r="C1068" s="14">
        <v>0.8631712962962963</v>
      </c>
      <c r="D1068" s="15" t="s">
        <v>1078</v>
      </c>
      <c r="E1068" s="16">
        <v>5212212396009</v>
      </c>
      <c r="F1068" s="15"/>
      <c r="G1068" s="15" t="s">
        <v>1079</v>
      </c>
      <c r="H1068" s="17"/>
      <c r="I1068" s="15"/>
      <c r="J1068" s="18"/>
      <c r="K1068" t="s">
        <v>54</v>
      </c>
      <c r="L1068" s="3">
        <v>9760.32</v>
      </c>
      <c r="N1068" s="3">
        <f>L1068*0.3</f>
        <v>2928.096</v>
      </c>
      <c r="O1068" s="3">
        <f>(IF(L1068&lt;4172.98,0,MIN(L1068*0.3,L1068-4172.98)))-M1068</f>
        <v>2928.096</v>
      </c>
      <c r="S1068" s="3" t="s">
        <v>879</v>
      </c>
      <c r="T1068" s="48">
        <v>46253</v>
      </c>
      <c r="V1068" s="51">
        <v>0.375</v>
      </c>
      <c r="W1068" s="51">
        <v>0.41180555555555554</v>
      </c>
      <c r="X1068" s="51">
        <v>0.41666666666666669</v>
      </c>
      <c r="Y1068" s="51">
        <v>0.41875000000000001</v>
      </c>
      <c r="Z1068" s="181">
        <v>1</v>
      </c>
    </row>
    <row r="1069" spans="1:26" hidden="1">
      <c r="A1069" s="12">
        <v>23739352</v>
      </c>
      <c r="B1069" s="13">
        <v>46252</v>
      </c>
      <c r="C1069" s="14">
        <v>0.86729166666666668</v>
      </c>
      <c r="D1069" s="15"/>
      <c r="E1069" s="16">
        <v>5219382797410</v>
      </c>
      <c r="F1069" s="15"/>
      <c r="G1069" s="15"/>
      <c r="H1069" s="17">
        <v>81836505826</v>
      </c>
      <c r="I1069" s="15"/>
      <c r="J1069" s="18"/>
      <c r="K1069" t="s">
        <v>30</v>
      </c>
      <c r="L1069" s="3">
        <v>9760.32</v>
      </c>
      <c r="M1069" s="3">
        <v>2921.94</v>
      </c>
      <c r="N1069" s="3">
        <f>L1069*0.3</f>
        <v>2928.096</v>
      </c>
      <c r="O1069" s="3">
        <f>(IF(L1069&lt;4172.98,0,MIN(L1069*0.3,L1069-4172.98)))-M1069</f>
        <v>6.1559999999999491</v>
      </c>
      <c r="P1069" s="6">
        <v>46478</v>
      </c>
      <c r="Q1069" t="s">
        <v>75</v>
      </c>
      <c r="R1069" s="3">
        <v>2815.62</v>
      </c>
      <c r="S1069" s="3" t="s">
        <v>69</v>
      </c>
      <c r="V1069" s="51">
        <v>0.375</v>
      </c>
      <c r="W1069" s="51"/>
      <c r="Z1069" s="181">
        <v>2</v>
      </c>
    </row>
    <row r="1070" spans="1:26">
      <c r="A1070" s="12">
        <v>23740420</v>
      </c>
      <c r="B1070" s="13">
        <v>46252</v>
      </c>
      <c r="C1070" s="14">
        <v>0.8722685185185185</v>
      </c>
      <c r="D1070" s="15"/>
      <c r="E1070" s="16">
        <v>5215655168527</v>
      </c>
      <c r="F1070" s="15"/>
      <c r="G1070" s="15"/>
      <c r="H1070" s="17">
        <v>65795503922</v>
      </c>
      <c r="I1070" s="15"/>
      <c r="J1070" s="18"/>
      <c r="K1070" t="s">
        <v>54</v>
      </c>
      <c r="L1070" s="3">
        <v>7920.51</v>
      </c>
      <c r="N1070" s="3">
        <f>L1070*0.3</f>
        <v>2376.1529999999998</v>
      </c>
      <c r="O1070" s="3">
        <f>(IF(L1070&lt;4172.98,0,MIN(L1070*0.3,L1070-4172.98)))-M1070</f>
        <v>2376.1529999999998</v>
      </c>
      <c r="S1070" s="3" t="s">
        <v>1080</v>
      </c>
      <c r="T1070" s="48">
        <v>46253</v>
      </c>
      <c r="V1070" s="51">
        <v>0.375</v>
      </c>
      <c r="W1070" s="51">
        <v>0.41111111111111109</v>
      </c>
      <c r="X1070" s="51">
        <v>0.43125000000000002</v>
      </c>
      <c r="Y1070" s="51">
        <v>0.43125000000000002</v>
      </c>
      <c r="Z1070" s="181">
        <v>1</v>
      </c>
    </row>
    <row r="1071" spans="1:26" hidden="1">
      <c r="A1071" s="12">
        <v>23740582</v>
      </c>
      <c r="B1071" s="13">
        <v>46252</v>
      </c>
      <c r="C1071" s="14">
        <v>0.87459490740740742</v>
      </c>
      <c r="D1071" s="15"/>
      <c r="E1071" s="16">
        <v>5218122019638</v>
      </c>
      <c r="F1071" s="15"/>
      <c r="G1071" s="15"/>
      <c r="H1071" s="17">
        <v>43866537269</v>
      </c>
      <c r="I1071" s="15"/>
      <c r="J1071" s="18"/>
      <c r="K1071" t="s">
        <v>30</v>
      </c>
      <c r="L1071" s="3">
        <v>11724.54</v>
      </c>
      <c r="M1071" s="3">
        <v>3392.16</v>
      </c>
      <c r="N1071" s="3">
        <f>L1071*0.3</f>
        <v>3517.3620000000001</v>
      </c>
      <c r="O1071" s="3">
        <f>(IF(L1071&lt;4172.98,0,MIN(L1071*0.3,L1071-4172.98)))-M1071</f>
        <v>125.20200000000023</v>
      </c>
      <c r="P1071" s="6">
        <v>46508</v>
      </c>
      <c r="Q1071" t="s">
        <v>44</v>
      </c>
      <c r="R1071" s="3">
        <v>607.34</v>
      </c>
      <c r="S1071" s="3" t="s">
        <v>69</v>
      </c>
      <c r="V1071" s="51">
        <v>0.375</v>
      </c>
      <c r="W1071" s="51"/>
      <c r="Z1071" s="181">
        <v>2</v>
      </c>
    </row>
    <row r="1072" spans="1:26" hidden="1">
      <c r="A1072" s="12">
        <v>23740630</v>
      </c>
      <c r="B1072" s="13">
        <v>46252</v>
      </c>
      <c r="C1072" s="14">
        <v>0.87954861111111116</v>
      </c>
      <c r="D1072" s="15"/>
      <c r="E1072" s="16">
        <v>5216331130440</v>
      </c>
      <c r="F1072" s="15"/>
      <c r="G1072" s="15"/>
      <c r="H1072" s="17">
        <v>24816105795</v>
      </c>
      <c r="I1072" s="15"/>
      <c r="J1072" s="18"/>
      <c r="K1072" t="s">
        <v>30</v>
      </c>
      <c r="L1072" s="3">
        <v>6262.88</v>
      </c>
      <c r="M1072" s="3">
        <v>1614.86</v>
      </c>
      <c r="N1072" s="3">
        <f>L1072*0.3</f>
        <v>1878.864</v>
      </c>
      <c r="O1072" s="3">
        <f>(IF(L1072&lt;4172.98,0,MIN(L1072*0.3,L1072-4172.98)))-M1072</f>
        <v>264.00400000000013</v>
      </c>
      <c r="P1072" s="6">
        <v>46327</v>
      </c>
      <c r="Q1072" t="s">
        <v>44</v>
      </c>
      <c r="R1072" s="3">
        <v>1614.86</v>
      </c>
      <c r="S1072" s="3" t="s">
        <v>69</v>
      </c>
      <c r="V1072" s="51">
        <v>0.375</v>
      </c>
      <c r="W1072" s="51"/>
      <c r="Z1072" s="181">
        <v>2</v>
      </c>
    </row>
    <row r="1073" spans="1:26" hidden="1">
      <c r="A1073" s="12">
        <v>23740868</v>
      </c>
      <c r="B1073" s="13">
        <v>46252</v>
      </c>
      <c r="C1073" s="14">
        <v>0.89468749999999997</v>
      </c>
      <c r="D1073" s="15"/>
      <c r="E1073" s="16">
        <v>5215574033827</v>
      </c>
      <c r="F1073" s="15"/>
      <c r="G1073" s="15" t="s">
        <v>1081</v>
      </c>
      <c r="H1073" s="17"/>
      <c r="I1073" s="15"/>
      <c r="J1073" s="18"/>
      <c r="K1073" t="s">
        <v>32</v>
      </c>
      <c r="N1073" s="3">
        <f>L1073*0.3</f>
        <v>0</v>
      </c>
      <c r="O1073" s="3">
        <f>(IF(L1073&lt;4172.98,0,MIN(L1073*0.3,L1073-4172.98)))-M1073</f>
        <v>0</v>
      </c>
      <c r="S1073" s="3" t="s">
        <v>69</v>
      </c>
      <c r="V1073" s="51">
        <v>0.375</v>
      </c>
      <c r="W1073" s="51"/>
      <c r="Z1073" s="181">
        <v>0</v>
      </c>
    </row>
    <row r="1074" spans="1:26">
      <c r="A1074" s="12">
        <v>23741302</v>
      </c>
      <c r="B1074" s="13">
        <v>46252</v>
      </c>
      <c r="C1074" s="14">
        <v>0.92643518518518519</v>
      </c>
      <c r="D1074" s="15"/>
      <c r="E1074" s="16">
        <v>5218443148976</v>
      </c>
      <c r="F1074" s="15"/>
      <c r="G1074" s="15"/>
      <c r="H1074" s="17">
        <v>32887195462</v>
      </c>
      <c r="I1074" s="15"/>
      <c r="J1074" s="18"/>
      <c r="K1074" t="s">
        <v>54</v>
      </c>
      <c r="L1074" s="3">
        <v>5869.14</v>
      </c>
      <c r="N1074" s="3">
        <f>L1074*0.3</f>
        <v>1760.742</v>
      </c>
      <c r="O1074" s="3">
        <f>(IF(L1074&lt;4172.98,0,MIN(L1074*0.3,L1074-4172.98)))-M1074</f>
        <v>1696.1600000000008</v>
      </c>
      <c r="S1074" s="3" t="s">
        <v>886</v>
      </c>
      <c r="T1074" s="48">
        <v>46253</v>
      </c>
      <c r="V1074" s="51">
        <v>0.375</v>
      </c>
      <c r="W1074" s="51">
        <v>0.47361111111111109</v>
      </c>
      <c r="X1074" s="51">
        <v>0.47499999999999998</v>
      </c>
      <c r="Y1074" s="51">
        <v>0.4777777777777778</v>
      </c>
      <c r="Z1074" s="181">
        <v>1</v>
      </c>
    </row>
    <row r="1075" spans="1:26" hidden="1">
      <c r="A1075" s="12">
        <v>23741509</v>
      </c>
      <c r="B1075" s="13">
        <v>46252</v>
      </c>
      <c r="C1075" s="14">
        <v>0.93346064814814811</v>
      </c>
      <c r="D1075" s="15"/>
      <c r="E1075" s="16">
        <v>5215647499850</v>
      </c>
      <c r="F1075" s="15"/>
      <c r="G1075" s="15" t="s">
        <v>1082</v>
      </c>
      <c r="H1075" s="17"/>
      <c r="I1075" s="15"/>
      <c r="J1075" s="18"/>
      <c r="K1075" t="s">
        <v>30</v>
      </c>
      <c r="L1075" s="3">
        <f>11980.05+4250.95+880</f>
        <v>17111</v>
      </c>
      <c r="M1075" s="3">
        <f>4250.95+880</f>
        <v>5130.95</v>
      </c>
      <c r="N1075" s="3">
        <f>L1075*0.3</f>
        <v>5133.3</v>
      </c>
      <c r="O1075" s="3">
        <f>(IF(L1075&lt;4172.98,0,MIN(L1075*0.3,L1075-4172.98)))-M1075</f>
        <v>2.3500000000003638</v>
      </c>
      <c r="P1075" s="6">
        <v>46266</v>
      </c>
      <c r="Q1075" t="s">
        <v>833</v>
      </c>
      <c r="R1075" s="3">
        <v>880</v>
      </c>
      <c r="S1075" s="3" t="s">
        <v>69</v>
      </c>
      <c r="V1075" s="51">
        <v>0.375</v>
      </c>
      <c r="W1075" s="51"/>
      <c r="Z1075" s="181">
        <v>2</v>
      </c>
    </row>
    <row r="1076" spans="1:26" hidden="1">
      <c r="A1076" s="12">
        <v>23741519</v>
      </c>
      <c r="B1076" s="13">
        <v>46252</v>
      </c>
      <c r="C1076" s="14">
        <v>0.94260416666666669</v>
      </c>
      <c r="D1076" s="15" t="s">
        <v>1083</v>
      </c>
      <c r="E1076" s="16">
        <v>5218717107677</v>
      </c>
      <c r="F1076" s="15"/>
      <c r="G1076" s="15" t="s">
        <v>1084</v>
      </c>
      <c r="H1076" s="17"/>
      <c r="I1076" s="15"/>
      <c r="J1076" s="18"/>
      <c r="K1076" t="s">
        <v>58</v>
      </c>
      <c r="L1076" s="3">
        <v>4336.66</v>
      </c>
      <c r="N1076" s="3">
        <f>L1076*0.3</f>
        <v>1300.9979999999998</v>
      </c>
      <c r="O1076" s="3">
        <f>(IF(L1076&lt;4172.98,0,MIN(L1076*0.3,L1076-4172.98)))-M1076</f>
        <v>163.68000000000029</v>
      </c>
      <c r="S1076" s="3" t="s">
        <v>69</v>
      </c>
      <c r="V1076" s="51">
        <v>0.375</v>
      </c>
      <c r="W1076" s="51"/>
      <c r="Z1076" s="181">
        <v>1</v>
      </c>
    </row>
    <row r="1077" spans="1:26" hidden="1">
      <c r="A1077" s="30">
        <v>23742979</v>
      </c>
      <c r="B1077" s="31">
        <v>46252</v>
      </c>
      <c r="C1077" s="32">
        <v>0.96576388888888887</v>
      </c>
      <c r="D1077" s="33"/>
      <c r="E1077" s="34">
        <v>5216381108854</v>
      </c>
      <c r="F1077" s="33"/>
      <c r="G1077" s="33"/>
      <c r="H1077" s="35">
        <v>24866407406</v>
      </c>
      <c r="I1077" s="33"/>
      <c r="J1077" s="36"/>
      <c r="K1077" t="s">
        <v>30</v>
      </c>
      <c r="L1077" s="3">
        <f>6833.83+2926.49</f>
        <v>9760.32</v>
      </c>
      <c r="M1077" s="3">
        <v>2926.49</v>
      </c>
      <c r="N1077" s="3">
        <f>L1077*0.3</f>
        <v>2928.096</v>
      </c>
      <c r="O1077" s="3">
        <f>(IF(L1077&lt;4172.98,0,MIN(L1077*0.3,L1077-4172.98)))-M1077</f>
        <v>1.6060000000002219</v>
      </c>
      <c r="P1077" s="6">
        <v>46844</v>
      </c>
      <c r="S1077" s="3" t="s">
        <v>69</v>
      </c>
      <c r="V1077" s="51">
        <v>0.375</v>
      </c>
      <c r="W1077" s="51"/>
      <c r="Z1077" s="181">
        <v>2</v>
      </c>
    </row>
    <row r="1078" spans="1:26">
      <c r="A1078" s="12">
        <v>23744477</v>
      </c>
      <c r="B1078" s="13">
        <v>46253</v>
      </c>
      <c r="C1078" s="14">
        <v>3.6539351851851851E-2</v>
      </c>
      <c r="D1078" s="15" t="s">
        <v>1085</v>
      </c>
      <c r="E1078" s="16">
        <v>5213221399345</v>
      </c>
      <c r="F1078" s="15"/>
      <c r="G1078" s="15"/>
      <c r="H1078" s="17" t="s">
        <v>1086</v>
      </c>
      <c r="I1078" s="15"/>
      <c r="J1078" s="18"/>
      <c r="K1078" t="s">
        <v>54</v>
      </c>
      <c r="L1078" s="3">
        <v>5427.74</v>
      </c>
      <c r="N1078" s="3">
        <f>L1078*0.3</f>
        <v>1628.3219999999999</v>
      </c>
      <c r="O1078" s="3">
        <f>(IF(L1078&lt;4172.98,0,MIN(L1078*0.3,L1078-4172.98)))-M1078</f>
        <v>1254.7600000000002</v>
      </c>
      <c r="S1078" s="3" t="s">
        <v>886</v>
      </c>
      <c r="T1078" s="48">
        <v>46253</v>
      </c>
      <c r="V1078" s="51">
        <v>0.37847222222222221</v>
      </c>
      <c r="W1078" s="51">
        <v>0.40972222222222221</v>
      </c>
      <c r="X1078" s="51">
        <v>0.41111111111111109</v>
      </c>
      <c r="Y1078" s="51">
        <v>0.41249999999999998</v>
      </c>
      <c r="Z1078" s="181">
        <v>1</v>
      </c>
    </row>
    <row r="1079" spans="1:26">
      <c r="A1079" s="12">
        <v>23750439</v>
      </c>
      <c r="B1079" s="13">
        <v>46253</v>
      </c>
      <c r="C1079" s="14">
        <v>0.24431712962962962</v>
      </c>
      <c r="D1079" s="15"/>
      <c r="E1079" s="16">
        <v>5218135544559</v>
      </c>
      <c r="F1079" s="15"/>
      <c r="G1079" s="15"/>
      <c r="H1079" s="17" t="s">
        <v>1087</v>
      </c>
      <c r="I1079" s="15"/>
      <c r="J1079" s="18"/>
      <c r="K1079" t="s">
        <v>38</v>
      </c>
      <c r="L1079" s="3">
        <v>4990.99</v>
      </c>
      <c r="N1079" s="3">
        <f>L1079*0.3</f>
        <v>1497.2969999999998</v>
      </c>
      <c r="O1079" s="3">
        <f>(IF(L1079&lt;4172.98,0,MIN(L1079*0.3,L1079-4172.98)))-M1079</f>
        <v>818.01000000000022</v>
      </c>
      <c r="S1079" s="3" t="s">
        <v>39</v>
      </c>
      <c r="T1079" s="48">
        <v>46253</v>
      </c>
      <c r="V1079" s="51">
        <v>0.37847222222222221</v>
      </c>
      <c r="W1079" s="51">
        <v>0.40625</v>
      </c>
      <c r="X1079" s="51">
        <v>0.41319444444444442</v>
      </c>
      <c r="Y1079" s="51">
        <v>0.41458333333333336</v>
      </c>
      <c r="Z1079" s="181">
        <v>1</v>
      </c>
    </row>
    <row r="1080" spans="1:26" hidden="1">
      <c r="A1080" s="12">
        <v>23754921</v>
      </c>
      <c r="B1080" s="13">
        <v>46253</v>
      </c>
      <c r="C1080" s="14">
        <v>0.31524305555555554</v>
      </c>
      <c r="D1080" s="15"/>
      <c r="E1080" s="16">
        <v>5213861214604</v>
      </c>
      <c r="F1080" s="15"/>
      <c r="G1080" s="15"/>
      <c r="H1080" s="17" t="s">
        <v>1088</v>
      </c>
      <c r="I1080" s="15"/>
      <c r="J1080" s="18"/>
      <c r="K1080" t="s">
        <v>32</v>
      </c>
      <c r="N1080" s="3">
        <f>L1080*0.3</f>
        <v>0</v>
      </c>
      <c r="O1080" s="3">
        <f>(IF(L1080&lt;4172.98,0,MIN(L1080*0.3,L1080-4172.98)))-M1080</f>
        <v>0</v>
      </c>
      <c r="S1080" s="3" t="s">
        <v>69</v>
      </c>
      <c r="V1080" s="51">
        <v>0.37847222222222221</v>
      </c>
      <c r="W1080" s="51"/>
      <c r="Z1080" s="181">
        <v>0</v>
      </c>
    </row>
    <row r="1081" spans="1:26" hidden="1">
      <c r="A1081" s="12">
        <v>23755077</v>
      </c>
      <c r="B1081" s="13">
        <v>46253</v>
      </c>
      <c r="C1081" s="14">
        <v>0.31619212962962961</v>
      </c>
      <c r="D1081" s="15"/>
      <c r="E1081" s="16">
        <v>5219811077611</v>
      </c>
      <c r="F1081" s="15"/>
      <c r="G1081" s="15" t="s">
        <v>1089</v>
      </c>
      <c r="H1081" s="17"/>
      <c r="I1081" s="15"/>
      <c r="J1081" s="18"/>
      <c r="K1081" t="s">
        <v>58</v>
      </c>
      <c r="L1081" s="3">
        <v>3882.85</v>
      </c>
      <c r="N1081" s="3">
        <f>L1081*0.3</f>
        <v>1164.855</v>
      </c>
      <c r="O1081" s="3">
        <f>(IF(L1081&lt;4172.98,0,MIN(L1081*0.3,L1081-4172.98)))-M1081</f>
        <v>0</v>
      </c>
      <c r="S1081" s="3" t="s">
        <v>69</v>
      </c>
      <c r="V1081" s="51">
        <v>0.37847222222222221</v>
      </c>
      <c r="W1081" s="51"/>
      <c r="Z1081" s="181">
        <v>1</v>
      </c>
    </row>
    <row r="1082" spans="1:26">
      <c r="A1082" s="12">
        <v>23758273</v>
      </c>
      <c r="B1082" s="13">
        <v>46253</v>
      </c>
      <c r="C1082" s="14">
        <v>0.37207175925925928</v>
      </c>
      <c r="D1082" s="15"/>
      <c r="E1082" s="16">
        <v>5216644040049</v>
      </c>
      <c r="F1082" s="15"/>
      <c r="G1082" s="15" t="s">
        <v>1090</v>
      </c>
      <c r="H1082" s="17"/>
      <c r="I1082" s="15"/>
      <c r="J1082" s="18"/>
      <c r="K1082" t="s">
        <v>27</v>
      </c>
      <c r="L1082" s="3">
        <f>5764.33+1876.19</f>
        <v>7640.52</v>
      </c>
      <c r="M1082" s="3">
        <v>1876.19</v>
      </c>
      <c r="N1082" s="3">
        <f>L1082*0.3</f>
        <v>2292.1559999999999</v>
      </c>
      <c r="O1082" s="3">
        <f>(IF(L1082&lt;4172.98,0,MIN(L1082*0.3,L1082-4172.98)))-M1082</f>
        <v>415.96599999999989</v>
      </c>
      <c r="P1082" s="6">
        <v>45597</v>
      </c>
      <c r="Q1082" t="s">
        <v>80</v>
      </c>
      <c r="R1082" s="3">
        <v>1876.19</v>
      </c>
      <c r="S1082" s="3" t="s">
        <v>1091</v>
      </c>
      <c r="T1082" s="48">
        <v>46253</v>
      </c>
      <c r="V1082" s="51">
        <v>0.37847222222222221</v>
      </c>
      <c r="W1082" s="51">
        <v>0.43680555555555556</v>
      </c>
      <c r="X1082" s="51">
        <v>0.43819444444444444</v>
      </c>
      <c r="Y1082" s="51">
        <v>0.44930555555555557</v>
      </c>
      <c r="Z1082" s="181">
        <v>2</v>
      </c>
    </row>
    <row r="1083" spans="1:26" hidden="1">
      <c r="A1083" s="30">
        <v>23758287</v>
      </c>
      <c r="B1083" s="31">
        <v>46253</v>
      </c>
      <c r="C1083" s="32">
        <v>0.37351851851851853</v>
      </c>
      <c r="D1083" s="33"/>
      <c r="E1083" s="34">
        <v>5218714165600</v>
      </c>
      <c r="F1083" s="33"/>
      <c r="G1083" s="33"/>
      <c r="H1083" s="35" t="s">
        <v>1092</v>
      </c>
      <c r="I1083" s="33"/>
      <c r="J1083" s="36"/>
      <c r="K1083" t="s">
        <v>51</v>
      </c>
      <c r="N1083" s="3">
        <f>L1083*0.3</f>
        <v>0</v>
      </c>
      <c r="O1083" s="3">
        <f>(IF(L1083&lt;4172.98,0,MIN(L1083*0.3,L1083-4172.98)))-M1083</f>
        <v>0</v>
      </c>
      <c r="S1083" s="3" t="s">
        <v>69</v>
      </c>
      <c r="V1083" s="51">
        <v>0.37847222222222221</v>
      </c>
      <c r="W1083" s="51"/>
      <c r="Z1083" s="181">
        <v>1</v>
      </c>
    </row>
    <row r="1084" spans="1:26">
      <c r="A1084" s="12">
        <v>23759367</v>
      </c>
      <c r="B1084" s="13">
        <v>46253</v>
      </c>
      <c r="C1084" s="14">
        <v>0.39128472222222221</v>
      </c>
      <c r="D1084" s="15"/>
      <c r="E1084" s="16">
        <v>5219996155078</v>
      </c>
      <c r="F1084" s="15"/>
      <c r="G1084" s="15"/>
      <c r="H1084" s="17">
        <v>54836353877</v>
      </c>
      <c r="I1084" s="15"/>
      <c r="J1084" s="18"/>
      <c r="K1084" t="s">
        <v>54</v>
      </c>
      <c r="L1084" s="3">
        <v>11029.03</v>
      </c>
      <c r="N1084" s="3">
        <f t="shared" ref="N1084:N1085" si="101">L1084*0.3</f>
        <v>3308.7090000000003</v>
      </c>
      <c r="O1084" s="3">
        <f>(IF(L1084&lt;4172.98,0,MIN(L1084*0.3,L1084-4172.98)))-M1084</f>
        <v>3308.7090000000003</v>
      </c>
      <c r="S1084" s="3" t="s">
        <v>90</v>
      </c>
      <c r="T1084" s="48">
        <v>46253</v>
      </c>
      <c r="V1084" s="51">
        <v>0.3972222222222222</v>
      </c>
      <c r="W1084" s="51">
        <v>0.43402777777777779</v>
      </c>
      <c r="X1084" s="51">
        <v>0.43888888888888888</v>
      </c>
      <c r="Y1084" s="51">
        <v>0.44374999999999998</v>
      </c>
      <c r="Z1084" s="181">
        <v>1</v>
      </c>
    </row>
    <row r="1085" spans="1:26" hidden="1">
      <c r="A1085" s="30">
        <v>23759387</v>
      </c>
      <c r="B1085" s="31">
        <v>46253</v>
      </c>
      <c r="C1085" s="32">
        <v>0.39222222222222225</v>
      </c>
      <c r="D1085" s="33"/>
      <c r="E1085" s="34">
        <v>5213112411922</v>
      </c>
      <c r="F1085" s="33"/>
      <c r="G1085" s="33"/>
      <c r="H1085" s="35">
        <v>55056200821</v>
      </c>
      <c r="I1085" s="33"/>
      <c r="J1085" s="36"/>
      <c r="K1085" t="s">
        <v>51</v>
      </c>
      <c r="N1085" s="3">
        <f t="shared" si="101"/>
        <v>0</v>
      </c>
      <c r="O1085" s="3">
        <f>(IF(L1085&lt;4172.98,0,MIN(L1085*0.3,L1085-4172.98)))-M1085</f>
        <v>0</v>
      </c>
      <c r="S1085" s="3" t="s">
        <v>69</v>
      </c>
      <c r="V1085" s="51">
        <v>0.3972222222222222</v>
      </c>
      <c r="W1085" s="51"/>
      <c r="Z1085" s="181">
        <v>1</v>
      </c>
    </row>
    <row r="1086" spans="1:26">
      <c r="A1086" s="30">
        <v>23759203</v>
      </c>
      <c r="B1086" s="31">
        <v>46253</v>
      </c>
      <c r="C1086" s="32">
        <v>0.40256944444444442</v>
      </c>
      <c r="D1086" s="33"/>
      <c r="E1086" s="34">
        <v>5217838327370</v>
      </c>
      <c r="F1086" s="33"/>
      <c r="G1086" s="33" t="s">
        <v>1093</v>
      </c>
      <c r="H1086" s="35"/>
      <c r="I1086" s="33"/>
      <c r="J1086" s="36"/>
      <c r="K1086" t="s">
        <v>54</v>
      </c>
      <c r="L1086" s="3">
        <v>9760.32</v>
      </c>
      <c r="N1086" s="3">
        <f>L1086*0.3</f>
        <v>2928.096</v>
      </c>
      <c r="O1086" s="3">
        <f>(IF(L1086&lt;4172.98,0,MIN(L1086*0.3,L1086-4172.98)))-M1086</f>
        <v>2928.096</v>
      </c>
      <c r="S1086" s="3" t="s">
        <v>879</v>
      </c>
      <c r="T1086" s="48">
        <v>46253</v>
      </c>
      <c r="V1086" s="51">
        <v>0.40347222222222223</v>
      </c>
      <c r="W1086" s="51">
        <v>0.43472222222222223</v>
      </c>
      <c r="X1086" s="51">
        <v>0.44583333333333336</v>
      </c>
      <c r="Y1086" s="51">
        <v>0.48125000000000001</v>
      </c>
      <c r="Z1086" s="181">
        <v>1</v>
      </c>
    </row>
    <row r="1087" spans="1:26" ht="17.25" hidden="1" customHeight="1">
      <c r="A1087" s="30">
        <v>23759989</v>
      </c>
      <c r="B1087" s="31">
        <v>46253</v>
      </c>
      <c r="C1087" s="32">
        <v>0.40572916666666664</v>
      </c>
      <c r="D1087" s="33"/>
      <c r="E1087" s="34">
        <v>5216531601223</v>
      </c>
      <c r="F1087" s="33"/>
      <c r="G1087" s="33" t="s">
        <v>1094</v>
      </c>
      <c r="H1087" s="35"/>
      <c r="I1087" s="33"/>
      <c r="J1087" s="36"/>
      <c r="K1087" t="s">
        <v>32</v>
      </c>
      <c r="N1087" s="3">
        <f>L1087*0.3</f>
        <v>0</v>
      </c>
      <c r="O1087" s="3">
        <f>(IF(L1087&lt;4172.98,0,MIN(L1087*0.3,L1087-4172.98)))-M1087</f>
        <v>0</v>
      </c>
      <c r="S1087" s="3" t="s">
        <v>69</v>
      </c>
      <c r="V1087" s="51">
        <v>0.40694444444444444</v>
      </c>
      <c r="Z1087" s="181">
        <v>0</v>
      </c>
    </row>
    <row r="1088" spans="1:26" hidden="1">
      <c r="A1088" s="30">
        <v>23759109</v>
      </c>
      <c r="B1088" s="31">
        <v>46253</v>
      </c>
      <c r="C1088" s="32">
        <v>0.43127314814814816</v>
      </c>
      <c r="D1088" s="33"/>
      <c r="E1088" s="34">
        <v>5216692555611</v>
      </c>
      <c r="F1088" s="33"/>
      <c r="G1088" s="33"/>
      <c r="H1088" s="35" t="s">
        <v>1095</v>
      </c>
      <c r="I1088" s="33"/>
      <c r="J1088" s="36"/>
      <c r="K1088" t="s">
        <v>30</v>
      </c>
      <c r="L1088" s="3">
        <f>4236.89+1539.72</f>
        <v>5776.6100000000006</v>
      </c>
      <c r="M1088" s="3">
        <v>1539.72</v>
      </c>
      <c r="N1088" s="3">
        <f>L1088*0.3</f>
        <v>1732.9830000000002</v>
      </c>
      <c r="O1088" s="3">
        <f>(IF(L1088&lt;4172.98,0,MIN(L1088*0.3,L1088-4172.98)))-M1088</f>
        <v>63.910000000000991</v>
      </c>
      <c r="P1088" s="6">
        <v>46419</v>
      </c>
      <c r="S1088" s="3" t="s">
        <v>69</v>
      </c>
      <c r="V1088" s="51">
        <v>0.39097222222222222</v>
      </c>
      <c r="Z1088" s="181">
        <v>2</v>
      </c>
    </row>
    <row r="1089" spans="1:26">
      <c r="A1089" s="30">
        <v>23762117</v>
      </c>
      <c r="B1089" s="31">
        <v>46253</v>
      </c>
      <c r="C1089" s="32">
        <v>0.43934027777777779</v>
      </c>
      <c r="D1089" s="33"/>
      <c r="E1089" s="34">
        <v>5218331433084</v>
      </c>
      <c r="F1089" s="33"/>
      <c r="G1089" s="33"/>
      <c r="H1089" s="35">
        <v>49846740204</v>
      </c>
      <c r="I1089" s="33"/>
      <c r="J1089" s="36"/>
      <c r="K1089" t="s">
        <v>54</v>
      </c>
      <c r="L1089" s="3">
        <v>10636.54</v>
      </c>
      <c r="N1089" s="3">
        <f>L1089*0.3</f>
        <v>3190.962</v>
      </c>
      <c r="O1089" s="3">
        <f>(IF(L1089&lt;4172.98,0,MIN(L1089*0.3,L1089-4172.98)))-M1089</f>
        <v>3190.962</v>
      </c>
      <c r="S1089" s="3" t="s">
        <v>348</v>
      </c>
      <c r="T1089" s="48">
        <v>46253</v>
      </c>
      <c r="V1089" s="51">
        <v>0.44097222222222221</v>
      </c>
      <c r="W1089" s="51">
        <v>0.45624999999999999</v>
      </c>
      <c r="X1089" s="51">
        <v>0.45833333333333331</v>
      </c>
      <c r="Y1089" s="51">
        <v>0.45902777777777776</v>
      </c>
      <c r="Z1089" s="181">
        <v>1</v>
      </c>
    </row>
    <row r="1090" spans="1:26" hidden="1">
      <c r="A1090" s="30">
        <v>23762709</v>
      </c>
      <c r="B1090" s="31">
        <v>46253</v>
      </c>
      <c r="C1090" s="32">
        <v>0.44612268518518516</v>
      </c>
      <c r="D1090" s="33"/>
      <c r="E1090" s="34">
        <v>5219831021525</v>
      </c>
      <c r="F1090" s="33"/>
      <c r="G1090" s="33" t="s">
        <v>1096</v>
      </c>
      <c r="H1090" s="35"/>
      <c r="I1090" s="33"/>
      <c r="J1090" s="36"/>
      <c r="K1090" t="s">
        <v>32</v>
      </c>
      <c r="N1090" s="3">
        <f>L1090*0.3</f>
        <v>0</v>
      </c>
      <c r="O1090" s="3">
        <f>(IF(L1090&lt;4172.98,0,MIN(L1090*0.3,L1090-4172.98)))-M1090</f>
        <v>0</v>
      </c>
      <c r="S1090" s="3" t="s">
        <v>69</v>
      </c>
      <c r="V1090" s="51">
        <v>0.44791666666666669</v>
      </c>
      <c r="Z1090" s="181">
        <v>0</v>
      </c>
    </row>
    <row r="1091" spans="1:26">
      <c r="A1091" s="30">
        <v>23762755</v>
      </c>
      <c r="B1091" s="31">
        <v>46253</v>
      </c>
      <c r="C1091" s="32">
        <v>0.44946759259259261</v>
      </c>
      <c r="D1091" s="33"/>
      <c r="E1091" s="34">
        <v>5213111505671</v>
      </c>
      <c r="F1091" s="33"/>
      <c r="G1091" s="33"/>
      <c r="H1091" s="35" t="s">
        <v>1097</v>
      </c>
      <c r="I1091" s="33"/>
      <c r="J1091" s="36"/>
      <c r="K1091" t="s">
        <v>27</v>
      </c>
      <c r="L1091" s="3">
        <f>5230.75+1885.98</f>
        <v>7116.73</v>
      </c>
      <c r="M1091" s="3">
        <v>1885.98</v>
      </c>
      <c r="N1091" s="3">
        <f>L1091*0.3</f>
        <v>2135.0189999999998</v>
      </c>
      <c r="O1091" s="3">
        <f>(IF(L1091&lt;4172.98,0,MIN(L1091*0.3,L1091-4172.98)))-M1091</f>
        <v>249.03899999999976</v>
      </c>
      <c r="P1091" s="6">
        <v>45689</v>
      </c>
      <c r="Q1091" t="s">
        <v>206</v>
      </c>
      <c r="R1091" s="3">
        <v>1885.98</v>
      </c>
      <c r="S1091" s="3" t="s">
        <v>62</v>
      </c>
      <c r="T1091" s="48">
        <v>46253</v>
      </c>
      <c r="V1091" s="51">
        <v>0.44930555555555557</v>
      </c>
      <c r="W1091" s="51">
        <v>0.45902777777777776</v>
      </c>
      <c r="X1091" s="51">
        <v>0.46875</v>
      </c>
      <c r="Y1091" s="51">
        <v>0.47013888888888888</v>
      </c>
      <c r="Z1091" s="181">
        <v>2</v>
      </c>
    </row>
    <row r="1092" spans="1:26">
      <c r="A1092" s="12">
        <v>23763013</v>
      </c>
      <c r="B1092" s="13">
        <v>46253</v>
      </c>
      <c r="C1092" s="14">
        <v>0.45396990740740739</v>
      </c>
      <c r="D1092" s="15"/>
      <c r="E1092" s="16">
        <v>5215591642885</v>
      </c>
      <c r="F1092" s="15"/>
      <c r="G1092" s="15"/>
      <c r="H1092" s="17" t="s">
        <v>1098</v>
      </c>
      <c r="I1092" s="15"/>
      <c r="J1092" s="18"/>
      <c r="K1092" t="s">
        <v>38</v>
      </c>
      <c r="L1092" s="3">
        <v>5264.19</v>
      </c>
      <c r="N1092" s="3">
        <f>L1092*0.3</f>
        <v>1579.2569999999998</v>
      </c>
      <c r="O1092" s="3">
        <f>(IF(L1092&lt;4172.98,0,MIN(L1092*0.3,L1092-4172.98)))-M1092</f>
        <v>1091.21</v>
      </c>
      <c r="S1092" s="3" t="s">
        <v>266</v>
      </c>
      <c r="T1092" s="48">
        <v>46253</v>
      </c>
      <c r="V1092" s="51">
        <v>0.45555555555555555</v>
      </c>
      <c r="W1092" s="51">
        <v>0.46527777777777779</v>
      </c>
      <c r="X1092" s="51">
        <v>0.46458333333333335</v>
      </c>
      <c r="Y1092" s="51">
        <v>0.46666666666666667</v>
      </c>
      <c r="Z1092" s="181">
        <v>1</v>
      </c>
    </row>
    <row r="1093" spans="1:26" hidden="1">
      <c r="A1093" s="12">
        <v>23762455</v>
      </c>
      <c r="B1093" s="13">
        <v>46253</v>
      </c>
      <c r="C1093" s="14">
        <v>0.45403935185185185</v>
      </c>
      <c r="D1093" s="15"/>
      <c r="E1093" s="16">
        <v>5215665140399</v>
      </c>
      <c r="F1093" s="15"/>
      <c r="G1093" s="15" t="s">
        <v>1099</v>
      </c>
      <c r="H1093" s="17"/>
      <c r="I1093" s="15"/>
      <c r="J1093" s="18"/>
      <c r="K1093" t="s">
        <v>32</v>
      </c>
      <c r="N1093" s="3">
        <f>L1093*0.3</f>
        <v>0</v>
      </c>
      <c r="O1093" s="3">
        <f>(IF(L1093&lt;4172.98,0,MIN(L1093*0.3,L1093-4172.98)))-M1093</f>
        <v>0</v>
      </c>
      <c r="S1093" s="3" t="s">
        <v>69</v>
      </c>
      <c r="V1093" s="51">
        <v>0.45555555555555555</v>
      </c>
      <c r="Z1093" s="181">
        <v>0</v>
      </c>
    </row>
    <row r="1094" spans="1:26" hidden="1">
      <c r="A1094" s="30">
        <v>23762775</v>
      </c>
      <c r="B1094" s="31">
        <v>46253</v>
      </c>
      <c r="C1094" s="32">
        <v>0.45543981481481483</v>
      </c>
      <c r="D1094" s="33"/>
      <c r="E1094" s="34">
        <v>5213312206743</v>
      </c>
      <c r="F1094" s="33"/>
      <c r="G1094" s="33"/>
      <c r="H1094" s="35">
        <v>24907104392</v>
      </c>
      <c r="I1094" s="33"/>
      <c r="J1094" s="36"/>
      <c r="K1094" t="s">
        <v>30</v>
      </c>
      <c r="L1094" s="3">
        <f>5071.6+2064</f>
        <v>7135.6</v>
      </c>
      <c r="M1094" s="3">
        <v>2064</v>
      </c>
      <c r="N1094" s="3">
        <f>L1094*0.3</f>
        <v>2140.6799999999998</v>
      </c>
      <c r="O1094" s="3">
        <f>(IF(L1094&lt;4172.98,0,MIN(L1094*0.3,L1094-4172.98)))-M1094</f>
        <v>76.679999999999836</v>
      </c>
      <c r="P1094" s="6">
        <v>46692</v>
      </c>
      <c r="Q1094" t="s">
        <v>210</v>
      </c>
      <c r="R1094" s="3">
        <v>2064</v>
      </c>
      <c r="S1094" s="3" t="s">
        <v>69</v>
      </c>
      <c r="V1094" s="51">
        <v>0.45555555555555555</v>
      </c>
      <c r="Z1094" s="181">
        <v>2</v>
      </c>
    </row>
    <row r="1095" spans="1:26" hidden="1">
      <c r="A1095" s="30">
        <v>23763049</v>
      </c>
      <c r="B1095" s="31">
        <v>46253</v>
      </c>
      <c r="C1095" s="32">
        <v>0.45599537037037036</v>
      </c>
      <c r="D1095" s="33"/>
      <c r="E1095" s="34">
        <v>5215543382621</v>
      </c>
      <c r="F1095" s="33"/>
      <c r="G1095" s="33"/>
      <c r="H1095" s="35" t="s">
        <v>1100</v>
      </c>
      <c r="I1095" s="33"/>
      <c r="J1095" s="36"/>
      <c r="K1095" t="s">
        <v>30</v>
      </c>
      <c r="L1095" s="3">
        <f>4211.16+1406.47</f>
        <v>5617.63</v>
      </c>
      <c r="M1095" s="3">
        <v>1406.47</v>
      </c>
      <c r="N1095" s="3">
        <f>L1095*0.3</f>
        <v>1685.289</v>
      </c>
      <c r="O1095" s="3">
        <f>(IF(L1095&lt;4172.98,0,MIN(L1095*0.3,L1095-4172.98)))-M1095</f>
        <v>38.180000000000518</v>
      </c>
      <c r="P1095" s="6">
        <v>46784</v>
      </c>
      <c r="Q1095" t="s">
        <v>75</v>
      </c>
      <c r="S1095" s="3" t="s">
        <v>69</v>
      </c>
      <c r="V1095" s="51">
        <v>0.45694444444444443</v>
      </c>
      <c r="Z1095" s="181">
        <v>2</v>
      </c>
    </row>
    <row r="1096" spans="1:26" hidden="1">
      <c r="A1096" s="30">
        <v>23763621</v>
      </c>
      <c r="B1096" s="31">
        <v>46253</v>
      </c>
      <c r="C1096" s="32">
        <v>0.46163194444444444</v>
      </c>
      <c r="D1096" s="33"/>
      <c r="E1096" s="34"/>
      <c r="F1096" s="33"/>
      <c r="G1096" s="33"/>
      <c r="H1096" s="35">
        <v>71098520118</v>
      </c>
      <c r="I1096" s="33"/>
      <c r="J1096" s="36"/>
      <c r="K1096" t="s">
        <v>32</v>
      </c>
      <c r="N1096" s="3">
        <f>L1096*0.3</f>
        <v>0</v>
      </c>
      <c r="O1096" s="3">
        <f>(IF(L1096&lt;4172.98,0,MIN(L1096*0.3,L1096-4172.98)))-M1096</f>
        <v>0</v>
      </c>
      <c r="S1096" s="3" t="s">
        <v>69</v>
      </c>
      <c r="V1096" s="51">
        <v>0.46180555555555558</v>
      </c>
      <c r="Z1096" s="181">
        <v>0</v>
      </c>
    </row>
    <row r="1097" spans="1:26">
      <c r="A1097" s="30">
        <v>23763727</v>
      </c>
      <c r="B1097" s="31">
        <v>46253</v>
      </c>
      <c r="C1097" s="32">
        <v>0.46809027777777779</v>
      </c>
      <c r="D1097" s="33"/>
      <c r="E1097" s="34">
        <v>5213414398000</v>
      </c>
      <c r="F1097" s="33"/>
      <c r="G1097" s="33"/>
      <c r="H1097" s="35">
        <v>54755917215</v>
      </c>
      <c r="I1097" s="33"/>
      <c r="J1097" s="36"/>
      <c r="K1097" t="s">
        <v>27</v>
      </c>
      <c r="L1097" s="3">
        <v>32694.080000000002</v>
      </c>
      <c r="M1097" s="3">
        <v>8776.16</v>
      </c>
      <c r="N1097" s="3">
        <f>L1097*0.3</f>
        <v>9808.2240000000002</v>
      </c>
      <c r="O1097" s="3">
        <f>(IF(L1097&lt;4172.98,0,MIN(L1097*0.3,L1097-4172.98)))-M1097</f>
        <v>1032.0640000000003</v>
      </c>
      <c r="P1097" s="6">
        <v>46204</v>
      </c>
      <c r="Q1097" t="s">
        <v>833</v>
      </c>
      <c r="R1097" s="3">
        <v>8776.16</v>
      </c>
      <c r="S1097" s="3" t="s">
        <v>348</v>
      </c>
      <c r="T1097" s="48">
        <v>46253</v>
      </c>
      <c r="V1097" s="51">
        <v>0.46944444444444444</v>
      </c>
      <c r="W1097" s="51">
        <v>0.49166666666666664</v>
      </c>
      <c r="X1097" s="51">
        <v>0.49305555555555558</v>
      </c>
      <c r="Y1097" s="51">
        <v>0.49444444444444446</v>
      </c>
      <c r="Z1097" s="181">
        <v>2</v>
      </c>
    </row>
    <row r="1098" spans="1:26">
      <c r="A1098" s="30">
        <v>23763821</v>
      </c>
      <c r="B1098" s="31">
        <v>46253</v>
      </c>
      <c r="C1098" s="32">
        <v>0.47394675925925928</v>
      </c>
      <c r="D1098" s="33"/>
      <c r="E1098" s="34">
        <v>5219832135213</v>
      </c>
      <c r="F1098" s="33"/>
      <c r="G1098" s="33"/>
      <c r="H1098" s="35">
        <v>82806105753</v>
      </c>
      <c r="I1098" s="33"/>
      <c r="J1098" s="36"/>
      <c r="K1098" t="s">
        <v>54</v>
      </c>
      <c r="L1098" s="3">
        <v>7920.51</v>
      </c>
      <c r="N1098" s="3">
        <f>L1098*0.3</f>
        <v>2376.1529999999998</v>
      </c>
      <c r="O1098" s="3">
        <f>(IF(L1098&lt;4172.98,0,MIN(L1098*0.3,L1098-4172.98)))-M1098</f>
        <v>2376.1529999999998</v>
      </c>
      <c r="S1098" s="3" t="s">
        <v>1091</v>
      </c>
      <c r="T1098" s="48">
        <v>46253</v>
      </c>
      <c r="V1098" s="51">
        <v>0.47361111111111109</v>
      </c>
      <c r="W1098" s="51">
        <v>0.4777777777777778</v>
      </c>
      <c r="X1098" s="51">
        <v>0.4861111111111111</v>
      </c>
      <c r="Y1098" s="51">
        <v>0.48680555555555555</v>
      </c>
      <c r="Z1098" s="181">
        <v>1</v>
      </c>
    </row>
    <row r="1099" spans="1:26" hidden="1">
      <c r="A1099" s="30">
        <v>23764641</v>
      </c>
      <c r="B1099" s="31">
        <v>46253</v>
      </c>
      <c r="C1099" s="32">
        <v>0.48406250000000001</v>
      </c>
      <c r="D1099" s="33"/>
      <c r="E1099" s="34">
        <v>5218126440226</v>
      </c>
      <c r="F1099" s="33"/>
      <c r="G1099" s="33"/>
      <c r="H1099" s="35" t="s">
        <v>1101</v>
      </c>
      <c r="I1099" s="33"/>
      <c r="J1099" s="36"/>
      <c r="K1099" t="s">
        <v>51</v>
      </c>
      <c r="N1099" s="3">
        <f>L1099*0.3</f>
        <v>0</v>
      </c>
      <c r="O1099" s="3">
        <f>(IF(L1099&lt;4172.98,0,MIN(L1099*0.3,L1099-4172.98)))-M1099</f>
        <v>0</v>
      </c>
      <c r="S1099" s="3" t="s">
        <v>69</v>
      </c>
      <c r="V1099" s="51">
        <v>0.48680555555555555</v>
      </c>
      <c r="Z1099" s="181">
        <v>1</v>
      </c>
    </row>
    <row r="1100" spans="1:26" hidden="1">
      <c r="A1100" s="30">
        <v>23765007</v>
      </c>
      <c r="B1100" s="31">
        <v>46253</v>
      </c>
      <c r="C1100" s="32">
        <v>0.49068287037037039</v>
      </c>
      <c r="D1100" s="33"/>
      <c r="E1100" s="34">
        <v>5215655971900</v>
      </c>
      <c r="F1100" s="33"/>
      <c r="G1100" s="33"/>
      <c r="H1100" s="35">
        <v>6745719754</v>
      </c>
      <c r="I1100" s="33"/>
      <c r="J1100" s="36"/>
      <c r="K1100" t="s">
        <v>30</v>
      </c>
      <c r="L1100" s="111">
        <v>12990.77</v>
      </c>
      <c r="M1100" s="111">
        <v>3896.95</v>
      </c>
      <c r="N1100" s="3">
        <f>L1100*0.3</f>
        <v>3897.2309999999998</v>
      </c>
      <c r="O1100" s="3">
        <f>(IF(L1100&lt;4172.98,0,MIN(L1100*0.3,L1100-4172.98)))-M1100</f>
        <v>0.28099999999994907</v>
      </c>
      <c r="P1100" s="6">
        <v>46661</v>
      </c>
      <c r="Q1100" t="s">
        <v>77</v>
      </c>
      <c r="R1100" s="3">
        <v>3758.53</v>
      </c>
      <c r="S1100" s="3" t="s">
        <v>69</v>
      </c>
      <c r="V1100" s="51">
        <v>0.49027777777777776</v>
      </c>
      <c r="Z1100" s="181">
        <v>2</v>
      </c>
    </row>
    <row r="1101" spans="1:26">
      <c r="A1101" s="30">
        <v>23764709</v>
      </c>
      <c r="B1101" s="31">
        <v>46253</v>
      </c>
      <c r="C1101" s="32">
        <v>0.49528935185185186</v>
      </c>
      <c r="D1101" s="33"/>
      <c r="E1101" s="34">
        <v>5213334027075</v>
      </c>
      <c r="F1101" s="33"/>
      <c r="G1101" s="33"/>
      <c r="H1101" s="35" t="s">
        <v>1102</v>
      </c>
      <c r="I1101" s="33"/>
      <c r="J1101" s="36"/>
      <c r="K1101" t="s">
        <v>54</v>
      </c>
      <c r="L1101" s="3">
        <v>34782.28</v>
      </c>
      <c r="N1101" s="3">
        <f>L1101*0.3</f>
        <v>10434.683999999999</v>
      </c>
      <c r="O1101" s="3">
        <f>(IF(L1101&lt;4172.98,0,MIN(L1101*0.3,L1101-4172.98)))-M1101</f>
        <v>10434.683999999999</v>
      </c>
      <c r="S1101" s="3" t="s">
        <v>548</v>
      </c>
      <c r="T1101" s="48">
        <v>46253</v>
      </c>
      <c r="V1101" s="51">
        <v>0.49652777777777779</v>
      </c>
      <c r="W1101" s="51">
        <v>0.50347222222222221</v>
      </c>
      <c r="X1101" s="51">
        <v>0.50486111111111109</v>
      </c>
      <c r="Y1101" s="51">
        <v>0.5083333333333333</v>
      </c>
      <c r="Z1101" s="181">
        <v>1</v>
      </c>
    </row>
    <row r="1102" spans="1:26" hidden="1">
      <c r="A1102" s="30">
        <v>23764965</v>
      </c>
      <c r="B1102" s="31">
        <v>46253</v>
      </c>
      <c r="C1102" s="32">
        <v>0.50275462962962958</v>
      </c>
      <c r="D1102" s="33"/>
      <c r="E1102" s="34">
        <v>5217333361172</v>
      </c>
      <c r="F1102" s="33"/>
      <c r="G1102" s="33"/>
      <c r="H1102" s="35">
        <v>72876900548</v>
      </c>
      <c r="I1102" s="33"/>
      <c r="J1102" s="36"/>
      <c r="K1102" t="s">
        <v>32</v>
      </c>
      <c r="N1102" s="3">
        <f>L1102*0.3</f>
        <v>0</v>
      </c>
      <c r="O1102" s="3">
        <f>(IF(L1102&lt;4172.98,0,MIN(L1102*0.3,L1102-4172.98)))-M1102</f>
        <v>0</v>
      </c>
      <c r="S1102" s="3" t="s">
        <v>69</v>
      </c>
      <c r="V1102" s="51">
        <v>0.50277777777777777</v>
      </c>
      <c r="Z1102" s="181">
        <v>0</v>
      </c>
    </row>
    <row r="1103" spans="1:26" hidden="1">
      <c r="A1103" s="30">
        <v>23765755</v>
      </c>
      <c r="B1103" s="31">
        <v>46253</v>
      </c>
      <c r="C1103" s="32">
        <v>0.50769675925925928</v>
      </c>
      <c r="D1103" s="33"/>
      <c r="E1103" s="34">
        <v>5215631149040</v>
      </c>
      <c r="F1103" s="33"/>
      <c r="G1103" s="33"/>
      <c r="H1103" s="35">
        <v>19766029748</v>
      </c>
      <c r="I1103" s="33"/>
      <c r="J1103" s="36"/>
      <c r="K1103" t="s">
        <v>30</v>
      </c>
      <c r="L1103" s="111">
        <v>9081.52</v>
      </c>
      <c r="M1103" s="111">
        <v>2520</v>
      </c>
      <c r="N1103" s="3">
        <f>L1103*0.3</f>
        <v>2724.4560000000001</v>
      </c>
      <c r="O1103" s="3">
        <f>(IF(L1103&lt;4172.98,0,MIN(L1103*0.3,L1103-4172.98)))-M1103</f>
        <v>204.45600000000013</v>
      </c>
      <c r="P1103" s="6">
        <v>46327</v>
      </c>
      <c r="Q1103" t="s">
        <v>206</v>
      </c>
      <c r="R1103" s="111">
        <v>2520</v>
      </c>
      <c r="S1103" s="3" t="s">
        <v>69</v>
      </c>
      <c r="V1103" s="51">
        <v>0.50902777777777775</v>
      </c>
      <c r="Z1103" s="181">
        <v>2</v>
      </c>
    </row>
    <row r="1104" spans="1:26">
      <c r="A1104" s="98">
        <v>23766332</v>
      </c>
      <c r="B1104" s="100">
        <v>46253</v>
      </c>
      <c r="C1104" s="101">
        <v>0.51609953703703704</v>
      </c>
      <c r="D1104" s="99"/>
      <c r="E1104" s="99">
        <v>5213310729241</v>
      </c>
      <c r="F1104" s="99"/>
      <c r="G1104" s="99"/>
      <c r="H1104" s="99" t="s">
        <v>1103</v>
      </c>
      <c r="I1104" s="99"/>
      <c r="J1104" s="102"/>
      <c r="K1104" t="s">
        <v>54</v>
      </c>
      <c r="L1104" s="3">
        <v>21696.27</v>
      </c>
      <c r="N1104" s="3">
        <f>L1104*0.3</f>
        <v>6508.8810000000003</v>
      </c>
      <c r="O1104" s="3">
        <f>(IF(L1104&lt;4172.98,0,MIN(L1104*0.3,L1104-4172.98)))-M1104</f>
        <v>6508.8810000000003</v>
      </c>
      <c r="S1104" s="3" t="s">
        <v>28</v>
      </c>
      <c r="T1104" s="48">
        <v>46253</v>
      </c>
      <c r="V1104" s="51">
        <v>0.5180555555555556</v>
      </c>
      <c r="W1104" s="51">
        <v>0.52083333333333337</v>
      </c>
      <c r="X1104" s="51">
        <v>0.52847222222222223</v>
      </c>
      <c r="Y1104" s="51">
        <v>0.52916666666666667</v>
      </c>
      <c r="Z1104" s="181">
        <v>1</v>
      </c>
    </row>
    <row r="1105" spans="1:26">
      <c r="A1105" s="12">
        <v>23766172</v>
      </c>
      <c r="B1105" s="13">
        <v>46253</v>
      </c>
      <c r="C1105" s="14">
        <v>0.51745370370370369</v>
      </c>
      <c r="D1105" s="15"/>
      <c r="E1105" s="16">
        <v>5213112502853</v>
      </c>
      <c r="F1105" s="15"/>
      <c r="G1105" s="15" t="s">
        <v>1104</v>
      </c>
      <c r="H1105" s="17">
        <v>23836326886</v>
      </c>
      <c r="I1105" s="15"/>
      <c r="J1105" s="18"/>
      <c r="K1105" t="s">
        <v>54</v>
      </c>
      <c r="L1105" s="111">
        <v>9081.52</v>
      </c>
      <c r="M1105" s="111">
        <v>848</v>
      </c>
      <c r="N1105" s="3">
        <f>L1105*0.3</f>
        <v>2724.4560000000001</v>
      </c>
      <c r="O1105" s="3">
        <f>(IF(L1105&lt;4172.98,0,MIN(L1105*0.3,L1105-4172.98)))-M1105</f>
        <v>1876.4560000000001</v>
      </c>
      <c r="S1105" s="3" t="s">
        <v>62</v>
      </c>
      <c r="T1105" s="48">
        <v>46253</v>
      </c>
      <c r="V1105" s="51">
        <v>0.5180555555555556</v>
      </c>
      <c r="W1105" s="51">
        <v>0.52222222222222225</v>
      </c>
      <c r="X1105" s="51">
        <v>0.52638888888888891</v>
      </c>
      <c r="Y1105" s="51">
        <v>0.52847222222222223</v>
      </c>
      <c r="Z1105" s="181">
        <v>1</v>
      </c>
    </row>
    <row r="1106" spans="1:26" hidden="1">
      <c r="A1106" s="30">
        <v>23709240</v>
      </c>
      <c r="B1106" s="13">
        <v>46253</v>
      </c>
      <c r="C1106" s="14">
        <v>0.52231481481481479</v>
      </c>
      <c r="D1106" s="33" t="s">
        <v>1105</v>
      </c>
      <c r="E1106" s="34">
        <v>5217535339660</v>
      </c>
      <c r="F1106" s="33"/>
      <c r="G1106" s="33"/>
      <c r="H1106" s="35">
        <v>72826439209</v>
      </c>
      <c r="I1106" s="33"/>
      <c r="J1106" s="36"/>
      <c r="K1106" t="s">
        <v>30</v>
      </c>
      <c r="L1106" s="111">
        <v>32123.919999999998</v>
      </c>
      <c r="M1106" s="111">
        <v>9635.51</v>
      </c>
      <c r="N1106" s="3">
        <f>L1106*0.3</f>
        <v>9637.1759999999995</v>
      </c>
      <c r="O1106" s="3">
        <f>(IF(L1106&lt;4172.98,0,MIN(L1106*0.3,L1106-4172.98)))-M1106</f>
        <v>1.6659999999992579</v>
      </c>
      <c r="P1106" s="6">
        <v>46508</v>
      </c>
      <c r="Q1106" t="s">
        <v>206</v>
      </c>
      <c r="R1106" s="3">
        <v>3500</v>
      </c>
      <c r="S1106" s="53" t="s">
        <v>69</v>
      </c>
      <c r="V1106" s="51">
        <v>0.52222222222222225</v>
      </c>
      <c r="Z1106" s="181">
        <v>2</v>
      </c>
    </row>
    <row r="1107" spans="1:26" hidden="1">
      <c r="A1107" s="30">
        <v>23765967</v>
      </c>
      <c r="B1107" s="31">
        <v>46253</v>
      </c>
      <c r="C1107" s="32">
        <v>0.52309027777777772</v>
      </c>
      <c r="D1107" s="33"/>
      <c r="E1107" s="34">
        <v>5212218597290</v>
      </c>
      <c r="F1107" s="33"/>
      <c r="G1107" s="33"/>
      <c r="H1107" s="35" t="s">
        <v>1106</v>
      </c>
      <c r="I1107" s="33"/>
      <c r="J1107" s="36"/>
      <c r="K1107" t="s">
        <v>30</v>
      </c>
      <c r="L1107" s="3">
        <v>9760.32</v>
      </c>
      <c r="M1107" s="3">
        <v>2926.49</v>
      </c>
      <c r="N1107" s="3">
        <f>L1107*0.3</f>
        <v>2928.096</v>
      </c>
      <c r="O1107" s="3">
        <f>(IF(L1107&lt;4172.98,0,MIN(L1107*0.3,L1107-4172.98)))-M1107</f>
        <v>1.6060000000002219</v>
      </c>
      <c r="P1107" s="6">
        <v>46905</v>
      </c>
      <c r="Q1107" t="s">
        <v>833</v>
      </c>
      <c r="R1107" s="3">
        <v>2926.49</v>
      </c>
      <c r="S1107" s="3" t="s">
        <v>69</v>
      </c>
      <c r="V1107" s="51">
        <v>0.5229166666666667</v>
      </c>
      <c r="Z1107" s="181">
        <v>2</v>
      </c>
    </row>
    <row r="1108" spans="1:26" hidden="1">
      <c r="A1108" s="30">
        <v>23767138</v>
      </c>
      <c r="B1108" s="31">
        <v>46253</v>
      </c>
      <c r="C1108" s="32">
        <v>0.53673611111111108</v>
      </c>
      <c r="D1108" s="33"/>
      <c r="E1108" s="34">
        <v>5216241366570</v>
      </c>
      <c r="F1108" s="33"/>
      <c r="G1108" s="33" t="s">
        <v>1107</v>
      </c>
      <c r="H1108" s="35"/>
      <c r="I1108" s="33"/>
      <c r="J1108" s="36"/>
      <c r="K1108" t="s">
        <v>32</v>
      </c>
      <c r="N1108" s="3">
        <f>L1108*0.3</f>
        <v>0</v>
      </c>
      <c r="O1108" s="3">
        <f>(IF(L1108&lt;4172.98,0,MIN(L1108*0.3,L1108-4172.98)))-M1108</f>
        <v>0</v>
      </c>
      <c r="S1108" s="3" t="s">
        <v>69</v>
      </c>
      <c r="V1108" s="51">
        <v>0.53680555555555554</v>
      </c>
      <c r="Z1108" s="181">
        <v>0</v>
      </c>
    </row>
    <row r="1109" spans="1:26" hidden="1">
      <c r="A1109" s="30">
        <v>23767504</v>
      </c>
      <c r="B1109" s="31">
        <v>46253</v>
      </c>
      <c r="C1109" s="32">
        <v>0.54266203703703708</v>
      </c>
      <c r="D1109" s="33"/>
      <c r="E1109" s="34">
        <v>5218132525857</v>
      </c>
      <c r="F1109" s="33"/>
      <c r="G1109" s="33"/>
      <c r="H1109" s="35">
        <v>43985905462</v>
      </c>
      <c r="I1109" s="33"/>
      <c r="J1109" s="36"/>
      <c r="K1109" t="s">
        <v>51</v>
      </c>
      <c r="N1109" s="3">
        <f>L1109*0.3</f>
        <v>0</v>
      </c>
      <c r="O1109" s="3">
        <f>(IF(L1109&lt;4172.98,0,MIN(L1109*0.3,L1109-4172.98)))-M1109</f>
        <v>0</v>
      </c>
      <c r="S1109" s="3" t="s">
        <v>69</v>
      </c>
      <c r="V1109" s="51">
        <v>0.54374999999999996</v>
      </c>
      <c r="Z1109" s="181">
        <v>1</v>
      </c>
    </row>
    <row r="1110" spans="1:26">
      <c r="A1110" s="30">
        <v>23767716</v>
      </c>
      <c r="B1110" s="31">
        <v>46253</v>
      </c>
      <c r="C1110" s="32">
        <v>0.55252314814814818</v>
      </c>
      <c r="D1110" s="33"/>
      <c r="E1110" s="34">
        <v>5215549809191</v>
      </c>
      <c r="F1110" s="33"/>
      <c r="G1110" s="33"/>
      <c r="H1110" s="35" t="s">
        <v>1108</v>
      </c>
      <c r="I1110" s="33"/>
      <c r="J1110" s="36"/>
      <c r="K1110" t="s">
        <v>54</v>
      </c>
      <c r="L1110" s="3">
        <v>15829.2</v>
      </c>
      <c r="N1110" s="3">
        <f>L1110*0.3</f>
        <v>4748.76</v>
      </c>
      <c r="O1110" s="3">
        <f>(IF(L1110&lt;4172.98,0,MIN(L1110*0.3,L1110-4172.98)))-M1110</f>
        <v>4748.76</v>
      </c>
      <c r="S1110" s="3" t="s">
        <v>28</v>
      </c>
      <c r="T1110" s="48">
        <v>46253</v>
      </c>
      <c r="V1110" s="51">
        <v>0.55277777777777781</v>
      </c>
      <c r="W1110" s="51">
        <v>0.55486111111111114</v>
      </c>
      <c r="X1110" s="51">
        <v>0.55694444444444446</v>
      </c>
      <c r="Y1110" s="51">
        <v>0.55833333333333335</v>
      </c>
      <c r="Z1110" s="181">
        <v>1</v>
      </c>
    </row>
    <row r="1111" spans="1:26" hidden="1">
      <c r="A1111" s="12">
        <v>23768604</v>
      </c>
      <c r="B1111" s="13">
        <v>46253</v>
      </c>
      <c r="C1111" s="14">
        <v>0.56668981481481484</v>
      </c>
      <c r="D1111" s="15" t="s">
        <v>1109</v>
      </c>
      <c r="E1111" s="16">
        <v>5216441416084</v>
      </c>
      <c r="F1111" s="15"/>
      <c r="G1111" s="15" t="s">
        <v>1110</v>
      </c>
      <c r="H1111" s="17" t="s">
        <v>1111</v>
      </c>
      <c r="I1111" s="15"/>
      <c r="J1111" s="18"/>
      <c r="K1111" t="s">
        <v>30</v>
      </c>
      <c r="L1111" s="111">
        <v>7116.73</v>
      </c>
      <c r="M1111" s="111">
        <v>1852.79</v>
      </c>
      <c r="N1111" s="3">
        <f>L1111*0.3</f>
        <v>2135.0189999999998</v>
      </c>
      <c r="O1111" s="3">
        <f>(IF(L1111&lt;4172.98,0,MIN(L1111*0.3,L1111-4172.98)))-M1111</f>
        <v>282.22899999999981</v>
      </c>
      <c r="P1111" s="6">
        <v>46478</v>
      </c>
      <c r="Q1111" t="s">
        <v>75</v>
      </c>
      <c r="R1111" s="111">
        <v>1852.79</v>
      </c>
      <c r="S1111" s="3" t="s">
        <v>69</v>
      </c>
      <c r="V1111" s="51">
        <v>0.56944444444444442</v>
      </c>
      <c r="Z1111" s="181">
        <v>2</v>
      </c>
    </row>
    <row r="1112" spans="1:26" hidden="1">
      <c r="A1112" s="30">
        <v>23768294</v>
      </c>
      <c r="B1112" s="31">
        <v>46253</v>
      </c>
      <c r="C1112" s="32">
        <v>0.56802083333333331</v>
      </c>
      <c r="D1112" s="33" t="s">
        <v>1112</v>
      </c>
      <c r="E1112" s="34">
        <v>5218341899649</v>
      </c>
      <c r="F1112" s="33"/>
      <c r="G1112" s="33" t="s">
        <v>1113</v>
      </c>
      <c r="H1112" s="35" t="s">
        <v>1114</v>
      </c>
      <c r="I1112" s="33"/>
      <c r="J1112" s="36"/>
      <c r="K1112" t="s">
        <v>30</v>
      </c>
      <c r="L1112" s="3">
        <f>6503.38+285.74+2361.85</f>
        <v>9150.9699999999993</v>
      </c>
      <c r="M1112" s="3">
        <f>285.74+2361.85</f>
        <v>2647.59</v>
      </c>
      <c r="N1112" s="3">
        <f>L1112*0.3</f>
        <v>2745.2909999999997</v>
      </c>
      <c r="O1112" s="3">
        <f>(IF(L1112&lt;4172.98,0,MIN(L1112*0.3,L1112-4172.98)))-M1112</f>
        <v>97.700999999999567</v>
      </c>
      <c r="P1112" s="6">
        <v>46296</v>
      </c>
      <c r="Q1112" t="s">
        <v>75</v>
      </c>
      <c r="R1112" s="3">
        <v>2631.85</v>
      </c>
      <c r="S1112" s="3" t="s">
        <v>69</v>
      </c>
      <c r="V1112" s="51">
        <v>0.56944444444444442</v>
      </c>
      <c r="Z1112" s="181">
        <v>2</v>
      </c>
    </row>
    <row r="1113" spans="1:26" hidden="1">
      <c r="A1113" s="30">
        <v>23768958</v>
      </c>
      <c r="B1113" s="31">
        <v>46253</v>
      </c>
      <c r="C1113" s="32">
        <v>0.5806365740740741</v>
      </c>
      <c r="D1113" s="33"/>
      <c r="E1113" s="34">
        <v>5216864231210</v>
      </c>
      <c r="F1113" s="33"/>
      <c r="G1113" s="33" t="s">
        <v>1115</v>
      </c>
      <c r="H1113" s="35"/>
      <c r="I1113" s="33"/>
      <c r="J1113" s="36"/>
      <c r="K1113" t="s">
        <v>30</v>
      </c>
      <c r="L1113" s="111">
        <v>7116.73</v>
      </c>
      <c r="M1113" s="111">
        <v>2133.37</v>
      </c>
      <c r="N1113" s="3">
        <f>L1113*0.3</f>
        <v>2135.0189999999998</v>
      </c>
      <c r="O1113" s="3">
        <f>(IF(L1113&lt;4172.98,0,MIN(L1113*0.3,L1113-4172.98)))-M1113</f>
        <v>1.6489999999998872</v>
      </c>
      <c r="P1113" s="6">
        <v>46327</v>
      </c>
      <c r="Q1113" t="s">
        <v>75</v>
      </c>
      <c r="R1113" s="3">
        <v>1975.37</v>
      </c>
      <c r="S1113" s="3" t="s">
        <v>69</v>
      </c>
      <c r="V1113" s="51">
        <v>0.5805555555555556</v>
      </c>
      <c r="Z1113" s="181">
        <v>2</v>
      </c>
    </row>
    <row r="1114" spans="1:26" hidden="1">
      <c r="A1114" s="30">
        <v>23770348</v>
      </c>
      <c r="B1114" s="31">
        <v>46253</v>
      </c>
      <c r="C1114" s="32">
        <v>0.60140046296296301</v>
      </c>
      <c r="D1114" s="33"/>
      <c r="E1114" s="34">
        <v>5218122197975</v>
      </c>
      <c r="F1114" s="33"/>
      <c r="G1114" s="33"/>
      <c r="H1114" s="35">
        <v>43806415071</v>
      </c>
      <c r="I1114" s="33"/>
      <c r="J1114" s="36"/>
      <c r="K1114" t="s">
        <v>30</v>
      </c>
      <c r="L1114" s="111">
        <v>9081.51</v>
      </c>
      <c r="M1114" s="111">
        <v>2627.26</v>
      </c>
      <c r="N1114" s="3">
        <f>L1114*0.3</f>
        <v>2724.453</v>
      </c>
      <c r="O1114" s="3">
        <f>(IF(L1114&lt;4172.98,0,MIN(L1114*0.3,L1114-4172.98)))-M1114</f>
        <v>97.192999999999756</v>
      </c>
      <c r="P1114" s="6">
        <v>46539</v>
      </c>
      <c r="Q1114" t="s">
        <v>77</v>
      </c>
      <c r="R1114" s="111">
        <v>2627.26</v>
      </c>
      <c r="S1114" s="3" t="s">
        <v>69</v>
      </c>
      <c r="V1114" s="51">
        <v>0.60277777777777775</v>
      </c>
      <c r="Z1114" s="181">
        <v>2</v>
      </c>
    </row>
    <row r="1115" spans="1:26" hidden="1">
      <c r="A1115" s="30">
        <v>23770704</v>
      </c>
      <c r="B1115" s="31">
        <v>46253</v>
      </c>
      <c r="C1115" s="32">
        <v>0.61325231481481479</v>
      </c>
      <c r="D1115" s="33"/>
      <c r="E1115" s="34">
        <v>5215572933894</v>
      </c>
      <c r="F1115" s="33"/>
      <c r="G1115" s="33"/>
      <c r="H1115" s="35">
        <v>12816442987</v>
      </c>
      <c r="I1115" s="33"/>
      <c r="J1115" s="36"/>
      <c r="K1115" t="s">
        <v>58</v>
      </c>
      <c r="L1115" s="3">
        <v>4387.51</v>
      </c>
      <c r="N1115" s="3">
        <f>L1115*0.3</f>
        <v>1316.2529999999999</v>
      </c>
      <c r="O1115" s="3">
        <f>(IF(L1115&lt;4172.98,0,MIN(L1115*0.3,L1115-4172.98)))-M1115</f>
        <v>214.53000000000065</v>
      </c>
      <c r="S1115" s="3" t="s">
        <v>69</v>
      </c>
      <c r="V1115" s="51">
        <v>0.61319444444444449</v>
      </c>
      <c r="Z1115" s="181">
        <v>1</v>
      </c>
    </row>
    <row r="1116" spans="1:26">
      <c r="A1116" s="30">
        <v>23770750</v>
      </c>
      <c r="B1116" s="31">
        <v>46253</v>
      </c>
      <c r="C1116" s="32">
        <v>0.61457175925925922</v>
      </c>
      <c r="D1116" s="33"/>
      <c r="E1116" s="34">
        <v>5216441898812</v>
      </c>
      <c r="F1116" s="33"/>
      <c r="G1116" s="33"/>
      <c r="H1116" s="35">
        <v>24796149029</v>
      </c>
      <c r="I1116" s="33"/>
      <c r="J1116" s="36"/>
      <c r="K1116" t="s">
        <v>38</v>
      </c>
      <c r="L1116" s="3">
        <v>9760.32</v>
      </c>
      <c r="M1116" s="3">
        <v>2291.11</v>
      </c>
      <c r="N1116" s="3">
        <f>L1116*0.3</f>
        <v>2928.096</v>
      </c>
      <c r="O1116" s="3">
        <f>(IF(L1116&lt;4172.98,0,MIN(L1116*0.3,L1116-4172.98)))-M1116</f>
        <v>636.98599999999988</v>
      </c>
      <c r="P1116" s="6">
        <v>46539</v>
      </c>
      <c r="Q1116" t="s">
        <v>77</v>
      </c>
      <c r="R1116" s="3">
        <v>2291.11</v>
      </c>
      <c r="S1116" s="3" t="s">
        <v>266</v>
      </c>
      <c r="T1116" s="48">
        <v>46253</v>
      </c>
      <c r="V1116" s="51">
        <v>0.61458333333333337</v>
      </c>
      <c r="W1116" s="51">
        <v>0.62152777777777779</v>
      </c>
      <c r="X1116" s="51">
        <v>0.62222222222222223</v>
      </c>
      <c r="Y1116" s="51">
        <v>0.6333333333333333</v>
      </c>
      <c r="Z1116" s="181">
        <v>2</v>
      </c>
    </row>
    <row r="1117" spans="1:26" hidden="1">
      <c r="A1117" s="30">
        <v>23770948</v>
      </c>
      <c r="B1117" s="31">
        <v>46253</v>
      </c>
      <c r="C1117" s="32">
        <v>0.62231481481481477</v>
      </c>
      <c r="D1117" s="33"/>
      <c r="E1117" s="34">
        <v>5215543010155</v>
      </c>
      <c r="F1117" s="33"/>
      <c r="G1117" s="33"/>
      <c r="H1117" s="35">
        <v>17806252734</v>
      </c>
      <c r="I1117" s="33"/>
      <c r="J1117" s="36"/>
      <c r="K1117" t="s">
        <v>30</v>
      </c>
      <c r="L1117" s="111">
        <v>7116.73</v>
      </c>
      <c r="M1117" s="111">
        <v>2059.04</v>
      </c>
      <c r="N1117" s="3">
        <f>L1117*0.3</f>
        <v>2135.0189999999998</v>
      </c>
      <c r="O1117" s="3">
        <f>(IF(L1117&lt;4172.98,0,MIN(L1117*0.3,L1117-4172.98)))-M1117</f>
        <v>75.978999999999814</v>
      </c>
      <c r="P1117" s="6">
        <v>46508</v>
      </c>
      <c r="Q1117" t="s">
        <v>141</v>
      </c>
      <c r="R1117" s="111">
        <v>2059.04</v>
      </c>
      <c r="S1117" s="3" t="s">
        <v>69</v>
      </c>
      <c r="V1117" s="51">
        <v>0.62430555555555556</v>
      </c>
      <c r="Z1117" s="181">
        <v>2</v>
      </c>
    </row>
    <row r="1118" spans="1:26">
      <c r="A1118" s="30">
        <v>23772642</v>
      </c>
      <c r="B1118" s="31">
        <v>46253</v>
      </c>
      <c r="C1118" s="32">
        <v>0.63608796296296299</v>
      </c>
      <c r="D1118" s="33"/>
      <c r="E1118" s="34">
        <v>5215578533136</v>
      </c>
      <c r="F1118" s="33"/>
      <c r="G1118" s="33" t="s">
        <v>1116</v>
      </c>
      <c r="H1118" s="35"/>
      <c r="I1118" s="33"/>
      <c r="J1118" s="36"/>
      <c r="K1118" t="s">
        <v>54</v>
      </c>
      <c r="L1118" s="3">
        <v>11344.78</v>
      </c>
      <c r="N1118" s="3">
        <f>L1118*0.3</f>
        <v>3403.4340000000002</v>
      </c>
      <c r="O1118" s="3">
        <f>(IF(L1118&lt;4172.98,0,MIN(L1118*0.3,L1118-4172.98)))-M1118</f>
        <v>3403.4340000000002</v>
      </c>
      <c r="S1118" s="3" t="s">
        <v>28</v>
      </c>
      <c r="T1118" s="48">
        <v>46253</v>
      </c>
      <c r="V1118" s="51">
        <v>0.63541666666666663</v>
      </c>
      <c r="W1118" s="51">
        <v>0.63888888888888884</v>
      </c>
      <c r="X1118" s="51">
        <v>0.64097222222222228</v>
      </c>
      <c r="Y1118" s="51">
        <v>0.64166666666666672</v>
      </c>
      <c r="Z1118" s="181">
        <v>1</v>
      </c>
    </row>
    <row r="1119" spans="1:26">
      <c r="A1119" s="12">
        <v>23772650</v>
      </c>
      <c r="B1119" s="13">
        <v>46253</v>
      </c>
      <c r="C1119" s="14">
        <v>0.63694444444444442</v>
      </c>
      <c r="D1119" s="15"/>
      <c r="E1119" s="16">
        <v>5218126210140</v>
      </c>
      <c r="F1119" s="15"/>
      <c r="G1119" s="15"/>
      <c r="H1119" s="17">
        <v>34886500742</v>
      </c>
      <c r="I1119" s="15"/>
      <c r="J1119" s="18"/>
      <c r="K1119" t="s">
        <v>54</v>
      </c>
      <c r="L1119" s="3">
        <v>23704.43</v>
      </c>
      <c r="N1119" s="3">
        <f t="shared" ref="N1119:N1121" si="102">L1119*0.3</f>
        <v>7111.3289999999997</v>
      </c>
      <c r="O1119" s="3">
        <f>(IF(L1119&lt;4172.98,0,MIN(L1119*0.3,L1119-4172.98)))-M1119</f>
        <v>7111.3289999999997</v>
      </c>
      <c r="S1119" s="3" t="s">
        <v>35</v>
      </c>
      <c r="T1119" s="48">
        <v>46253</v>
      </c>
      <c r="V1119" s="51">
        <v>0.63680555555555551</v>
      </c>
      <c r="W1119" s="51">
        <v>0.64444444444444449</v>
      </c>
      <c r="X1119" s="51">
        <v>0.65</v>
      </c>
      <c r="Y1119" s="51">
        <v>0.74305555555555558</v>
      </c>
      <c r="Z1119" s="181">
        <v>1</v>
      </c>
    </row>
    <row r="1120" spans="1:26" hidden="1">
      <c r="A1120" s="12">
        <v>23772520</v>
      </c>
      <c r="B1120" s="13">
        <v>46253</v>
      </c>
      <c r="C1120" s="14">
        <v>0.63783564814814819</v>
      </c>
      <c r="D1120" s="15"/>
      <c r="E1120" s="16">
        <v>5215515934975</v>
      </c>
      <c r="F1120" s="15"/>
      <c r="G1120" s="15" t="s">
        <v>1117</v>
      </c>
      <c r="H1120" s="17">
        <v>94906119246</v>
      </c>
      <c r="I1120" s="15"/>
      <c r="J1120" s="18"/>
      <c r="K1120" t="s">
        <v>30</v>
      </c>
      <c r="L1120" s="3">
        <v>7135.6</v>
      </c>
      <c r="M1120" s="3">
        <v>2140.6799999999998</v>
      </c>
      <c r="N1120" s="3">
        <f t="shared" si="102"/>
        <v>2140.6799999999998</v>
      </c>
      <c r="O1120" s="3">
        <f>(IF(L1120&lt;4172.98,0,MIN(L1120*0.3,L1120-4172.98)))-M1120</f>
        <v>0</v>
      </c>
      <c r="P1120" s="6">
        <v>46692</v>
      </c>
      <c r="Q1120" t="s">
        <v>75</v>
      </c>
      <c r="R1120" s="3">
        <v>1818.37</v>
      </c>
      <c r="S1120" s="3" t="s">
        <v>69</v>
      </c>
      <c r="V1120" s="51">
        <v>0.63749999999999996</v>
      </c>
      <c r="Z1120" s="181">
        <v>2</v>
      </c>
    </row>
    <row r="1121" spans="1:26">
      <c r="A1121" s="30">
        <v>23772790</v>
      </c>
      <c r="B1121" s="31">
        <v>46253</v>
      </c>
      <c r="C1121" s="32">
        <v>0.6378935185185185</v>
      </c>
      <c r="D1121" s="33"/>
      <c r="E1121" s="34">
        <v>5217841414001</v>
      </c>
      <c r="F1121" s="33"/>
      <c r="G1121" s="33"/>
      <c r="H1121" s="35" t="s">
        <v>1118</v>
      </c>
      <c r="I1121" s="33"/>
      <c r="J1121" s="36"/>
      <c r="K1121" t="s">
        <v>54</v>
      </c>
      <c r="L1121" s="3">
        <v>10636.54</v>
      </c>
      <c r="N1121" s="3">
        <f t="shared" si="102"/>
        <v>3190.962</v>
      </c>
      <c r="O1121" s="3">
        <f>(IF(L1121&lt;4172.98,0,MIN(L1121*0.3,L1121-4172.98)))-M1121</f>
        <v>3190.962</v>
      </c>
      <c r="S1121" s="3" t="s">
        <v>90</v>
      </c>
      <c r="T1121" s="48">
        <v>46253</v>
      </c>
      <c r="V1121" s="51">
        <v>0.63749999999999996</v>
      </c>
      <c r="W1121" s="51">
        <v>0.64513888888888893</v>
      </c>
      <c r="X1121" s="51">
        <v>0.64861111111111114</v>
      </c>
      <c r="Y1121" s="51">
        <v>0.65</v>
      </c>
      <c r="Z1121" s="181">
        <v>1</v>
      </c>
    </row>
    <row r="1122" spans="1:26" hidden="1">
      <c r="A1122" s="12">
        <v>23772634</v>
      </c>
      <c r="B1122" s="13">
        <v>46253</v>
      </c>
      <c r="C1122" s="14">
        <v>0.64326388888888886</v>
      </c>
      <c r="D1122" s="15"/>
      <c r="E1122" s="16">
        <v>5216141321744</v>
      </c>
      <c r="F1122" s="15"/>
      <c r="G1122" s="15"/>
      <c r="H1122" s="17">
        <v>50957714228</v>
      </c>
      <c r="I1122" s="15"/>
      <c r="J1122" s="36"/>
      <c r="K1122" t="s">
        <v>30</v>
      </c>
      <c r="L1122" s="111">
        <v>6743.79</v>
      </c>
      <c r="M1122" s="111">
        <v>1951.14</v>
      </c>
      <c r="N1122" s="3">
        <f t="shared" ref="N1122:N1124" si="103">L1122*0.3</f>
        <v>2023.1369999999999</v>
      </c>
      <c r="O1122" s="3">
        <f>(IF(L1122&lt;4172.98,0,MIN(L1122*0.3,L1122-4172.98)))-M1122</f>
        <v>71.996999999999844</v>
      </c>
      <c r="P1122" s="6">
        <v>46600</v>
      </c>
      <c r="Q1122" t="s">
        <v>75</v>
      </c>
      <c r="R1122" s="111">
        <v>1951.14</v>
      </c>
      <c r="S1122" s="3" t="s">
        <v>69</v>
      </c>
      <c r="V1122" s="51">
        <v>0.6430555555555556</v>
      </c>
      <c r="Z1122" s="181">
        <v>2</v>
      </c>
    </row>
    <row r="1123" spans="1:26" hidden="1">
      <c r="A1123" s="12">
        <v>23772844</v>
      </c>
      <c r="B1123" s="13">
        <v>46253</v>
      </c>
      <c r="C1123" s="14">
        <v>0.64400462962962968</v>
      </c>
      <c r="D1123" s="15"/>
      <c r="E1123" s="16">
        <v>5219171163331</v>
      </c>
      <c r="F1123" s="15"/>
      <c r="G1123" s="15" t="s">
        <v>1119</v>
      </c>
      <c r="H1123" s="17"/>
      <c r="I1123" s="15"/>
      <c r="J1123" s="36"/>
      <c r="K1123" t="s">
        <v>30</v>
      </c>
      <c r="L1123" s="3">
        <v>5617.63</v>
      </c>
      <c r="M1123" s="3">
        <v>1444.62</v>
      </c>
      <c r="N1123" s="3">
        <f t="shared" si="103"/>
        <v>1685.289</v>
      </c>
      <c r="O1123" s="3">
        <f>(IF(L1123&lt;4172.98,0,MIN(L1123*0.3,L1123-4172.98)))-M1123</f>
        <v>3.0000000000654836E-2</v>
      </c>
      <c r="P1123" s="6">
        <v>46844</v>
      </c>
      <c r="Q1123" t="s">
        <v>141</v>
      </c>
      <c r="R1123" s="3">
        <v>1444.62</v>
      </c>
      <c r="S1123" s="3" t="s">
        <v>69</v>
      </c>
      <c r="V1123" s="51">
        <v>0.64375000000000004</v>
      </c>
      <c r="Z1123" s="181">
        <v>2</v>
      </c>
    </row>
    <row r="1124" spans="1:26" hidden="1">
      <c r="A1124" s="30">
        <v>23772986</v>
      </c>
      <c r="B1124" s="31">
        <v>46253</v>
      </c>
      <c r="C1124" s="32">
        <v>0.64790509259259255</v>
      </c>
      <c r="D1124" s="33"/>
      <c r="E1124" s="34">
        <v>5213121005527</v>
      </c>
      <c r="F1124" s="33"/>
      <c r="G1124" s="33"/>
      <c r="H1124" s="35">
        <v>12796116775</v>
      </c>
      <c r="I1124" s="33"/>
      <c r="J1124" s="36"/>
      <c r="K1124" t="s">
        <v>30</v>
      </c>
      <c r="L1124" s="3">
        <v>6262.86</v>
      </c>
      <c r="M1124" s="3">
        <v>1771.97</v>
      </c>
      <c r="N1124" s="3">
        <f t="shared" si="103"/>
        <v>1878.8579999999997</v>
      </c>
      <c r="O1124" s="3">
        <f>(IF(L1124&lt;4172.98,0,MIN(L1124*0.3,L1124-4172.98)))-M1124</f>
        <v>106.88799999999969</v>
      </c>
      <c r="P1124" s="6">
        <v>46753</v>
      </c>
      <c r="Q1124" t="s">
        <v>43</v>
      </c>
      <c r="R1124" s="3">
        <v>1771.97</v>
      </c>
      <c r="S1124" s="3" t="s">
        <v>69</v>
      </c>
      <c r="V1124" s="51">
        <v>0.64722222222222225</v>
      </c>
      <c r="Z1124" s="181">
        <v>2</v>
      </c>
    </row>
    <row r="1125" spans="1:26" hidden="1">
      <c r="A1125" s="30">
        <v>23773284</v>
      </c>
      <c r="B1125" s="31">
        <v>46253</v>
      </c>
      <c r="C1125" s="32">
        <v>0.66237268518518522</v>
      </c>
      <c r="D1125" s="33"/>
      <c r="E1125" s="34">
        <v>5216621732102</v>
      </c>
      <c r="F1125" s="33"/>
      <c r="G1125" s="33" t="s">
        <v>1120</v>
      </c>
      <c r="H1125" s="35" t="s">
        <v>1121</v>
      </c>
      <c r="I1125" s="33"/>
      <c r="J1125" s="36"/>
      <c r="K1125" t="s">
        <v>58</v>
      </c>
      <c r="L1125" s="111">
        <v>3961.31</v>
      </c>
      <c r="M1125" s="111">
        <v>848</v>
      </c>
      <c r="N1125" s="3">
        <f>L1125*0.3</f>
        <v>1188.393</v>
      </c>
      <c r="O1125" s="3">
        <f>(IF(L1125&lt;4172.98,0,MIN(L1125*0.3,L1125-4172.98)))-M1125</f>
        <v>-848</v>
      </c>
      <c r="S1125" s="3" t="s">
        <v>69</v>
      </c>
      <c r="V1125" s="51">
        <v>0.66319444444444442</v>
      </c>
      <c r="Z1125" s="181">
        <v>1</v>
      </c>
    </row>
    <row r="1126" spans="1:26" hidden="1">
      <c r="A1126" s="30">
        <v>23774434</v>
      </c>
      <c r="B1126" s="31">
        <v>46253</v>
      </c>
      <c r="C1126" s="32">
        <v>0.68334490740740739</v>
      </c>
      <c r="D1126" s="33"/>
      <c r="E1126" s="34">
        <v>5215629973130</v>
      </c>
      <c r="F1126" s="33"/>
      <c r="G1126" s="33" t="s">
        <v>1122</v>
      </c>
      <c r="H1126" s="35"/>
      <c r="I1126" s="33"/>
      <c r="J1126" s="36"/>
      <c r="K1126" t="s">
        <v>32</v>
      </c>
      <c r="N1126" s="3">
        <f>L1126*0.3</f>
        <v>0</v>
      </c>
      <c r="O1126" s="3">
        <f>(IF(L1126&lt;4172.98,0,MIN(L1126*0.3,L1126-4172.98)))-M1126</f>
        <v>0</v>
      </c>
      <c r="S1126" s="3" t="s">
        <v>69</v>
      </c>
      <c r="V1126" s="51">
        <v>0.68333333333333335</v>
      </c>
      <c r="Z1126" s="181">
        <v>0</v>
      </c>
    </row>
    <row r="1127" spans="1:26">
      <c r="A1127" s="30">
        <v>23774854</v>
      </c>
      <c r="B1127" s="31">
        <v>46253</v>
      </c>
      <c r="C1127" s="32">
        <v>0.69097222222222221</v>
      </c>
      <c r="D1127" s="33"/>
      <c r="E1127" s="34">
        <v>5216221475211</v>
      </c>
      <c r="F1127" s="33"/>
      <c r="G1127" s="33"/>
      <c r="H1127" s="35" t="s">
        <v>1123</v>
      </c>
      <c r="I1127" s="33"/>
      <c r="J1127" s="36"/>
      <c r="K1127" t="s">
        <v>54</v>
      </c>
      <c r="L1127" s="3">
        <v>6262.86</v>
      </c>
      <c r="N1127" s="3">
        <f>L1127*0.3</f>
        <v>1878.8579999999997</v>
      </c>
      <c r="O1127" s="3">
        <f>(IF(L1127&lt;4172.98,0,MIN(L1127*0.3,L1127-4172.98)))-M1127</f>
        <v>1878.8579999999997</v>
      </c>
      <c r="S1127" s="3" t="s">
        <v>62</v>
      </c>
      <c r="T1127" s="48">
        <v>46253</v>
      </c>
      <c r="V1127" s="51">
        <v>0.69097222222222221</v>
      </c>
      <c r="W1127" s="51">
        <v>0.69861111111111107</v>
      </c>
      <c r="X1127" s="51">
        <v>0.70138888888888884</v>
      </c>
      <c r="Y1127" s="51">
        <v>0.70347222222222228</v>
      </c>
      <c r="Z1127" s="181">
        <v>1</v>
      </c>
    </row>
    <row r="1128" spans="1:26" hidden="1">
      <c r="A1128" s="30">
        <v>23774956</v>
      </c>
      <c r="B1128" s="31">
        <v>46253</v>
      </c>
      <c r="C1128" s="32">
        <v>0.69693287037037033</v>
      </c>
      <c r="D1128" s="33" t="s">
        <v>1124</v>
      </c>
      <c r="E1128" s="34">
        <v>5212463932428</v>
      </c>
      <c r="F1128" s="33"/>
      <c r="G1128" s="33" t="s">
        <v>1125</v>
      </c>
      <c r="H1128" s="35"/>
      <c r="I1128" s="33"/>
      <c r="J1128" s="36"/>
      <c r="K1128" t="s">
        <v>30</v>
      </c>
      <c r="L1128" s="3">
        <v>5925</v>
      </c>
      <c r="M1128" s="3">
        <v>1684.25</v>
      </c>
      <c r="N1128" s="3">
        <f>L1128*0.3</f>
        <v>1777.5</v>
      </c>
      <c r="O1128" s="3">
        <f>(IF(L1128&lt;4172.98,0,MIN(L1128*0.3,L1128-4172.98)))-M1128</f>
        <v>67.770000000000437</v>
      </c>
      <c r="P1128" s="6">
        <v>46692</v>
      </c>
      <c r="Q1128" t="s">
        <v>206</v>
      </c>
      <c r="R1128" s="3">
        <v>1684.25</v>
      </c>
      <c r="S1128" s="3" t="s">
        <v>69</v>
      </c>
      <c r="V1128" s="51">
        <v>0.69722222222222219</v>
      </c>
      <c r="Z1128" s="181">
        <v>2</v>
      </c>
    </row>
    <row r="1129" spans="1:26" hidden="1">
      <c r="A1129" s="30">
        <v>23775380</v>
      </c>
      <c r="B1129" s="31">
        <v>46253</v>
      </c>
      <c r="C1129" s="32">
        <v>0.71109953703703699</v>
      </c>
      <c r="D1129" s="33"/>
      <c r="E1129" s="34">
        <v>5212214050138</v>
      </c>
      <c r="F1129" s="33"/>
      <c r="G1129" s="33" t="s">
        <v>1126</v>
      </c>
      <c r="H1129" s="35"/>
      <c r="I1129" s="33"/>
      <c r="J1129" s="36"/>
      <c r="K1129" t="s">
        <v>32</v>
      </c>
      <c r="N1129" s="3">
        <f>L1129*0.3</f>
        <v>0</v>
      </c>
      <c r="O1129" s="3">
        <f>(IF(L1129&lt;4172.98,0,MIN(L1129*0.3,L1129-4172.98)))-M1129</f>
        <v>0</v>
      </c>
      <c r="S1129" s="3" t="s">
        <v>69</v>
      </c>
      <c r="V1129" s="51">
        <v>0.7104166666666667</v>
      </c>
      <c r="Z1129" s="181">
        <v>0</v>
      </c>
    </row>
    <row r="1130" spans="1:26" hidden="1">
      <c r="A1130" s="30">
        <v>23776346</v>
      </c>
      <c r="B1130" s="31">
        <v>46253</v>
      </c>
      <c r="C1130" s="32">
        <v>0.72666666666666668</v>
      </c>
      <c r="D1130" s="33" t="s">
        <v>1127</v>
      </c>
      <c r="E1130" s="34">
        <v>5215545232161</v>
      </c>
      <c r="F1130" s="33"/>
      <c r="G1130" s="33"/>
      <c r="H1130" s="35">
        <v>10786000892</v>
      </c>
      <c r="I1130" s="33"/>
      <c r="J1130" s="36"/>
      <c r="K1130" t="s">
        <v>30</v>
      </c>
      <c r="L1130" s="111">
        <v>5617.63</v>
      </c>
      <c r="M1130" s="111">
        <v>1393.24</v>
      </c>
      <c r="N1130" s="3">
        <f>L1130*0.3</f>
        <v>1685.289</v>
      </c>
      <c r="O1130" s="3">
        <f>(IF(L1130&lt;4172.98,0,MIN(L1130*0.3,L1130-4172.98)))-M1130</f>
        <v>51.410000000000537</v>
      </c>
      <c r="P1130" s="6">
        <v>46569</v>
      </c>
      <c r="Q1130" t="s">
        <v>206</v>
      </c>
      <c r="R1130" s="111">
        <v>1393.24</v>
      </c>
      <c r="S1130" s="3" t="s">
        <v>69</v>
      </c>
      <c r="V1130" s="51">
        <v>0.7270833333333333</v>
      </c>
      <c r="Z1130" s="181">
        <v>2</v>
      </c>
    </row>
    <row r="1131" spans="1:26">
      <c r="A1131" s="30">
        <v>23776350</v>
      </c>
      <c r="B1131" s="31">
        <v>46253</v>
      </c>
      <c r="C1131" s="32">
        <v>0.72923611111111108</v>
      </c>
      <c r="D1131" s="33" t="s">
        <v>1128</v>
      </c>
      <c r="E1131" s="34">
        <v>5215573761688</v>
      </c>
      <c r="F1131" s="33"/>
      <c r="G1131" s="33" t="s">
        <v>1129</v>
      </c>
      <c r="H1131" s="35"/>
      <c r="I1131" s="33"/>
      <c r="J1131" s="36"/>
      <c r="K1131" t="s">
        <v>27</v>
      </c>
      <c r="L1131" s="111">
        <v>6262.86</v>
      </c>
      <c r="M1131" s="111">
        <v>1651.84</v>
      </c>
      <c r="N1131" s="3">
        <f>L1131*0.3</f>
        <v>1878.8579999999997</v>
      </c>
      <c r="O1131" s="3">
        <f>(IF(L1131&lt;4172.98,0,MIN(L1131*0.3,L1131-4172.98)))-M1131</f>
        <v>227.0179999999998</v>
      </c>
      <c r="P1131" s="6">
        <v>45901</v>
      </c>
      <c r="Q1131" t="s">
        <v>75</v>
      </c>
      <c r="R1131" s="111">
        <v>1651.84</v>
      </c>
      <c r="S1131" s="3" t="s">
        <v>886</v>
      </c>
      <c r="T1131" s="48">
        <v>46253</v>
      </c>
      <c r="V1131" s="51">
        <v>0.72916666666666663</v>
      </c>
      <c r="W1131" s="51">
        <v>0.74375000000000002</v>
      </c>
      <c r="X1131" s="51">
        <v>0.74652777777777779</v>
      </c>
      <c r="Y1131" s="51">
        <v>0.74791666666666667</v>
      </c>
      <c r="Z1131" s="181">
        <v>2</v>
      </c>
    </row>
    <row r="1132" spans="1:26" hidden="1">
      <c r="A1132" s="30">
        <v>23777022</v>
      </c>
      <c r="B1132" s="31">
        <v>46253</v>
      </c>
      <c r="C1132" s="32">
        <v>0.74805555555555558</v>
      </c>
      <c r="D1132" s="33"/>
      <c r="E1132" s="34">
        <v>5216391293984</v>
      </c>
      <c r="F1132" s="33"/>
      <c r="G1132" s="33"/>
      <c r="H1132" s="35" t="s">
        <v>1130</v>
      </c>
      <c r="I1132" s="33"/>
      <c r="J1132" s="36"/>
      <c r="K1132" t="s">
        <v>58</v>
      </c>
      <c r="L1132" s="111">
        <v>4813.6899999999996</v>
      </c>
      <c r="M1132" s="111">
        <v>848</v>
      </c>
      <c r="N1132" s="3">
        <f>L1132*0.3</f>
        <v>1444.1069999999997</v>
      </c>
      <c r="O1132" s="3">
        <f>(IF(L1132&lt;4172.98,0,MIN(L1132*0.3,L1132-4172.98)))-M1132</f>
        <v>-207.28999999999996</v>
      </c>
      <c r="S1132" s="3" t="s">
        <v>69</v>
      </c>
      <c r="V1132" s="51">
        <v>0.74861111111111112</v>
      </c>
      <c r="Z1132" s="181">
        <v>1</v>
      </c>
    </row>
    <row r="1133" spans="1:26">
      <c r="A1133" s="30">
        <v>23776894</v>
      </c>
      <c r="B1133" s="31">
        <v>46253</v>
      </c>
      <c r="C1133" s="32">
        <v>0.74890046296296298</v>
      </c>
      <c r="D1133" s="33"/>
      <c r="E1133" s="34">
        <v>5212949459722</v>
      </c>
      <c r="F1133" s="33"/>
      <c r="G1133" s="33"/>
      <c r="H1133" s="35" t="s">
        <v>1131</v>
      </c>
      <c r="I1133" s="33"/>
      <c r="J1133" s="36"/>
      <c r="K1133" t="s">
        <v>38</v>
      </c>
      <c r="L1133" s="3">
        <v>5348.64</v>
      </c>
      <c r="N1133" s="3">
        <f>L1133*0.3</f>
        <v>1604.5920000000001</v>
      </c>
      <c r="O1133" s="3">
        <f>(IF(L1133&lt;4172.98,0,MIN(L1133*0.3,L1133-4172.98)))-M1133</f>
        <v>1175.6600000000008</v>
      </c>
      <c r="S1133" s="3" t="s">
        <v>39</v>
      </c>
      <c r="T1133" s="48">
        <v>46253</v>
      </c>
      <c r="V1133" s="51">
        <v>0.74861111111111112</v>
      </c>
      <c r="W1133" s="51">
        <v>0.75555555555555554</v>
      </c>
      <c r="X1133" s="51">
        <v>0.75694444444444442</v>
      </c>
      <c r="Y1133" s="51">
        <v>0.75902777777777775</v>
      </c>
      <c r="Z1133" s="181">
        <v>1</v>
      </c>
    </row>
    <row r="1134" spans="1:26" hidden="1">
      <c r="A1134" s="30">
        <v>23777264</v>
      </c>
      <c r="B1134" s="31">
        <v>46253</v>
      </c>
      <c r="C1134" s="32">
        <v>0.75858796296296294</v>
      </c>
      <c r="D1134" s="33"/>
      <c r="E1134" s="34">
        <v>5218211183348</v>
      </c>
      <c r="F1134" s="33"/>
      <c r="G1134" s="33"/>
      <c r="H1134" s="35" t="s">
        <v>1132</v>
      </c>
      <c r="I1134" s="33"/>
      <c r="J1134" s="36"/>
      <c r="K1134" t="s">
        <v>58</v>
      </c>
      <c r="L1134" s="3">
        <v>4336.66</v>
      </c>
      <c r="N1134" s="3">
        <f>L1134*0.3</f>
        <v>1300.9979999999998</v>
      </c>
      <c r="O1134" s="3">
        <f>(IF(L1134&lt;4172.98,0,MIN(L1134*0.3,L1134-4172.98)))-M1134</f>
        <v>163.68000000000029</v>
      </c>
      <c r="S1134" s="3" t="s">
        <v>69</v>
      </c>
      <c r="V1134" s="51">
        <v>0.7583333333333333</v>
      </c>
      <c r="Z1134" s="181">
        <v>1</v>
      </c>
    </row>
    <row r="1135" spans="1:26">
      <c r="A1135" s="12">
        <v>23777564</v>
      </c>
      <c r="B1135" s="13">
        <v>46253</v>
      </c>
      <c r="C1135" s="14">
        <v>0.77247685185185189</v>
      </c>
      <c r="D1135" s="15"/>
      <c r="E1135" s="16">
        <v>5215510422027</v>
      </c>
      <c r="F1135" s="15"/>
      <c r="G1135" s="15" t="s">
        <v>1133</v>
      </c>
      <c r="H1135" s="17">
        <v>13826404025</v>
      </c>
      <c r="I1135" s="15"/>
      <c r="J1135" s="18"/>
      <c r="K1135" t="s">
        <v>54</v>
      </c>
      <c r="L1135" s="3">
        <v>50977.74</v>
      </c>
      <c r="N1135" s="3">
        <f t="shared" ref="N1135:N1136" si="104">L1135*0.3</f>
        <v>15293.321999999998</v>
      </c>
      <c r="O1135" s="3">
        <f>(IF(L1135&lt;4172.98,0,MIN(L1135*0.3,L1135-4172.98)))-M1135</f>
        <v>15293.321999999998</v>
      </c>
      <c r="S1135" s="3" t="s">
        <v>548</v>
      </c>
      <c r="T1135" s="48">
        <v>46253</v>
      </c>
      <c r="V1135" s="51">
        <v>0.77222222222222225</v>
      </c>
      <c r="W1135" s="51">
        <v>0.77638888888888891</v>
      </c>
      <c r="X1135" s="51">
        <v>0.77847222222222223</v>
      </c>
      <c r="Y1135" s="51">
        <v>0.78055555555555556</v>
      </c>
      <c r="Z1135" s="181">
        <v>1</v>
      </c>
    </row>
    <row r="1136" spans="1:26">
      <c r="A1136" s="30">
        <v>23777900</v>
      </c>
      <c r="B1136" s="31">
        <v>46253</v>
      </c>
      <c r="C1136" s="32">
        <v>0.77307870370370368</v>
      </c>
      <c r="D1136" s="33"/>
      <c r="E1136" s="34">
        <v>5216647693702</v>
      </c>
      <c r="F1136" s="33"/>
      <c r="G1136" s="33"/>
      <c r="H1136" s="35">
        <v>21886209499</v>
      </c>
      <c r="I1136" s="33"/>
      <c r="J1136" s="36"/>
      <c r="K1136" t="s">
        <v>38</v>
      </c>
      <c r="L1136" s="111">
        <v>48524.57</v>
      </c>
      <c r="M1136" s="111">
        <v>13998.01</v>
      </c>
      <c r="N1136" s="3">
        <f t="shared" si="104"/>
        <v>14557.370999999999</v>
      </c>
      <c r="O1136" s="3">
        <f>(IF(L1136&lt;4172.98,0,MIN(L1136*0.3,L1136-4172.98)))-M1136</f>
        <v>559.36099999999897</v>
      </c>
      <c r="P1136" s="6">
        <v>46569</v>
      </c>
      <c r="Q1136" t="s">
        <v>141</v>
      </c>
      <c r="R1136" s="111">
        <v>13998.01</v>
      </c>
      <c r="S1136" s="3" t="s">
        <v>271</v>
      </c>
      <c r="T1136" s="48">
        <v>46253</v>
      </c>
      <c r="V1136" s="51">
        <v>0.7729166666666667</v>
      </c>
      <c r="W1136" s="51">
        <v>0.77777777777777779</v>
      </c>
      <c r="X1136" s="51">
        <v>0.78402777777777777</v>
      </c>
      <c r="Y1136" s="51">
        <v>0.78541666666666665</v>
      </c>
      <c r="Z1136" s="181">
        <v>2</v>
      </c>
    </row>
    <row r="1137" spans="1:26" hidden="1">
      <c r="A1137" s="30">
        <v>23778294</v>
      </c>
      <c r="B1137" s="31">
        <v>46253</v>
      </c>
      <c r="C1137" s="32">
        <v>0.77989583333333334</v>
      </c>
      <c r="D1137" s="33"/>
      <c r="E1137" s="34">
        <v>5218117487807</v>
      </c>
      <c r="F1137" s="33"/>
      <c r="G1137" s="33" t="s">
        <v>1134</v>
      </c>
      <c r="H1137" s="35">
        <v>43836143289</v>
      </c>
      <c r="I1137" s="33"/>
      <c r="J1137" s="36"/>
      <c r="K1137" t="s">
        <v>30</v>
      </c>
      <c r="L1137" s="111">
        <v>7116.73</v>
      </c>
      <c r="M1137" s="111">
        <v>1973.6</v>
      </c>
      <c r="N1137" s="3">
        <f>L1137*0.3</f>
        <v>2135.0189999999998</v>
      </c>
      <c r="O1137" s="3">
        <f>(IF(L1137&lt;4172.98,0,MIN(L1137*0.3,L1137-4172.98)))-M1137</f>
        <v>161.41899999999987</v>
      </c>
      <c r="P1137" s="6">
        <v>46357</v>
      </c>
      <c r="Q1137" t="s">
        <v>80</v>
      </c>
      <c r="R1137" s="111">
        <v>1973.6</v>
      </c>
      <c r="S1137" s="3" t="s">
        <v>69</v>
      </c>
      <c r="V1137" s="51">
        <v>0.77986111111111112</v>
      </c>
      <c r="Z1137" s="181">
        <v>2</v>
      </c>
    </row>
    <row r="1138" spans="1:26" hidden="1">
      <c r="A1138" s="30">
        <v>23778000</v>
      </c>
      <c r="B1138" s="31">
        <v>46253</v>
      </c>
      <c r="C1138" s="32">
        <v>0.78350694444444446</v>
      </c>
      <c r="D1138" s="33"/>
      <c r="E1138" s="34">
        <v>5215571505568</v>
      </c>
      <c r="F1138" s="33"/>
      <c r="G1138" s="33" t="s">
        <v>1135</v>
      </c>
      <c r="H1138" s="35"/>
      <c r="I1138" s="33"/>
      <c r="J1138" s="36"/>
      <c r="K1138" t="s">
        <v>58</v>
      </c>
      <c r="L1138" s="3">
        <v>3568.75</v>
      </c>
      <c r="N1138" s="3">
        <f>L1138*0.3</f>
        <v>1070.625</v>
      </c>
      <c r="O1138" s="3">
        <f>(IF(L1138&lt;4172.98,0,MIN(L1138*0.3,L1138-4172.98)))-M1138</f>
        <v>0</v>
      </c>
      <c r="S1138" s="3" t="s">
        <v>69</v>
      </c>
      <c r="U1138" s="85"/>
      <c r="V1138" s="51">
        <v>0.78541666666666665</v>
      </c>
      <c r="Z1138" s="181">
        <v>1</v>
      </c>
    </row>
    <row r="1139" spans="1:26">
      <c r="A1139" s="12">
        <v>23778924</v>
      </c>
      <c r="B1139" s="13">
        <v>46253</v>
      </c>
      <c r="C1139" s="14">
        <v>0.79864583333333339</v>
      </c>
      <c r="D1139" s="15"/>
      <c r="E1139" s="16">
        <v>8115297811</v>
      </c>
      <c r="F1139" s="15"/>
      <c r="G1139" s="15"/>
      <c r="H1139" s="17" t="s">
        <v>1136</v>
      </c>
      <c r="I1139" s="15"/>
      <c r="J1139" s="18"/>
      <c r="K1139" t="s">
        <v>54</v>
      </c>
      <c r="L1139" s="3">
        <v>15324.13</v>
      </c>
      <c r="N1139" s="3">
        <f t="shared" ref="N1139:N1143" si="105">L1139*0.3</f>
        <v>4597.2389999999996</v>
      </c>
      <c r="O1139" s="3">
        <f>(IF(L1139&lt;4172.98,0,MIN(L1139*0.3,L1139-4172.98)))-M1139</f>
        <v>4597.2389999999996</v>
      </c>
      <c r="S1139" s="3" t="s">
        <v>348</v>
      </c>
      <c r="T1139" s="48">
        <v>46254</v>
      </c>
      <c r="V1139" s="51">
        <v>0.38333333333333336</v>
      </c>
      <c r="W1139" s="51">
        <v>0.39444444444444443</v>
      </c>
      <c r="X1139" s="51">
        <v>0.3972222222222222</v>
      </c>
      <c r="Y1139" s="51">
        <v>0.39861111111111114</v>
      </c>
      <c r="Z1139" s="181">
        <v>1</v>
      </c>
    </row>
    <row r="1140" spans="1:26" hidden="1">
      <c r="A1140" s="12">
        <v>23779036</v>
      </c>
      <c r="B1140" s="13">
        <v>46253</v>
      </c>
      <c r="C1140" s="14">
        <v>0.81184027777777779</v>
      </c>
      <c r="D1140" s="15"/>
      <c r="E1140" s="16">
        <v>5219241193008</v>
      </c>
      <c r="F1140" s="15"/>
      <c r="G1140" s="15" t="s">
        <v>1137</v>
      </c>
      <c r="H1140" s="17"/>
      <c r="I1140" s="15"/>
      <c r="J1140" s="18"/>
      <c r="K1140" t="s">
        <v>58</v>
      </c>
      <c r="L1140" s="3">
        <v>4056.94</v>
      </c>
      <c r="N1140" s="3">
        <f t="shared" si="105"/>
        <v>1217.0819999999999</v>
      </c>
      <c r="O1140" s="3">
        <f>(IF(L1140&lt;4172.98,0,MIN(L1140*0.3,L1140-4172.98)))-M1140</f>
        <v>0</v>
      </c>
      <c r="S1140" s="3" t="s">
        <v>69</v>
      </c>
      <c r="V1140" s="51">
        <v>0.38333333333333336</v>
      </c>
      <c r="Z1140" s="181">
        <v>1</v>
      </c>
    </row>
    <row r="1141" spans="1:26" hidden="1">
      <c r="A1141" s="12">
        <v>23779796</v>
      </c>
      <c r="B1141" s="13">
        <v>46253</v>
      </c>
      <c r="C1141" s="14">
        <v>0.82826388888888891</v>
      </c>
      <c r="D1141" s="15"/>
      <c r="E1141" s="16">
        <v>5216461077881</v>
      </c>
      <c r="F1141" s="15"/>
      <c r="G1141" s="15"/>
      <c r="H1141" s="17" t="s">
        <v>1138</v>
      </c>
      <c r="I1141" s="15"/>
      <c r="J1141" s="18"/>
      <c r="K1141" t="s">
        <v>58</v>
      </c>
      <c r="L1141" s="3">
        <v>4342.43</v>
      </c>
      <c r="N1141" s="3">
        <f t="shared" si="105"/>
        <v>1302.729</v>
      </c>
      <c r="O1141" s="3">
        <f>(IF(L1141&lt;4172.98,0,MIN(L1141*0.3,L1141-4172.98)))-M1141</f>
        <v>169.45000000000073</v>
      </c>
      <c r="S1141" s="3" t="s">
        <v>69</v>
      </c>
      <c r="V1141" s="51">
        <v>0.38333333333333336</v>
      </c>
      <c r="Z1141" s="181">
        <v>1</v>
      </c>
    </row>
    <row r="1142" spans="1:26" hidden="1">
      <c r="A1142" s="12">
        <v>23780566</v>
      </c>
      <c r="B1142" s="13">
        <v>46253</v>
      </c>
      <c r="C1142" s="14">
        <v>0.85894675925925923</v>
      </c>
      <c r="D1142" s="15"/>
      <c r="E1142" s="16">
        <v>5217421027826</v>
      </c>
      <c r="F1142" s="15"/>
      <c r="G1142" s="15" t="s">
        <v>1139</v>
      </c>
      <c r="H1142" s="17"/>
      <c r="I1142" s="15"/>
      <c r="J1142" s="18"/>
      <c r="K1142" t="s">
        <v>30</v>
      </c>
      <c r="L1142" s="3">
        <f>6936.43+2823.89</f>
        <v>9760.32</v>
      </c>
      <c r="M1142" s="3">
        <v>2823.89</v>
      </c>
      <c r="N1142" s="3">
        <f t="shared" si="105"/>
        <v>2928.096</v>
      </c>
      <c r="O1142" s="3">
        <f>(IF(L1142&lt;4172.98,0,MIN(L1142*0.3,L1142-4172.98)))-M1142</f>
        <v>104.20600000000013</v>
      </c>
      <c r="P1142" s="6">
        <v>46569</v>
      </c>
      <c r="Q1142" t="s">
        <v>57</v>
      </c>
      <c r="R1142" s="3">
        <v>2823.89</v>
      </c>
      <c r="S1142" s="3" t="s">
        <v>69</v>
      </c>
      <c r="V1142" s="51">
        <v>0.38333333333333336</v>
      </c>
      <c r="Z1142" s="181">
        <v>2</v>
      </c>
    </row>
    <row r="1143" spans="1:26" hidden="1">
      <c r="A1143" s="30">
        <v>23780610</v>
      </c>
      <c r="B1143" s="31">
        <v>46253</v>
      </c>
      <c r="C1143" s="32">
        <v>0.87380787037037033</v>
      </c>
      <c r="D1143" s="33"/>
      <c r="E1143" s="34">
        <v>5212225184526</v>
      </c>
      <c r="F1143" s="33"/>
      <c r="G1143" s="33" t="s">
        <v>1140</v>
      </c>
      <c r="H1143" s="35"/>
      <c r="I1143" s="33"/>
      <c r="J1143" s="36"/>
      <c r="K1143" t="s">
        <v>30</v>
      </c>
      <c r="L1143" s="3">
        <f>4172.99+85.68+1517.03</f>
        <v>5775.7</v>
      </c>
      <c r="M1143" s="3">
        <f>1517.03+85.68</f>
        <v>1602.71</v>
      </c>
      <c r="N1143" s="3">
        <f t="shared" si="105"/>
        <v>1732.7099999999998</v>
      </c>
      <c r="O1143" s="3">
        <f>(IF(L1143&lt;4172.98,0,MIN(L1143*0.3,L1143-4172.98)))-M1143</f>
        <v>1.0000000000218279E-2</v>
      </c>
      <c r="P1143" s="6">
        <v>46478</v>
      </c>
      <c r="Q1143" t="s">
        <v>141</v>
      </c>
      <c r="R1143" s="3">
        <v>1517.03</v>
      </c>
      <c r="S1143" s="3" t="s">
        <v>69</v>
      </c>
      <c r="V1143" s="51">
        <v>0.38333333333333336</v>
      </c>
      <c r="Z1143" s="181">
        <v>2</v>
      </c>
    </row>
    <row r="1144" spans="1:26" hidden="1">
      <c r="A1144" s="30">
        <v>23781300</v>
      </c>
      <c r="B1144" s="31">
        <v>46253</v>
      </c>
      <c r="C1144" s="32">
        <v>0.88879629629629631</v>
      </c>
      <c r="D1144" s="33"/>
      <c r="E1144" s="34">
        <v>5218714366983</v>
      </c>
      <c r="F1144" s="33"/>
      <c r="G1144" s="33"/>
      <c r="H1144" s="35" t="s">
        <v>1141</v>
      </c>
      <c r="I1144" s="33"/>
      <c r="J1144" s="36"/>
      <c r="K1144" t="s">
        <v>30</v>
      </c>
      <c r="L1144" s="3">
        <f>5605.55+2279.99</f>
        <v>7885.54</v>
      </c>
      <c r="M1144" s="3">
        <v>2279.9899999999998</v>
      </c>
      <c r="N1144" s="3">
        <f>L1144*0.3</f>
        <v>2365.6619999999998</v>
      </c>
      <c r="O1144" s="3">
        <f>(IF(L1144&lt;4172.98,0,MIN(L1144*0.3,L1144-4172.98)))-M1144</f>
        <v>85.672000000000025</v>
      </c>
      <c r="P1144" s="6">
        <v>46600</v>
      </c>
      <c r="Q1144" t="s">
        <v>334</v>
      </c>
      <c r="R1144" s="3">
        <v>2279.9899999999998</v>
      </c>
      <c r="S1144" s="3" t="s">
        <v>69</v>
      </c>
      <c r="V1144" s="51">
        <v>0.38472222222222224</v>
      </c>
      <c r="Z1144" s="181">
        <v>2</v>
      </c>
    </row>
    <row r="1145" spans="1:26" hidden="1">
      <c r="A1145" s="12">
        <v>23781858</v>
      </c>
      <c r="B1145" s="13">
        <v>46253</v>
      </c>
      <c r="C1145" s="14">
        <v>0.91125</v>
      </c>
      <c r="D1145" s="15"/>
      <c r="E1145" s="16">
        <v>5217471686851</v>
      </c>
      <c r="F1145" s="15"/>
      <c r="G1145" s="15" t="s">
        <v>1142</v>
      </c>
      <c r="H1145" s="17"/>
      <c r="I1145" s="15"/>
      <c r="J1145" s="18"/>
      <c r="K1145" t="s">
        <v>32</v>
      </c>
      <c r="N1145" s="3">
        <f t="shared" ref="N1145:N1153" si="106">L1145*0.3</f>
        <v>0</v>
      </c>
      <c r="O1145" s="3">
        <f>(IF(L1145&lt;4172.98,0,MIN(L1145*0.3,L1145-4172.98)))-M1145</f>
        <v>0</v>
      </c>
      <c r="S1145" s="3" t="s">
        <v>69</v>
      </c>
      <c r="V1145" s="51">
        <v>0.38611111111111113</v>
      </c>
      <c r="Z1145" s="181">
        <v>0</v>
      </c>
    </row>
    <row r="1146" spans="1:26">
      <c r="A1146" s="12">
        <v>23782672</v>
      </c>
      <c r="B1146" s="13">
        <v>46253</v>
      </c>
      <c r="C1146" s="14">
        <v>0.94820601851851849</v>
      </c>
      <c r="D1146" s="15"/>
      <c r="E1146" s="16">
        <v>5218663210260</v>
      </c>
      <c r="F1146" s="15"/>
      <c r="G1146" s="15"/>
      <c r="H1146" s="17" t="s">
        <v>1143</v>
      </c>
      <c r="I1146" s="15"/>
      <c r="J1146" s="18"/>
      <c r="K1146" t="s">
        <v>54</v>
      </c>
      <c r="L1146" s="3">
        <v>7128.48</v>
      </c>
      <c r="N1146" s="3">
        <f t="shared" si="106"/>
        <v>2138.5439999999999</v>
      </c>
      <c r="O1146" s="3">
        <f>(IF(L1146&lt;4172.98,0,MIN(L1146*0.3,L1146-4172.98)))-M1146</f>
        <v>2138.5439999999999</v>
      </c>
      <c r="S1146" s="3" t="s">
        <v>98</v>
      </c>
      <c r="T1146" s="48">
        <v>46254</v>
      </c>
      <c r="V1146" s="51">
        <v>0.38611111111111113</v>
      </c>
      <c r="W1146" s="51">
        <v>0.40208333333333335</v>
      </c>
      <c r="X1146" s="51">
        <v>0.40416666666666667</v>
      </c>
      <c r="Y1146" s="51">
        <v>0.41875000000000001</v>
      </c>
      <c r="Z1146" s="181">
        <v>1</v>
      </c>
    </row>
    <row r="1147" spans="1:26" hidden="1">
      <c r="A1147" s="12">
        <v>23783510</v>
      </c>
      <c r="B1147" s="13">
        <v>46254</v>
      </c>
      <c r="C1147" s="14">
        <v>5.4305555555555558E-2</v>
      </c>
      <c r="D1147" s="15"/>
      <c r="E1147" s="16">
        <v>5216622223347</v>
      </c>
      <c r="F1147" s="15"/>
      <c r="G1147" s="15" t="s">
        <v>1144</v>
      </c>
      <c r="H1147" s="17" t="s">
        <v>1145</v>
      </c>
      <c r="I1147" s="15"/>
      <c r="J1147" s="18"/>
      <c r="K1147" t="s">
        <v>30</v>
      </c>
      <c r="L1147" s="3">
        <f>6832.32+2928</f>
        <v>9760.32</v>
      </c>
      <c r="M1147" s="3">
        <v>2928</v>
      </c>
      <c r="N1147" s="3">
        <f t="shared" si="106"/>
        <v>2928.096</v>
      </c>
      <c r="O1147" s="3">
        <f>(IF(L1147&lt;4172.98,0,MIN(L1147*0.3,L1147-4172.98)))-M1147</f>
        <v>9.6000000000003638E-2</v>
      </c>
      <c r="P1147" s="6">
        <v>46174</v>
      </c>
      <c r="Q1147" t="s">
        <v>206</v>
      </c>
      <c r="R1147" s="3">
        <v>2928</v>
      </c>
      <c r="S1147" s="3" t="s">
        <v>69</v>
      </c>
      <c r="V1147" s="51">
        <v>0.38611111111111113</v>
      </c>
      <c r="Z1147" s="181">
        <v>2</v>
      </c>
    </row>
    <row r="1148" spans="1:26" hidden="1">
      <c r="A1148" s="12">
        <v>23780098</v>
      </c>
      <c r="B1148" s="13">
        <v>46254</v>
      </c>
      <c r="C1148" s="14">
        <v>0.31847222222222221</v>
      </c>
      <c r="D1148" s="15" t="s">
        <v>1146</v>
      </c>
      <c r="E1148" s="16">
        <v>5219988424153</v>
      </c>
      <c r="F1148" s="15"/>
      <c r="G1148" s="15" t="s">
        <v>1147</v>
      </c>
      <c r="H1148" s="17">
        <v>82765905045</v>
      </c>
      <c r="I1148" s="15"/>
      <c r="J1148" s="18"/>
      <c r="K1148" t="s">
        <v>30</v>
      </c>
      <c r="L1148" s="3">
        <f>11372.63+1809.43+2452.8+362.56</f>
        <v>15997.42</v>
      </c>
      <c r="M1148" s="3">
        <f>1809.43+2452.8+362.56</f>
        <v>4624.7900000000009</v>
      </c>
      <c r="N1148" s="3">
        <f t="shared" si="106"/>
        <v>4799.2259999999997</v>
      </c>
      <c r="O1148" s="3">
        <f>(IF(L1148&lt;4172.98,0,MIN(L1148*0.3,L1148-4172.98)))-M1148</f>
        <v>174.43599999999878</v>
      </c>
      <c r="P1148" s="6">
        <v>46327</v>
      </c>
      <c r="Q1148" t="s">
        <v>184</v>
      </c>
      <c r="R1148" s="3">
        <v>362.56</v>
      </c>
      <c r="S1148" s="3" t="s">
        <v>69</v>
      </c>
      <c r="V1148" s="51">
        <v>0.38611111111111113</v>
      </c>
      <c r="Z1148" s="181">
        <v>2</v>
      </c>
    </row>
    <row r="1149" spans="1:26" hidden="1">
      <c r="A1149" s="12">
        <v>23791956</v>
      </c>
      <c r="B1149" s="13">
        <v>46254</v>
      </c>
      <c r="C1149" s="14">
        <v>0.33269675925925923</v>
      </c>
      <c r="D1149" s="15"/>
      <c r="E1149" s="16">
        <v>5218131358680</v>
      </c>
      <c r="F1149" s="15"/>
      <c r="G1149" s="15"/>
      <c r="H1149" s="17" t="s">
        <v>1148</v>
      </c>
      <c r="I1149" s="15"/>
      <c r="J1149" s="18"/>
      <c r="K1149" t="s">
        <v>32</v>
      </c>
      <c r="N1149" s="3">
        <f t="shared" si="106"/>
        <v>0</v>
      </c>
      <c r="O1149" s="3">
        <f>(IF(L1149&lt;4172.98,0,MIN(L1149*0.3,L1149-4172.98)))-M1149</f>
        <v>0</v>
      </c>
      <c r="S1149" s="3" t="s">
        <v>69</v>
      </c>
      <c r="V1149" s="51">
        <v>0.38611111111111113</v>
      </c>
      <c r="Z1149" s="181">
        <v>0</v>
      </c>
    </row>
    <row r="1150" spans="1:26" hidden="1">
      <c r="A1150" s="12">
        <v>23792950</v>
      </c>
      <c r="B1150" s="13">
        <v>46254</v>
      </c>
      <c r="C1150" s="14">
        <v>0.34467592592592594</v>
      </c>
      <c r="D1150" s="15"/>
      <c r="E1150" s="16">
        <v>5216621013480</v>
      </c>
      <c r="F1150" s="15"/>
      <c r="G1150" s="15"/>
      <c r="H1150" s="17">
        <v>24796231074</v>
      </c>
      <c r="I1150" s="15"/>
      <c r="J1150" s="18"/>
      <c r="K1150" t="s">
        <v>30</v>
      </c>
      <c r="L1150" s="3">
        <f>9976.06+749.78+744.02+2023.42+758.23</f>
        <v>14251.51</v>
      </c>
      <c r="M1150" s="3">
        <f>749.78+744.02+2023.42+758.23</f>
        <v>4275.4500000000007</v>
      </c>
      <c r="N1150" s="3">
        <f t="shared" si="106"/>
        <v>4275.4529999999995</v>
      </c>
      <c r="O1150" s="3">
        <f>(IF(L1150&lt;4172.98,0,MIN(L1150*0.3,L1150-4172.98)))-M1150</f>
        <v>2.999999998792191E-3</v>
      </c>
      <c r="P1150" s="6">
        <v>46539</v>
      </c>
      <c r="Q1150" t="s">
        <v>77</v>
      </c>
      <c r="R1150" s="3">
        <v>758.23</v>
      </c>
      <c r="S1150" s="3" t="s">
        <v>69</v>
      </c>
      <c r="V1150" s="51">
        <v>0.38611111111111113</v>
      </c>
      <c r="Z1150" s="181">
        <v>2</v>
      </c>
    </row>
    <row r="1151" spans="1:26">
      <c r="A1151" s="12">
        <v>23793734</v>
      </c>
      <c r="B1151" s="13">
        <v>46254</v>
      </c>
      <c r="C1151" s="14">
        <v>0.36093750000000002</v>
      </c>
      <c r="D1151" s="15" t="s">
        <v>1149</v>
      </c>
      <c r="E1151" s="16">
        <v>5212211537539</v>
      </c>
      <c r="F1151" s="15"/>
      <c r="G1151" s="15" t="s">
        <v>1150</v>
      </c>
      <c r="H1151" s="17"/>
      <c r="I1151" s="15"/>
      <c r="J1151" s="18"/>
      <c r="K1151" t="s">
        <v>54</v>
      </c>
      <c r="L1151" s="3">
        <v>5654.65</v>
      </c>
      <c r="N1151" s="3">
        <f t="shared" si="106"/>
        <v>1696.3949999999998</v>
      </c>
      <c r="O1151" s="3">
        <f>(IF(L1151&lt;4172.98,0,MIN(L1151*0.3,L1151-4172.98)))-M1151</f>
        <v>1481.67</v>
      </c>
      <c r="S1151" s="3" t="s">
        <v>1091</v>
      </c>
      <c r="T1151" s="48">
        <v>46254</v>
      </c>
      <c r="V1151" s="51">
        <v>0.38611111111111113</v>
      </c>
      <c r="W1151" s="51">
        <v>0.40347222222222223</v>
      </c>
      <c r="X1151" s="51">
        <v>0.40763888888888888</v>
      </c>
      <c r="Y1151" s="51">
        <v>0.40972222222222221</v>
      </c>
      <c r="Z1151" s="181">
        <v>1</v>
      </c>
    </row>
    <row r="1152" spans="1:26">
      <c r="A1152" s="12">
        <v>23794024</v>
      </c>
      <c r="B1152" s="13">
        <v>46254</v>
      </c>
      <c r="C1152" s="14">
        <v>0.36474537037037036</v>
      </c>
      <c r="D1152" s="15"/>
      <c r="E1152" s="16">
        <v>5213318466313</v>
      </c>
      <c r="F1152" s="15"/>
      <c r="G1152" s="15"/>
      <c r="H1152" s="17" t="s">
        <v>1151</v>
      </c>
      <c r="I1152" s="15"/>
      <c r="J1152" s="18"/>
      <c r="K1152" t="s">
        <v>38</v>
      </c>
      <c r="L1152" s="3">
        <v>4855.6899999999996</v>
      </c>
      <c r="N1152" s="3">
        <f t="shared" si="106"/>
        <v>1456.7069999999999</v>
      </c>
      <c r="O1152" s="3">
        <f>(IF(L1152&lt;4172.98,0,MIN(L1152*0.3,L1152-4172.98)))-M1152</f>
        <v>682.71</v>
      </c>
      <c r="S1152" s="3" t="s">
        <v>266</v>
      </c>
      <c r="T1152" s="48">
        <v>46254</v>
      </c>
      <c r="V1152" s="51">
        <v>0.38611111111111113</v>
      </c>
      <c r="W1152" s="51">
        <v>0.40138888888888891</v>
      </c>
      <c r="X1152" s="51">
        <v>0.40625</v>
      </c>
      <c r="Y1152" s="51">
        <v>0.40902777777777777</v>
      </c>
      <c r="Z1152" s="181">
        <v>1</v>
      </c>
    </row>
    <row r="1153" spans="1:26" hidden="1">
      <c r="A1153" s="30">
        <v>23780516</v>
      </c>
      <c r="B1153" s="31">
        <v>46254</v>
      </c>
      <c r="C1153" s="32">
        <v>0.37622685185185184</v>
      </c>
      <c r="D1153" s="33"/>
      <c r="E1153" s="34">
        <v>5218132668249</v>
      </c>
      <c r="F1153" s="33"/>
      <c r="G1153" s="33" t="s">
        <v>1152</v>
      </c>
      <c r="H1153" s="35" t="s">
        <v>1153</v>
      </c>
      <c r="I1153" s="33"/>
      <c r="J1153" s="36"/>
      <c r="K1153" t="s">
        <v>30</v>
      </c>
      <c r="L1153" s="3">
        <f>7120.19+3051.05</f>
        <v>10171.24</v>
      </c>
      <c r="M1153" s="3">
        <v>3051.05</v>
      </c>
      <c r="N1153" s="3">
        <f t="shared" si="106"/>
        <v>3051.3719999999998</v>
      </c>
      <c r="O1153" s="3">
        <f>(IF(L1153&lt;4172.98,0,MIN(L1153*0.3,L1153-4172.98)))-M1153</f>
        <v>0.32199999999966167</v>
      </c>
      <c r="P1153" s="6">
        <v>46143</v>
      </c>
      <c r="Q1153" t="s">
        <v>206</v>
      </c>
      <c r="R1153" s="3">
        <v>3051.05</v>
      </c>
      <c r="S1153" s="3" t="s">
        <v>69</v>
      </c>
      <c r="V1153" s="51">
        <v>0.38611111111111113</v>
      </c>
      <c r="Z1153" s="181">
        <v>2</v>
      </c>
    </row>
    <row r="1154" spans="1:26">
      <c r="A1154" s="30">
        <v>23795654</v>
      </c>
      <c r="B1154" s="31">
        <v>46254</v>
      </c>
      <c r="C1154" s="32">
        <v>0.39217592592592593</v>
      </c>
      <c r="D1154" s="33" t="s">
        <v>1154</v>
      </c>
      <c r="E1154" s="34">
        <v>5218441031330</v>
      </c>
      <c r="F1154" s="33"/>
      <c r="G1154" s="33"/>
      <c r="H1154" s="35">
        <v>32755520254</v>
      </c>
      <c r="I1154" s="33"/>
      <c r="J1154" s="36"/>
      <c r="K1154" t="s">
        <v>38</v>
      </c>
      <c r="L1154" s="3">
        <v>5130.33</v>
      </c>
      <c r="N1154" s="3">
        <f>L1154*0.3</f>
        <v>1539.0989999999999</v>
      </c>
      <c r="O1154" s="3">
        <f>(IF(L1154&lt;4172.98,0,MIN(L1154*0.3,L1154-4172.98)))-M1154</f>
        <v>957.35000000000036</v>
      </c>
      <c r="S1154" s="3" t="s">
        <v>266</v>
      </c>
      <c r="T1154" s="48">
        <v>46254</v>
      </c>
      <c r="V1154" s="51">
        <v>0.39305555555555555</v>
      </c>
      <c r="W1154" s="51">
        <v>0.40555555555555556</v>
      </c>
      <c r="X1154" s="51">
        <v>0.40902777777777777</v>
      </c>
      <c r="Y1154" s="51">
        <v>0.41041666666666665</v>
      </c>
      <c r="Z1154" s="181">
        <v>1</v>
      </c>
    </row>
    <row r="1155" spans="1:26">
      <c r="A1155" s="12">
        <v>23767886</v>
      </c>
      <c r="B1155" s="31">
        <v>46254</v>
      </c>
      <c r="C1155" s="32">
        <v>0.42423611111111109</v>
      </c>
      <c r="D1155" s="15" t="s">
        <v>1155</v>
      </c>
      <c r="E1155" s="16">
        <v>5213412176108</v>
      </c>
      <c r="F1155" s="15"/>
      <c r="G1155" s="15"/>
      <c r="H1155" s="17">
        <v>54735311588</v>
      </c>
      <c r="I1155" s="15"/>
      <c r="J1155" s="18"/>
      <c r="K1155" t="s">
        <v>107</v>
      </c>
      <c r="L1155" s="3">
        <v>32756.19</v>
      </c>
      <c r="M1155" s="3">
        <v>9476.2000000000007</v>
      </c>
      <c r="N1155" s="3">
        <f t="shared" ref="N1155:N1156" si="107">L1155*0.3</f>
        <v>9826.857</v>
      </c>
      <c r="O1155" s="3">
        <f>(IF(L1155&lt;4172.98,0,MIN(L1155*0.3,L1155-4172.98)))-M1155</f>
        <v>350.65699999999924</v>
      </c>
      <c r="P1155" s="6">
        <v>46204</v>
      </c>
      <c r="Q1155" t="s">
        <v>80</v>
      </c>
      <c r="R1155" s="3">
        <v>405.2</v>
      </c>
      <c r="S1155" s="53" t="s">
        <v>266</v>
      </c>
      <c r="T1155" s="48">
        <v>46254</v>
      </c>
      <c r="V1155" s="51">
        <v>0.4236111111111111</v>
      </c>
      <c r="W1155" s="51">
        <v>0.43194444444444446</v>
      </c>
      <c r="X1155" s="51">
        <v>0.43541666666666667</v>
      </c>
      <c r="Y1155" s="51">
        <v>0.43958333333333333</v>
      </c>
      <c r="Z1155" s="181">
        <v>2</v>
      </c>
    </row>
    <row r="1156" spans="1:26" hidden="1">
      <c r="A1156" s="30">
        <v>23767886</v>
      </c>
      <c r="B1156" s="31">
        <v>46254</v>
      </c>
      <c r="C1156" s="32">
        <v>0.42423611111111109</v>
      </c>
      <c r="D1156" s="33" t="s">
        <v>1155</v>
      </c>
      <c r="E1156" s="34">
        <v>5213412176108</v>
      </c>
      <c r="F1156" s="33"/>
      <c r="G1156" s="33" t="s">
        <v>1156</v>
      </c>
      <c r="H1156" s="35"/>
      <c r="I1156" s="33"/>
      <c r="J1156" s="36"/>
      <c r="K1156" t="s">
        <v>30</v>
      </c>
      <c r="L1156" s="3">
        <v>9081.52</v>
      </c>
      <c r="M1156" s="3">
        <v>2521</v>
      </c>
      <c r="N1156" s="3">
        <f t="shared" si="107"/>
        <v>2724.4560000000001</v>
      </c>
      <c r="O1156" s="3">
        <f>(IF(L1156&lt;4172.98,0,MIN(L1156*0.3,L1156-4172.98)))-M1156</f>
        <v>203.45600000000013</v>
      </c>
      <c r="P1156" s="6">
        <v>46266</v>
      </c>
      <c r="Q1156" t="s">
        <v>421</v>
      </c>
      <c r="R1156" s="3">
        <v>2521</v>
      </c>
      <c r="S1156" s="53" t="s">
        <v>266</v>
      </c>
      <c r="V1156" s="51">
        <v>0.4236111111111111</v>
      </c>
      <c r="Z1156" s="181">
        <v>2</v>
      </c>
    </row>
    <row r="1157" spans="1:26" hidden="1">
      <c r="A1157" s="30">
        <v>23797776</v>
      </c>
      <c r="B1157" s="31">
        <v>46254</v>
      </c>
      <c r="C1157" s="32">
        <v>0.43288194444444444</v>
      </c>
      <c r="D1157" s="33"/>
      <c r="E1157" s="34">
        <v>5218110665838</v>
      </c>
      <c r="F1157" s="33"/>
      <c r="G1157" s="33"/>
      <c r="H1157" s="35" t="s">
        <v>1157</v>
      </c>
      <c r="I1157" s="33"/>
      <c r="J1157" s="36"/>
      <c r="K1157" t="s">
        <v>32</v>
      </c>
      <c r="N1157" s="3">
        <f>L1157*0.3</f>
        <v>0</v>
      </c>
      <c r="O1157" s="3">
        <f>(IF(L1157&lt;4172.98,0,MIN(L1157*0.3,L1157-4172.98)))-M1157</f>
        <v>0</v>
      </c>
      <c r="S1157" s="3" t="s">
        <v>69</v>
      </c>
      <c r="V1157" s="51">
        <v>0.43333333333333335</v>
      </c>
      <c r="Z1157" s="181">
        <v>0</v>
      </c>
    </row>
    <row r="1158" spans="1:26" hidden="1">
      <c r="A1158" s="30">
        <v>23797360</v>
      </c>
      <c r="B1158" s="31">
        <v>46254</v>
      </c>
      <c r="C1158" s="32">
        <v>0.44017361111111108</v>
      </c>
      <c r="D1158" s="33"/>
      <c r="E1158" s="34">
        <v>5215536417527</v>
      </c>
      <c r="F1158" s="33"/>
      <c r="G1158" s="33" t="s">
        <v>1158</v>
      </c>
      <c r="H1158" s="35"/>
      <c r="I1158" s="33"/>
      <c r="J1158" s="36"/>
      <c r="K1158" t="s">
        <v>58</v>
      </c>
      <c r="L1158" s="3">
        <v>4224.5600000000004</v>
      </c>
      <c r="N1158" s="3">
        <f>L1158*0.3</f>
        <v>1267.3680000000002</v>
      </c>
      <c r="O1158" s="3">
        <f>(IF(L1158&lt;4172.98,0,MIN(L1158*0.3,L1158-4172.98)))-M1158</f>
        <v>51.580000000000837</v>
      </c>
      <c r="S1158" s="3" t="s">
        <v>69</v>
      </c>
      <c r="V1158" s="51">
        <v>0.44097222222222221</v>
      </c>
      <c r="Z1158" s="181">
        <v>1</v>
      </c>
    </row>
    <row r="1159" spans="1:26" hidden="1">
      <c r="A1159" s="30">
        <v>23798606</v>
      </c>
      <c r="B1159" s="31">
        <v>46254</v>
      </c>
      <c r="C1159" s="32">
        <v>0.44930555555555557</v>
      </c>
      <c r="D1159" s="33"/>
      <c r="E1159" s="34">
        <v>5219619320498</v>
      </c>
      <c r="F1159" s="33"/>
      <c r="G1159" s="33" t="s">
        <v>1159</v>
      </c>
      <c r="H1159" s="35"/>
      <c r="I1159" s="33"/>
      <c r="J1159" s="36"/>
      <c r="K1159" t="s">
        <v>30</v>
      </c>
      <c r="L1159" s="3">
        <v>9760.32</v>
      </c>
      <c r="M1159" s="3">
        <v>2820.01</v>
      </c>
      <c r="N1159" s="3">
        <f t="shared" ref="N1159" si="108">L1159*0.3</f>
        <v>2928.096</v>
      </c>
      <c r="O1159" s="3">
        <f>(IF(L1159&lt;4172.98,0,MIN(L1159*0.3,L1159-4172.98)))-M1159</f>
        <v>108.08599999999979</v>
      </c>
      <c r="P1159" s="6">
        <v>46722</v>
      </c>
      <c r="Q1159" t="s">
        <v>75</v>
      </c>
      <c r="R1159" s="3">
        <v>2820.01</v>
      </c>
      <c r="S1159" s="3" t="s">
        <v>69</v>
      </c>
      <c r="V1159" s="51">
        <v>0.44930555555555557</v>
      </c>
      <c r="Z1159" s="181">
        <v>2</v>
      </c>
    </row>
    <row r="1160" spans="1:26" hidden="1">
      <c r="A1160" s="30">
        <v>23800270</v>
      </c>
      <c r="B1160" s="31">
        <v>46254</v>
      </c>
      <c r="C1160" s="32">
        <v>0.48268518518518516</v>
      </c>
      <c r="D1160" s="33"/>
      <c r="E1160" s="34">
        <v>5215624299848</v>
      </c>
      <c r="F1160" s="33"/>
      <c r="G1160" s="33"/>
      <c r="H1160" s="35" t="s">
        <v>1160</v>
      </c>
      <c r="I1160" s="33"/>
      <c r="J1160" s="36"/>
      <c r="K1160" t="s">
        <v>30</v>
      </c>
      <c r="L1160" s="3">
        <v>7640.52</v>
      </c>
      <c r="M1160" s="3">
        <v>2210.59</v>
      </c>
      <c r="N1160" s="3">
        <f>L1160*0.3</f>
        <v>2292.1559999999999</v>
      </c>
      <c r="O1160" s="3">
        <f>(IF(L1160&lt;4172.98,0,MIN(L1160*0.3,L1160-4172.98)))-M1160</f>
        <v>81.565999999999804</v>
      </c>
      <c r="P1160" s="6">
        <v>46753</v>
      </c>
      <c r="Q1160" t="s">
        <v>59</v>
      </c>
      <c r="R1160" s="3">
        <v>2210.59</v>
      </c>
      <c r="S1160" s="3" t="s">
        <v>69</v>
      </c>
      <c r="V1160" s="51">
        <v>0.4826388888888889</v>
      </c>
      <c r="Z1160" s="181">
        <v>2</v>
      </c>
    </row>
    <row r="1161" spans="1:26" hidden="1">
      <c r="A1161" s="30">
        <v>23800382</v>
      </c>
      <c r="B1161" s="31">
        <v>46254</v>
      </c>
      <c r="C1161" s="32">
        <v>0.48473379629629632</v>
      </c>
      <c r="D1161" s="33"/>
      <c r="E1161" s="34">
        <v>5215529428356</v>
      </c>
      <c r="F1161" s="33"/>
      <c r="G1161" s="33" t="s">
        <v>1161</v>
      </c>
      <c r="H1161" s="35"/>
      <c r="I1161" s="33"/>
      <c r="J1161" s="36"/>
      <c r="K1161" t="s">
        <v>30</v>
      </c>
      <c r="L1161" s="3">
        <v>17087.330000000002</v>
      </c>
      <c r="M1161" s="3">
        <v>5109.96</v>
      </c>
      <c r="N1161" s="3">
        <f>L1161*0.3</f>
        <v>5126.1990000000005</v>
      </c>
      <c r="O1161" s="3">
        <f>(IF(L1161&lt;4172.98,0,MIN(L1161*0.3,L1161-4172.98)))-M1161</f>
        <v>16.239000000000487</v>
      </c>
      <c r="P1161" s="6">
        <v>46905</v>
      </c>
      <c r="Q1161" t="s">
        <v>73</v>
      </c>
      <c r="R1161" s="3">
        <v>5109.96</v>
      </c>
      <c r="S1161" s="3" t="s">
        <v>69</v>
      </c>
      <c r="V1161" s="51">
        <v>0.48541666666666666</v>
      </c>
      <c r="Z1161" s="181">
        <v>2</v>
      </c>
    </row>
    <row r="1162" spans="1:26" hidden="1">
      <c r="A1162" s="116">
        <v>23801890</v>
      </c>
      <c r="B1162" s="118">
        <v>46254</v>
      </c>
      <c r="C1162" s="119">
        <v>0.5084143518518518</v>
      </c>
      <c r="D1162" s="117"/>
      <c r="E1162" s="117">
        <v>5214445108868</v>
      </c>
      <c r="F1162" s="117"/>
      <c r="G1162" s="117" t="s">
        <v>1162</v>
      </c>
      <c r="H1162" s="117"/>
      <c r="I1162" s="117"/>
      <c r="J1162" s="120"/>
      <c r="K1162" t="s">
        <v>51</v>
      </c>
      <c r="N1162" s="3">
        <f>L1162*0.3</f>
        <v>0</v>
      </c>
      <c r="O1162" s="3">
        <f>(IF(L1162&lt;4172.98,0,MIN(L1162*0.3,L1162-4172.98)))-M1162</f>
        <v>0</v>
      </c>
      <c r="S1162" s="3" t="s">
        <v>69</v>
      </c>
      <c r="V1162" s="51">
        <v>0.5083333333333333</v>
      </c>
      <c r="Z1162" s="181">
        <v>1</v>
      </c>
    </row>
    <row r="1163" spans="1:26">
      <c r="A1163" s="30">
        <v>23802368</v>
      </c>
      <c r="B1163" s="31">
        <v>46254</v>
      </c>
      <c r="C1163" s="32">
        <v>0.51336805555555554</v>
      </c>
      <c r="D1163" s="33"/>
      <c r="E1163" s="34">
        <v>5212461025443</v>
      </c>
      <c r="F1163" s="33"/>
      <c r="G1163" s="33"/>
      <c r="H1163" s="35">
        <v>78876407442</v>
      </c>
      <c r="I1163" s="33"/>
      <c r="J1163" s="36"/>
      <c r="K1163" t="s">
        <v>38</v>
      </c>
      <c r="L1163" s="111">
        <v>9081.52</v>
      </c>
      <c r="M1163" s="111">
        <v>2349.9699999999998</v>
      </c>
      <c r="N1163" s="3">
        <f>L1163*0.3</f>
        <v>2724.4560000000001</v>
      </c>
      <c r="O1163" s="3">
        <f>(IF(L1163&lt;4172.98,0,MIN(L1163*0.3,L1163-4172.98)))-M1163</f>
        <v>374.48600000000033</v>
      </c>
      <c r="P1163" s="6">
        <v>46631</v>
      </c>
      <c r="Q1163" t="s">
        <v>206</v>
      </c>
      <c r="R1163" s="111">
        <v>2349.9699999999998</v>
      </c>
      <c r="S1163" s="3" t="s">
        <v>39</v>
      </c>
      <c r="T1163" s="48">
        <v>46254</v>
      </c>
      <c r="V1163" s="51">
        <v>0.5131944444444444</v>
      </c>
      <c r="W1163" s="51">
        <v>0.5180555555555556</v>
      </c>
      <c r="X1163" s="51">
        <v>0.58333333333333337</v>
      </c>
      <c r="Y1163" s="51">
        <v>0.5854166666666667</v>
      </c>
      <c r="Z1163" s="181">
        <v>2</v>
      </c>
    </row>
    <row r="1164" spans="1:26" hidden="1">
      <c r="A1164" s="30">
        <v>23768650</v>
      </c>
      <c r="B1164" s="31">
        <v>46254</v>
      </c>
      <c r="C1164" s="32">
        <v>0.51684027777777775</v>
      </c>
      <c r="D1164" s="33" t="s">
        <v>1163</v>
      </c>
      <c r="E1164" s="34">
        <v>2184634642</v>
      </c>
      <c r="F1164" s="33"/>
      <c r="G1164" s="33"/>
      <c r="H1164" s="35">
        <v>21846346420</v>
      </c>
      <c r="I1164" s="33"/>
      <c r="J1164" s="36"/>
      <c r="K1164" t="s">
        <v>32</v>
      </c>
      <c r="N1164" s="3">
        <f>L1164*0.3</f>
        <v>0</v>
      </c>
      <c r="O1164" s="3">
        <f>(IF(L1164&lt;4172.98,0,MIN(L1164*0.3,L1164-4172.98)))-M1164</f>
        <v>0</v>
      </c>
      <c r="S1164" s="53" t="s">
        <v>69</v>
      </c>
      <c r="V1164" s="51">
        <v>0.51666666666666672</v>
      </c>
      <c r="Z1164" s="181">
        <v>0</v>
      </c>
    </row>
    <row r="1165" spans="1:26" hidden="1">
      <c r="A1165" s="30">
        <v>23795576</v>
      </c>
      <c r="B1165" s="31">
        <v>46254</v>
      </c>
      <c r="C1165" s="32">
        <v>0.51892361111111107</v>
      </c>
      <c r="D1165" s="33" t="s">
        <v>1164</v>
      </c>
      <c r="E1165" s="34">
        <v>5215513375780</v>
      </c>
      <c r="F1165" s="33"/>
      <c r="G1165" s="33" t="s">
        <v>1165</v>
      </c>
      <c r="H1165" s="35"/>
      <c r="I1165" s="33"/>
      <c r="J1165" s="36"/>
      <c r="K1165" t="s">
        <v>30</v>
      </c>
      <c r="L1165" s="111">
        <v>8786.4500000000007</v>
      </c>
      <c r="M1165" s="111">
        <v>2530.35</v>
      </c>
      <c r="N1165" s="3">
        <f>L1165*0.3</f>
        <v>2635.9349999999999</v>
      </c>
      <c r="O1165" s="3">
        <f>(IF(L1165&lt;4172.98,0,MIN(L1165*0.3,L1165-4172.98)))-M1165</f>
        <v>105.58500000000004</v>
      </c>
      <c r="P1165" s="6">
        <v>46631</v>
      </c>
      <c r="Q1165" t="s">
        <v>421</v>
      </c>
      <c r="R1165" s="111">
        <v>2530.35</v>
      </c>
      <c r="S1165" s="53" t="s">
        <v>69</v>
      </c>
      <c r="V1165" s="51">
        <v>0.51875000000000004</v>
      </c>
      <c r="Z1165" s="181">
        <v>2</v>
      </c>
    </row>
    <row r="1166" spans="1:26" hidden="1">
      <c r="A1166" s="12">
        <v>23804558</v>
      </c>
      <c r="B1166" s="13">
        <v>46254</v>
      </c>
      <c r="C1166" s="14">
        <v>0.55180555555555555</v>
      </c>
      <c r="D1166" s="15"/>
      <c r="E1166" s="16">
        <v>5215619758762</v>
      </c>
      <c r="F1166" s="15"/>
      <c r="G1166" s="15"/>
      <c r="H1166" s="17">
        <v>1972562908.3</v>
      </c>
      <c r="I1166" s="15"/>
      <c r="J1166" s="18"/>
      <c r="K1166" t="s">
        <v>30</v>
      </c>
      <c r="L1166" s="111">
        <v>8996.15</v>
      </c>
      <c r="M1166" s="111">
        <v>2698.83</v>
      </c>
      <c r="N1166" s="3">
        <f t="shared" ref="N1166:N1168" si="109">L1166*0.3</f>
        <v>2698.8449999999998</v>
      </c>
      <c r="O1166" s="3">
        <f>(IF(L1166&lt;4172.98,0,MIN(L1166*0.3,L1166-4172.98)))-M1166</f>
        <v>1.4999999999872671E-2</v>
      </c>
      <c r="P1166" s="6">
        <v>46539</v>
      </c>
      <c r="Q1166" t="s">
        <v>75</v>
      </c>
      <c r="R1166" s="3">
        <v>2337</v>
      </c>
      <c r="S1166" s="3" t="s">
        <v>69</v>
      </c>
      <c r="V1166" s="51">
        <v>0.55277777777777781</v>
      </c>
      <c r="Z1166" s="181">
        <v>2</v>
      </c>
    </row>
    <row r="1167" spans="1:26" hidden="1">
      <c r="A1167" s="12">
        <v>23804174</v>
      </c>
      <c r="B1167" s="13">
        <v>46254</v>
      </c>
      <c r="C1167" s="14">
        <v>0.55193287037037042</v>
      </c>
      <c r="D1167" s="15"/>
      <c r="E1167" s="16">
        <v>5215513661339</v>
      </c>
      <c r="F1167" s="15"/>
      <c r="G1167" s="15" t="s">
        <v>1166</v>
      </c>
      <c r="H1167" s="17"/>
      <c r="I1167" s="15"/>
      <c r="J1167" s="18"/>
      <c r="K1167" t="s">
        <v>30</v>
      </c>
      <c r="L1167" s="111">
        <v>24520.48</v>
      </c>
      <c r="M1167" s="111">
        <v>7092.9</v>
      </c>
      <c r="N1167" s="3">
        <f t="shared" si="109"/>
        <v>7356.1439999999993</v>
      </c>
      <c r="O1167" s="3">
        <f>(IF(L1167&lt;4172.98,0,MIN(L1167*0.3,L1167-4172.98)))-M1167</f>
        <v>263.24399999999969</v>
      </c>
      <c r="P1167" s="6">
        <v>46631</v>
      </c>
      <c r="Q1167" t="s">
        <v>77</v>
      </c>
      <c r="R1167" s="111">
        <v>7092.9</v>
      </c>
      <c r="S1167" s="3" t="s">
        <v>69</v>
      </c>
      <c r="V1167" s="51">
        <v>0.55277777777777781</v>
      </c>
      <c r="Z1167" s="181">
        <v>2</v>
      </c>
    </row>
    <row r="1168" spans="1:26" hidden="1">
      <c r="A1168" s="30">
        <v>23804288</v>
      </c>
      <c r="B1168" s="31">
        <v>46254</v>
      </c>
      <c r="C1168" s="32">
        <v>0.55262731481481486</v>
      </c>
      <c r="D1168" s="33"/>
      <c r="E1168" s="34">
        <v>5212961441393</v>
      </c>
      <c r="F1168" s="33"/>
      <c r="G1168" s="33" t="s">
        <v>1167</v>
      </c>
      <c r="H1168" s="35"/>
      <c r="I1168" s="33"/>
      <c r="J1168" s="36"/>
      <c r="K1168" t="s">
        <v>30</v>
      </c>
      <c r="L1168" s="111">
        <v>28852.35</v>
      </c>
      <c r="M1168" s="111">
        <v>8640.4599999999991</v>
      </c>
      <c r="N1168" s="3">
        <f t="shared" si="109"/>
        <v>8655.7049999999999</v>
      </c>
      <c r="O1168" s="3">
        <f>(IF(L1168&lt;4172.98,0,MIN(L1168*0.3,L1168-4172.98)))-M1168</f>
        <v>15.2450000000008</v>
      </c>
      <c r="P1168" s="6">
        <v>46357</v>
      </c>
      <c r="Q1168" t="s">
        <v>47</v>
      </c>
      <c r="R1168" s="3">
        <v>1366.31</v>
      </c>
      <c r="S1168" s="3" t="s">
        <v>69</v>
      </c>
      <c r="V1168" s="51">
        <v>0.55277777777777781</v>
      </c>
      <c r="Z1168" s="181">
        <v>2</v>
      </c>
    </row>
    <row r="1169" spans="1:26" hidden="1">
      <c r="A1169" s="30">
        <v>23804410</v>
      </c>
      <c r="B1169" s="31">
        <v>46254</v>
      </c>
      <c r="C1169" s="32">
        <v>0.55328703703703708</v>
      </c>
      <c r="D1169" s="33" t="s">
        <v>1168</v>
      </c>
      <c r="E1169" s="34">
        <v>5214431839987</v>
      </c>
      <c r="F1169" s="33"/>
      <c r="G1169" s="33"/>
      <c r="H1169" s="35">
        <v>53765738389</v>
      </c>
      <c r="I1169" s="33"/>
      <c r="J1169" s="36"/>
      <c r="K1169" t="s">
        <v>58</v>
      </c>
      <c r="L1169" s="111">
        <v>4199.87</v>
      </c>
      <c r="M1169" s="111">
        <v>848</v>
      </c>
      <c r="N1169" s="3">
        <f>L1169*0.3</f>
        <v>1259.961</v>
      </c>
      <c r="O1169" s="3">
        <f>(IF(L1169&lt;4172.98,0,MIN(L1169*0.3,L1169-4172.98)))-M1169</f>
        <v>-821.10999999999967</v>
      </c>
      <c r="S1169" s="3" t="s">
        <v>69</v>
      </c>
      <c r="V1169" s="51">
        <v>0.55347222222222225</v>
      </c>
      <c r="Z1169" s="181">
        <v>1</v>
      </c>
    </row>
    <row r="1170" spans="1:26">
      <c r="A1170" s="30">
        <v>23798552</v>
      </c>
      <c r="B1170" s="31">
        <v>46254</v>
      </c>
      <c r="C1170" s="32">
        <v>0.56231481481481482</v>
      </c>
      <c r="D1170" s="33"/>
      <c r="E1170" s="34">
        <v>5214428687233</v>
      </c>
      <c r="F1170" s="33"/>
      <c r="G1170" s="33" t="s">
        <v>1169</v>
      </c>
      <c r="H1170" s="35"/>
      <c r="I1170" s="33"/>
      <c r="J1170" s="36"/>
      <c r="K1170" t="s">
        <v>38</v>
      </c>
      <c r="L1170" s="3">
        <v>5070.78</v>
      </c>
      <c r="N1170" s="3">
        <f>L1170*0.3</f>
        <v>1521.2339999999999</v>
      </c>
      <c r="O1170" s="3">
        <f>(IF(L1170&lt;4172.98,0,MIN(L1170*0.3,L1170-4172.98)))-M1170</f>
        <v>897.80000000000018</v>
      </c>
      <c r="S1170" s="53" t="s">
        <v>271</v>
      </c>
      <c r="T1170" s="48">
        <v>46254</v>
      </c>
      <c r="V1170" s="51">
        <v>0.56180555555555556</v>
      </c>
      <c r="W1170" s="51">
        <v>0.56527777777777777</v>
      </c>
      <c r="X1170" s="51">
        <v>0.58750000000000002</v>
      </c>
      <c r="Y1170" s="51">
        <v>0.63749999999999996</v>
      </c>
      <c r="Z1170" s="181">
        <v>1</v>
      </c>
    </row>
    <row r="1171" spans="1:26">
      <c r="A1171" s="12">
        <v>23804924</v>
      </c>
      <c r="B1171" s="13">
        <v>46254</v>
      </c>
      <c r="C1171" s="14">
        <v>0.5665162037037037</v>
      </c>
      <c r="D1171" s="15"/>
      <c r="E1171" s="16">
        <v>5217299388930</v>
      </c>
      <c r="F1171" s="15"/>
      <c r="G1171" s="15"/>
      <c r="H1171" s="17">
        <v>62796030633</v>
      </c>
      <c r="I1171" s="15"/>
      <c r="J1171" s="18"/>
      <c r="K1171" t="s">
        <v>38</v>
      </c>
      <c r="L1171" s="111">
        <v>5617.64</v>
      </c>
      <c r="M1171" s="111">
        <v>555.19000000000005</v>
      </c>
      <c r="N1171" s="3">
        <f t="shared" ref="N1171:N1172" si="110">L1171*0.3</f>
        <v>1685.2920000000001</v>
      </c>
      <c r="O1171" s="3">
        <f>(IF(L1171&lt;4172.98,0,MIN(L1171*0.3,L1171-4172.98)))-M1171</f>
        <v>889.47000000000071</v>
      </c>
      <c r="P1171" s="6">
        <v>46296</v>
      </c>
      <c r="Q1171" t="s">
        <v>75</v>
      </c>
      <c r="R1171" s="111">
        <v>555.19000000000005</v>
      </c>
      <c r="S1171" s="3" t="s">
        <v>271</v>
      </c>
      <c r="T1171" s="48">
        <v>46254</v>
      </c>
      <c r="V1171" s="51">
        <v>0.56874999999999998</v>
      </c>
      <c r="W1171" s="51">
        <v>0.57152777777777775</v>
      </c>
      <c r="X1171" s="51">
        <v>0.58819444444444446</v>
      </c>
      <c r="Y1171" s="51">
        <v>0.63888888888888884</v>
      </c>
      <c r="Z1171" s="181">
        <v>2</v>
      </c>
    </row>
    <row r="1172" spans="1:26" hidden="1">
      <c r="A1172" s="30">
        <v>23803204</v>
      </c>
      <c r="B1172" s="31">
        <v>46254</v>
      </c>
      <c r="C1172" s="32">
        <v>0.5681018518518518</v>
      </c>
      <c r="D1172" s="33"/>
      <c r="E1172" s="34">
        <v>7681124290</v>
      </c>
      <c r="F1172" s="33"/>
      <c r="G1172" s="33"/>
      <c r="H1172" s="35">
        <v>65765001030</v>
      </c>
      <c r="I1172" s="33"/>
      <c r="J1172" s="36"/>
      <c r="K1172" t="s">
        <v>58</v>
      </c>
      <c r="L1172" s="3">
        <v>3866.25</v>
      </c>
      <c r="N1172" s="3">
        <f t="shared" si="110"/>
        <v>1159.875</v>
      </c>
      <c r="O1172" s="3">
        <f>(IF(L1172&lt;4172.98,0,MIN(L1172*0.3,L1172-4172.98)))-M1172</f>
        <v>0</v>
      </c>
      <c r="S1172" s="3" t="s">
        <v>69</v>
      </c>
      <c r="V1172" s="51">
        <v>0.56874999999999998</v>
      </c>
      <c r="Z1172" s="181">
        <v>1</v>
      </c>
    </row>
    <row r="1173" spans="1:26" hidden="1">
      <c r="A1173" s="30">
        <v>23805546</v>
      </c>
      <c r="B1173" s="31">
        <v>46254</v>
      </c>
      <c r="C1173" s="32">
        <v>0.57783564814814814</v>
      </c>
      <c r="D1173" s="33"/>
      <c r="E1173" s="34">
        <v>5218112551177</v>
      </c>
      <c r="F1173" s="33"/>
      <c r="G1173" s="33"/>
      <c r="H1173" s="35" t="s">
        <v>1170</v>
      </c>
      <c r="I1173" s="33"/>
      <c r="J1173" s="36"/>
      <c r="K1173" t="s">
        <v>58</v>
      </c>
      <c r="L1173" s="111">
        <v>4636.43</v>
      </c>
      <c r="M1173" s="111">
        <v>848</v>
      </c>
      <c r="N1173" s="3">
        <f>L1173*0.3</f>
        <v>1390.9290000000001</v>
      </c>
      <c r="O1173" s="3">
        <f>(IF(L1173&lt;4172.98,0,MIN(L1173*0.3,L1173-4172.98)))-M1173</f>
        <v>-384.54999999999927</v>
      </c>
      <c r="S1173" s="3" t="s">
        <v>69</v>
      </c>
      <c r="V1173" s="51">
        <v>0.57777777777777772</v>
      </c>
      <c r="Z1173" s="181">
        <v>1</v>
      </c>
    </row>
    <row r="1174" spans="1:26" hidden="1">
      <c r="A1174" s="30">
        <v>23806294</v>
      </c>
      <c r="B1174" s="31">
        <v>46254</v>
      </c>
      <c r="C1174" s="32">
        <v>0.60046296296296298</v>
      </c>
      <c r="D1174" s="33"/>
      <c r="E1174" s="34">
        <v>5611675737</v>
      </c>
      <c r="F1174" s="33"/>
      <c r="G1174" s="33"/>
      <c r="H1174" s="35" t="s">
        <v>1171</v>
      </c>
      <c r="I1174" s="33"/>
      <c r="J1174" s="36"/>
      <c r="K1174" t="s">
        <v>58</v>
      </c>
      <c r="L1174" s="3">
        <v>3895.43</v>
      </c>
      <c r="N1174" s="3">
        <f>L1174*0.3</f>
        <v>1168.6289999999999</v>
      </c>
      <c r="O1174" s="3">
        <f>(IF(L1174&lt;4172.98,0,MIN(L1174*0.3,L1174-4172.98)))-M1174</f>
        <v>0</v>
      </c>
      <c r="S1174" s="3" t="s">
        <v>69</v>
      </c>
      <c r="V1174" s="51">
        <v>0.60069444444444442</v>
      </c>
      <c r="Z1174" s="181">
        <v>1</v>
      </c>
    </row>
    <row r="1175" spans="1:26" hidden="1">
      <c r="A1175" s="30">
        <v>23806374</v>
      </c>
      <c r="B1175" s="31">
        <v>46254</v>
      </c>
      <c r="C1175" s="32">
        <v>0.60204861111111108</v>
      </c>
      <c r="D1175" s="33"/>
      <c r="E1175" s="34">
        <v>5216462385025</v>
      </c>
      <c r="F1175" s="33"/>
      <c r="G1175" s="33" t="s">
        <v>1172</v>
      </c>
      <c r="H1175" s="35"/>
      <c r="I1175" s="33"/>
      <c r="J1175" s="36"/>
      <c r="K1175" t="s">
        <v>30</v>
      </c>
      <c r="L1175" s="3">
        <v>25815.69</v>
      </c>
      <c r="M1175" s="3">
        <v>7463.1</v>
      </c>
      <c r="N1175" s="3">
        <f>L1175*0.3</f>
        <v>7744.7069999999994</v>
      </c>
      <c r="O1175" s="3">
        <f>(IF(L1175&lt;4172.98,0,MIN(L1175*0.3,L1175-4172.98)))-M1175</f>
        <v>281.60699999999906</v>
      </c>
      <c r="P1175" s="6">
        <v>46508</v>
      </c>
      <c r="Q1175" t="s">
        <v>59</v>
      </c>
      <c r="R1175" s="3">
        <v>6345.31</v>
      </c>
      <c r="S1175" s="3" t="s">
        <v>69</v>
      </c>
      <c r="V1175" s="51">
        <v>0.6020833333333333</v>
      </c>
      <c r="Z1175" s="181">
        <v>2</v>
      </c>
    </row>
    <row r="1176" spans="1:26" hidden="1">
      <c r="A1176" s="30">
        <v>23409556</v>
      </c>
      <c r="B1176" s="31">
        <v>46254</v>
      </c>
      <c r="C1176" s="32">
        <v>0.6053587962962963</v>
      </c>
      <c r="D1176" s="33" t="s">
        <v>1173</v>
      </c>
      <c r="E1176" s="34">
        <v>5216691643434</v>
      </c>
      <c r="F1176" s="33"/>
      <c r="G1176" s="33"/>
      <c r="H1176" s="35" t="s">
        <v>1174</v>
      </c>
      <c r="I1176" s="33"/>
      <c r="J1176" s="36"/>
      <c r="K1176" t="s">
        <v>30</v>
      </c>
      <c r="L1176" s="3">
        <v>8181.55</v>
      </c>
      <c r="M1176" s="3">
        <v>2271.64</v>
      </c>
      <c r="N1176" s="3">
        <f>L1176*0.3</f>
        <v>2454.4650000000001</v>
      </c>
      <c r="O1176" s="3">
        <f>(IF(L1176&lt;4172.98,0,MIN(L1176*0.3,L1176-4172.98)))-M1176</f>
        <v>182.82500000000027</v>
      </c>
      <c r="P1176" s="6">
        <v>46539</v>
      </c>
      <c r="Q1176" t="s">
        <v>59</v>
      </c>
      <c r="R1176" s="3">
        <v>2271.64</v>
      </c>
      <c r="S1176" s="3" t="s">
        <v>69</v>
      </c>
      <c r="V1176" s="51">
        <v>0.60624999999999996</v>
      </c>
      <c r="Z1176" s="181">
        <v>2</v>
      </c>
    </row>
    <row r="1177" spans="1:26" hidden="1">
      <c r="A1177" s="30">
        <v>23806894</v>
      </c>
      <c r="B1177" s="31">
        <v>46254</v>
      </c>
      <c r="C1177" s="32">
        <v>0.60689814814814813</v>
      </c>
      <c r="D1177" s="33"/>
      <c r="E1177" s="34">
        <v>5215545478713</v>
      </c>
      <c r="F1177" s="33"/>
      <c r="G1177" s="33"/>
      <c r="H1177" s="35" t="s">
        <v>1175</v>
      </c>
      <c r="I1177" s="33"/>
      <c r="J1177" s="36"/>
      <c r="K1177" t="s">
        <v>30</v>
      </c>
      <c r="L1177" s="3">
        <v>9081.52</v>
      </c>
      <c r="M1177" s="3">
        <v>2723.18</v>
      </c>
      <c r="N1177" s="3">
        <f>L1177*0.3</f>
        <v>2724.4560000000001</v>
      </c>
      <c r="O1177" s="3">
        <f>(IF(L1177&lt;4172.98,0,MIN(L1177*0.3,L1177-4172.98)))-M1177</f>
        <v>1.2760000000002947</v>
      </c>
      <c r="P1177" s="6">
        <v>46266</v>
      </c>
      <c r="Q1177" t="s">
        <v>75</v>
      </c>
      <c r="R1177" s="3">
        <v>1840.4</v>
      </c>
      <c r="S1177" s="3" t="s">
        <v>69</v>
      </c>
      <c r="V1177" s="51">
        <v>0.60763888888888884</v>
      </c>
      <c r="Z1177" s="181">
        <v>2</v>
      </c>
    </row>
    <row r="1178" spans="1:26" hidden="1">
      <c r="A1178" s="30">
        <v>23806966</v>
      </c>
      <c r="B1178" s="31">
        <v>46254</v>
      </c>
      <c r="C1178" s="32">
        <v>0.60986111111111108</v>
      </c>
      <c r="D1178" s="33"/>
      <c r="E1178" s="34">
        <v>5214791457676</v>
      </c>
      <c r="F1178" s="33"/>
      <c r="G1178" s="33"/>
      <c r="H1178" s="35">
        <v>12765402628</v>
      </c>
      <c r="I1178" s="33"/>
      <c r="J1178" s="36"/>
      <c r="K1178" t="s">
        <v>58</v>
      </c>
      <c r="L1178" s="3">
        <v>3478.63</v>
      </c>
      <c r="M1178" s="3">
        <v>848</v>
      </c>
      <c r="N1178" s="3">
        <f>L1178*0.3</f>
        <v>1043.5889999999999</v>
      </c>
      <c r="O1178" s="3">
        <f>(IF(L1178&lt;4172.98,0,MIN(L1178*0.3,L1178-4172.98)))-M1178</f>
        <v>-848</v>
      </c>
      <c r="S1178" s="3" t="s">
        <v>69</v>
      </c>
      <c r="V1178" s="51">
        <v>0.61041666666666672</v>
      </c>
      <c r="Z1178" s="181">
        <v>1</v>
      </c>
    </row>
    <row r="1179" spans="1:26" hidden="1">
      <c r="A1179" s="30">
        <v>23807166</v>
      </c>
      <c r="B1179" s="31">
        <v>46254</v>
      </c>
      <c r="C1179" s="32">
        <v>0.61539351851851853</v>
      </c>
      <c r="D1179" s="33" t="s">
        <v>1176</v>
      </c>
      <c r="E1179" s="34">
        <v>5216311001121</v>
      </c>
      <c r="F1179" s="33"/>
      <c r="G1179" s="33"/>
      <c r="H1179" s="35" t="s">
        <v>1177</v>
      </c>
      <c r="I1179" s="33"/>
      <c r="J1179" s="36"/>
      <c r="K1179" t="s">
        <v>58</v>
      </c>
      <c r="L1179" s="3">
        <v>4342.43</v>
      </c>
      <c r="N1179" s="3">
        <f>L1179*0.3</f>
        <v>1302.729</v>
      </c>
      <c r="O1179" s="3">
        <f>(IF(L1179&lt;4172.98,0,MIN(L1179*0.3,L1179-4172.98)))-M1179</f>
        <v>169.45000000000073</v>
      </c>
      <c r="S1179" s="3" t="s">
        <v>69</v>
      </c>
      <c r="V1179" s="51">
        <v>0.62222222222222223</v>
      </c>
      <c r="Z1179" s="181">
        <v>1</v>
      </c>
    </row>
    <row r="1180" spans="1:26" hidden="1">
      <c r="A1180" s="30">
        <v>23807324</v>
      </c>
      <c r="B1180" s="31">
        <v>46254</v>
      </c>
      <c r="C1180" s="32">
        <v>0.6206828703703704</v>
      </c>
      <c r="D1180" s="33" t="s">
        <v>1178</v>
      </c>
      <c r="E1180" s="34">
        <v>5215534750200</v>
      </c>
      <c r="F1180" s="33"/>
      <c r="G1180" s="33" t="s">
        <v>1179</v>
      </c>
      <c r="H1180" s="35" t="s">
        <v>1180</v>
      </c>
      <c r="I1180" s="33"/>
      <c r="J1180" s="36"/>
      <c r="K1180" t="s">
        <v>30</v>
      </c>
      <c r="L1180" s="3">
        <v>9760.32</v>
      </c>
      <c r="M1180" s="3">
        <v>2925.86</v>
      </c>
      <c r="N1180" s="3">
        <f>L1180*0.3</f>
        <v>2928.096</v>
      </c>
      <c r="O1180" s="3">
        <f>(IF(L1180&lt;4172.98,0,MIN(L1180*0.3,L1180-4172.98)))-M1180</f>
        <v>2.2359999999998763</v>
      </c>
      <c r="P1180" s="6">
        <v>46813</v>
      </c>
      <c r="Q1180" t="s">
        <v>75</v>
      </c>
      <c r="R1180" s="3">
        <v>2046.86</v>
      </c>
      <c r="S1180" s="3" t="s">
        <v>69</v>
      </c>
      <c r="V1180" s="51">
        <v>0.62361111111111112</v>
      </c>
      <c r="Z1180" s="181">
        <v>2</v>
      </c>
    </row>
    <row r="1181" spans="1:26" hidden="1">
      <c r="A1181" s="30">
        <v>23807528</v>
      </c>
      <c r="B1181" s="31">
        <v>46254</v>
      </c>
      <c r="C1181" s="32">
        <v>0.62578703703703709</v>
      </c>
      <c r="D1181" s="33" t="s">
        <v>1181</v>
      </c>
      <c r="E1181" s="34">
        <v>5219191533805</v>
      </c>
      <c r="F1181" s="33"/>
      <c r="G1181" s="33" t="s">
        <v>1182</v>
      </c>
      <c r="H1181" s="35"/>
      <c r="I1181" s="33"/>
      <c r="J1181" s="36"/>
      <c r="K1181" t="s">
        <v>32</v>
      </c>
      <c r="N1181" s="3">
        <f>L1181*0.3</f>
        <v>0</v>
      </c>
      <c r="O1181" s="3">
        <f>(IF(L1181&lt;4172.98,0,MIN(L1181*0.3,L1181-4172.98)))-M1181</f>
        <v>0</v>
      </c>
      <c r="S1181" s="3" t="s">
        <v>69</v>
      </c>
      <c r="V1181" s="51">
        <v>0.62569444444444444</v>
      </c>
      <c r="Z1181" s="181">
        <v>0</v>
      </c>
    </row>
    <row r="1182" spans="1:26">
      <c r="A1182" s="30">
        <v>23807678</v>
      </c>
      <c r="B1182" s="31">
        <v>46254</v>
      </c>
      <c r="C1182" s="32">
        <v>0.63418981481481485</v>
      </c>
      <c r="D1182" s="33"/>
      <c r="E1182" s="34">
        <v>5212942805568</v>
      </c>
      <c r="F1182" s="33"/>
      <c r="G1182" s="33" t="s">
        <v>1183</v>
      </c>
      <c r="H1182" s="35"/>
      <c r="I1182" s="33"/>
      <c r="J1182" s="36"/>
      <c r="K1182" t="s">
        <v>38</v>
      </c>
      <c r="L1182" s="111">
        <v>9760.32</v>
      </c>
      <c r="M1182" s="111">
        <v>2240.69</v>
      </c>
      <c r="N1182" s="3">
        <f>L1182*0.3</f>
        <v>2928.096</v>
      </c>
      <c r="O1182" s="3">
        <f>(IF(L1182&lt;4172.98,0,MIN(L1182*0.3,L1182-4172.98)))-M1182</f>
        <v>687.40599999999995</v>
      </c>
      <c r="P1182" s="6">
        <v>46661</v>
      </c>
      <c r="Q1182" t="s">
        <v>206</v>
      </c>
      <c r="R1182" s="111">
        <v>2240.69</v>
      </c>
      <c r="S1182" s="3" t="s">
        <v>39</v>
      </c>
      <c r="T1182" s="48">
        <v>46254</v>
      </c>
      <c r="V1182" s="51">
        <v>0.63402777777777775</v>
      </c>
      <c r="W1182" s="51">
        <v>0.63888888888888884</v>
      </c>
      <c r="X1182" s="51">
        <v>0.65</v>
      </c>
      <c r="Y1182" s="51">
        <v>0.65694444444444444</v>
      </c>
      <c r="Z1182" s="181">
        <v>2</v>
      </c>
    </row>
    <row r="1183" spans="1:26">
      <c r="A1183" s="30">
        <v>23808074</v>
      </c>
      <c r="B1183" s="31">
        <v>46254</v>
      </c>
      <c r="C1183" s="32">
        <v>0.63817129629629632</v>
      </c>
      <c r="D1183" s="33"/>
      <c r="E1183" s="34">
        <v>5219618537847</v>
      </c>
      <c r="F1183" s="33"/>
      <c r="G1183" s="33"/>
      <c r="H1183" s="35">
        <v>83836504130</v>
      </c>
      <c r="I1183" s="33"/>
      <c r="J1183" s="36"/>
      <c r="K1183" t="s">
        <v>54</v>
      </c>
      <c r="L1183" s="3">
        <v>9760.32</v>
      </c>
      <c r="N1183" s="3">
        <f>L1183*0.3</f>
        <v>2928.096</v>
      </c>
      <c r="O1183" s="3">
        <f>(IF(L1183&lt;4172.98,0,MIN(L1183*0.3,L1183-4172.98)))-M1183</f>
        <v>2928.096</v>
      </c>
      <c r="S1183" s="3" t="s">
        <v>327</v>
      </c>
      <c r="T1183" s="48">
        <v>46254</v>
      </c>
      <c r="V1183" s="51">
        <v>0.63749999999999996</v>
      </c>
      <c r="W1183" s="51">
        <v>0.65277777777777779</v>
      </c>
      <c r="X1183" s="51">
        <v>0.65694444444444444</v>
      </c>
      <c r="Y1183" s="51">
        <v>0.66111111111111109</v>
      </c>
      <c r="Z1183" s="181">
        <v>1</v>
      </c>
    </row>
    <row r="1184" spans="1:26" hidden="1">
      <c r="A1184" s="30">
        <v>23809044</v>
      </c>
      <c r="B1184" s="31">
        <v>46254</v>
      </c>
      <c r="C1184" s="32">
        <v>0.66333333333333333</v>
      </c>
      <c r="D1184" s="33"/>
      <c r="E1184" s="34">
        <v>5219611115472</v>
      </c>
      <c r="F1184" s="33"/>
      <c r="G1184" s="33" t="s">
        <v>1184</v>
      </c>
      <c r="H1184" s="35"/>
      <c r="I1184" s="33"/>
      <c r="J1184" s="36"/>
      <c r="K1184" t="s">
        <v>30</v>
      </c>
      <c r="L1184" s="3">
        <v>14276.05</v>
      </c>
      <c r="M1184" s="3">
        <v>4280.34</v>
      </c>
      <c r="N1184" s="3">
        <f>L1184*0.3</f>
        <v>4282.8149999999996</v>
      </c>
      <c r="O1184" s="3">
        <f>(IF(L1184&lt;4172.98,0,MIN(L1184*0.3,L1184-4172.98)))-M1184</f>
        <v>2.4749999999994543</v>
      </c>
      <c r="P1184" s="6">
        <v>46661</v>
      </c>
      <c r="Q1184" t="s">
        <v>141</v>
      </c>
      <c r="R1184" s="3">
        <v>3654.65</v>
      </c>
      <c r="S1184" s="3" t="s">
        <v>69</v>
      </c>
      <c r="V1184" s="51">
        <v>0.66319444444444442</v>
      </c>
      <c r="Z1184" s="181">
        <v>2</v>
      </c>
    </row>
    <row r="1185" spans="1:26" hidden="1">
      <c r="A1185" s="30">
        <v>23810038</v>
      </c>
      <c r="B1185" s="31">
        <v>46254</v>
      </c>
      <c r="C1185" s="32">
        <v>0.70800925925925928</v>
      </c>
      <c r="D1185" s="33" t="s">
        <v>1185</v>
      </c>
      <c r="E1185" s="34">
        <v>5214452155223</v>
      </c>
      <c r="F1185" s="33"/>
      <c r="G1185" s="33" t="s">
        <v>1186</v>
      </c>
      <c r="H1185" s="35"/>
      <c r="I1185" s="33"/>
      <c r="J1185" s="36"/>
      <c r="K1185" t="s">
        <v>32</v>
      </c>
      <c r="N1185" s="3">
        <f>L1185*0.3</f>
        <v>0</v>
      </c>
      <c r="O1185" s="3">
        <f>(IF(L1185&lt;4172.98,0,MIN(L1185*0.3,L1185-4172.98)))-M1185</f>
        <v>0</v>
      </c>
      <c r="S1185" s="3" t="s">
        <v>69</v>
      </c>
      <c r="V1185" s="51">
        <v>0.70902777777777781</v>
      </c>
      <c r="Z1185" s="181">
        <v>0</v>
      </c>
    </row>
    <row r="1186" spans="1:26" hidden="1">
      <c r="A1186" s="30">
        <v>23810438</v>
      </c>
      <c r="B1186" s="31">
        <v>46254</v>
      </c>
      <c r="C1186" s="32">
        <v>0.71084490740740736</v>
      </c>
      <c r="D1186" s="33"/>
      <c r="E1186" s="34">
        <v>5216623627449</v>
      </c>
      <c r="F1186" s="33"/>
      <c r="G1186" s="33" t="s">
        <v>1187</v>
      </c>
      <c r="H1186" s="35"/>
      <c r="I1186" s="33"/>
      <c r="J1186" s="36"/>
      <c r="K1186" t="s">
        <v>30</v>
      </c>
      <c r="L1186" s="111">
        <v>12053.04</v>
      </c>
      <c r="M1186" s="111">
        <v>3614.32</v>
      </c>
      <c r="N1186" s="3">
        <f>L1186*0.3</f>
        <v>3615.9120000000003</v>
      </c>
      <c r="O1186" s="3">
        <f>(IF(L1186&lt;4172.98,0,MIN(L1186*0.3,L1186-4172.98)))-M1186</f>
        <v>1.5920000000000982</v>
      </c>
      <c r="P1186" s="6">
        <v>46966</v>
      </c>
      <c r="Q1186" t="s">
        <v>1188</v>
      </c>
      <c r="R1186" s="111">
        <v>3614.32</v>
      </c>
      <c r="S1186" s="3" t="s">
        <v>69</v>
      </c>
      <c r="V1186" s="51">
        <v>0.7104166666666667</v>
      </c>
      <c r="Z1186" s="181">
        <v>2</v>
      </c>
    </row>
    <row r="1187" spans="1:26">
      <c r="A1187" s="30">
        <v>23811054</v>
      </c>
      <c r="B1187" s="31">
        <v>46254</v>
      </c>
      <c r="C1187" s="32">
        <v>0.7277893518518519</v>
      </c>
      <c r="D1187" s="33"/>
      <c r="E1187" s="34">
        <v>16623037367</v>
      </c>
      <c r="F1187" s="33"/>
      <c r="G1187" s="33"/>
      <c r="H1187" s="35">
        <v>43856601570</v>
      </c>
      <c r="I1187" s="33"/>
      <c r="J1187" s="36"/>
      <c r="K1187" t="s">
        <v>54</v>
      </c>
      <c r="L1187" s="3">
        <v>10636.54</v>
      </c>
      <c r="N1187" s="3">
        <f>L1187*0.3</f>
        <v>3190.962</v>
      </c>
      <c r="O1187" s="3">
        <f>(IF(L1187&lt;4172.98,0,MIN(L1187*0.3,L1187-4172.98)))-M1187</f>
        <v>3190.962</v>
      </c>
      <c r="S1187" s="3" t="s">
        <v>548</v>
      </c>
      <c r="T1187" s="48">
        <v>46254</v>
      </c>
      <c r="V1187" s="51">
        <v>0.72847222222222219</v>
      </c>
      <c r="W1187" s="51">
        <v>0.73124999999999996</v>
      </c>
      <c r="X1187" s="51">
        <v>0.73402777777777772</v>
      </c>
      <c r="Y1187" s="51">
        <v>0.73611111111111116</v>
      </c>
      <c r="Z1187" s="181">
        <v>1</v>
      </c>
    </row>
    <row r="1188" spans="1:26" hidden="1">
      <c r="A1188" s="30">
        <v>23811254</v>
      </c>
      <c r="B1188" s="31">
        <v>46254</v>
      </c>
      <c r="C1188" s="32">
        <v>0.74210648148148151</v>
      </c>
      <c r="D1188" s="33"/>
      <c r="E1188" s="34">
        <v>5212881255423</v>
      </c>
      <c r="F1188" s="33"/>
      <c r="G1188" s="33"/>
      <c r="H1188" s="35" t="s">
        <v>1189</v>
      </c>
      <c r="I1188" s="33"/>
      <c r="J1188" s="36"/>
      <c r="K1188" t="s">
        <v>30</v>
      </c>
      <c r="L1188" s="125">
        <v>6405.06</v>
      </c>
      <c r="M1188" s="125">
        <v>1921.51</v>
      </c>
      <c r="N1188" s="3">
        <f>L1188*0.3</f>
        <v>1921.518</v>
      </c>
      <c r="O1188" s="3">
        <f>(IF(L1188&lt;4172.98,0,MIN(L1188*0.3,L1188-4172.98)))-M1188</f>
        <v>8.0000000000381988E-3</v>
      </c>
      <c r="P1188" s="6">
        <v>46844</v>
      </c>
      <c r="Q1188" t="s">
        <v>1188</v>
      </c>
      <c r="R1188" s="125">
        <v>1921.51</v>
      </c>
      <c r="S1188" s="3" t="s">
        <v>69</v>
      </c>
      <c r="V1188" s="51">
        <v>0.74236111111111114</v>
      </c>
      <c r="Z1188" s="181">
        <v>2</v>
      </c>
    </row>
    <row r="1189" spans="1:26" hidden="1">
      <c r="A1189" s="30">
        <v>23811780</v>
      </c>
      <c r="B1189" s="31">
        <v>46254</v>
      </c>
      <c r="C1189" s="32">
        <v>0.75587962962962962</v>
      </c>
      <c r="D1189" s="33"/>
      <c r="E1189" s="34">
        <v>5212225218788</v>
      </c>
      <c r="F1189" s="33"/>
      <c r="G1189" s="33" t="s">
        <v>1190</v>
      </c>
      <c r="H1189" s="35"/>
      <c r="I1189" s="33"/>
      <c r="J1189" s="36"/>
      <c r="K1189" t="s">
        <v>32</v>
      </c>
      <c r="N1189" s="3">
        <f>L1189*0.3</f>
        <v>0</v>
      </c>
      <c r="O1189" s="3">
        <f>(IF(L1189&lt;4172.98,0,MIN(L1189*0.3,L1189-4172.98)))-M1189</f>
        <v>0</v>
      </c>
      <c r="S1189" s="3" t="s">
        <v>69</v>
      </c>
      <c r="V1189" s="51">
        <v>0.75555555555555554</v>
      </c>
      <c r="Z1189" s="181">
        <v>0</v>
      </c>
    </row>
    <row r="1190" spans="1:26">
      <c r="A1190" s="30">
        <v>23812146</v>
      </c>
      <c r="B1190" s="31">
        <v>46254</v>
      </c>
      <c r="C1190" s="32">
        <v>0.76774305555555555</v>
      </c>
      <c r="D1190" s="33"/>
      <c r="E1190" s="34">
        <v>5215544148832</v>
      </c>
      <c r="F1190" s="33"/>
      <c r="G1190" s="33"/>
      <c r="H1190" s="35" t="s">
        <v>1191</v>
      </c>
      <c r="I1190" s="31"/>
      <c r="J1190" s="174"/>
      <c r="K1190" s="108" t="s">
        <v>107</v>
      </c>
      <c r="L1190" s="125">
        <v>5121.1899999999996</v>
      </c>
      <c r="M1190" s="125">
        <v>877.51</v>
      </c>
      <c r="N1190" s="175">
        <f>L1190*0.3</f>
        <v>1536.3569999999997</v>
      </c>
      <c r="O1190" s="3">
        <f>(IF(L1190&lt;4172.98,0,MIN(L1190*0.3,L1190-4172.98)))-M1190</f>
        <v>70.700000000000045</v>
      </c>
      <c r="P1190" s="6">
        <v>46235</v>
      </c>
      <c r="Q1190" t="s">
        <v>59</v>
      </c>
      <c r="R1190" s="125">
        <v>877.51</v>
      </c>
      <c r="S1190" s="3" t="s">
        <v>271</v>
      </c>
      <c r="T1190" s="48">
        <v>46254</v>
      </c>
      <c r="U1190" s="85"/>
      <c r="V1190" s="51">
        <v>0.76736111111111116</v>
      </c>
      <c r="W1190" s="51">
        <v>0.77708333333333335</v>
      </c>
      <c r="X1190" s="51">
        <v>0.77986111111111112</v>
      </c>
      <c r="Y1190" s="51">
        <v>0.78263888888888888</v>
      </c>
      <c r="Z1190" s="181">
        <v>2</v>
      </c>
    </row>
    <row r="1191" spans="1:26" hidden="1">
      <c r="A1191" s="12">
        <v>23812538</v>
      </c>
      <c r="B1191" s="13">
        <v>46254</v>
      </c>
      <c r="C1191" s="14">
        <v>0.7814699074074074</v>
      </c>
      <c r="D1191" s="15"/>
      <c r="E1191" s="16">
        <v>5218715211820</v>
      </c>
      <c r="F1191" s="15"/>
      <c r="G1191" s="15"/>
      <c r="H1191" s="17">
        <v>32917515960</v>
      </c>
      <c r="I1191" s="15"/>
      <c r="J1191" s="18"/>
      <c r="K1191" t="s">
        <v>30</v>
      </c>
      <c r="L1191" s="3">
        <f>4178.3+1463.92</f>
        <v>5642.22</v>
      </c>
      <c r="M1191" s="3">
        <v>1463.92</v>
      </c>
      <c r="N1191" s="3">
        <f t="shared" ref="N1191:N1194" si="111">L1191*0.3</f>
        <v>1692.6659999999999</v>
      </c>
      <c r="O1191" s="3">
        <f>(IF(L1191&lt;4172.98,0,MIN(L1191*0.3,L1191-4172.98)))-M1191</f>
        <v>5.3200000000006185</v>
      </c>
      <c r="P1191" s="6">
        <v>46784</v>
      </c>
      <c r="Q1191" t="s">
        <v>57</v>
      </c>
      <c r="R1191" s="3">
        <v>1463.92</v>
      </c>
      <c r="S1191" s="3" t="s">
        <v>69</v>
      </c>
      <c r="V1191" s="51">
        <v>0.38541666666666669</v>
      </c>
      <c r="Z1191" s="181">
        <v>2</v>
      </c>
    </row>
    <row r="1192" spans="1:26" hidden="1">
      <c r="A1192" s="12">
        <v>23812544</v>
      </c>
      <c r="B1192" s="13">
        <v>46254</v>
      </c>
      <c r="C1192" s="14">
        <v>0.78677083333333331</v>
      </c>
      <c r="D1192" s="15"/>
      <c r="E1192" s="16">
        <v>5214461215776</v>
      </c>
      <c r="F1192" s="15"/>
      <c r="G1192" s="15"/>
      <c r="H1192" s="17">
        <v>63806021760</v>
      </c>
      <c r="I1192" s="15"/>
      <c r="J1192" s="18"/>
      <c r="K1192" t="s">
        <v>30</v>
      </c>
      <c r="L1192" s="3">
        <f>15095.43+232.53+428.1+5540.59+268.09</f>
        <v>21564.74</v>
      </c>
      <c r="M1192" s="3">
        <f>232.53+428.1+5540.59+268.09</f>
        <v>6469.31</v>
      </c>
      <c r="N1192" s="3">
        <f t="shared" si="111"/>
        <v>6469.4220000000005</v>
      </c>
      <c r="O1192" s="3">
        <f>(IF(L1192&lt;4172.98,0,MIN(L1192*0.3,L1192-4172.98)))-M1192</f>
        <v>0.11200000000008004</v>
      </c>
      <c r="P1192" s="6">
        <v>46478</v>
      </c>
      <c r="Q1192" t="s">
        <v>332</v>
      </c>
      <c r="R1192" s="3">
        <v>428.1</v>
      </c>
      <c r="S1192" s="3" t="s">
        <v>69</v>
      </c>
      <c r="V1192" s="51">
        <v>0.38541666666666669</v>
      </c>
      <c r="Z1192" s="181">
        <v>2</v>
      </c>
    </row>
    <row r="1193" spans="1:26" hidden="1">
      <c r="A1193" s="12">
        <v>23812666</v>
      </c>
      <c r="B1193" s="13">
        <v>46254</v>
      </c>
      <c r="C1193" s="14">
        <v>0.78893518518518524</v>
      </c>
      <c r="D1193" s="15"/>
      <c r="E1193" s="16">
        <v>5216633325601</v>
      </c>
      <c r="F1193" s="15"/>
      <c r="G1193" s="15" t="s">
        <v>1192</v>
      </c>
      <c r="H1193" s="17">
        <v>92946401186</v>
      </c>
      <c r="I1193" s="15"/>
      <c r="J1193" s="18"/>
      <c r="K1193" t="s">
        <v>30</v>
      </c>
      <c r="L1193" s="3">
        <f>6474.28+2607.24</f>
        <v>9081.52</v>
      </c>
      <c r="M1193" s="3">
        <v>2607.2399999999998</v>
      </c>
      <c r="N1193" s="3">
        <f t="shared" si="111"/>
        <v>2724.4560000000001</v>
      </c>
      <c r="O1193" s="3">
        <f>(IF(L1193&lt;4172.98,0,MIN(L1193*0.3,L1193-4172.98)))-M1193</f>
        <v>117.21600000000035</v>
      </c>
      <c r="P1193" s="6">
        <v>46478</v>
      </c>
      <c r="Q1193" t="s">
        <v>75</v>
      </c>
      <c r="R1193" s="3">
        <v>2607.2399999999998</v>
      </c>
      <c r="S1193" s="3" t="s">
        <v>69</v>
      </c>
      <c r="V1193" s="51">
        <v>0.38541666666666669</v>
      </c>
      <c r="Z1193" s="181">
        <v>2</v>
      </c>
    </row>
    <row r="1194" spans="1:26" hidden="1">
      <c r="A1194" s="30">
        <v>23812696</v>
      </c>
      <c r="B1194" s="31">
        <v>46254</v>
      </c>
      <c r="C1194" s="32">
        <v>0.78920138888888891</v>
      </c>
      <c r="D1194" s="33"/>
      <c r="E1194" s="34">
        <v>5216461132372</v>
      </c>
      <c r="F1194" s="33"/>
      <c r="G1194" s="33" t="s">
        <v>1193</v>
      </c>
      <c r="H1194" s="35"/>
      <c r="I1194" s="33"/>
      <c r="J1194" s="36"/>
      <c r="K1194" t="s">
        <v>58</v>
      </c>
      <c r="L1194" s="3">
        <v>3912.1</v>
      </c>
      <c r="N1194" s="3">
        <f t="shared" si="111"/>
        <v>1173.6299999999999</v>
      </c>
      <c r="O1194" s="3">
        <f>(IF(L1194&lt;4172.98,0,MIN(L1194*0.3,L1194-4172.98)))-M1194</f>
        <v>0</v>
      </c>
      <c r="S1194" s="3" t="s">
        <v>69</v>
      </c>
      <c r="V1194" s="51">
        <v>0.38541666666666669</v>
      </c>
      <c r="Z1194" s="181">
        <v>1</v>
      </c>
    </row>
    <row r="1195" spans="1:26">
      <c r="A1195" s="12">
        <v>23812978</v>
      </c>
      <c r="B1195" s="13">
        <v>46254</v>
      </c>
      <c r="C1195" s="14">
        <v>0.80471064814814819</v>
      </c>
      <c r="D1195" s="15" t="s">
        <v>1194</v>
      </c>
      <c r="E1195" s="16">
        <v>5219983437457</v>
      </c>
      <c r="F1195" s="15"/>
      <c r="G1195" s="15" t="s">
        <v>1195</v>
      </c>
      <c r="H1195" s="17" t="s">
        <v>1196</v>
      </c>
      <c r="I1195" s="15"/>
      <c r="J1195" s="18"/>
      <c r="K1195" t="s">
        <v>54</v>
      </c>
      <c r="L1195" s="3">
        <v>10636.54</v>
      </c>
      <c r="N1195" s="3">
        <f t="shared" ref="N1195:N1203" si="112">L1195*0.3</f>
        <v>3190.962</v>
      </c>
      <c r="O1195" s="3">
        <f>(IF(L1195&lt;4172.98,0,MIN(L1195*0.3,L1195-4172.98)))-M1195</f>
        <v>3190.962</v>
      </c>
      <c r="S1195" s="3" t="s">
        <v>327</v>
      </c>
      <c r="T1195" s="48">
        <v>46255</v>
      </c>
      <c r="V1195" s="51">
        <v>0.38680555555555557</v>
      </c>
      <c r="W1195" s="51">
        <v>0.40833333333333333</v>
      </c>
      <c r="X1195" s="51">
        <v>0.41249999999999998</v>
      </c>
      <c r="Y1195" s="51">
        <v>0.4513888888888889</v>
      </c>
      <c r="Z1195" s="181">
        <v>1</v>
      </c>
    </row>
    <row r="1196" spans="1:26" hidden="1">
      <c r="A1196" s="12">
        <v>23813392</v>
      </c>
      <c r="B1196" s="13">
        <v>46254</v>
      </c>
      <c r="C1196" s="14">
        <v>0.82226851851851857</v>
      </c>
      <c r="D1196" s="15"/>
      <c r="E1196" s="16">
        <v>6461132372</v>
      </c>
      <c r="F1196" s="15"/>
      <c r="G1196" s="15" t="s">
        <v>1193</v>
      </c>
      <c r="H1196" s="17"/>
      <c r="I1196" s="15"/>
      <c r="J1196" s="18"/>
      <c r="K1196" t="s">
        <v>58</v>
      </c>
      <c r="L1196" s="3">
        <v>3912.1</v>
      </c>
      <c r="N1196" s="3">
        <f t="shared" si="112"/>
        <v>1173.6299999999999</v>
      </c>
      <c r="O1196" s="3">
        <f>(IF(L1196&lt;4172.98,0,MIN(L1196*0.3,L1196-4172.98)))-M1196</f>
        <v>0</v>
      </c>
      <c r="S1196" s="3" t="s">
        <v>69</v>
      </c>
      <c r="V1196" s="51">
        <v>0.38680555555555557</v>
      </c>
      <c r="Z1196" s="181">
        <v>1</v>
      </c>
    </row>
    <row r="1197" spans="1:26" hidden="1">
      <c r="A1197" s="12">
        <v>23813570</v>
      </c>
      <c r="B1197" s="13">
        <v>46254</v>
      </c>
      <c r="C1197" s="14">
        <v>0.82458333333333333</v>
      </c>
      <c r="D1197" s="15"/>
      <c r="E1197" s="16">
        <v>5214851119291</v>
      </c>
      <c r="F1197" s="15"/>
      <c r="G1197" s="15"/>
      <c r="H1197" s="17" t="s">
        <v>1197</v>
      </c>
      <c r="I1197" s="15"/>
      <c r="J1197" s="18"/>
      <c r="K1197" t="s">
        <v>32</v>
      </c>
      <c r="N1197" s="3">
        <f t="shared" si="112"/>
        <v>0</v>
      </c>
      <c r="O1197" s="3">
        <f>(IF(L1197&lt;4172.98,0,MIN(L1197*0.3,L1197-4172.98)))-M1197</f>
        <v>0</v>
      </c>
      <c r="S1197" s="3" t="s">
        <v>69</v>
      </c>
      <c r="V1197" s="51">
        <v>0.38680555555555557</v>
      </c>
      <c r="Z1197" s="181">
        <v>0</v>
      </c>
    </row>
    <row r="1198" spans="1:26">
      <c r="A1198" s="12">
        <v>23813726</v>
      </c>
      <c r="B1198" s="13">
        <v>46254</v>
      </c>
      <c r="C1198" s="14">
        <v>0.83374999999999999</v>
      </c>
      <c r="D1198" s="15"/>
      <c r="E1198" s="16">
        <v>5215541111337</v>
      </c>
      <c r="F1198" s="15"/>
      <c r="G1198" s="15" t="s">
        <v>1198</v>
      </c>
      <c r="H1198" s="17"/>
      <c r="I1198" s="15"/>
      <c r="J1198" s="18"/>
      <c r="K1198" t="s">
        <v>54</v>
      </c>
      <c r="L1198" s="3">
        <f>25220.71-848</f>
        <v>24372.71</v>
      </c>
      <c r="M1198" s="3">
        <v>848</v>
      </c>
      <c r="N1198" s="3">
        <f t="shared" si="112"/>
        <v>7311.8129999999992</v>
      </c>
      <c r="O1198" s="3">
        <f>(IF(L1198&lt;4172.98,0,MIN(L1198*0.3,L1198-4172.98)))-M1198</f>
        <v>6463.8129999999992</v>
      </c>
      <c r="S1198" s="3" t="s">
        <v>879</v>
      </c>
      <c r="T1198" s="48">
        <v>46255</v>
      </c>
      <c r="V1198" s="51">
        <v>0.38680555555555557</v>
      </c>
      <c r="W1198" s="51">
        <v>0.41736111111111113</v>
      </c>
      <c r="X1198" s="51">
        <v>0.41805555555555557</v>
      </c>
      <c r="Y1198" s="51">
        <v>0.42083333333333334</v>
      </c>
      <c r="Z1198" s="181">
        <v>1</v>
      </c>
    </row>
    <row r="1199" spans="1:26" hidden="1">
      <c r="A1199" s="12">
        <v>23814342</v>
      </c>
      <c r="B1199" s="13">
        <v>46254</v>
      </c>
      <c r="C1199" s="14">
        <v>0.85736111111111113</v>
      </c>
      <c r="D1199" s="15"/>
      <c r="E1199" s="16">
        <v>5217294449542</v>
      </c>
      <c r="F1199" s="15"/>
      <c r="G1199" s="15"/>
      <c r="H1199" s="17" t="s">
        <v>1199</v>
      </c>
      <c r="I1199" s="15"/>
      <c r="J1199" s="18"/>
      <c r="K1199" t="s">
        <v>30</v>
      </c>
      <c r="L1199" s="3">
        <f>4526.15+1736.71</f>
        <v>6262.86</v>
      </c>
      <c r="M1199" s="3">
        <v>1736.71</v>
      </c>
      <c r="N1199" s="3">
        <f t="shared" si="112"/>
        <v>1878.8579999999997</v>
      </c>
      <c r="O1199" s="3">
        <f>(IF(L1199&lt;4172.98,0,MIN(L1199*0.3,L1199-4172.98)))-M1199</f>
        <v>142.14799999999968</v>
      </c>
      <c r="P1199" s="6">
        <v>46327</v>
      </c>
      <c r="Q1199" t="s">
        <v>73</v>
      </c>
      <c r="S1199" s="3" t="s">
        <v>69</v>
      </c>
      <c r="V1199" s="51">
        <v>0.38680555555555557</v>
      </c>
      <c r="Z1199" s="181">
        <v>2</v>
      </c>
    </row>
    <row r="1200" spans="1:26" hidden="1">
      <c r="A1200" s="12">
        <v>23814746</v>
      </c>
      <c r="B1200" s="13">
        <v>46254</v>
      </c>
      <c r="C1200" s="14">
        <v>0.88072916666666667</v>
      </c>
      <c r="D1200" s="15"/>
      <c r="E1200" s="16">
        <v>5219618985080</v>
      </c>
      <c r="F1200" s="15"/>
      <c r="G1200" s="15"/>
      <c r="H1200" s="17">
        <v>71907001144</v>
      </c>
      <c r="I1200" s="15"/>
      <c r="J1200" s="18"/>
      <c r="K1200" t="s">
        <v>32</v>
      </c>
      <c r="N1200" s="3">
        <f t="shared" si="112"/>
        <v>0</v>
      </c>
      <c r="O1200" s="3">
        <f>(IF(L1200&lt;4172.98,0,MIN(L1200*0.3,L1200-4172.98)))-M1200</f>
        <v>0</v>
      </c>
      <c r="S1200" s="3" t="s">
        <v>69</v>
      </c>
      <c r="V1200" s="51">
        <v>0.38680555555555557</v>
      </c>
      <c r="Z1200" s="181">
        <v>0</v>
      </c>
    </row>
    <row r="1201" spans="1:26">
      <c r="A1201" s="12">
        <v>23814640</v>
      </c>
      <c r="B1201" s="13">
        <v>46254</v>
      </c>
      <c r="C1201" s="14">
        <v>0.88354166666666667</v>
      </c>
      <c r="D1201" s="15"/>
      <c r="E1201" s="16">
        <v>5218446796252</v>
      </c>
      <c r="F1201" s="15"/>
      <c r="G1201" s="15"/>
      <c r="H1201" s="17" t="s">
        <v>1200</v>
      </c>
      <c r="I1201" s="15"/>
      <c r="J1201" s="18"/>
      <c r="K1201" t="s">
        <v>107</v>
      </c>
      <c r="L1201" s="3">
        <f>4332.32</f>
        <v>4332.32</v>
      </c>
      <c r="M1201" s="3">
        <v>472.72</v>
      </c>
      <c r="N1201" s="3">
        <f t="shared" si="112"/>
        <v>1299.6959999999999</v>
      </c>
      <c r="O1201" s="3">
        <f>(IF(L1201&lt;4172.98,0,MIN(L1201*0.3,L1201-4172.98)))-M1201</f>
        <v>-313.37999999999988</v>
      </c>
      <c r="P1201" s="6">
        <v>45658</v>
      </c>
      <c r="Q1201" t="s">
        <v>47</v>
      </c>
      <c r="R1201" s="3">
        <v>472.72</v>
      </c>
      <c r="S1201" s="3" t="s">
        <v>266</v>
      </c>
      <c r="T1201" s="48">
        <v>46255</v>
      </c>
      <c r="V1201" s="51">
        <v>0.38680555555555557</v>
      </c>
      <c r="W1201" s="51">
        <v>0.42291666666666666</v>
      </c>
      <c r="X1201" s="51">
        <v>0.42430555555555555</v>
      </c>
      <c r="Y1201" s="51">
        <v>0.42638888888888887</v>
      </c>
      <c r="Z1201" s="181">
        <v>2</v>
      </c>
    </row>
    <row r="1202" spans="1:26" hidden="1">
      <c r="A1202" s="12">
        <v>23815132</v>
      </c>
      <c r="B1202" s="13">
        <v>46254</v>
      </c>
      <c r="C1202" s="14">
        <v>0.90509259259259256</v>
      </c>
      <c r="D1202" s="15" t="s">
        <v>1201</v>
      </c>
      <c r="E1202" s="16">
        <v>5214931601235</v>
      </c>
      <c r="F1202" s="15"/>
      <c r="G1202" s="15" t="s">
        <v>1202</v>
      </c>
      <c r="H1202" s="17">
        <v>34877110501</v>
      </c>
      <c r="I1202" s="15"/>
      <c r="J1202" s="18"/>
      <c r="K1202" t="s">
        <v>30</v>
      </c>
      <c r="L1202" s="3">
        <f>7449.34+1868+1164.71</f>
        <v>10482.049999999999</v>
      </c>
      <c r="M1202" s="3">
        <f>1868+1164.71</f>
        <v>3032.71</v>
      </c>
      <c r="N1202" s="3">
        <f t="shared" si="112"/>
        <v>3144.6149999999998</v>
      </c>
      <c r="O1202" s="3">
        <f>(IF(L1202&lt;4172.98,0,MIN(L1202*0.3,L1202-4172.98)))-M1202</f>
        <v>111.90499999999975</v>
      </c>
      <c r="P1202" s="6">
        <v>46661</v>
      </c>
      <c r="Q1202" t="s">
        <v>206</v>
      </c>
      <c r="R1202" s="3">
        <v>1868</v>
      </c>
      <c r="S1202" s="3" t="s">
        <v>69</v>
      </c>
      <c r="V1202" s="51">
        <v>0.38680555555555557</v>
      </c>
      <c r="Z1202" s="181">
        <v>2</v>
      </c>
    </row>
    <row r="1203" spans="1:26" hidden="1">
      <c r="A1203" s="30">
        <v>23816008</v>
      </c>
      <c r="B1203" s="31">
        <v>46254</v>
      </c>
      <c r="C1203" s="32">
        <v>0.96409722222222227</v>
      </c>
      <c r="D1203" s="33"/>
      <c r="E1203" s="34">
        <v>5216565895636</v>
      </c>
      <c r="F1203" s="33"/>
      <c r="G1203" s="33"/>
      <c r="H1203" s="35" t="s">
        <v>1203</v>
      </c>
      <c r="I1203" s="33"/>
      <c r="J1203" s="36"/>
      <c r="K1203" t="s">
        <v>30</v>
      </c>
      <c r="L1203" s="3">
        <f>6357.06+2724.46</f>
        <v>9081.52</v>
      </c>
      <c r="M1203" s="3">
        <v>2724.46</v>
      </c>
      <c r="N1203" s="3">
        <f t="shared" si="112"/>
        <v>2724.4560000000001</v>
      </c>
      <c r="O1203" s="3">
        <f>(IF(L1203&lt;4172.98,0,MIN(L1203*0.3,L1203-4172.98)))-M1203</f>
        <v>-3.9999999999054126E-3</v>
      </c>
      <c r="P1203" s="6">
        <v>46784</v>
      </c>
      <c r="Q1203" t="s">
        <v>206</v>
      </c>
      <c r="R1203" s="3">
        <v>2724.46</v>
      </c>
      <c r="S1203" s="3" t="s">
        <v>69</v>
      </c>
      <c r="V1203" s="51">
        <v>0.38680555555555557</v>
      </c>
      <c r="Z1203" s="181">
        <v>2</v>
      </c>
    </row>
    <row r="1204" spans="1:26" hidden="1">
      <c r="A1204" s="30">
        <v>23737644</v>
      </c>
      <c r="B1204" s="31">
        <v>46255</v>
      </c>
      <c r="C1204" s="32">
        <v>0.40733796296296299</v>
      </c>
      <c r="D1204" s="33"/>
      <c r="E1204" s="34">
        <v>5219931199090</v>
      </c>
      <c r="F1204" s="33"/>
      <c r="G1204" s="33" t="s">
        <v>1204</v>
      </c>
      <c r="H1204" s="35"/>
      <c r="I1204" s="33"/>
      <c r="J1204" s="36"/>
      <c r="K1204" t="s">
        <v>32</v>
      </c>
      <c r="N1204" s="3">
        <f>L1204*0.3</f>
        <v>0</v>
      </c>
      <c r="O1204" s="3">
        <f>(IF(L1204&lt;4172.98,0,MIN(L1204*0.3,L1204-4172.98)))-M1204</f>
        <v>0</v>
      </c>
      <c r="S1204" s="53" t="s">
        <v>69</v>
      </c>
      <c r="V1204" s="51">
        <v>0.40694444444444444</v>
      </c>
      <c r="Z1204" s="181">
        <v>0</v>
      </c>
    </row>
    <row r="1205" spans="1:26" hidden="1">
      <c r="A1205" s="30">
        <v>23746911</v>
      </c>
      <c r="B1205" s="31">
        <v>46255</v>
      </c>
      <c r="C1205" s="32">
        <v>0.40803240740740743</v>
      </c>
      <c r="D1205" s="33"/>
      <c r="E1205" s="34">
        <v>5216699937422</v>
      </c>
      <c r="F1205" s="33"/>
      <c r="G1205" s="33"/>
      <c r="H1205" s="35">
        <v>23907276036</v>
      </c>
      <c r="I1205" s="33"/>
      <c r="J1205" s="36"/>
      <c r="K1205" t="s">
        <v>30</v>
      </c>
      <c r="L1205" s="3">
        <f>4387.54+916.14+959.17</f>
        <v>6262.85</v>
      </c>
      <c r="M1205" s="3">
        <f>916.14+959.17</f>
        <v>1875.31</v>
      </c>
      <c r="N1205" s="3">
        <f>L1205*0.3</f>
        <v>1878.855</v>
      </c>
      <c r="O1205" s="3">
        <f>(IF(L1205&lt;4172.98,0,MIN(L1205*0.3,L1205-4172.98)))-M1205</f>
        <v>3.5450000000000728</v>
      </c>
      <c r="P1205" s="6">
        <v>46539</v>
      </c>
      <c r="Q1205" t="s">
        <v>43</v>
      </c>
      <c r="R1205" s="3">
        <v>959.17</v>
      </c>
      <c r="S1205" s="53" t="s">
        <v>69</v>
      </c>
      <c r="V1205" s="51">
        <v>0.40763888888888888</v>
      </c>
      <c r="Z1205" s="181">
        <v>2</v>
      </c>
    </row>
    <row r="1206" spans="1:26" hidden="1">
      <c r="A1206" s="30">
        <v>23766055</v>
      </c>
      <c r="B1206" s="31">
        <v>46255</v>
      </c>
      <c r="C1206" s="32">
        <v>0.40803240740740743</v>
      </c>
      <c r="D1206" s="33"/>
      <c r="E1206" s="34">
        <v>5216865890905</v>
      </c>
      <c r="F1206" s="33"/>
      <c r="G1206" s="33"/>
      <c r="H1206" s="35">
        <v>21015202670</v>
      </c>
      <c r="I1206" s="33"/>
      <c r="J1206" s="36"/>
      <c r="K1206" t="s">
        <v>51</v>
      </c>
      <c r="N1206" s="3">
        <f>L1206*0.3</f>
        <v>0</v>
      </c>
      <c r="O1206" s="3">
        <f>(IF(L1206&lt;4172.98,0,MIN(L1206*0.3,L1206-4172.98)))-M1206</f>
        <v>0</v>
      </c>
      <c r="S1206" s="53" t="s">
        <v>69</v>
      </c>
      <c r="V1206" s="51">
        <v>0.40763888888888888</v>
      </c>
      <c r="Z1206" s="181">
        <v>1</v>
      </c>
    </row>
    <row r="1207" spans="1:26" hidden="1">
      <c r="A1207" s="30">
        <v>23740472</v>
      </c>
      <c r="B1207" s="31">
        <v>46255</v>
      </c>
      <c r="C1207" s="32">
        <v>0.45664351851851853</v>
      </c>
      <c r="D1207" s="33"/>
      <c r="E1207" s="34">
        <v>5212841000889</v>
      </c>
      <c r="F1207" s="33"/>
      <c r="G1207" s="33"/>
      <c r="H1207" s="35">
        <v>65664021196</v>
      </c>
      <c r="I1207" s="33"/>
      <c r="J1207" s="36"/>
      <c r="K1207" t="s">
        <v>58</v>
      </c>
      <c r="L1207" s="3">
        <v>3599.37</v>
      </c>
      <c r="N1207" s="3">
        <f>L1207*0.3</f>
        <v>1079.8109999999999</v>
      </c>
      <c r="O1207" s="3">
        <f>(IF(L1207&lt;4172.98,0,MIN(L1207*0.3,L1207-4172.98)))-M1207</f>
        <v>0</v>
      </c>
      <c r="S1207" s="53" t="s">
        <v>69</v>
      </c>
      <c r="V1207" s="51">
        <v>0.45624999999999999</v>
      </c>
      <c r="Z1207" s="181">
        <v>1</v>
      </c>
    </row>
    <row r="1208" spans="1:26" hidden="1">
      <c r="A1208" s="30">
        <v>23830198</v>
      </c>
      <c r="B1208" s="31">
        <v>46255</v>
      </c>
      <c r="C1208" s="32">
        <v>0.46405092592592595</v>
      </c>
      <c r="D1208" s="33" t="s">
        <v>1205</v>
      </c>
      <c r="E1208" s="34">
        <v>5214411268763</v>
      </c>
      <c r="F1208" s="33"/>
      <c r="G1208" s="33" t="s">
        <v>1206</v>
      </c>
      <c r="H1208" s="35" t="s">
        <v>1207</v>
      </c>
      <c r="I1208" s="33"/>
      <c r="J1208" s="36"/>
      <c r="K1208" t="s">
        <v>30</v>
      </c>
      <c r="L1208" s="111">
        <v>6432.26</v>
      </c>
      <c r="M1208" s="111">
        <v>1923.29</v>
      </c>
      <c r="N1208" s="3">
        <f>L1208*0.3</f>
        <v>1929.6779999999999</v>
      </c>
      <c r="O1208" s="3">
        <f>(IF(L1208&lt;4172.98,0,MIN(L1208*0.3,L1208-4172.98)))-M1208</f>
        <v>6.38799999999992</v>
      </c>
      <c r="P1208" s="6">
        <v>46508</v>
      </c>
      <c r="Q1208" t="s">
        <v>47</v>
      </c>
      <c r="R1208" s="3">
        <v>1619.35</v>
      </c>
      <c r="S1208" s="3" t="s">
        <v>69</v>
      </c>
      <c r="V1208" s="51">
        <v>0.46388888888888891</v>
      </c>
      <c r="Z1208" s="181">
        <v>2</v>
      </c>
    </row>
    <row r="1209" spans="1:26" hidden="1">
      <c r="A1209" s="30">
        <v>23832616</v>
      </c>
      <c r="B1209" s="31">
        <v>46255</v>
      </c>
      <c r="C1209" s="32">
        <v>0.51400462962962967</v>
      </c>
      <c r="D1209" s="33"/>
      <c r="E1209" s="34">
        <v>5215588190655</v>
      </c>
      <c r="F1209" s="33"/>
      <c r="G1209" s="33"/>
      <c r="H1209" s="35" t="s">
        <v>1208</v>
      </c>
      <c r="I1209" s="33"/>
      <c r="J1209" s="36"/>
      <c r="K1209" t="s">
        <v>58</v>
      </c>
      <c r="L1209" s="3">
        <f>3082.31+879</f>
        <v>3961.31</v>
      </c>
      <c r="M1209" s="3">
        <v>879</v>
      </c>
      <c r="N1209" s="3">
        <f>L1209*0.3</f>
        <v>1188.393</v>
      </c>
      <c r="O1209" s="3">
        <f>(IF(L1209&lt;4172.98,0,MIN(L1209*0.3,L1209-4172.98)))-M1209</f>
        <v>-879</v>
      </c>
      <c r="S1209" s="3" t="s">
        <v>69</v>
      </c>
      <c r="V1209" s="51">
        <v>0.51388888888888884</v>
      </c>
      <c r="Z1209" s="181">
        <v>1</v>
      </c>
    </row>
    <row r="1210" spans="1:26" hidden="1">
      <c r="A1210" s="30">
        <v>23839344</v>
      </c>
      <c r="B1210" s="31">
        <v>46255</v>
      </c>
      <c r="C1210" s="32">
        <v>0.7439930555555555</v>
      </c>
      <c r="D1210" s="33"/>
      <c r="E1210" s="34">
        <v>5214494921818</v>
      </c>
      <c r="F1210" s="33"/>
      <c r="G1210" s="33"/>
      <c r="H1210" s="35">
        <v>51806306208</v>
      </c>
      <c r="I1210" s="33"/>
      <c r="J1210" s="36"/>
      <c r="K1210" t="s">
        <v>30</v>
      </c>
      <c r="L1210" s="3">
        <v>9081.52</v>
      </c>
      <c r="M1210" s="3">
        <v>2724.46</v>
      </c>
      <c r="N1210" s="3">
        <f>L1210*0.3</f>
        <v>2724.4560000000001</v>
      </c>
      <c r="O1210" s="3">
        <f>(IF(L1210&lt;4172.98,0,MIN(L1210*0.3,L1210-4172.98)))-M1210</f>
        <v>-3.9999999999054126E-3</v>
      </c>
      <c r="P1210" s="6">
        <v>46388</v>
      </c>
      <c r="Q1210" t="s">
        <v>334</v>
      </c>
      <c r="R1210" s="3">
        <v>1834.36</v>
      </c>
      <c r="S1210" s="3" t="s">
        <v>69</v>
      </c>
      <c r="U1210" s="85"/>
      <c r="V1210" s="51">
        <v>0.74861111111111112</v>
      </c>
      <c r="Z1210" s="181">
        <v>2</v>
      </c>
    </row>
    <row r="1211" spans="1:26" hidden="1">
      <c r="A1211" s="30">
        <v>23741206</v>
      </c>
      <c r="B1211" s="31">
        <v>46258</v>
      </c>
      <c r="C1211" s="32">
        <v>0.38719907407407406</v>
      </c>
      <c r="D1211" s="33" t="s">
        <v>1209</v>
      </c>
      <c r="E1211" s="34">
        <v>5218135965991</v>
      </c>
      <c r="F1211" s="33"/>
      <c r="G1211" s="33" t="s">
        <v>1210</v>
      </c>
      <c r="H1211" s="35">
        <v>43786103093</v>
      </c>
      <c r="I1211" s="33"/>
      <c r="J1211" s="36"/>
      <c r="K1211" t="s">
        <v>30</v>
      </c>
      <c r="L1211" s="111">
        <v>6488.55</v>
      </c>
      <c r="M1211" s="111">
        <v>1811.82</v>
      </c>
      <c r="N1211" s="3">
        <f>L1211*0.3</f>
        <v>1946.5650000000001</v>
      </c>
      <c r="O1211" s="3">
        <f>(IF(L1211&lt;4172.98,0,MIN(L1211*0.3,L1211-4172.98)))-M1211</f>
        <v>134.74500000000012</v>
      </c>
      <c r="P1211" s="6">
        <v>46478</v>
      </c>
      <c r="Q1211" t="s">
        <v>141</v>
      </c>
      <c r="R1211" s="3">
        <v>1585.98</v>
      </c>
      <c r="S1211" s="53" t="s">
        <v>69</v>
      </c>
      <c r="V1211" s="51">
        <v>0.38680555555555557</v>
      </c>
      <c r="Z1211" s="181">
        <v>2</v>
      </c>
    </row>
    <row r="1212" spans="1:26" hidden="1">
      <c r="A1212" s="30">
        <v>23810640</v>
      </c>
      <c r="B1212" s="31">
        <v>46258</v>
      </c>
      <c r="C1212" s="32">
        <v>0.38928240740740738</v>
      </c>
      <c r="D1212" s="33"/>
      <c r="E1212" s="34">
        <v>5219933848650</v>
      </c>
      <c r="F1212" s="33"/>
      <c r="G1212" s="33"/>
      <c r="H1212" s="35">
        <v>83674510702</v>
      </c>
      <c r="I1212" s="33"/>
      <c r="J1212" s="36"/>
      <c r="K1212" t="s">
        <v>58</v>
      </c>
      <c r="L1212" s="3">
        <v>3779.88</v>
      </c>
      <c r="N1212" s="3">
        <f>L1212*0.3</f>
        <v>1133.9639999999999</v>
      </c>
      <c r="O1212" s="3">
        <f>(IF(L1212&lt;4172.98,0,MIN(L1212*0.3,L1212-4172.98)))-M1212</f>
        <v>0</v>
      </c>
      <c r="S1212" s="53" t="s">
        <v>69</v>
      </c>
      <c r="V1212" s="51">
        <v>0.3888888888888889</v>
      </c>
      <c r="Z1212" s="181">
        <v>1</v>
      </c>
    </row>
    <row r="1213" spans="1:26">
      <c r="A1213" s="30">
        <v>23927594</v>
      </c>
      <c r="B1213" s="31">
        <v>46259</v>
      </c>
      <c r="C1213" s="32">
        <v>0.63105324074074076</v>
      </c>
      <c r="D1213" s="33"/>
      <c r="E1213" s="34">
        <v>5213329541094</v>
      </c>
      <c r="F1213" s="33"/>
      <c r="G1213" s="33"/>
      <c r="H1213" s="35" t="s">
        <v>1211</v>
      </c>
      <c r="I1213" s="33"/>
      <c r="J1213" s="36"/>
      <c r="K1213" t="s">
        <v>54</v>
      </c>
      <c r="L1213" s="3">
        <v>6770.59</v>
      </c>
      <c r="N1213" s="3">
        <f>L1213*0.3</f>
        <v>2031.1769999999999</v>
      </c>
      <c r="O1213" s="3">
        <f>(IF(L1213&lt;4172.98,0,MIN(L1213*0.3,L1213-4172.98)))-M1213</f>
        <v>2031.1769999999999</v>
      </c>
      <c r="S1213" s="3" t="s">
        <v>348</v>
      </c>
      <c r="T1213" s="48">
        <v>46260</v>
      </c>
      <c r="V1213" s="51">
        <v>0.39305555555555555</v>
      </c>
      <c r="W1213" s="51">
        <v>0.39652777777777776</v>
      </c>
      <c r="X1213" s="51">
        <v>0.40347222222222223</v>
      </c>
      <c r="Y1213" s="51">
        <v>0.40416666666666667</v>
      </c>
      <c r="Z1213" s="181">
        <v>1</v>
      </c>
    </row>
    <row r="1214" spans="1:26">
      <c r="A1214" s="30">
        <v>24013392</v>
      </c>
      <c r="B1214" s="31">
        <v>46260</v>
      </c>
      <c r="C1214" s="32">
        <v>0.47047453703703701</v>
      </c>
      <c r="D1214" s="33" t="s">
        <v>1212</v>
      </c>
      <c r="E1214" s="34">
        <v>5215579933806</v>
      </c>
      <c r="F1214" s="33"/>
      <c r="G1214" s="33"/>
      <c r="H1214" s="35" t="s">
        <v>1213</v>
      </c>
      <c r="I1214" s="33"/>
      <c r="J1214" s="36"/>
      <c r="K1214" t="s">
        <v>38</v>
      </c>
      <c r="L1214" s="3">
        <v>5324.51</v>
      </c>
      <c r="N1214" s="3">
        <f>L1214*0.3</f>
        <v>1597.3530000000001</v>
      </c>
      <c r="O1214" s="3">
        <f>(IF(L1214&lt;4172.98,0,MIN(L1214*0.3,L1214-4172.98)))-M1214</f>
        <v>1151.5300000000007</v>
      </c>
      <c r="S1214" s="3" t="s">
        <v>266</v>
      </c>
      <c r="T1214" s="48">
        <v>46260</v>
      </c>
      <c r="V1214" s="51">
        <v>0.47430555555555554</v>
      </c>
      <c r="W1214" s="51">
        <v>0.48055555555555557</v>
      </c>
      <c r="X1214" s="51">
        <v>0.48888888888888887</v>
      </c>
      <c r="Z1214" s="181">
        <v>1</v>
      </c>
    </row>
    <row r="1215" spans="1:26">
      <c r="A1215" s="30">
        <v>24021264</v>
      </c>
      <c r="B1215" s="31">
        <v>46260</v>
      </c>
      <c r="C1215" s="32">
        <v>0.67379629629629634</v>
      </c>
      <c r="D1215" s="33"/>
      <c r="E1215" s="34">
        <v>5217772864470</v>
      </c>
      <c r="F1215" s="33"/>
      <c r="G1215" s="33" t="s">
        <v>1214</v>
      </c>
      <c r="H1215" s="35"/>
      <c r="I1215" s="33"/>
      <c r="J1215" s="36"/>
      <c r="K1215" t="s">
        <v>54</v>
      </c>
      <c r="L1215" s="3">
        <v>9081.52</v>
      </c>
      <c r="N1215" s="3">
        <f>L1215*0.3</f>
        <v>2724.4560000000001</v>
      </c>
      <c r="O1215" s="3">
        <f>(IF(L1215&lt;4172.98,0,MIN(L1215*0.3,L1215-4172.98)))-M1215</f>
        <v>2724.4560000000001</v>
      </c>
      <c r="S1215" s="3" t="s">
        <v>879</v>
      </c>
      <c r="T1215" s="48">
        <v>46260</v>
      </c>
      <c r="V1215" s="51">
        <v>0.71250000000000002</v>
      </c>
      <c r="W1215" s="51">
        <v>0.71875</v>
      </c>
      <c r="X1215" s="51">
        <v>0.72430555555555554</v>
      </c>
      <c r="Z1215" s="181">
        <v>1</v>
      </c>
    </row>
    <row r="1216" spans="1:26">
      <c r="A1216" s="30">
        <v>23486806</v>
      </c>
      <c r="B1216" s="31">
        <v>46261</v>
      </c>
      <c r="C1216" s="32">
        <v>0.39622685185185186</v>
      </c>
      <c r="D1216" s="33" t="s">
        <v>1215</v>
      </c>
      <c r="E1216" s="34">
        <v>5215519136230</v>
      </c>
      <c r="F1216" s="33"/>
      <c r="G1216" s="33" t="s">
        <v>1216</v>
      </c>
      <c r="H1216" s="35"/>
      <c r="I1216" s="33"/>
      <c r="J1216" s="36"/>
      <c r="K1216" t="s">
        <v>34</v>
      </c>
      <c r="L1216" s="3">
        <v>9940.11</v>
      </c>
      <c r="M1216" s="3">
        <v>2851.21</v>
      </c>
      <c r="N1216" s="3">
        <f>L1216*0.3</f>
        <v>2982.0329999999999</v>
      </c>
      <c r="O1216" s="3">
        <f>(IF(L1216&lt;4172.98,0,MIN(L1216*0.3,L1216-4172.98)))-M1216</f>
        <v>130.82299999999987</v>
      </c>
      <c r="P1216" s="6">
        <v>45839</v>
      </c>
      <c r="Q1216" t="s">
        <v>57</v>
      </c>
      <c r="R1216" s="3">
        <v>701.9</v>
      </c>
      <c r="S1216" s="53" t="s">
        <v>35</v>
      </c>
      <c r="T1216" s="48">
        <v>46261</v>
      </c>
      <c r="V1216" s="51">
        <v>0.39583333333333331</v>
      </c>
      <c r="W1216" s="51">
        <v>0.41458333333333336</v>
      </c>
      <c r="X1216" s="51">
        <v>0.42430555555555555</v>
      </c>
      <c r="Y1216" s="51">
        <v>0.42638888888888887</v>
      </c>
      <c r="Z1216" s="181">
        <v>2</v>
      </c>
    </row>
    <row r="1217" spans="1:26" hidden="1">
      <c r="A1217" s="30">
        <v>23494674</v>
      </c>
      <c r="B1217" s="31">
        <v>46261</v>
      </c>
      <c r="C1217" s="32">
        <v>0.39761574074074074</v>
      </c>
      <c r="D1217" s="33" t="s">
        <v>1217</v>
      </c>
      <c r="E1217" s="34">
        <v>5219983545717</v>
      </c>
      <c r="F1217" s="33"/>
      <c r="G1217" s="33" t="s">
        <v>1218</v>
      </c>
      <c r="H1217" s="35"/>
      <c r="I1217" s="33"/>
      <c r="J1217" s="36">
        <v>1</v>
      </c>
      <c r="K1217" t="s">
        <v>30</v>
      </c>
      <c r="L1217" s="3">
        <v>9134.01</v>
      </c>
      <c r="M1217" s="3">
        <v>2642.69</v>
      </c>
      <c r="N1217" s="3">
        <f>L1217*0.3</f>
        <v>2740.203</v>
      </c>
      <c r="O1217" s="3">
        <f>(IF(L1217&lt;4172.98,0,MIN(L1217*0.3,L1217-4172.98)))-M1217</f>
        <v>97.51299999999992</v>
      </c>
      <c r="P1217" s="6">
        <v>46600</v>
      </c>
      <c r="Q1217" t="s">
        <v>206</v>
      </c>
      <c r="R1217" s="3">
        <v>1499.98</v>
      </c>
      <c r="S1217" s="53" t="s">
        <v>69</v>
      </c>
      <c r="V1217" s="51">
        <v>0.3972222222222222</v>
      </c>
      <c r="W1217" s="51"/>
      <c r="X1217" s="51"/>
      <c r="Z1217" s="181">
        <v>2</v>
      </c>
    </row>
    <row r="1218" spans="1:26" hidden="1">
      <c r="A1218" s="30">
        <v>23496970</v>
      </c>
      <c r="B1218" s="31">
        <v>46261</v>
      </c>
      <c r="C1218" s="32">
        <v>0.42261574074074076</v>
      </c>
      <c r="D1218" s="33" t="s">
        <v>1219</v>
      </c>
      <c r="E1218" s="34">
        <v>5212227050626</v>
      </c>
      <c r="F1218" s="33"/>
      <c r="G1218" s="33" t="s">
        <v>1220</v>
      </c>
      <c r="H1218" s="35">
        <v>48017906455</v>
      </c>
      <c r="I1218" s="33"/>
      <c r="J1218" s="36"/>
      <c r="K1218" t="s">
        <v>32</v>
      </c>
      <c r="N1218" s="3">
        <f>L1218*0.3</f>
        <v>0</v>
      </c>
      <c r="O1218" s="3">
        <f>(IF(L1218&lt;4172.98,0,MIN(L1218*0.3,L1218-4172.98)))-M1218</f>
        <v>0</v>
      </c>
      <c r="S1218" s="53" t="s">
        <v>69</v>
      </c>
      <c r="V1218" s="51">
        <v>0.42222222222222222</v>
      </c>
      <c r="Z1218" s="181">
        <v>0</v>
      </c>
    </row>
    <row r="1219" spans="1:26" hidden="1">
      <c r="A1219" s="30">
        <v>23409582</v>
      </c>
      <c r="B1219" s="31">
        <v>46261</v>
      </c>
      <c r="C1219" s="32">
        <v>0.57032407407407404</v>
      </c>
      <c r="D1219" s="33" t="s">
        <v>1221</v>
      </c>
      <c r="E1219" s="34">
        <v>5219984931933</v>
      </c>
      <c r="F1219" s="33"/>
      <c r="G1219" s="33" t="s">
        <v>1222</v>
      </c>
      <c r="H1219" s="35">
        <v>82926502053</v>
      </c>
      <c r="I1219" s="33"/>
      <c r="J1219" s="36"/>
      <c r="K1219" t="s">
        <v>32</v>
      </c>
      <c r="N1219" s="3">
        <f>L1219*0.3</f>
        <v>0</v>
      </c>
      <c r="O1219" s="3">
        <f>(IF(L1219&lt;4172.98,0,MIN(L1219*0.3,L1219-4172.98)))-M1219</f>
        <v>0</v>
      </c>
      <c r="S1219" s="53" t="s">
        <v>69</v>
      </c>
      <c r="V1219" s="51">
        <v>0.57013888888888886</v>
      </c>
      <c r="Z1219" s="181">
        <v>0</v>
      </c>
    </row>
    <row r="1220" spans="1:26" hidden="1">
      <c r="A1220" s="30">
        <v>24055662</v>
      </c>
      <c r="B1220" s="31">
        <v>46261</v>
      </c>
      <c r="C1220" s="32">
        <v>0.76490740740740737</v>
      </c>
      <c r="D1220" s="33" t="s">
        <v>1223</v>
      </c>
      <c r="E1220" s="34">
        <v>5215562517893</v>
      </c>
      <c r="F1220" s="33"/>
      <c r="G1220" s="33"/>
      <c r="H1220" s="35" t="s">
        <v>1224</v>
      </c>
      <c r="I1220" s="33"/>
      <c r="J1220" s="36"/>
      <c r="K1220" t="s">
        <v>32</v>
      </c>
      <c r="N1220" s="3">
        <f>L1220*0.3</f>
        <v>0</v>
      </c>
      <c r="O1220" s="3">
        <f>(IF(L1220&lt;4172.98,0,MIN(L1220*0.3,L1220-4172.98)))-M1220</f>
        <v>0</v>
      </c>
      <c r="S1220" s="3" t="s">
        <v>69</v>
      </c>
      <c r="V1220" s="51">
        <v>0.38750000000000001</v>
      </c>
      <c r="Z1220" s="181">
        <v>0</v>
      </c>
    </row>
    <row r="1221" spans="1:26" hidden="1">
      <c r="A1221" s="12">
        <v>24111630</v>
      </c>
      <c r="B1221" s="13">
        <v>46264</v>
      </c>
      <c r="C1221" s="14">
        <v>0.70394675925925931</v>
      </c>
      <c r="D1221" s="15"/>
      <c r="E1221" s="16">
        <v>5214772545044</v>
      </c>
      <c r="F1221" s="15"/>
      <c r="G1221" s="15"/>
      <c r="H1221" s="17">
        <v>12816415751</v>
      </c>
      <c r="I1221" s="15"/>
      <c r="J1221" s="18"/>
      <c r="K1221" t="s">
        <v>30</v>
      </c>
      <c r="L1221" s="111">
        <v>9760.85</v>
      </c>
      <c r="M1221" s="111">
        <v>2923.51</v>
      </c>
      <c r="N1221" s="3">
        <f t="shared" ref="N1221:N1223" si="113">L1221*0.3</f>
        <v>2928.2550000000001</v>
      </c>
      <c r="O1221" s="3">
        <f>(IF(L1221&lt;4172.98,0,MIN(L1221*0.3,L1221-4172.98)))-M1221</f>
        <v>4.7449999999998909</v>
      </c>
      <c r="P1221" s="6">
        <v>46905</v>
      </c>
      <c r="Q1221" t="s">
        <v>206</v>
      </c>
      <c r="R1221" s="3">
        <v>1787.06</v>
      </c>
      <c r="S1221" s="3" t="s">
        <v>69</v>
      </c>
      <c r="V1221" s="51">
        <v>0.37986111111111109</v>
      </c>
      <c r="Z1221" s="181">
        <v>2</v>
      </c>
    </row>
    <row r="1222" spans="1:26" hidden="1">
      <c r="A1222" s="12">
        <v>24111722</v>
      </c>
      <c r="B1222" s="13">
        <v>46264</v>
      </c>
      <c r="C1222" s="14">
        <v>0.70829861111111114</v>
      </c>
      <c r="D1222" s="15"/>
      <c r="E1222" s="16">
        <v>5216864334682</v>
      </c>
      <c r="F1222" s="15"/>
      <c r="G1222" s="15"/>
      <c r="H1222" s="17">
        <v>21786023099</v>
      </c>
      <c r="I1222" s="15"/>
      <c r="J1222" s="18"/>
      <c r="K1222" t="s">
        <v>30</v>
      </c>
      <c r="L1222" s="111">
        <v>7116.73</v>
      </c>
      <c r="M1222" s="111">
        <v>2128</v>
      </c>
      <c r="N1222" s="3">
        <f t="shared" si="113"/>
        <v>2135.0189999999998</v>
      </c>
      <c r="O1222" s="3">
        <f>(IF(L1222&lt;4172.98,0,MIN(L1222*0.3,L1222-4172.98)))-M1222</f>
        <v>7.0189999999997781</v>
      </c>
      <c r="P1222" s="6">
        <v>46722</v>
      </c>
      <c r="Q1222" t="s">
        <v>206</v>
      </c>
      <c r="R1222" s="3">
        <v>1178</v>
      </c>
      <c r="S1222" s="3" t="s">
        <v>69</v>
      </c>
      <c r="V1222" s="51">
        <v>0.37986111111111109</v>
      </c>
      <c r="Z1222" s="181">
        <v>2</v>
      </c>
    </row>
    <row r="1223" spans="1:26">
      <c r="A1223" s="30">
        <v>24111990</v>
      </c>
      <c r="B1223" s="31">
        <v>46264</v>
      </c>
      <c r="C1223" s="32">
        <v>0.72542824074074075</v>
      </c>
      <c r="D1223" s="33"/>
      <c r="E1223" s="34">
        <v>5218662578340</v>
      </c>
      <c r="F1223" s="33"/>
      <c r="G1223" s="33"/>
      <c r="H1223" s="35">
        <v>32976425366</v>
      </c>
      <c r="I1223" s="33"/>
      <c r="J1223" s="36"/>
      <c r="K1223" t="s">
        <v>38</v>
      </c>
      <c r="L1223" s="111">
        <v>11992.23</v>
      </c>
      <c r="M1223" s="111">
        <v>2615.17</v>
      </c>
      <c r="N1223" s="3">
        <f t="shared" si="113"/>
        <v>3597.6689999999999</v>
      </c>
      <c r="O1223" s="3">
        <f>(IF(L1223&lt;4172.98,0,MIN(L1223*0.3,L1223-4172.98)))-M1223</f>
        <v>982.4989999999998</v>
      </c>
      <c r="P1223" s="6">
        <v>46600</v>
      </c>
      <c r="Q1223" t="s">
        <v>206</v>
      </c>
      <c r="R1223" s="111">
        <v>2615.17</v>
      </c>
      <c r="S1223" s="3" t="s">
        <v>39</v>
      </c>
      <c r="T1223" s="48">
        <v>46265</v>
      </c>
      <c r="V1223" s="51">
        <v>0.37986111111111109</v>
      </c>
      <c r="W1223" s="51">
        <v>0.41111111111111109</v>
      </c>
      <c r="X1223" s="51">
        <v>0.4201388888888889</v>
      </c>
      <c r="Y1223" s="51">
        <v>0.42152777777777778</v>
      </c>
      <c r="Z1223" s="181">
        <v>2</v>
      </c>
    </row>
    <row r="1224" spans="1:26" hidden="1">
      <c r="A1224" s="30">
        <v>24112332</v>
      </c>
      <c r="B1224" s="31">
        <v>46264</v>
      </c>
      <c r="C1224" s="32">
        <v>0.7415856481481482</v>
      </c>
      <c r="D1224" s="33"/>
      <c r="E1224" s="34">
        <v>5214272903900</v>
      </c>
      <c r="F1224" s="33"/>
      <c r="G1224" s="33"/>
      <c r="H1224" s="35" t="s">
        <v>1225</v>
      </c>
      <c r="I1224" s="33"/>
      <c r="J1224" s="36"/>
      <c r="K1224" t="s">
        <v>58</v>
      </c>
      <c r="L1224" s="3">
        <v>3904.19</v>
      </c>
      <c r="N1224" s="3">
        <f>L1224*0.3</f>
        <v>1171.2570000000001</v>
      </c>
      <c r="O1224" s="3">
        <f>(IF(L1224&lt;4172.98,0,MIN(L1224*0.3,L1224-4172.98)))-M1224</f>
        <v>0</v>
      </c>
      <c r="S1224" s="3" t="s">
        <v>69</v>
      </c>
      <c r="V1224" s="51">
        <v>0.38124999999999998</v>
      </c>
      <c r="Z1224" s="181">
        <v>1</v>
      </c>
    </row>
    <row r="1225" spans="1:26" hidden="1">
      <c r="A1225" s="12">
        <v>24112540</v>
      </c>
      <c r="B1225" s="13">
        <v>46264</v>
      </c>
      <c r="C1225" s="14">
        <v>0.76018518518518519</v>
      </c>
      <c r="D1225" s="15" t="s">
        <v>1226</v>
      </c>
      <c r="E1225" s="16">
        <v>5218992454925</v>
      </c>
      <c r="F1225" s="15"/>
      <c r="G1225" s="15" t="s">
        <v>1227</v>
      </c>
      <c r="H1225" s="17"/>
      <c r="I1225" s="15"/>
      <c r="J1225" s="18"/>
      <c r="K1225" t="s">
        <v>30</v>
      </c>
      <c r="L1225" s="111">
        <v>5927.01</v>
      </c>
      <c r="M1225" s="111">
        <v>1691.32</v>
      </c>
      <c r="N1225" s="3">
        <f t="shared" ref="N1225:N1231" si="114">L1225*0.3</f>
        <v>1778.1030000000001</v>
      </c>
      <c r="O1225" s="3">
        <f>(IF(L1225&lt;4172.98,0,MIN(L1225*0.3,L1225-4172.98)))-M1225</f>
        <v>62.710000000000719</v>
      </c>
      <c r="P1225" s="6">
        <v>46631</v>
      </c>
      <c r="Q1225" t="s">
        <v>73</v>
      </c>
      <c r="R1225" s="111">
        <v>1691.32</v>
      </c>
      <c r="S1225" s="3" t="s">
        <v>69</v>
      </c>
      <c r="V1225" s="51">
        <v>0.38194444444444442</v>
      </c>
      <c r="Z1225" s="181">
        <v>2</v>
      </c>
    </row>
    <row r="1226" spans="1:26" hidden="1">
      <c r="A1226" s="12">
        <v>24112840</v>
      </c>
      <c r="B1226" s="13">
        <v>46264</v>
      </c>
      <c r="C1226" s="14">
        <v>0.77233796296296298</v>
      </c>
      <c r="D1226" s="15"/>
      <c r="E1226" s="16">
        <v>5217298816838</v>
      </c>
      <c r="F1226" s="15"/>
      <c r="G1226" s="15" t="s">
        <v>1228</v>
      </c>
      <c r="H1226" s="17"/>
      <c r="I1226" s="15"/>
      <c r="J1226" s="18"/>
      <c r="K1226" t="s">
        <v>30</v>
      </c>
      <c r="L1226" s="111">
        <v>9760.32</v>
      </c>
      <c r="M1226" s="111">
        <v>2823.89</v>
      </c>
      <c r="N1226" s="3">
        <f t="shared" si="114"/>
        <v>2928.096</v>
      </c>
      <c r="O1226" s="3">
        <f>(IF(L1226&lt;4172.98,0,MIN(L1226*0.3,L1226-4172.98)))-M1226</f>
        <v>104.20600000000013</v>
      </c>
      <c r="P1226" s="6">
        <v>46753</v>
      </c>
      <c r="Q1226" t="s">
        <v>141</v>
      </c>
      <c r="R1226" s="111">
        <v>2823.89</v>
      </c>
      <c r="S1226" s="3" t="s">
        <v>69</v>
      </c>
      <c r="V1226" s="51">
        <v>0.38194444444444442</v>
      </c>
      <c r="Z1226" s="181">
        <v>2</v>
      </c>
    </row>
    <row r="1227" spans="1:26">
      <c r="A1227" s="12">
        <v>24113202</v>
      </c>
      <c r="B1227" s="13">
        <v>46264</v>
      </c>
      <c r="C1227" s="14">
        <v>0.79598379629629634</v>
      </c>
      <c r="D1227" s="15"/>
      <c r="E1227" s="16">
        <v>5214433640948</v>
      </c>
      <c r="F1227" s="15"/>
      <c r="G1227" s="15"/>
      <c r="H1227" s="17">
        <v>72816428097</v>
      </c>
      <c r="I1227" s="15"/>
      <c r="J1227" s="18"/>
      <c r="K1227" t="s">
        <v>54</v>
      </c>
      <c r="L1227" s="3">
        <v>24131.13</v>
      </c>
      <c r="N1227" s="3">
        <f t="shared" si="114"/>
        <v>7239.3389999999999</v>
      </c>
      <c r="O1227" s="3">
        <f>(IF(L1227&lt;4172.98,0,MIN(L1227*0.3,L1227-4172.98)))-M1227</f>
        <v>7239.3389999999999</v>
      </c>
      <c r="S1227" s="3" t="s">
        <v>28</v>
      </c>
      <c r="T1227" s="48">
        <v>46265</v>
      </c>
      <c r="V1227" s="51">
        <v>0.38194444444444442</v>
      </c>
      <c r="W1227" s="51">
        <v>0.41597222222222224</v>
      </c>
      <c r="X1227" s="51">
        <v>0.42152777777777778</v>
      </c>
      <c r="Y1227" s="51">
        <v>0.4236111111111111</v>
      </c>
      <c r="Z1227" s="181">
        <v>1</v>
      </c>
    </row>
    <row r="1228" spans="1:26" hidden="1">
      <c r="A1228" s="12">
        <v>24114772</v>
      </c>
      <c r="B1228" s="13">
        <v>46264</v>
      </c>
      <c r="C1228" s="14">
        <v>0.87452546296296296</v>
      </c>
      <c r="D1228" s="15"/>
      <c r="E1228" s="16">
        <v>5595771318</v>
      </c>
      <c r="F1228" s="15"/>
      <c r="G1228" s="15"/>
      <c r="H1228" s="17" t="s">
        <v>1229</v>
      </c>
      <c r="I1228" s="15"/>
      <c r="J1228" s="18"/>
      <c r="K1228" t="s">
        <v>51</v>
      </c>
      <c r="N1228" s="3">
        <f t="shared" si="114"/>
        <v>0</v>
      </c>
      <c r="O1228" s="3">
        <f>(IF(L1228&lt;4172.98,0,MIN(L1228*0.3,L1228-4172.98)))-M1228</f>
        <v>0</v>
      </c>
      <c r="S1228" s="3" t="s">
        <v>69</v>
      </c>
      <c r="V1228" s="51">
        <v>0.38194444444444442</v>
      </c>
      <c r="Z1228" s="181">
        <v>1</v>
      </c>
    </row>
    <row r="1229" spans="1:26" hidden="1">
      <c r="A1229" s="12">
        <v>24114826</v>
      </c>
      <c r="B1229" s="13">
        <v>46264</v>
      </c>
      <c r="C1229" s="14">
        <v>0.8783333333333333</v>
      </c>
      <c r="D1229" s="15" t="s">
        <v>1230</v>
      </c>
      <c r="E1229" s="16"/>
      <c r="F1229" s="15"/>
      <c r="G1229" s="15"/>
      <c r="H1229" s="17" t="s">
        <v>1231</v>
      </c>
      <c r="I1229" s="15"/>
      <c r="J1229" s="18"/>
      <c r="K1229" t="s">
        <v>32</v>
      </c>
      <c r="N1229" s="3">
        <f t="shared" si="114"/>
        <v>0</v>
      </c>
      <c r="O1229" s="3">
        <f>(IF(L1229&lt;4172.98,0,MIN(L1229*0.3,L1229-4172.98)))-M1229</f>
        <v>0</v>
      </c>
      <c r="S1229" s="3" t="s">
        <v>69</v>
      </c>
      <c r="V1229" s="51">
        <v>0.38194444444444442</v>
      </c>
      <c r="Z1229" s="181">
        <v>0</v>
      </c>
    </row>
    <row r="1230" spans="1:26" hidden="1">
      <c r="A1230" s="12">
        <v>24114886</v>
      </c>
      <c r="B1230" s="13">
        <v>46264</v>
      </c>
      <c r="C1230" s="14">
        <v>0.88085648148148143</v>
      </c>
      <c r="D1230" s="15"/>
      <c r="E1230" s="16">
        <v>5214624937226</v>
      </c>
      <c r="F1230" s="15"/>
      <c r="G1230" s="15"/>
      <c r="H1230" s="17">
        <v>12058761284</v>
      </c>
      <c r="I1230" s="15"/>
      <c r="J1230" s="18"/>
      <c r="K1230" t="s">
        <v>51</v>
      </c>
      <c r="N1230" s="3">
        <f t="shared" si="114"/>
        <v>0</v>
      </c>
      <c r="O1230" s="3">
        <f>(IF(L1230&lt;4172.98,0,MIN(L1230*0.3,L1230-4172.98)))-M1230</f>
        <v>0</v>
      </c>
      <c r="S1230" s="3" t="s">
        <v>69</v>
      </c>
      <c r="V1230" s="51">
        <v>0.38194444444444442</v>
      </c>
      <c r="Z1230" s="181">
        <v>1</v>
      </c>
    </row>
    <row r="1231" spans="1:26" hidden="1">
      <c r="A1231" s="30">
        <v>24115216</v>
      </c>
      <c r="B1231" s="31">
        <v>46264</v>
      </c>
      <c r="C1231" s="32">
        <v>0.91604166666666664</v>
      </c>
      <c r="D1231" s="33"/>
      <c r="E1231" s="34">
        <v>5216861129942</v>
      </c>
      <c r="F1231" s="33"/>
      <c r="G1231" s="33"/>
      <c r="H1231" s="35">
        <v>24856615075</v>
      </c>
      <c r="I1231" s="33"/>
      <c r="J1231" s="36"/>
      <c r="K1231" t="s">
        <v>30</v>
      </c>
      <c r="L1231" s="111">
        <v>10636.54</v>
      </c>
      <c r="M1231" s="111">
        <v>3085.09</v>
      </c>
      <c r="N1231" s="3">
        <f t="shared" si="114"/>
        <v>3190.962</v>
      </c>
      <c r="O1231" s="3">
        <f>(IF(L1231&lt;4172.98,0,MIN(L1231*0.3,L1231-4172.98)))-M1231</f>
        <v>105.87199999999984</v>
      </c>
      <c r="P1231" s="6">
        <v>46966</v>
      </c>
      <c r="Q1231" t="s">
        <v>206</v>
      </c>
      <c r="R1231" s="3">
        <v>2206.09</v>
      </c>
      <c r="S1231" s="3" t="s">
        <v>69</v>
      </c>
      <c r="V1231" s="51">
        <v>0.38194444444444442</v>
      </c>
      <c r="Z1231" s="181">
        <v>2</v>
      </c>
    </row>
    <row r="1232" spans="1:26" hidden="1">
      <c r="A1232" s="12">
        <v>24115200</v>
      </c>
      <c r="B1232" s="13">
        <v>46264</v>
      </c>
      <c r="C1232" s="14">
        <v>0.92001157407407408</v>
      </c>
      <c r="D1232" s="15"/>
      <c r="E1232" s="16">
        <v>16028022897</v>
      </c>
      <c r="F1232" s="15"/>
      <c r="G1232" s="15" t="s">
        <v>1232</v>
      </c>
      <c r="H1232" s="17"/>
      <c r="I1232" s="15"/>
      <c r="J1232" s="18"/>
      <c r="K1232" t="s">
        <v>32</v>
      </c>
      <c r="N1232" s="3">
        <f t="shared" ref="N1232:N1236" si="115">L1232*0.3</f>
        <v>0</v>
      </c>
      <c r="O1232" s="3">
        <f>(IF(L1232&lt;4172.98,0,MIN(L1232*0.3,L1232-4172.98)))-M1232</f>
        <v>0</v>
      </c>
      <c r="S1232" s="3" t="s">
        <v>69</v>
      </c>
      <c r="V1232" s="51">
        <v>0.3840277777777778</v>
      </c>
      <c r="Z1232" s="181">
        <v>0</v>
      </c>
    </row>
    <row r="1233" spans="1:26" hidden="1">
      <c r="A1233" s="12">
        <v>24117442</v>
      </c>
      <c r="B1233" s="13">
        <v>46264</v>
      </c>
      <c r="C1233" s="14">
        <v>0.95412037037037034</v>
      </c>
      <c r="D1233" s="15"/>
      <c r="E1233" s="16">
        <v>5219131034887</v>
      </c>
      <c r="F1233" s="15"/>
      <c r="G1233" s="15" t="s">
        <v>1233</v>
      </c>
      <c r="H1233" s="17">
        <v>67785105445</v>
      </c>
      <c r="I1233" s="15"/>
      <c r="J1233" s="18"/>
      <c r="K1233" t="s">
        <v>58</v>
      </c>
      <c r="L1233" s="3">
        <v>3961.31</v>
      </c>
      <c r="N1233" s="3">
        <f t="shared" si="115"/>
        <v>1188.393</v>
      </c>
      <c r="O1233" s="3">
        <f>(IF(L1233&lt;4172.98,0,MIN(L1233*0.3,L1233-4172.98)))-M1233</f>
        <v>0</v>
      </c>
      <c r="S1233" s="3" t="s">
        <v>69</v>
      </c>
      <c r="V1233" s="51">
        <v>0.3840277777777778</v>
      </c>
      <c r="Z1233" s="181">
        <v>1</v>
      </c>
    </row>
    <row r="1234" spans="1:26">
      <c r="A1234" s="12">
        <v>24117982</v>
      </c>
      <c r="B1234" s="13">
        <v>46264</v>
      </c>
      <c r="C1234" s="14">
        <v>0.98807870370370365</v>
      </c>
      <c r="D1234" s="15"/>
      <c r="E1234" s="16">
        <v>5216566534676</v>
      </c>
      <c r="F1234" s="15"/>
      <c r="G1234" s="15"/>
      <c r="H1234" s="17">
        <v>33887171958</v>
      </c>
      <c r="I1234" s="15"/>
      <c r="J1234" s="18"/>
      <c r="K1234" t="s">
        <v>54</v>
      </c>
      <c r="L1234" s="3">
        <v>8181.55</v>
      </c>
      <c r="N1234" s="3">
        <f t="shared" si="115"/>
        <v>2454.4650000000001</v>
      </c>
      <c r="O1234" s="3">
        <f>(IF(L1234&lt;4172.98,0,MIN(L1234*0.3,L1234-4172.98)))-M1234</f>
        <v>2454.4650000000001</v>
      </c>
      <c r="S1234" s="3" t="s">
        <v>879</v>
      </c>
      <c r="T1234" s="48">
        <v>46265</v>
      </c>
      <c r="V1234" s="51">
        <v>0.3840277777777778</v>
      </c>
      <c r="W1234" s="51">
        <v>0.42083333333333334</v>
      </c>
      <c r="X1234" s="51">
        <v>0.42430555555555555</v>
      </c>
      <c r="Y1234" s="51">
        <v>0.4284722222222222</v>
      </c>
      <c r="Z1234" s="181">
        <v>1</v>
      </c>
    </row>
    <row r="1235" spans="1:26">
      <c r="A1235" s="12">
        <v>24117978</v>
      </c>
      <c r="B1235" s="13">
        <v>46264</v>
      </c>
      <c r="C1235" s="14">
        <v>0.9901388888888889</v>
      </c>
      <c r="D1235" s="15" t="s">
        <v>1234</v>
      </c>
      <c r="E1235" s="16">
        <v>5214443625042</v>
      </c>
      <c r="F1235" s="15"/>
      <c r="G1235" s="15" t="s">
        <v>1235</v>
      </c>
      <c r="H1235" s="17"/>
      <c r="I1235" s="15"/>
      <c r="J1235" s="18"/>
      <c r="K1235" t="s">
        <v>27</v>
      </c>
      <c r="L1235" s="111">
        <v>7116.73</v>
      </c>
      <c r="M1235" s="111">
        <v>2135</v>
      </c>
      <c r="N1235" s="3">
        <f t="shared" si="115"/>
        <v>2135.0189999999998</v>
      </c>
      <c r="O1235" s="3">
        <f>(IF(L1235&lt;4172.98,0,MIN(L1235*0.3,L1235-4172.98)))-M1235</f>
        <v>1.8999999999778083E-2</v>
      </c>
      <c r="P1235" t="s">
        <v>1236</v>
      </c>
      <c r="Q1235" t="s">
        <v>210</v>
      </c>
      <c r="R1235" s="3">
        <v>1817</v>
      </c>
      <c r="S1235" s="3" t="s">
        <v>886</v>
      </c>
      <c r="T1235" s="48">
        <v>46265</v>
      </c>
      <c r="V1235" s="51">
        <v>0.3840277777777778</v>
      </c>
      <c r="W1235" s="51">
        <v>0.42222222222222222</v>
      </c>
      <c r="X1235" s="51">
        <v>0.42708333333333331</v>
      </c>
      <c r="Y1235" s="51">
        <v>0.4284722222222222</v>
      </c>
      <c r="Z1235" s="181">
        <v>2</v>
      </c>
    </row>
    <row r="1236" spans="1:26" hidden="1">
      <c r="A1236" s="30">
        <v>24118504</v>
      </c>
      <c r="B1236" s="31">
        <v>46265</v>
      </c>
      <c r="C1236" s="32">
        <v>8.6087962962962963E-2</v>
      </c>
      <c r="D1236" s="33"/>
      <c r="E1236" s="34">
        <v>5214931371774</v>
      </c>
      <c r="F1236" s="33"/>
      <c r="G1236" s="33"/>
      <c r="H1236" s="35">
        <v>54745214855</v>
      </c>
      <c r="I1236" s="33"/>
      <c r="J1236" s="36"/>
      <c r="K1236" t="s">
        <v>58</v>
      </c>
      <c r="L1236" s="3">
        <v>3869.36</v>
      </c>
      <c r="N1236" s="3">
        <f t="shared" si="115"/>
        <v>1160.808</v>
      </c>
      <c r="O1236" s="3">
        <f>(IF(L1236&lt;4172.98,0,MIN(L1236*0.3,L1236-4172.98)))-M1236</f>
        <v>0</v>
      </c>
      <c r="S1236" s="3" t="s">
        <v>69</v>
      </c>
      <c r="V1236" s="51">
        <v>0.3840277777777778</v>
      </c>
      <c r="Z1236" s="181">
        <v>1</v>
      </c>
    </row>
    <row r="1237" spans="1:26" hidden="1">
      <c r="A1237" s="30">
        <v>24120166</v>
      </c>
      <c r="B1237" s="31">
        <v>46265</v>
      </c>
      <c r="C1237" s="32">
        <v>0.25236111111111109</v>
      </c>
      <c r="D1237" s="33" t="s">
        <v>1237</v>
      </c>
      <c r="E1237" s="34">
        <v>5219671077526</v>
      </c>
      <c r="F1237" s="33"/>
      <c r="G1237" s="33" t="s">
        <v>1238</v>
      </c>
      <c r="H1237" s="35" t="s">
        <v>1239</v>
      </c>
      <c r="I1237" s="33"/>
      <c r="J1237" s="36"/>
      <c r="K1237" t="s">
        <v>30</v>
      </c>
      <c r="L1237" s="111">
        <v>9081.52</v>
      </c>
      <c r="M1237" s="111">
        <v>2626</v>
      </c>
      <c r="N1237" s="3">
        <f>L1237*0.3</f>
        <v>2724.4560000000001</v>
      </c>
      <c r="O1237" s="3">
        <f>(IF(L1237&lt;4172.98,0,MIN(L1237*0.3,L1237-4172.98)))-M1237</f>
        <v>98.456000000000131</v>
      </c>
      <c r="P1237" s="6">
        <v>46447</v>
      </c>
      <c r="Q1237" t="s">
        <v>80</v>
      </c>
      <c r="R1237" s="111">
        <v>2626</v>
      </c>
      <c r="S1237" s="3" t="s">
        <v>69</v>
      </c>
      <c r="V1237" s="51">
        <v>0.38541666666666669</v>
      </c>
      <c r="Z1237" s="181">
        <v>2</v>
      </c>
    </row>
    <row r="1238" spans="1:26" hidden="1">
      <c r="A1238" s="12">
        <v>24122930</v>
      </c>
      <c r="B1238" s="13">
        <v>46265</v>
      </c>
      <c r="C1238" s="14">
        <v>0.32946759259259262</v>
      </c>
      <c r="D1238" s="15"/>
      <c r="E1238" s="16">
        <v>5633521816</v>
      </c>
      <c r="F1238" s="15"/>
      <c r="G1238" s="15" t="s">
        <v>1240</v>
      </c>
      <c r="H1238" s="17"/>
      <c r="I1238" s="15"/>
      <c r="J1238" s="18"/>
      <c r="K1238" t="s">
        <v>32</v>
      </c>
      <c r="N1238" s="3">
        <f t="shared" ref="N1238:N1244" si="116">L1238*0.3</f>
        <v>0</v>
      </c>
      <c r="O1238" s="3">
        <f>(IF(L1238&lt;4172.98,0,MIN(L1238*0.3,L1238-4172.98)))-M1238</f>
        <v>0</v>
      </c>
      <c r="S1238" s="3" t="s">
        <v>69</v>
      </c>
      <c r="V1238" s="51">
        <v>0.38680555555555557</v>
      </c>
      <c r="Z1238" s="181">
        <v>0</v>
      </c>
    </row>
    <row r="1239" spans="1:26" hidden="1">
      <c r="A1239" s="12">
        <v>24123026</v>
      </c>
      <c r="B1239" s="13">
        <v>46265</v>
      </c>
      <c r="C1239" s="14">
        <v>0.33562500000000001</v>
      </c>
      <c r="D1239" s="15"/>
      <c r="E1239" s="16">
        <v>5213332218924</v>
      </c>
      <c r="F1239" s="15"/>
      <c r="G1239" s="15"/>
      <c r="H1239" s="17" t="s">
        <v>1241</v>
      </c>
      <c r="I1239" s="15"/>
      <c r="J1239" s="18"/>
      <c r="K1239" t="s">
        <v>30</v>
      </c>
      <c r="L1239" s="111">
        <v>14711.25</v>
      </c>
      <c r="M1239" s="111">
        <v>4219.3999999999996</v>
      </c>
      <c r="N1239" s="3">
        <f t="shared" si="116"/>
        <v>4413.375</v>
      </c>
      <c r="O1239" s="3">
        <f>(IF(L1239&lt;4172.98,0,MIN(L1239*0.3,L1239-4172.98)))-M1239</f>
        <v>193.97500000000036</v>
      </c>
      <c r="P1239" s="6">
        <v>46753</v>
      </c>
      <c r="Q1239" t="s">
        <v>75</v>
      </c>
      <c r="R1239" s="111">
        <v>4219.3999999999996</v>
      </c>
      <c r="S1239" s="3" t="s">
        <v>69</v>
      </c>
      <c r="V1239" s="51">
        <v>0.38680555555555557</v>
      </c>
      <c r="Z1239" s="181">
        <v>2</v>
      </c>
    </row>
    <row r="1240" spans="1:26" hidden="1">
      <c r="A1240" s="12">
        <v>24123652</v>
      </c>
      <c r="B1240" s="13">
        <v>46265</v>
      </c>
      <c r="C1240" s="14">
        <v>0.34958333333333336</v>
      </c>
      <c r="D1240" s="15" t="s">
        <v>1242</v>
      </c>
      <c r="E1240" s="16">
        <v>5219619237495</v>
      </c>
      <c r="F1240" s="15"/>
      <c r="G1240" s="15" t="s">
        <v>1243</v>
      </c>
      <c r="H1240" s="17"/>
      <c r="I1240" s="15"/>
      <c r="J1240" s="18"/>
      <c r="K1240" t="s">
        <v>32</v>
      </c>
      <c r="N1240" s="3">
        <f t="shared" si="116"/>
        <v>0</v>
      </c>
      <c r="O1240" s="3">
        <f>(IF(L1240&lt;4172.98,0,MIN(L1240*0.3,L1240-4172.98)))-M1240</f>
        <v>0</v>
      </c>
      <c r="S1240" s="3" t="s">
        <v>69</v>
      </c>
      <c r="V1240" s="51">
        <v>0.38680555555555557</v>
      </c>
      <c r="Z1240" s="181">
        <v>0</v>
      </c>
    </row>
    <row r="1241" spans="1:26">
      <c r="A1241" s="12">
        <v>24123874</v>
      </c>
      <c r="B1241" s="13">
        <v>46265</v>
      </c>
      <c r="C1241" s="14">
        <v>0.35129629629629627</v>
      </c>
      <c r="D1241" s="15"/>
      <c r="E1241" s="16">
        <v>5214446118317</v>
      </c>
      <c r="F1241" s="15"/>
      <c r="G1241" s="15"/>
      <c r="H1241" s="17">
        <v>41826509774</v>
      </c>
      <c r="I1241" s="15"/>
      <c r="J1241" s="18"/>
      <c r="K1241" t="s">
        <v>54</v>
      </c>
      <c r="L1241" s="3">
        <v>11398.64</v>
      </c>
      <c r="N1241" s="3">
        <f t="shared" si="116"/>
        <v>3419.5919999999996</v>
      </c>
      <c r="O1241" s="3">
        <f>(IF(L1241&lt;4172.98,0,MIN(L1241*0.3,L1241-4172.98)))-M1241</f>
        <v>3419.5919999999996</v>
      </c>
      <c r="S1241" s="3" t="s">
        <v>35</v>
      </c>
      <c r="T1241" s="48">
        <v>46265</v>
      </c>
      <c r="V1241" s="51">
        <v>0.38680555555555557</v>
      </c>
      <c r="W1241" s="51">
        <v>0.43055555555555558</v>
      </c>
      <c r="X1241" s="51">
        <v>0.43541666666666667</v>
      </c>
      <c r="Y1241" s="51">
        <v>0.4375</v>
      </c>
      <c r="Z1241" s="181">
        <v>1</v>
      </c>
    </row>
    <row r="1242" spans="1:26" hidden="1">
      <c r="A1242" s="12">
        <v>24124076</v>
      </c>
      <c r="B1242" s="13">
        <v>46265</v>
      </c>
      <c r="C1242" s="14">
        <v>0.36185185185185187</v>
      </c>
      <c r="D1242" s="15"/>
      <c r="E1242" s="16">
        <v>5218131043997</v>
      </c>
      <c r="F1242" s="15"/>
      <c r="G1242" s="15"/>
      <c r="H1242" s="17">
        <v>43806353173</v>
      </c>
      <c r="I1242" s="15"/>
      <c r="J1242" s="18"/>
      <c r="K1242" t="s">
        <v>30</v>
      </c>
      <c r="L1242" s="111">
        <v>7920.51</v>
      </c>
      <c r="M1242" s="111">
        <v>2235.39</v>
      </c>
      <c r="N1242" s="3">
        <f t="shared" si="116"/>
        <v>2376.1529999999998</v>
      </c>
      <c r="O1242" s="3">
        <f>(IF(L1242&lt;4172.98,0,MIN(L1242*0.3,L1242-4172.98)))-M1242</f>
        <v>140.76299999999992</v>
      </c>
      <c r="P1242" s="6">
        <v>46692</v>
      </c>
      <c r="Q1242" t="s">
        <v>75</v>
      </c>
      <c r="R1242" s="111">
        <v>2235.39</v>
      </c>
      <c r="S1242" s="3" t="s">
        <v>69</v>
      </c>
      <c r="V1242" s="51">
        <v>0.38680555555555557</v>
      </c>
      <c r="Z1242" s="181">
        <v>2</v>
      </c>
    </row>
    <row r="1243" spans="1:26">
      <c r="A1243" s="12">
        <v>24125120</v>
      </c>
      <c r="B1243" s="13">
        <v>46265</v>
      </c>
      <c r="C1243" s="14">
        <v>0.37320601851851853</v>
      </c>
      <c r="D1243" s="15"/>
      <c r="E1243" s="16">
        <v>5213222352437</v>
      </c>
      <c r="F1243" s="15"/>
      <c r="G1243" s="15"/>
      <c r="H1243" s="17">
        <v>55836301394</v>
      </c>
      <c r="I1243" s="15"/>
      <c r="J1243" s="18"/>
      <c r="K1243" t="s">
        <v>54</v>
      </c>
      <c r="L1243" s="3">
        <v>9760.32</v>
      </c>
      <c r="N1243" s="3">
        <f t="shared" si="116"/>
        <v>2928.096</v>
      </c>
      <c r="O1243" s="3">
        <f>(IF(L1243&lt;4172.98,0,MIN(L1243*0.3,L1243-4172.98)))-M1243</f>
        <v>2928.096</v>
      </c>
      <c r="S1243" s="3" t="s">
        <v>35</v>
      </c>
      <c r="T1243" s="48">
        <v>46265</v>
      </c>
      <c r="V1243" s="51">
        <v>0.38680555555555557</v>
      </c>
      <c r="W1243" s="51">
        <v>0.43263888888888891</v>
      </c>
      <c r="X1243" s="51">
        <v>0.44166666666666665</v>
      </c>
      <c r="Y1243" s="51">
        <v>0.49652777777777779</v>
      </c>
      <c r="Z1243" s="181">
        <v>1</v>
      </c>
    </row>
    <row r="1244" spans="1:26">
      <c r="A1244" s="30">
        <v>24125462</v>
      </c>
      <c r="B1244" s="31">
        <v>46265</v>
      </c>
      <c r="C1244" s="32">
        <v>0.38217592592592592</v>
      </c>
      <c r="D1244" s="33"/>
      <c r="E1244" s="34">
        <v>5216221763575</v>
      </c>
      <c r="F1244" s="33"/>
      <c r="G1244" s="33"/>
      <c r="H1244" s="35">
        <v>24856418421</v>
      </c>
      <c r="I1244" s="33"/>
      <c r="J1244" s="36"/>
      <c r="K1244" t="s">
        <v>54</v>
      </c>
      <c r="L1244" s="3">
        <v>10636.54</v>
      </c>
      <c r="N1244" s="3">
        <f t="shared" si="116"/>
        <v>3190.962</v>
      </c>
      <c r="O1244" s="3">
        <f>(IF(L1244&lt;4172.98,0,MIN(L1244*0.3,L1244-4172.98)))-M1244</f>
        <v>3190.962</v>
      </c>
      <c r="S1244" s="3" t="s">
        <v>348</v>
      </c>
      <c r="T1244" s="48">
        <v>46265</v>
      </c>
      <c r="V1244" s="51">
        <v>0.38680555555555557</v>
      </c>
      <c r="W1244" s="51">
        <v>0.43333333333333335</v>
      </c>
      <c r="X1244" s="51">
        <v>0.44027777777777777</v>
      </c>
      <c r="Y1244" s="51">
        <v>0.44166666666666665</v>
      </c>
      <c r="Z1244" s="181">
        <v>1</v>
      </c>
    </row>
    <row r="1245" spans="1:26">
      <c r="A1245" s="12">
        <v>24126148</v>
      </c>
      <c r="B1245" s="13">
        <v>46265</v>
      </c>
      <c r="C1245" s="14">
        <v>0.39984953703703702</v>
      </c>
      <c r="D1245" s="15"/>
      <c r="E1245" s="16">
        <v>5219211175274</v>
      </c>
      <c r="F1245" s="15"/>
      <c r="G1245" s="15" t="s">
        <v>1244</v>
      </c>
      <c r="H1245" s="17" t="s">
        <v>1245</v>
      </c>
      <c r="I1245" s="15"/>
      <c r="J1245" s="18"/>
      <c r="K1245" t="s">
        <v>27</v>
      </c>
      <c r="L1245" s="111">
        <v>5617.63</v>
      </c>
      <c r="M1245" s="111">
        <v>1334.29</v>
      </c>
      <c r="N1245" s="3">
        <f t="shared" ref="N1245:N1247" si="117">L1245*0.3</f>
        <v>1685.289</v>
      </c>
      <c r="O1245" s="3">
        <f>(IF(L1245&lt;4172.98,0,MIN(L1245*0.3,L1245-4172.98)))-M1245</f>
        <v>110.36000000000058</v>
      </c>
      <c r="P1245" s="6">
        <v>46266</v>
      </c>
      <c r="Q1245" t="s">
        <v>75</v>
      </c>
      <c r="R1245" s="111">
        <v>1334.29</v>
      </c>
      <c r="S1245" s="3" t="s">
        <v>62</v>
      </c>
      <c r="T1245" s="48">
        <v>46265</v>
      </c>
      <c r="V1245" s="51">
        <v>0.40277777777777779</v>
      </c>
      <c r="W1245" s="51">
        <v>0.43472222222222223</v>
      </c>
      <c r="X1245" s="51">
        <v>0.44791666666666669</v>
      </c>
      <c r="Y1245" s="51">
        <v>0.44930555555555557</v>
      </c>
      <c r="Z1245" s="181">
        <v>2</v>
      </c>
    </row>
    <row r="1246" spans="1:26" hidden="1">
      <c r="A1246" s="12">
        <v>24126138</v>
      </c>
      <c r="B1246" s="13">
        <v>46265</v>
      </c>
      <c r="C1246" s="14">
        <v>0.4012384259259259</v>
      </c>
      <c r="D1246" s="15"/>
      <c r="E1246" s="16">
        <v>5216961051725</v>
      </c>
      <c r="F1246" s="15"/>
      <c r="G1246" s="15"/>
      <c r="H1246" s="17">
        <v>72765813232</v>
      </c>
      <c r="I1246" s="15"/>
      <c r="J1246" s="18"/>
      <c r="K1246" t="s">
        <v>30</v>
      </c>
      <c r="L1246" s="111">
        <v>9081.52</v>
      </c>
      <c r="M1246" s="111">
        <v>2500</v>
      </c>
      <c r="N1246" s="3">
        <f t="shared" si="117"/>
        <v>2724.4560000000001</v>
      </c>
      <c r="O1246" s="3">
        <f>(IF(L1246&lt;4172.98,0,MIN(L1246*0.3,L1246-4172.98)))-M1246</f>
        <v>224.45600000000013</v>
      </c>
      <c r="P1246" s="6">
        <v>46327</v>
      </c>
      <c r="Q1246" t="s">
        <v>75</v>
      </c>
      <c r="R1246" s="111">
        <v>2500</v>
      </c>
      <c r="S1246" s="3" t="s">
        <v>69</v>
      </c>
      <c r="V1246" s="51">
        <v>0.40277777777777779</v>
      </c>
      <c r="Z1246" s="181">
        <v>2</v>
      </c>
    </row>
    <row r="1247" spans="1:26">
      <c r="A1247" s="30">
        <v>24126060</v>
      </c>
      <c r="B1247" s="31">
        <v>46265</v>
      </c>
      <c r="C1247" s="32">
        <v>0.40228009259259262</v>
      </c>
      <c r="D1247" s="33"/>
      <c r="E1247" s="34">
        <v>5212224616034</v>
      </c>
      <c r="F1247" s="33"/>
      <c r="G1247" s="33" t="s">
        <v>1246</v>
      </c>
      <c r="H1247" s="35"/>
      <c r="I1247" s="33"/>
      <c r="J1247" s="36"/>
      <c r="K1247" t="s">
        <v>107</v>
      </c>
      <c r="L1247" s="111">
        <v>4813.6899999999996</v>
      </c>
      <c r="M1247" s="111">
        <v>746.39</v>
      </c>
      <c r="N1247" s="3">
        <f t="shared" si="117"/>
        <v>1444.1069999999997</v>
      </c>
      <c r="O1247" s="3">
        <f>(IF(L1247&lt;4172.98,0,MIN(L1247*0.3,L1247-4172.98)))-M1247</f>
        <v>-105.67999999999995</v>
      </c>
      <c r="P1247" s="6">
        <v>45352</v>
      </c>
      <c r="Q1247" t="s">
        <v>47</v>
      </c>
      <c r="R1247" s="111">
        <v>746.39</v>
      </c>
      <c r="S1247" s="3" t="s">
        <v>266</v>
      </c>
      <c r="T1247" s="48">
        <v>46265</v>
      </c>
      <c r="V1247" s="51">
        <v>0.40277777777777779</v>
      </c>
      <c r="W1247" s="51">
        <v>0.4375</v>
      </c>
      <c r="X1247" s="51">
        <v>0.4548611111111111</v>
      </c>
      <c r="Y1247" s="51">
        <v>0.4597222222222222</v>
      </c>
      <c r="Z1247" s="181">
        <v>2</v>
      </c>
    </row>
    <row r="1248" spans="1:26">
      <c r="A1248" s="30">
        <v>24126504</v>
      </c>
      <c r="B1248" s="31">
        <v>46265</v>
      </c>
      <c r="C1248" s="32">
        <v>0.40877314814814814</v>
      </c>
      <c r="D1248" s="33"/>
      <c r="E1248" s="34">
        <v>5212741546312</v>
      </c>
      <c r="F1248" s="33"/>
      <c r="G1248" s="33"/>
      <c r="H1248" s="35">
        <v>78856888256</v>
      </c>
      <c r="I1248" s="33"/>
      <c r="J1248" s="36"/>
      <c r="K1248" t="s">
        <v>27</v>
      </c>
      <c r="L1248" s="111">
        <v>12588.16</v>
      </c>
      <c r="M1248" s="111">
        <v>3159.28</v>
      </c>
      <c r="N1248" s="3">
        <f>L1248*0.3</f>
        <v>3776.4479999999999</v>
      </c>
      <c r="O1248" s="3">
        <f>(IF(L1248&lt;4172.98,0,MIN(L1248*0.3,L1248-4172.98)))-M1248</f>
        <v>617.16799999999967</v>
      </c>
      <c r="P1248" s="6">
        <v>45047</v>
      </c>
      <c r="Q1248" t="s">
        <v>206</v>
      </c>
      <c r="R1248" s="3">
        <v>1893.28</v>
      </c>
      <c r="S1248" s="3" t="s">
        <v>358</v>
      </c>
      <c r="T1248" s="48">
        <v>46265</v>
      </c>
      <c r="V1248" s="51">
        <v>0.40972222222222221</v>
      </c>
      <c r="W1248" s="51">
        <v>0.43958333333333333</v>
      </c>
      <c r="X1248" s="51">
        <v>0.44930555555555557</v>
      </c>
      <c r="Y1248" s="51">
        <v>0.45069444444444445</v>
      </c>
      <c r="Z1248" s="181">
        <v>2</v>
      </c>
    </row>
    <row r="1249" spans="1:26" hidden="1">
      <c r="A1249" s="30">
        <v>24127290</v>
      </c>
      <c r="B1249" s="31">
        <v>46265</v>
      </c>
      <c r="C1249" s="32">
        <v>0.42863425925925924</v>
      </c>
      <c r="D1249" s="33"/>
      <c r="E1249" s="34">
        <v>5218611352508</v>
      </c>
      <c r="F1249" s="33"/>
      <c r="G1249" s="33" t="s">
        <v>1247</v>
      </c>
      <c r="H1249" s="35"/>
      <c r="I1249" s="33"/>
      <c r="J1249" s="36"/>
      <c r="K1249" t="s">
        <v>30</v>
      </c>
      <c r="L1249" s="111">
        <v>11241.86</v>
      </c>
      <c r="M1249" s="111">
        <v>3252.54</v>
      </c>
      <c r="N1249" s="3">
        <f>L1249*0.3</f>
        <v>3372.558</v>
      </c>
      <c r="O1249" s="3">
        <f>(IF(L1249&lt;4172.98,0,MIN(L1249*0.3,L1249-4172.98)))-M1249</f>
        <v>120.01800000000003</v>
      </c>
      <c r="P1249" s="6">
        <v>46508</v>
      </c>
      <c r="Q1249" t="s">
        <v>75</v>
      </c>
      <c r="R1249" s="111">
        <v>3252.54</v>
      </c>
      <c r="S1249" s="3" t="s">
        <v>69</v>
      </c>
      <c r="V1249" s="51">
        <v>0.4284722222222222</v>
      </c>
      <c r="Z1249" s="181">
        <v>2</v>
      </c>
    </row>
    <row r="1250" spans="1:26" hidden="1">
      <c r="A1250" s="30">
        <v>24126692</v>
      </c>
      <c r="B1250" s="31">
        <v>46265</v>
      </c>
      <c r="C1250" s="32">
        <v>0.42924768518518519</v>
      </c>
      <c r="D1250" s="33"/>
      <c r="E1250" s="34">
        <v>5213221296515</v>
      </c>
      <c r="F1250" s="33"/>
      <c r="G1250" s="33"/>
      <c r="H1250" s="35">
        <v>54806272259</v>
      </c>
      <c r="I1250" s="33"/>
      <c r="J1250" s="36"/>
      <c r="K1250" t="s">
        <v>30</v>
      </c>
      <c r="L1250" s="111">
        <v>9177.56</v>
      </c>
      <c r="M1250" s="111">
        <v>2547.02</v>
      </c>
      <c r="N1250" s="3">
        <f>L1250*0.3</f>
        <v>2753.2679999999996</v>
      </c>
      <c r="O1250" s="3">
        <f>(IF(L1250&lt;4172.98,0,MIN(L1250*0.3,L1250-4172.98)))-M1250</f>
        <v>206.24799999999959</v>
      </c>
      <c r="P1250" s="6">
        <v>46357</v>
      </c>
      <c r="Q1250" t="s">
        <v>73</v>
      </c>
      <c r="R1250" s="111">
        <v>2547.02</v>
      </c>
      <c r="S1250" s="3" t="s">
        <v>69</v>
      </c>
      <c r="V1250" s="51">
        <v>0.43055555555555558</v>
      </c>
      <c r="W1250" s="51"/>
      <c r="X1250" s="51"/>
      <c r="Y1250" s="51"/>
      <c r="Z1250" s="181">
        <v>2</v>
      </c>
    </row>
    <row r="1251" spans="1:26" hidden="1">
      <c r="A1251" s="30">
        <v>24127552</v>
      </c>
      <c r="B1251" s="31">
        <v>46265</v>
      </c>
      <c r="C1251" s="32">
        <v>0.43971064814814814</v>
      </c>
      <c r="D1251" s="33" t="s">
        <v>1248</v>
      </c>
      <c r="E1251" s="34">
        <v>5215568692576</v>
      </c>
      <c r="F1251" s="33"/>
      <c r="G1251" s="33" t="s">
        <v>1249</v>
      </c>
      <c r="H1251" s="35"/>
      <c r="I1251" s="33"/>
      <c r="J1251" s="36"/>
      <c r="K1251" t="s">
        <v>32</v>
      </c>
      <c r="N1251" s="3">
        <f>L1251*0.3</f>
        <v>0</v>
      </c>
      <c r="O1251" s="3">
        <f>(IF(L1251&lt;4172.98,0,MIN(L1251*0.3,L1251-4172.98)))-M1251</f>
        <v>0</v>
      </c>
      <c r="S1251" s="3" t="s">
        <v>69</v>
      </c>
      <c r="V1251" s="51">
        <v>0.44305555555555554</v>
      </c>
      <c r="Z1251" s="181">
        <v>0</v>
      </c>
    </row>
    <row r="1252" spans="1:26" hidden="1">
      <c r="A1252" s="12">
        <v>24127250</v>
      </c>
      <c r="B1252" s="13">
        <v>46265</v>
      </c>
      <c r="C1252" s="14">
        <v>0.44416666666666665</v>
      </c>
      <c r="D1252" s="15"/>
      <c r="E1252" s="16">
        <v>6184680448</v>
      </c>
      <c r="F1252" s="15"/>
      <c r="G1252" s="15"/>
      <c r="H1252" s="17">
        <v>6184680448</v>
      </c>
      <c r="I1252" s="15"/>
      <c r="J1252" s="18"/>
      <c r="K1252" t="s">
        <v>58</v>
      </c>
      <c r="L1252" s="111">
        <v>3783.67</v>
      </c>
      <c r="M1252" s="111">
        <v>848</v>
      </c>
      <c r="N1252" s="3">
        <f t="shared" ref="N1252:N1254" si="118">L1252*0.3</f>
        <v>1135.1009999999999</v>
      </c>
      <c r="O1252" s="3">
        <f>(IF(L1252&lt;4172.98,0,MIN(L1252*0.3,L1252-4172.98)))-M1252</f>
        <v>-848</v>
      </c>
      <c r="S1252" s="3" t="s">
        <v>69</v>
      </c>
      <c r="V1252" s="51">
        <v>0.45069444444444445</v>
      </c>
      <c r="Z1252" s="181">
        <v>1</v>
      </c>
    </row>
    <row r="1253" spans="1:26" hidden="1">
      <c r="A1253" s="12">
        <v>24127842</v>
      </c>
      <c r="B1253" s="13">
        <v>46265</v>
      </c>
      <c r="C1253" s="14">
        <v>0.44440972222222225</v>
      </c>
      <c r="D1253" s="15"/>
      <c r="E1253" s="16">
        <v>5215537007664</v>
      </c>
      <c r="F1253" s="15"/>
      <c r="G1253" s="15"/>
      <c r="H1253" s="17">
        <v>11816117300</v>
      </c>
      <c r="I1253" s="15"/>
      <c r="J1253" s="18"/>
      <c r="K1253" t="s">
        <v>30</v>
      </c>
      <c r="L1253" s="111">
        <v>7116.73</v>
      </c>
      <c r="M1253" s="111">
        <v>2123.15</v>
      </c>
      <c r="N1253" s="3">
        <f t="shared" si="118"/>
        <v>2135.0189999999998</v>
      </c>
      <c r="O1253" s="3">
        <f>(IF(L1253&lt;4172.98,0,MIN(L1253*0.3,L1253-4172.98)))-M1253</f>
        <v>11.868999999999687</v>
      </c>
      <c r="P1253" s="6">
        <v>46874</v>
      </c>
      <c r="Q1253" t="s">
        <v>73</v>
      </c>
      <c r="R1253" s="111">
        <v>2123.15</v>
      </c>
      <c r="S1253" s="3" t="s">
        <v>69</v>
      </c>
      <c r="V1253" s="51">
        <v>0.45069444444444445</v>
      </c>
      <c r="Z1253" s="181">
        <v>2</v>
      </c>
    </row>
    <row r="1254" spans="1:26">
      <c r="A1254" s="30">
        <v>24128120</v>
      </c>
      <c r="B1254" s="31">
        <v>46265</v>
      </c>
      <c r="C1254" s="32">
        <v>0.44990740740740742</v>
      </c>
      <c r="D1254" s="33"/>
      <c r="E1254" s="34">
        <v>5216862219239</v>
      </c>
      <c r="F1254" s="33"/>
      <c r="G1254" s="33"/>
      <c r="H1254" s="35">
        <v>21806147688</v>
      </c>
      <c r="I1254" s="33"/>
      <c r="J1254" s="36"/>
      <c r="K1254" t="s">
        <v>107</v>
      </c>
      <c r="L1254" s="111">
        <v>44021.63</v>
      </c>
      <c r="M1254" s="111">
        <v>12736.51</v>
      </c>
      <c r="N1254" s="3">
        <f t="shared" si="118"/>
        <v>13206.489</v>
      </c>
      <c r="O1254" s="3">
        <f>(IF(L1254&lt;4172.98,0,MIN(L1254*0.3,L1254-4172.98)))-M1254</f>
        <v>469.97899999999936</v>
      </c>
      <c r="P1254" s="6">
        <v>46082</v>
      </c>
      <c r="Q1254" t="s">
        <v>80</v>
      </c>
      <c r="R1254" s="3">
        <v>540.05999999999995</v>
      </c>
      <c r="S1254" s="3" t="s">
        <v>39</v>
      </c>
      <c r="T1254" s="48">
        <v>46265</v>
      </c>
      <c r="V1254" s="51">
        <v>0.45069444444444445</v>
      </c>
      <c r="W1254" s="51">
        <v>0.46597222222222223</v>
      </c>
      <c r="X1254" s="51">
        <v>0.47222222222222221</v>
      </c>
      <c r="Y1254" s="51">
        <v>0.47361111111111109</v>
      </c>
      <c r="Z1254" s="181">
        <v>2</v>
      </c>
    </row>
    <row r="1255" spans="1:26" hidden="1">
      <c r="A1255" s="30">
        <v>24128176</v>
      </c>
      <c r="B1255" s="31">
        <v>46265</v>
      </c>
      <c r="C1255" s="32">
        <v>0.45667824074074076</v>
      </c>
      <c r="D1255" s="33"/>
      <c r="E1255" s="34">
        <v>5218713094811</v>
      </c>
      <c r="F1255" s="33"/>
      <c r="G1255" s="33"/>
      <c r="H1255" s="35">
        <v>32826302278</v>
      </c>
      <c r="I1255" s="33"/>
      <c r="J1255" s="36"/>
      <c r="K1255" t="s">
        <v>30</v>
      </c>
      <c r="L1255" s="111">
        <v>7920.51</v>
      </c>
      <c r="M1255" s="111">
        <v>2376.12</v>
      </c>
      <c r="N1255" s="3">
        <f>L1255*0.3</f>
        <v>2376.1529999999998</v>
      </c>
      <c r="O1255" s="3">
        <f>(IF(L1255&lt;4172.98,0,MIN(L1255*0.3,L1255-4172.98)))-M1255</f>
        <v>3.2999999999901775E-2</v>
      </c>
      <c r="P1255" s="6">
        <v>46813</v>
      </c>
      <c r="Q1255" t="s">
        <v>75</v>
      </c>
      <c r="R1255" s="111">
        <v>2376.12</v>
      </c>
      <c r="S1255" s="3" t="s">
        <v>69</v>
      </c>
      <c r="V1255" s="51">
        <v>0.46111111111111114</v>
      </c>
      <c r="Z1255" s="181">
        <v>2</v>
      </c>
    </row>
    <row r="1256" spans="1:26" hidden="1">
      <c r="A1256" s="30">
        <v>23549084</v>
      </c>
      <c r="B1256" s="31">
        <v>46265</v>
      </c>
      <c r="C1256" s="32">
        <v>0.46778935185185183</v>
      </c>
      <c r="D1256" s="33" t="s">
        <v>1250</v>
      </c>
      <c r="E1256" s="34">
        <v>5218443481518</v>
      </c>
      <c r="F1256" s="33"/>
      <c r="G1256" s="33" t="s">
        <v>1251</v>
      </c>
      <c r="H1256" s="35"/>
      <c r="I1256" s="33"/>
      <c r="J1256" s="36"/>
      <c r="K1256" t="s">
        <v>58</v>
      </c>
      <c r="L1256" s="111">
        <v>3869.36</v>
      </c>
      <c r="M1256" s="111">
        <v>879</v>
      </c>
      <c r="N1256" s="3">
        <f>L1256*0.3</f>
        <v>1160.808</v>
      </c>
      <c r="O1256" s="3">
        <f>(IF(L1256&lt;4172.98,0,MIN(L1256*0.3,L1256-4172.98)))-M1256</f>
        <v>-879</v>
      </c>
      <c r="S1256" s="53" t="s">
        <v>69</v>
      </c>
      <c r="V1256" s="51">
        <v>0.46736111111111112</v>
      </c>
      <c r="Z1256" s="181">
        <v>1</v>
      </c>
    </row>
    <row r="1257" spans="1:26">
      <c r="A1257" s="30">
        <v>23551540</v>
      </c>
      <c r="B1257" s="31">
        <v>46265</v>
      </c>
      <c r="C1257" s="32">
        <v>0.46917824074074072</v>
      </c>
      <c r="D1257" s="33" t="s">
        <v>1252</v>
      </c>
      <c r="E1257" s="34">
        <v>5214421700510</v>
      </c>
      <c r="F1257" s="33"/>
      <c r="G1257" s="33" t="s">
        <v>1253</v>
      </c>
      <c r="H1257" s="35"/>
      <c r="I1257" s="33"/>
      <c r="J1257" s="36"/>
      <c r="K1257" t="s">
        <v>38</v>
      </c>
      <c r="L1257" s="111">
        <v>6262.86</v>
      </c>
      <c r="M1257" s="111">
        <v>993.52</v>
      </c>
      <c r="N1257" s="3">
        <f>L1257*0.3</f>
        <v>1878.8579999999997</v>
      </c>
      <c r="O1257" s="3">
        <f>(IF(L1257&lt;4172.98,0,MIN(L1257*0.3,L1257-4172.98)))-M1257</f>
        <v>885.33799999999974</v>
      </c>
      <c r="P1257" s="6">
        <v>46357</v>
      </c>
      <c r="Q1257" t="s">
        <v>80</v>
      </c>
      <c r="R1257" s="3">
        <v>720.33</v>
      </c>
      <c r="S1257" s="53" t="s">
        <v>266</v>
      </c>
      <c r="T1257" s="48">
        <v>46265</v>
      </c>
      <c r="V1257" s="51">
        <v>0.46875</v>
      </c>
      <c r="W1257" s="51">
        <v>0.47430555555555554</v>
      </c>
      <c r="X1257" s="51">
        <v>0.47638888888888886</v>
      </c>
      <c r="Y1257" s="51">
        <v>0.48958333333333331</v>
      </c>
      <c r="Z1257" s="181">
        <v>2</v>
      </c>
    </row>
    <row r="1258" spans="1:26" hidden="1">
      <c r="A1258" s="30">
        <v>23567478</v>
      </c>
      <c r="B1258" s="31">
        <v>46265</v>
      </c>
      <c r="C1258" s="32">
        <v>0.46987268518518521</v>
      </c>
      <c r="D1258" s="33" t="s">
        <v>1254</v>
      </c>
      <c r="E1258" s="34">
        <v>5216122338077</v>
      </c>
      <c r="F1258" s="33"/>
      <c r="G1258" s="33"/>
      <c r="H1258" s="35">
        <v>23632610012</v>
      </c>
      <c r="I1258" s="33"/>
      <c r="J1258" s="36"/>
      <c r="K1258" t="s">
        <v>30</v>
      </c>
      <c r="L1258" s="111">
        <v>6051.24</v>
      </c>
      <c r="M1258" s="111">
        <v>1812.25</v>
      </c>
      <c r="N1258" s="3">
        <f>L1258*0.3</f>
        <v>1815.3719999999998</v>
      </c>
      <c r="O1258" s="3">
        <f>(IF(L1258&lt;4172.98,0,MIN(L1258*0.3,L1258-4172.98)))-M1258</f>
        <v>3.1219999999998436</v>
      </c>
      <c r="P1258" s="6">
        <v>46874</v>
      </c>
      <c r="Q1258" t="s">
        <v>73</v>
      </c>
      <c r="R1258" s="3">
        <v>1669.73</v>
      </c>
      <c r="S1258" s="53" t="s">
        <v>69</v>
      </c>
      <c r="V1258" s="51">
        <v>0.46944444444444444</v>
      </c>
      <c r="Z1258" s="181">
        <v>2</v>
      </c>
    </row>
    <row r="1259" spans="1:26" hidden="1">
      <c r="A1259" s="30">
        <v>24128674</v>
      </c>
      <c r="B1259" s="31">
        <v>46265</v>
      </c>
      <c r="C1259" s="32">
        <v>0.46901620370370373</v>
      </c>
      <c r="D1259" s="33"/>
      <c r="E1259" s="34" t="s">
        <v>1255</v>
      </c>
      <c r="F1259" s="33"/>
      <c r="G1259" s="33"/>
      <c r="H1259" s="35" t="s">
        <v>1255</v>
      </c>
      <c r="I1259" s="33"/>
      <c r="J1259" s="36"/>
      <c r="K1259" t="s">
        <v>51</v>
      </c>
      <c r="N1259" s="3">
        <f>L1259*0.3</f>
        <v>0</v>
      </c>
      <c r="O1259" s="3">
        <f>(IF(L1259&lt;4172.98,0,MIN(L1259*0.3,L1259-4172.98)))-M1259</f>
        <v>0</v>
      </c>
      <c r="S1259" s="3" t="s">
        <v>69</v>
      </c>
      <c r="V1259" s="51">
        <v>0.47083333333333333</v>
      </c>
      <c r="Z1259" s="181">
        <v>1</v>
      </c>
    </row>
    <row r="1260" spans="1:26" hidden="1">
      <c r="A1260" s="30">
        <v>24129318</v>
      </c>
      <c r="B1260" s="31">
        <v>46265</v>
      </c>
      <c r="C1260" s="32">
        <v>0.49296296296296294</v>
      </c>
      <c r="D1260" s="33"/>
      <c r="E1260" s="34">
        <v>5217441310822</v>
      </c>
      <c r="F1260" s="33"/>
      <c r="G1260" s="33"/>
      <c r="H1260" s="35" t="s">
        <v>1256</v>
      </c>
      <c r="I1260" s="33"/>
      <c r="J1260" s="36"/>
      <c r="K1260" t="s">
        <v>58</v>
      </c>
      <c r="L1260" s="3">
        <v>3999.13</v>
      </c>
      <c r="N1260" s="3">
        <f t="shared" ref="N1260" si="119">L1260*0.3</f>
        <v>1199.739</v>
      </c>
      <c r="O1260" s="3">
        <f>(IF(L1260&lt;4172.98,0,MIN(L1260*0.3,L1260-4172.98)))-M1260</f>
        <v>0</v>
      </c>
      <c r="S1260" s="3" t="s">
        <v>69</v>
      </c>
      <c r="V1260" s="51">
        <v>0.49444444444444446</v>
      </c>
      <c r="Z1260" s="181">
        <v>1</v>
      </c>
    </row>
    <row r="1261" spans="1:26" hidden="1">
      <c r="A1261" s="30">
        <v>24130302</v>
      </c>
      <c r="B1261" s="31">
        <v>46265</v>
      </c>
      <c r="C1261" s="32">
        <v>0.50708333333333333</v>
      </c>
      <c r="D1261" s="33"/>
      <c r="E1261" s="34">
        <v>5215529663192</v>
      </c>
      <c r="F1261" s="33"/>
      <c r="G1261" s="33"/>
      <c r="H1261" s="35" t="s">
        <v>1257</v>
      </c>
      <c r="I1261" s="33"/>
      <c r="J1261" s="36"/>
      <c r="K1261" t="s">
        <v>30</v>
      </c>
      <c r="L1261" s="3">
        <v>5776.61</v>
      </c>
      <c r="M1261" s="3">
        <v>1546.56</v>
      </c>
      <c r="N1261" s="3">
        <f>L1261*0.3</f>
        <v>1732.9829999999999</v>
      </c>
      <c r="O1261" s="3">
        <f>(IF(L1261&lt;4172.98,0,MIN(L1261*0.3,L1261-4172.98)))-M1261</f>
        <v>57.070000000000164</v>
      </c>
      <c r="P1261" s="6">
        <v>46478</v>
      </c>
      <c r="Q1261" t="s">
        <v>59</v>
      </c>
      <c r="R1261" s="3">
        <v>1546.56</v>
      </c>
      <c r="S1261" s="3" t="s">
        <v>69</v>
      </c>
      <c r="V1261" s="51">
        <v>0.50763888888888886</v>
      </c>
      <c r="Z1261" s="181">
        <v>2</v>
      </c>
    </row>
    <row r="1262" spans="1:26" hidden="1">
      <c r="A1262" s="30">
        <v>24130308</v>
      </c>
      <c r="B1262" s="31">
        <v>46265</v>
      </c>
      <c r="C1262" s="32">
        <v>0.51005787037037043</v>
      </c>
      <c r="D1262" s="33"/>
      <c r="E1262" s="34">
        <v>5219241395458</v>
      </c>
      <c r="F1262" s="33"/>
      <c r="G1262" s="33"/>
      <c r="H1262" s="35">
        <v>67806008461</v>
      </c>
      <c r="I1262" s="33"/>
      <c r="J1262" s="36"/>
      <c r="K1262" t="s">
        <v>30</v>
      </c>
      <c r="L1262" s="3">
        <v>9081.52</v>
      </c>
      <c r="M1262" s="3">
        <v>2627.5</v>
      </c>
      <c r="N1262" s="3">
        <f>L1262*0.3</f>
        <v>2724.4560000000001</v>
      </c>
      <c r="O1262" s="3">
        <f>(IF(L1262&lt;4172.98,0,MIN(L1262*0.3,L1262-4172.98)))-M1262</f>
        <v>96.956000000000131</v>
      </c>
      <c r="P1262" s="6">
        <v>46266</v>
      </c>
      <c r="Q1262" t="s">
        <v>206</v>
      </c>
      <c r="R1262" s="3">
        <v>1021</v>
      </c>
      <c r="S1262" s="3" t="s">
        <v>69</v>
      </c>
      <c r="V1262" s="51">
        <v>0.51041666666666663</v>
      </c>
      <c r="Z1262" s="181">
        <v>2</v>
      </c>
    </row>
    <row r="1263" spans="1:26" hidden="1">
      <c r="A1263" s="12">
        <v>24131170</v>
      </c>
      <c r="B1263" s="13">
        <v>46265</v>
      </c>
      <c r="C1263" s="14">
        <v>0.52940972222222227</v>
      </c>
      <c r="D1263" s="15"/>
      <c r="E1263" s="16">
        <v>5215534333332</v>
      </c>
      <c r="F1263" s="15"/>
      <c r="G1263" s="15"/>
      <c r="H1263" s="17">
        <v>1776019901</v>
      </c>
      <c r="I1263" s="15"/>
      <c r="J1263" s="18"/>
      <c r="K1263" t="s">
        <v>30</v>
      </c>
      <c r="L1263" s="111">
        <v>27589.32</v>
      </c>
      <c r="M1263" s="111">
        <v>8263.8700000000008</v>
      </c>
      <c r="N1263" s="3">
        <f t="shared" ref="N1263:N1264" si="120">L1263*0.3</f>
        <v>8276.7960000000003</v>
      </c>
      <c r="O1263" s="3">
        <f>(IF(L1263&lt;4172.98,0,MIN(L1263*0.3,L1263-4172.98)))-M1263</f>
        <v>12.925999999999476</v>
      </c>
      <c r="P1263" s="6">
        <v>46357</v>
      </c>
      <c r="Q1263" t="s">
        <v>141</v>
      </c>
      <c r="R1263" s="3">
        <v>2050</v>
      </c>
      <c r="S1263" s="3" t="s">
        <v>69</v>
      </c>
      <c r="V1263" s="51">
        <v>0.53055555555555556</v>
      </c>
      <c r="Z1263" s="181">
        <v>2</v>
      </c>
    </row>
    <row r="1264" spans="1:26" hidden="1">
      <c r="A1264" s="30">
        <v>24131048</v>
      </c>
      <c r="B1264" s="31">
        <v>46265</v>
      </c>
      <c r="C1264" s="32">
        <v>0.52995370370370365</v>
      </c>
      <c r="D1264" s="33"/>
      <c r="E1264" s="34">
        <v>5216441408846</v>
      </c>
      <c r="F1264" s="33"/>
      <c r="G1264" s="33" t="s">
        <v>1258</v>
      </c>
      <c r="H1264" s="35"/>
      <c r="I1264" s="33"/>
      <c r="J1264" s="36"/>
      <c r="K1264" t="s">
        <v>58</v>
      </c>
      <c r="L1264" s="111">
        <v>3882.85</v>
      </c>
      <c r="M1264" s="111">
        <v>848</v>
      </c>
      <c r="N1264" s="3">
        <f t="shared" si="120"/>
        <v>1164.855</v>
      </c>
      <c r="O1264" s="3">
        <f>(IF(L1264&lt;4172.98,0,MIN(L1264*0.3,L1264-4172.98)))-M1264</f>
        <v>-848</v>
      </c>
      <c r="S1264" s="3" t="s">
        <v>69</v>
      </c>
      <c r="V1264" s="51">
        <v>0.53055555555555556</v>
      </c>
      <c r="Z1264" s="181">
        <v>1</v>
      </c>
    </row>
    <row r="1265" spans="1:26">
      <c r="A1265" s="30">
        <v>24132154</v>
      </c>
      <c r="B1265" s="31">
        <v>46265</v>
      </c>
      <c r="C1265" s="32">
        <v>0.56384259259259262</v>
      </c>
      <c r="D1265" s="33"/>
      <c r="E1265" s="34">
        <v>5219331053166</v>
      </c>
      <c r="F1265" s="33"/>
      <c r="G1265" s="33" t="s">
        <v>1259</v>
      </c>
      <c r="H1265" s="35"/>
      <c r="I1265" s="33"/>
      <c r="J1265" s="36"/>
      <c r="K1265" t="s">
        <v>54</v>
      </c>
      <c r="L1265" s="3">
        <v>7920.51</v>
      </c>
      <c r="N1265" s="3">
        <f>L1265*0.3</f>
        <v>2376.1529999999998</v>
      </c>
      <c r="O1265" s="3">
        <f>(IF(L1265&lt;4172.98,0,MIN(L1265*0.3,L1265-4172.98)))-M1265</f>
        <v>2376.1529999999998</v>
      </c>
      <c r="S1265" s="3" t="s">
        <v>1091</v>
      </c>
      <c r="T1265" s="48">
        <v>46265</v>
      </c>
      <c r="V1265" s="51">
        <v>0.56458333333333333</v>
      </c>
      <c r="W1265" s="51">
        <v>0.57708333333333328</v>
      </c>
      <c r="X1265" s="51">
        <v>0.5805555555555556</v>
      </c>
      <c r="Y1265" s="51">
        <v>0.58333333333333337</v>
      </c>
      <c r="Z1265" s="181">
        <v>1</v>
      </c>
    </row>
    <row r="1266" spans="1:26" hidden="1">
      <c r="A1266" s="30">
        <v>24134364</v>
      </c>
      <c r="B1266" s="31">
        <v>46265</v>
      </c>
      <c r="C1266" s="32">
        <v>0.60687500000000005</v>
      </c>
      <c r="D1266" s="33"/>
      <c r="E1266" s="34">
        <v>5216145301014</v>
      </c>
      <c r="F1266" s="33"/>
      <c r="G1266" s="33"/>
      <c r="H1266" s="35">
        <v>33129418043</v>
      </c>
      <c r="I1266" s="33"/>
      <c r="J1266" s="36"/>
      <c r="K1266" t="s">
        <v>58</v>
      </c>
      <c r="L1266" s="3">
        <v>3848.62</v>
      </c>
      <c r="N1266" s="3">
        <f>L1266*0.3</f>
        <v>1154.586</v>
      </c>
      <c r="O1266" s="3">
        <f>(IF(L1266&lt;4172.98,0,MIN(L1266*0.3,L1266-4172.98)))-M1266</f>
        <v>0</v>
      </c>
      <c r="S1266" s="3" t="s">
        <v>69</v>
      </c>
      <c r="V1266" s="51">
        <v>0.60833333333333328</v>
      </c>
      <c r="Z1266" s="181">
        <v>1</v>
      </c>
    </row>
    <row r="1267" spans="1:26" hidden="1">
      <c r="A1267" s="30">
        <v>24134474</v>
      </c>
      <c r="B1267" s="31">
        <v>46265</v>
      </c>
      <c r="C1267" s="32">
        <v>0.61250000000000004</v>
      </c>
      <c r="D1267" s="33"/>
      <c r="E1267" s="34">
        <v>5217711654966</v>
      </c>
      <c r="F1267" s="33"/>
      <c r="G1267" s="33"/>
      <c r="H1267" s="35">
        <v>92967570463</v>
      </c>
      <c r="I1267" s="33"/>
      <c r="J1267" s="36"/>
      <c r="K1267" t="s">
        <v>51</v>
      </c>
      <c r="N1267" s="3">
        <f>L1267*0.3</f>
        <v>0</v>
      </c>
      <c r="O1267" s="3">
        <f>(IF(L1267&lt;4172.98,0,MIN(L1267*0.3,L1267-4172.98)))-M1267</f>
        <v>0</v>
      </c>
      <c r="S1267" s="3" t="s">
        <v>69</v>
      </c>
      <c r="V1267" s="51">
        <v>0.61250000000000004</v>
      </c>
      <c r="Z1267" s="181">
        <v>1</v>
      </c>
    </row>
    <row r="1268" spans="1:26">
      <c r="A1268" s="30">
        <v>24134834</v>
      </c>
      <c r="B1268" s="31">
        <v>46265</v>
      </c>
      <c r="C1268" s="32">
        <v>0.61754629629629632</v>
      </c>
      <c r="D1268" s="33"/>
      <c r="E1268" s="34">
        <v>5216864319599</v>
      </c>
      <c r="F1268" s="33"/>
      <c r="G1268" s="33" t="s">
        <v>1260</v>
      </c>
      <c r="H1268" s="35"/>
      <c r="I1268" s="33"/>
      <c r="J1268" s="36"/>
      <c r="K1268" t="s">
        <v>54</v>
      </c>
      <c r="L1268" s="3">
        <v>9760.32</v>
      </c>
      <c r="N1268" s="3">
        <f>L1268*0.3</f>
        <v>2928.096</v>
      </c>
      <c r="O1268" s="3">
        <f>(IF(L1268&lt;4172.98,0,MIN(L1268*0.3,L1268-4172.98)))-M1268</f>
        <v>2928.096</v>
      </c>
      <c r="S1268" s="3" t="s">
        <v>95</v>
      </c>
      <c r="T1268" s="48">
        <v>46265</v>
      </c>
      <c r="V1268" s="51">
        <v>0.61736111111111114</v>
      </c>
      <c r="W1268" s="51">
        <v>0.62708333333333333</v>
      </c>
      <c r="X1268" s="51">
        <v>0.6479166666666667</v>
      </c>
      <c r="Y1268" s="51">
        <v>0.65208333333333335</v>
      </c>
      <c r="Z1268" s="181">
        <v>1</v>
      </c>
    </row>
    <row r="1269" spans="1:26" hidden="1">
      <c r="A1269" s="30">
        <v>24134828</v>
      </c>
      <c r="B1269" s="31">
        <v>46265</v>
      </c>
      <c r="C1269" s="32">
        <v>0.62216435185185182</v>
      </c>
      <c r="D1269" s="33"/>
      <c r="E1269" s="34">
        <v>5218661710377</v>
      </c>
      <c r="F1269" s="33"/>
      <c r="G1269" s="33"/>
      <c r="H1269" s="35" t="s">
        <v>1261</v>
      </c>
      <c r="I1269" s="33"/>
      <c r="J1269" s="36"/>
      <c r="K1269" t="s">
        <v>30</v>
      </c>
      <c r="L1269" s="111">
        <v>32639.02</v>
      </c>
      <c r="M1269" s="111">
        <v>9765.27</v>
      </c>
      <c r="N1269" s="3">
        <f>L1269*0.3</f>
        <v>9791.7060000000001</v>
      </c>
      <c r="O1269" s="3">
        <f>(IF(L1269&lt;4172.98,0,MIN(L1269*0.3,L1269-4172.98)))-M1269</f>
        <v>26.435999999999694</v>
      </c>
      <c r="P1269" s="6">
        <v>46539</v>
      </c>
      <c r="Q1269" t="s">
        <v>141</v>
      </c>
      <c r="R1269" s="3">
        <v>2413.4499999999998</v>
      </c>
      <c r="S1269" s="3" t="s">
        <v>69</v>
      </c>
      <c r="V1269" s="51">
        <v>0.62222222222222223</v>
      </c>
      <c r="Z1269" s="181">
        <v>2</v>
      </c>
    </row>
    <row r="1270" spans="1:26">
      <c r="A1270" s="12">
        <v>24135332</v>
      </c>
      <c r="B1270" s="13">
        <v>46265</v>
      </c>
      <c r="C1270" s="14">
        <v>0.63350694444444444</v>
      </c>
      <c r="D1270" s="15"/>
      <c r="E1270" s="16">
        <v>5216565777809</v>
      </c>
      <c r="F1270" s="15"/>
      <c r="G1270" s="15"/>
      <c r="H1270" s="17">
        <v>33836439225</v>
      </c>
      <c r="I1270" s="178"/>
      <c r="J1270" s="18"/>
      <c r="K1270" t="s">
        <v>54</v>
      </c>
      <c r="L1270" s="3">
        <v>10093.08</v>
      </c>
      <c r="N1270" s="3">
        <f>L1270*0.3</f>
        <v>3027.924</v>
      </c>
      <c r="O1270" s="3">
        <f>(IF(L1270&lt;4172.98,0,MIN(L1270*0.3,L1270-4172.98)))-M1270</f>
        <v>3027.924</v>
      </c>
      <c r="S1270" s="3" t="s">
        <v>348</v>
      </c>
      <c r="T1270" s="48">
        <v>46265</v>
      </c>
      <c r="V1270" s="51">
        <v>0.6333333333333333</v>
      </c>
      <c r="W1270" s="51">
        <v>0.65277777777777779</v>
      </c>
      <c r="X1270" s="51">
        <v>0.66111111111111109</v>
      </c>
      <c r="Y1270" s="51">
        <v>0.66180555555555554</v>
      </c>
      <c r="Z1270" s="181">
        <v>1</v>
      </c>
    </row>
    <row r="1271" spans="1:26" hidden="1">
      <c r="A1271" s="30">
        <v>24135406</v>
      </c>
      <c r="B1271" s="31">
        <v>46265</v>
      </c>
      <c r="C1271" s="32">
        <v>0.63641203703703708</v>
      </c>
      <c r="D1271" s="33"/>
      <c r="E1271" s="34">
        <v>5219681306640</v>
      </c>
      <c r="F1271" s="33"/>
      <c r="G1271" s="33"/>
      <c r="H1271" s="35">
        <v>71866413975</v>
      </c>
      <c r="I1271" s="33"/>
      <c r="J1271" s="36"/>
      <c r="K1271" t="s">
        <v>30</v>
      </c>
      <c r="L1271" s="111">
        <v>9760.32</v>
      </c>
      <c r="M1271" s="111">
        <v>2822.02</v>
      </c>
      <c r="N1271" s="3">
        <f>L1271*0.3</f>
        <v>2928.096</v>
      </c>
      <c r="O1271" s="3">
        <f>(IF(L1271&lt;4172.98,0,MIN(L1271*0.3,L1271-4172.98)))-M1271</f>
        <v>106.07600000000002</v>
      </c>
      <c r="P1271" s="6">
        <v>46692</v>
      </c>
      <c r="Q1271" t="s">
        <v>75</v>
      </c>
      <c r="R1271" s="111">
        <v>2822.02</v>
      </c>
      <c r="S1271" s="3" t="s">
        <v>69</v>
      </c>
      <c r="V1271" s="51">
        <v>0.63611111111111107</v>
      </c>
      <c r="Z1271" s="181">
        <v>2</v>
      </c>
    </row>
    <row r="1272" spans="1:26" hidden="1">
      <c r="A1272" s="30">
        <v>24135758</v>
      </c>
      <c r="B1272" s="31">
        <v>46265</v>
      </c>
      <c r="C1272" s="32">
        <v>0.64714120370370365</v>
      </c>
      <c r="D1272" s="33"/>
      <c r="E1272" s="34">
        <v>5214776706121</v>
      </c>
      <c r="F1272" s="33"/>
      <c r="G1272" s="33"/>
      <c r="H1272" s="35">
        <v>12735615374</v>
      </c>
      <c r="I1272" s="33"/>
      <c r="J1272" s="36"/>
      <c r="K1272" t="s">
        <v>58</v>
      </c>
      <c r="L1272" s="3">
        <v>4342.43</v>
      </c>
      <c r="N1272" s="3">
        <f>L1272*0.3</f>
        <v>1302.729</v>
      </c>
      <c r="O1272" s="3">
        <f>(IF(L1272&lt;4172.98,0,MIN(L1272*0.3,L1272-4172.98)))-M1272</f>
        <v>169.45000000000073</v>
      </c>
      <c r="S1272" s="3" t="s">
        <v>69</v>
      </c>
      <c r="V1272" s="51">
        <v>0.64652777777777781</v>
      </c>
      <c r="Z1272" s="181">
        <v>1</v>
      </c>
    </row>
    <row r="1273" spans="1:26">
      <c r="A1273" s="30">
        <v>24136138</v>
      </c>
      <c r="B1273" s="31">
        <v>46265</v>
      </c>
      <c r="C1273" s="32">
        <v>0.65598379629629633</v>
      </c>
      <c r="D1273" s="33"/>
      <c r="E1273" s="34">
        <v>5215640025862</v>
      </c>
      <c r="F1273" s="33"/>
      <c r="G1273" s="33"/>
      <c r="H1273" s="35">
        <v>64846218176</v>
      </c>
      <c r="I1273" s="33"/>
      <c r="J1273" s="36"/>
      <c r="K1273" t="s">
        <v>54</v>
      </c>
      <c r="L1273" s="3">
        <v>7116.73</v>
      </c>
      <c r="N1273" s="3">
        <f>L1273*0.3</f>
        <v>2135.0189999999998</v>
      </c>
      <c r="O1273" s="3">
        <f>(IF(L1273&lt;4172.98,0,MIN(L1273*0.3,L1273-4172.98)))-M1273</f>
        <v>2135.0189999999998</v>
      </c>
      <c r="S1273" s="3" t="s">
        <v>1091</v>
      </c>
      <c r="T1273" s="48">
        <v>46265</v>
      </c>
      <c r="V1273" s="51">
        <v>0.65555555555555556</v>
      </c>
      <c r="W1273" s="51">
        <v>0.6645833333333333</v>
      </c>
      <c r="X1273" s="51">
        <v>0.6694444444444444</v>
      </c>
      <c r="Y1273" s="51">
        <v>0.67083333333333328</v>
      </c>
      <c r="Z1273" s="181">
        <v>1</v>
      </c>
    </row>
    <row r="1274" spans="1:26">
      <c r="A1274" s="30">
        <v>24137096</v>
      </c>
      <c r="B1274" s="31">
        <v>46265</v>
      </c>
      <c r="C1274" s="32">
        <v>0.68270833333333336</v>
      </c>
      <c r="D1274" s="33"/>
      <c r="E1274" s="34">
        <v>5217714090899</v>
      </c>
      <c r="F1274" s="33"/>
      <c r="G1274" s="33" t="s">
        <v>1262</v>
      </c>
      <c r="H1274" s="35"/>
      <c r="I1274" s="33"/>
      <c r="J1274" s="36"/>
      <c r="K1274" t="s">
        <v>107</v>
      </c>
      <c r="L1274" s="111">
        <v>7116.73</v>
      </c>
      <c r="M1274" s="111">
        <v>1197.79</v>
      </c>
      <c r="N1274" s="3">
        <f>L1274*0.3</f>
        <v>2135.0189999999998</v>
      </c>
      <c r="O1274" s="3">
        <f>(IF(L1274&lt;4172.98,0,MIN(L1274*0.3,L1274-4172.98)))-M1274</f>
        <v>937.22899999999981</v>
      </c>
      <c r="P1274" s="6">
        <v>46113</v>
      </c>
      <c r="Q1274" t="s">
        <v>77</v>
      </c>
      <c r="R1274" s="111">
        <v>1197.79</v>
      </c>
      <c r="S1274" s="3" t="s">
        <v>39</v>
      </c>
      <c r="T1274" s="48">
        <v>46265</v>
      </c>
      <c r="V1274" s="51">
        <v>0.68402777777777779</v>
      </c>
      <c r="W1274" s="51">
        <v>0.69444444444444442</v>
      </c>
      <c r="X1274" s="51">
        <v>0.7055555555555556</v>
      </c>
      <c r="Y1274" s="51">
        <v>0.70833333333333337</v>
      </c>
      <c r="Z1274" s="181">
        <v>2</v>
      </c>
    </row>
    <row r="1275" spans="1:26" hidden="1">
      <c r="A1275" s="30">
        <v>24115534</v>
      </c>
      <c r="B1275" s="31">
        <v>46265</v>
      </c>
      <c r="C1275" s="32">
        <v>0.68479166666666669</v>
      </c>
      <c r="D1275" s="33"/>
      <c r="E1275" s="34">
        <v>5213317386911</v>
      </c>
      <c r="F1275" s="33"/>
      <c r="G1275" s="33"/>
      <c r="H1275" s="35" t="s">
        <v>1263</v>
      </c>
      <c r="I1275" s="33"/>
      <c r="J1275" s="36"/>
      <c r="K1275" t="s">
        <v>32</v>
      </c>
      <c r="N1275" s="3">
        <f>L1275*0.3</f>
        <v>0</v>
      </c>
      <c r="O1275" s="3">
        <f>(IF(L1275&lt;4172.98,0,MIN(L1275*0.3,L1275-4172.98)))-M1275</f>
        <v>0</v>
      </c>
      <c r="S1275" s="53" t="s">
        <v>69</v>
      </c>
      <c r="V1275" s="51">
        <v>0.68472222222222223</v>
      </c>
      <c r="Z1275" s="181">
        <v>0</v>
      </c>
    </row>
    <row r="1276" spans="1:26" hidden="1">
      <c r="A1276" s="30">
        <v>24122498</v>
      </c>
      <c r="B1276" s="31">
        <v>46265</v>
      </c>
      <c r="C1276" s="32">
        <v>0.68548611111111113</v>
      </c>
      <c r="D1276" s="33"/>
      <c r="E1276" s="34">
        <v>5218180783323</v>
      </c>
      <c r="F1276" s="33"/>
      <c r="G1276" s="33" t="s">
        <v>1264</v>
      </c>
      <c r="H1276" s="35"/>
      <c r="I1276" s="33"/>
      <c r="J1276" s="36"/>
      <c r="K1276" t="s">
        <v>32</v>
      </c>
      <c r="N1276" s="3">
        <f>L1276*0.3</f>
        <v>0</v>
      </c>
      <c r="O1276" s="3">
        <f>(IF(L1276&lt;4172.98,0,MIN(L1276*0.3,L1276-4172.98)))-M1276</f>
        <v>0</v>
      </c>
      <c r="S1276" s="53" t="s">
        <v>69</v>
      </c>
      <c r="V1276" s="51">
        <v>0.68541666666666667</v>
      </c>
      <c r="Z1276" s="181">
        <v>0</v>
      </c>
    </row>
    <row r="1277" spans="1:26">
      <c r="A1277" s="30">
        <v>24129398</v>
      </c>
      <c r="B1277" s="31">
        <v>46265</v>
      </c>
      <c r="C1277" s="32">
        <v>0.68687500000000001</v>
      </c>
      <c r="D1277" s="33" t="s">
        <v>1265</v>
      </c>
      <c r="E1277" s="34">
        <v>5213861125110</v>
      </c>
      <c r="F1277" s="33"/>
      <c r="G1277" s="33" t="s">
        <v>1266</v>
      </c>
      <c r="H1277" s="35"/>
      <c r="I1277" s="33"/>
      <c r="J1277" s="36"/>
      <c r="K1277" t="s">
        <v>27</v>
      </c>
      <c r="L1277" s="111">
        <v>9081.52</v>
      </c>
      <c r="M1277" s="111">
        <v>2722.76</v>
      </c>
      <c r="N1277" s="3">
        <f>L1277*0.3</f>
        <v>2724.4560000000001</v>
      </c>
      <c r="O1277" s="3">
        <f>(IF(L1277&lt;4172.98,0,MIN(L1277*0.3,L1277-4172.98)))-M1277</f>
        <v>1.6959999999999127</v>
      </c>
      <c r="P1277" s="6">
        <v>46204</v>
      </c>
      <c r="Q1277" t="s">
        <v>77</v>
      </c>
      <c r="R1277" s="3">
        <v>2521.35</v>
      </c>
      <c r="S1277" s="53" t="s">
        <v>95</v>
      </c>
      <c r="T1277" s="48">
        <v>46265</v>
      </c>
      <c r="V1277" s="51">
        <v>0.68680555555555556</v>
      </c>
      <c r="W1277" s="51">
        <v>0.69791666666666663</v>
      </c>
      <c r="X1277" s="51">
        <v>0.7006944444444444</v>
      </c>
      <c r="Y1277" s="51">
        <v>0.70208333333333328</v>
      </c>
      <c r="Z1277" s="181">
        <v>2</v>
      </c>
    </row>
    <row r="1278" spans="1:26" hidden="1">
      <c r="A1278" s="30">
        <v>24138004</v>
      </c>
      <c r="B1278" s="31">
        <v>46265</v>
      </c>
      <c r="C1278" s="32">
        <v>0.70983796296296298</v>
      </c>
      <c r="D1278" s="33"/>
      <c r="E1278" s="34">
        <v>5212218295158</v>
      </c>
      <c r="F1278" s="33"/>
      <c r="G1278" s="33" t="s">
        <v>1267</v>
      </c>
      <c r="H1278" s="35"/>
      <c r="I1278" s="33"/>
      <c r="J1278" s="36"/>
      <c r="K1278" t="s">
        <v>32</v>
      </c>
      <c r="N1278" s="3">
        <f>L1278*0.3</f>
        <v>0</v>
      </c>
      <c r="O1278" s="3">
        <f>(IF(L1278&lt;4172.98,0,MIN(L1278*0.3,L1278-4172.98)))-M1278</f>
        <v>0</v>
      </c>
      <c r="S1278" s="3" t="s">
        <v>69</v>
      </c>
      <c r="V1278" s="51">
        <v>0.70972222222222225</v>
      </c>
      <c r="Z1278" s="181">
        <v>0</v>
      </c>
    </row>
    <row r="1279" spans="1:26" hidden="1">
      <c r="A1279" s="30">
        <v>24126384</v>
      </c>
      <c r="B1279" s="31">
        <v>46265</v>
      </c>
      <c r="C1279" s="32">
        <v>0.72025462962962961</v>
      </c>
      <c r="D1279" s="33"/>
      <c r="E1279" s="34">
        <v>5213315408191</v>
      </c>
      <c r="F1279" s="33"/>
      <c r="G1279" s="33" t="s">
        <v>1268</v>
      </c>
      <c r="H1279" s="35"/>
      <c r="I1279" s="33"/>
      <c r="J1279" s="36"/>
      <c r="K1279" t="s">
        <v>30</v>
      </c>
      <c r="L1279" s="3">
        <v>9760.32</v>
      </c>
      <c r="M1279" s="3">
        <v>2913.38</v>
      </c>
      <c r="N1279" s="3">
        <f>L1279*0.3</f>
        <v>2928.096</v>
      </c>
      <c r="O1279" s="3">
        <f>(IF(L1279&lt;4172.98,0,MIN(L1279*0.3,L1279-4172.98)))-M1279</f>
        <v>14.715999999999894</v>
      </c>
      <c r="P1279" s="6">
        <v>46784</v>
      </c>
      <c r="Q1279" t="s">
        <v>141</v>
      </c>
      <c r="R1279" s="3">
        <v>2913.38</v>
      </c>
      <c r="S1279" s="53" t="s">
        <v>69</v>
      </c>
      <c r="V1279" s="51">
        <v>0.72013888888888888</v>
      </c>
      <c r="Z1279" s="181">
        <v>2</v>
      </c>
    </row>
    <row r="1280" spans="1:26" hidden="1">
      <c r="A1280" s="30">
        <v>24138570</v>
      </c>
      <c r="B1280" s="31">
        <v>46265</v>
      </c>
      <c r="C1280" s="32">
        <v>0.72870370370370374</v>
      </c>
      <c r="D1280" s="33"/>
      <c r="E1280" s="34">
        <v>5217773013737</v>
      </c>
      <c r="F1280" s="33"/>
      <c r="G1280" s="33" t="s">
        <v>1269</v>
      </c>
      <c r="H1280" s="35"/>
      <c r="I1280" s="33"/>
      <c r="J1280" s="36"/>
      <c r="K1280" t="s">
        <v>32</v>
      </c>
      <c r="N1280" s="3">
        <f>L1280*0.3</f>
        <v>0</v>
      </c>
      <c r="O1280" s="3">
        <f>(IF(L1280&lt;4172.98,0,MIN(L1280*0.3,L1280-4172.98)))-M1280</f>
        <v>0</v>
      </c>
      <c r="S1280" s="3" t="s">
        <v>69</v>
      </c>
      <c r="V1280" s="51">
        <v>0.72916666666666663</v>
      </c>
      <c r="Z1280" s="181">
        <v>0</v>
      </c>
    </row>
    <row r="1281" spans="1:26" hidden="1">
      <c r="A1281" s="30">
        <v>24138882</v>
      </c>
      <c r="B1281" s="31">
        <v>46265</v>
      </c>
      <c r="C1281" s="32">
        <v>0.73855324074074069</v>
      </c>
      <c r="D1281" s="33"/>
      <c r="E1281" s="34">
        <v>5212717041954</v>
      </c>
      <c r="F1281" s="33"/>
      <c r="G1281" s="33" t="s">
        <v>1270</v>
      </c>
      <c r="H1281" s="35">
        <v>67926125666</v>
      </c>
      <c r="I1281" s="33"/>
      <c r="J1281" s="36"/>
      <c r="K1281" t="s">
        <v>189</v>
      </c>
      <c r="N1281" s="3">
        <f>L1281*0.3</f>
        <v>0</v>
      </c>
      <c r="O1281" s="3">
        <f>(IF(L1281&lt;4172.98,0,MIN(L1281*0.3,L1281-4172.98)))-M1281</f>
        <v>0</v>
      </c>
      <c r="S1281" s="3" t="s">
        <v>69</v>
      </c>
      <c r="V1281" s="51">
        <v>0.73958333333333337</v>
      </c>
      <c r="Z1281" s="181">
        <v>1</v>
      </c>
    </row>
    <row r="1282" spans="1:26" hidden="1">
      <c r="A1282" s="30">
        <v>24139436</v>
      </c>
      <c r="B1282" s="31">
        <v>46265</v>
      </c>
      <c r="C1282" s="32">
        <v>0.75410879629629635</v>
      </c>
      <c r="D1282" s="33"/>
      <c r="E1282" s="34">
        <v>5216568535637</v>
      </c>
      <c r="F1282" s="33"/>
      <c r="G1282" s="33"/>
      <c r="H1282" s="35">
        <v>33806333937</v>
      </c>
      <c r="I1282" s="33"/>
      <c r="J1282" s="36"/>
      <c r="K1282" t="s">
        <v>30</v>
      </c>
      <c r="L1282" s="3">
        <v>10636.54</v>
      </c>
      <c r="M1282" s="3">
        <v>3187.35</v>
      </c>
      <c r="N1282" s="3">
        <f>L1282*0.3</f>
        <v>3190.962</v>
      </c>
      <c r="O1282" s="3">
        <f>(IF(L1282&lt;4172.98,0,MIN(L1282*0.3,L1282-4172.98)))-M1282</f>
        <v>3.61200000000008</v>
      </c>
      <c r="P1282" s="6">
        <v>46874</v>
      </c>
      <c r="Q1282" t="s">
        <v>43</v>
      </c>
      <c r="R1282" s="3">
        <v>3187.35</v>
      </c>
      <c r="S1282" s="3" t="s">
        <v>69</v>
      </c>
      <c r="V1282" s="51">
        <v>0.75416666666666665</v>
      </c>
      <c r="Z1282" s="181">
        <v>2</v>
      </c>
    </row>
    <row r="1283" spans="1:26" hidden="1">
      <c r="A1283" s="30">
        <v>24139916</v>
      </c>
      <c r="B1283" s="31">
        <v>46265</v>
      </c>
      <c r="C1283" s="32">
        <v>0.77039351851851856</v>
      </c>
      <c r="D1283" s="33"/>
      <c r="E1283" s="34">
        <v>5215660177033</v>
      </c>
      <c r="F1283" s="33"/>
      <c r="G1283" s="33" t="s">
        <v>1271</v>
      </c>
      <c r="H1283" s="35"/>
      <c r="I1283" s="33"/>
      <c r="J1283" s="36"/>
      <c r="K1283" t="s">
        <v>51</v>
      </c>
      <c r="N1283" s="3">
        <f>L1283*0.3</f>
        <v>0</v>
      </c>
      <c r="O1283" s="3">
        <f>(IF(L1283&lt;4172.98,0,MIN(L1283*0.3,L1283-4172.98)))-M1283</f>
        <v>0</v>
      </c>
      <c r="S1283" s="3" t="s">
        <v>69</v>
      </c>
      <c r="V1283" s="51">
        <v>0.77152777777777781</v>
      </c>
      <c r="Z1283" s="181">
        <v>1</v>
      </c>
    </row>
    <row r="1284" spans="1:26" hidden="1">
      <c r="A1284" s="30">
        <v>24140196</v>
      </c>
      <c r="B1284" s="31">
        <v>46265</v>
      </c>
      <c r="C1284" s="32">
        <v>0.78063657407407405</v>
      </c>
      <c r="D1284" s="33"/>
      <c r="E1284" s="34">
        <v>5219321165176</v>
      </c>
      <c r="F1284" s="33"/>
      <c r="G1284" s="33" t="s">
        <v>1272</v>
      </c>
      <c r="H1284" s="35" t="s">
        <v>1273</v>
      </c>
      <c r="I1284" s="33"/>
      <c r="J1284" s="36"/>
      <c r="K1284" t="s">
        <v>32</v>
      </c>
      <c r="N1284" s="3">
        <f>L1284*0.3</f>
        <v>0</v>
      </c>
      <c r="O1284" s="3">
        <f>(IF(L1284&lt;4172.98,0,MIN(L1284*0.3,L1284-4172.98)))-M1284</f>
        <v>0</v>
      </c>
      <c r="S1284" s="3" t="s">
        <v>69</v>
      </c>
      <c r="V1284" s="51">
        <v>0.78194444444444444</v>
      </c>
      <c r="Z1284" s="181">
        <v>0</v>
      </c>
    </row>
    <row r="1285" spans="1:26">
      <c r="A1285" s="12">
        <v>24140376</v>
      </c>
      <c r="B1285" s="13">
        <v>46265</v>
      </c>
      <c r="C1285" s="14">
        <v>0.79646990740740742</v>
      </c>
      <c r="D1285" s="15"/>
      <c r="E1285" s="16">
        <v>5213111615242</v>
      </c>
      <c r="F1285" s="15"/>
      <c r="G1285" s="15" t="s">
        <v>1274</v>
      </c>
      <c r="H1285" s="17"/>
      <c r="I1285" s="15"/>
      <c r="J1285" s="18"/>
      <c r="K1285" t="s">
        <v>27</v>
      </c>
      <c r="L1285" s="3">
        <v>13520.47</v>
      </c>
      <c r="M1285" s="3">
        <v>3908.67</v>
      </c>
      <c r="N1285" s="3">
        <f t="shared" ref="N1285:N1298" si="121">L1285*0.3</f>
        <v>4056.1409999999996</v>
      </c>
      <c r="O1285" s="3">
        <f>(IF(L1285&lt;4172.98,0,MIN(L1285*0.3,L1285-4172.98)))-M1285</f>
        <v>147.47099999999955</v>
      </c>
      <c r="P1285" s="6">
        <v>45870</v>
      </c>
      <c r="Q1285" t="s">
        <v>184</v>
      </c>
      <c r="R1285" s="3">
        <v>3021.31</v>
      </c>
      <c r="S1285" s="3" t="s">
        <v>879</v>
      </c>
      <c r="T1285" s="48">
        <v>46266</v>
      </c>
      <c r="V1285" s="51">
        <v>0.37708333333333333</v>
      </c>
      <c r="W1285" s="51">
        <v>0.38333333333333336</v>
      </c>
      <c r="X1285" s="51">
        <v>0.39027777777777778</v>
      </c>
      <c r="Y1285" s="51">
        <v>0.39583333333333331</v>
      </c>
      <c r="Z1285" s="181">
        <v>2</v>
      </c>
    </row>
    <row r="1286" spans="1:26">
      <c r="A1286" s="12">
        <v>24140548</v>
      </c>
      <c r="B1286" s="13">
        <v>46265</v>
      </c>
      <c r="C1286" s="14">
        <v>0.80092592592592593</v>
      </c>
      <c r="D1286" s="15"/>
      <c r="E1286" s="16">
        <v>5215545352781</v>
      </c>
      <c r="F1286" s="15"/>
      <c r="G1286" s="15" t="s">
        <v>1275</v>
      </c>
      <c r="H1286" s="17"/>
      <c r="I1286" s="15"/>
      <c r="J1286" s="18"/>
      <c r="K1286" t="s">
        <v>54</v>
      </c>
      <c r="L1286" s="3">
        <v>22578.66</v>
      </c>
      <c r="M1286" s="3">
        <v>2799.95</v>
      </c>
      <c r="N1286" s="3">
        <f t="shared" si="121"/>
        <v>6773.598</v>
      </c>
      <c r="O1286" s="3">
        <f>(IF(L1286&lt;4172.98,0,MIN(L1286*0.3,L1286-4172.98)))-M1286</f>
        <v>3973.6480000000001</v>
      </c>
      <c r="P1286" s="6">
        <v>46508</v>
      </c>
      <c r="Q1286" t="s">
        <v>75</v>
      </c>
      <c r="R1286" s="3">
        <v>2799.95</v>
      </c>
      <c r="S1286" s="3" t="s">
        <v>348</v>
      </c>
      <c r="T1286" s="48">
        <v>46266</v>
      </c>
      <c r="V1286" s="51">
        <v>0.37708333333333333</v>
      </c>
      <c r="W1286" s="51">
        <v>0.38541666666666669</v>
      </c>
      <c r="X1286" s="51">
        <v>0.38958333333333334</v>
      </c>
      <c r="Y1286" s="51">
        <v>0.38958333333333334</v>
      </c>
      <c r="Z1286" s="181">
        <v>2</v>
      </c>
    </row>
    <row r="1287" spans="1:26" hidden="1">
      <c r="A1287" s="12">
        <v>24140914</v>
      </c>
      <c r="B1287" s="13">
        <v>46265</v>
      </c>
      <c r="C1287" s="14">
        <v>0.80255787037037041</v>
      </c>
      <c r="D1287" s="15"/>
      <c r="E1287" s="16">
        <v>5216613323900</v>
      </c>
      <c r="F1287" s="15"/>
      <c r="G1287" s="15"/>
      <c r="H1287" s="17" t="s">
        <v>1276</v>
      </c>
      <c r="I1287" s="15"/>
      <c r="J1287" s="18"/>
      <c r="K1287" t="s">
        <v>30</v>
      </c>
      <c r="L1287" s="3">
        <v>6816.34</v>
      </c>
      <c r="M1287" s="3">
        <v>2029.72</v>
      </c>
      <c r="N1287" s="3">
        <f t="shared" si="121"/>
        <v>2044.902</v>
      </c>
      <c r="O1287" s="3">
        <f>(IF(L1287&lt;4172.98,0,MIN(L1287*0.3,L1287-4172.98)))-M1287</f>
        <v>15.182000000000016</v>
      </c>
      <c r="P1287" s="6">
        <v>46447</v>
      </c>
      <c r="Q1287" t="s">
        <v>184</v>
      </c>
      <c r="R1287" s="3">
        <v>536.32000000000005</v>
      </c>
      <c r="S1287" s="3" t="s">
        <v>69</v>
      </c>
      <c r="V1287" s="51">
        <v>0.37708333333333333</v>
      </c>
      <c r="Z1287" s="181">
        <v>2</v>
      </c>
    </row>
    <row r="1288" spans="1:26" hidden="1">
      <c r="A1288" s="12">
        <v>24141836</v>
      </c>
      <c r="B1288" s="13">
        <v>46265</v>
      </c>
      <c r="C1288" s="14">
        <v>0.84984953703703703</v>
      </c>
      <c r="D1288" s="15"/>
      <c r="E1288" s="16">
        <v>5216462781122</v>
      </c>
      <c r="F1288" s="15"/>
      <c r="G1288" s="15" t="s">
        <v>1277</v>
      </c>
      <c r="H1288" s="17"/>
      <c r="I1288" s="15"/>
      <c r="J1288" s="18"/>
      <c r="K1288" t="s">
        <v>30</v>
      </c>
      <c r="L1288" s="3">
        <v>30308.01</v>
      </c>
      <c r="M1288" s="3">
        <v>9067.26</v>
      </c>
      <c r="N1288" s="3">
        <f t="shared" si="121"/>
        <v>9092.4029999999984</v>
      </c>
      <c r="O1288" s="3">
        <f>(IF(L1288&lt;4172.98,0,MIN(L1288*0.3,L1288-4172.98)))-M1288</f>
        <v>25.14299999999821</v>
      </c>
      <c r="P1288" s="6">
        <v>46692</v>
      </c>
      <c r="Q1288" t="s">
        <v>75</v>
      </c>
      <c r="R1288" s="3">
        <v>2094.77</v>
      </c>
      <c r="S1288" s="3" t="s">
        <v>69</v>
      </c>
      <c r="V1288" s="51">
        <v>0.37708333333333333</v>
      </c>
      <c r="Z1288" s="181">
        <v>2</v>
      </c>
    </row>
    <row r="1289" spans="1:26">
      <c r="A1289" s="12">
        <v>24142594</v>
      </c>
      <c r="B1289" s="13">
        <v>46265</v>
      </c>
      <c r="C1289" s="14">
        <v>0.88556712962962958</v>
      </c>
      <c r="D1289" s="15"/>
      <c r="E1289" s="16">
        <v>5214775513935</v>
      </c>
      <c r="F1289" s="15"/>
      <c r="G1289" s="15" t="s">
        <v>1278</v>
      </c>
      <c r="H1289" s="17"/>
      <c r="I1289" s="15"/>
      <c r="J1289" s="18"/>
      <c r="K1289" t="s">
        <v>54</v>
      </c>
      <c r="L1289" s="3">
        <v>10171.24</v>
      </c>
      <c r="N1289" s="3">
        <f t="shared" si="121"/>
        <v>3051.3719999999998</v>
      </c>
      <c r="O1289" s="3">
        <f>(IF(L1289&lt;4172.98,0,MIN(L1289*0.3,L1289-4172.98)))-M1289</f>
        <v>3051.3719999999998</v>
      </c>
      <c r="S1289" s="3" t="s">
        <v>28</v>
      </c>
      <c r="T1289" s="48">
        <v>46266</v>
      </c>
      <c r="V1289" s="51">
        <v>0.37708333333333333</v>
      </c>
      <c r="W1289" s="51">
        <v>0.38958333333333334</v>
      </c>
      <c r="X1289" s="51">
        <v>0.39166666666666666</v>
      </c>
      <c r="Y1289" s="51">
        <v>0.3923611111111111</v>
      </c>
      <c r="Z1289" s="181">
        <v>1</v>
      </c>
    </row>
    <row r="1290" spans="1:26">
      <c r="A1290" s="12">
        <v>24142600</v>
      </c>
      <c r="B1290" s="13">
        <v>46265</v>
      </c>
      <c r="C1290" s="14">
        <v>0.89320601851851855</v>
      </c>
      <c r="D1290" s="15"/>
      <c r="E1290" s="16">
        <v>5219996030818</v>
      </c>
      <c r="F1290" s="15"/>
      <c r="G1290" s="15"/>
      <c r="H1290" s="17" t="s">
        <v>1279</v>
      </c>
      <c r="I1290" s="15"/>
      <c r="J1290" s="18"/>
      <c r="K1290" t="s">
        <v>27</v>
      </c>
      <c r="L1290" s="3">
        <v>21559.83</v>
      </c>
      <c r="M1290" s="3">
        <v>6465.08</v>
      </c>
      <c r="N1290" s="3">
        <f t="shared" si="121"/>
        <v>6467.9490000000005</v>
      </c>
      <c r="O1290" s="3">
        <f>(IF(L1290&lt;4172.98,0,MIN(L1290*0.3,L1290-4172.98)))-M1290</f>
        <v>2.8690000000005966</v>
      </c>
      <c r="P1290" s="6">
        <v>46023</v>
      </c>
      <c r="Q1290" t="s">
        <v>80</v>
      </c>
      <c r="R1290" s="3">
        <v>5569.87</v>
      </c>
      <c r="S1290" s="3" t="s">
        <v>35</v>
      </c>
      <c r="T1290" s="48">
        <v>46266</v>
      </c>
      <c r="V1290" s="51">
        <v>0.37708333333333333</v>
      </c>
      <c r="W1290" s="51">
        <v>0.39166666666666666</v>
      </c>
      <c r="X1290" s="51">
        <v>0.39444444444444443</v>
      </c>
      <c r="Y1290" s="51">
        <v>0.39861111111111114</v>
      </c>
      <c r="Z1290" s="181">
        <v>2</v>
      </c>
    </row>
    <row r="1291" spans="1:26" hidden="1">
      <c r="A1291" s="12">
        <v>24143496</v>
      </c>
      <c r="B1291" s="13">
        <v>46265</v>
      </c>
      <c r="C1291" s="14">
        <v>0.94059027777777782</v>
      </c>
      <c r="D1291" s="15"/>
      <c r="E1291" s="16">
        <v>5218332348233</v>
      </c>
      <c r="F1291" s="15"/>
      <c r="G1291" s="15" t="s">
        <v>1280</v>
      </c>
      <c r="H1291" s="17" t="s">
        <v>1281</v>
      </c>
      <c r="I1291" s="15"/>
      <c r="J1291" s="18"/>
      <c r="K1291" t="s">
        <v>30</v>
      </c>
      <c r="L1291" s="3">
        <v>6262.86</v>
      </c>
      <c r="M1291" s="3">
        <v>1811.97</v>
      </c>
      <c r="N1291" s="3">
        <f t="shared" si="121"/>
        <v>1878.8579999999997</v>
      </c>
      <c r="O1291" s="3">
        <f>(IF(L1291&lt;4172.98,0,MIN(L1291*0.3,L1291-4172.98)))-M1291</f>
        <v>66.887999999999693</v>
      </c>
      <c r="P1291" s="6">
        <v>46539</v>
      </c>
      <c r="Q1291" t="s">
        <v>75</v>
      </c>
      <c r="R1291" s="3">
        <v>1811.97</v>
      </c>
      <c r="S1291" s="3" t="s">
        <v>69</v>
      </c>
      <c r="V1291" s="51">
        <v>0.37708333333333333</v>
      </c>
      <c r="Z1291" s="181">
        <v>2</v>
      </c>
    </row>
    <row r="1292" spans="1:26" hidden="1">
      <c r="A1292" s="12">
        <v>24143764</v>
      </c>
      <c r="B1292" s="13">
        <v>46265</v>
      </c>
      <c r="C1292" s="14">
        <v>0.96938657407407403</v>
      </c>
      <c r="D1292" s="15"/>
      <c r="E1292" s="16">
        <v>5217772889090</v>
      </c>
      <c r="F1292" s="15"/>
      <c r="G1292" s="15" t="s">
        <v>1282</v>
      </c>
      <c r="H1292" s="17"/>
      <c r="I1292" s="15"/>
      <c r="J1292" s="18"/>
      <c r="K1292" t="s">
        <v>30</v>
      </c>
      <c r="L1292" s="3">
        <v>46137.01</v>
      </c>
      <c r="M1292" s="3">
        <v>13825.62</v>
      </c>
      <c r="N1292" s="3">
        <f t="shared" si="121"/>
        <v>13841.103000000001</v>
      </c>
      <c r="O1292" s="3">
        <f>(IF(L1292&lt;4172.98,0,MIN(L1292*0.3,L1292-4172.98)))-M1292</f>
        <v>15.483000000000175</v>
      </c>
      <c r="P1292" s="6">
        <v>46844</v>
      </c>
      <c r="Q1292" t="s">
        <v>1283</v>
      </c>
      <c r="R1292" s="3">
        <v>13285.62</v>
      </c>
      <c r="S1292" s="3" t="s">
        <v>69</v>
      </c>
      <c r="V1292" s="51">
        <v>0.37708333333333333</v>
      </c>
      <c r="Z1292" s="181">
        <v>2</v>
      </c>
    </row>
    <row r="1293" spans="1:26">
      <c r="A1293" s="12">
        <v>24143832</v>
      </c>
      <c r="B1293" s="13">
        <v>46265</v>
      </c>
      <c r="C1293" s="14">
        <v>0.98032407407407407</v>
      </c>
      <c r="D1293" s="15"/>
      <c r="E1293" s="16">
        <v>5215533805591</v>
      </c>
      <c r="F1293" s="15"/>
      <c r="G1293" s="15"/>
      <c r="H1293" s="17" t="s">
        <v>1284</v>
      </c>
      <c r="I1293" s="15"/>
      <c r="J1293" s="18"/>
      <c r="K1293" t="s">
        <v>54</v>
      </c>
      <c r="L1293" s="3">
        <v>9760.32</v>
      </c>
      <c r="N1293" s="3">
        <f t="shared" si="121"/>
        <v>2928.096</v>
      </c>
      <c r="O1293" s="3">
        <f>(IF(L1293&lt;4172.98,0,MIN(L1293*0.3,L1293-4172.98)))-M1293</f>
        <v>2928.096</v>
      </c>
      <c r="S1293" s="3" t="s">
        <v>95</v>
      </c>
      <c r="T1293" s="48">
        <v>46266</v>
      </c>
      <c r="V1293" s="51">
        <v>0.37708333333333333</v>
      </c>
      <c r="W1293" s="51">
        <v>0.39930555555555558</v>
      </c>
      <c r="X1293" s="51">
        <v>0.40138888888888891</v>
      </c>
      <c r="Y1293" s="51">
        <v>0.40208333333333335</v>
      </c>
      <c r="Z1293" s="181">
        <v>1</v>
      </c>
    </row>
    <row r="1294" spans="1:26" hidden="1">
      <c r="A1294" s="12">
        <v>24143952</v>
      </c>
      <c r="B1294" s="13">
        <v>46266</v>
      </c>
      <c r="C1294" s="14">
        <v>6.3657407407407413E-4</v>
      </c>
      <c r="D1294" s="15"/>
      <c r="E1294" s="16">
        <v>5218711158532</v>
      </c>
      <c r="F1294" s="15"/>
      <c r="G1294" s="15"/>
      <c r="H1294" s="17">
        <v>60887211336</v>
      </c>
      <c r="I1294" s="15"/>
      <c r="J1294" s="18"/>
      <c r="K1294" t="s">
        <v>58</v>
      </c>
      <c r="L1294" s="3">
        <f>2787.76+848</f>
        <v>3635.76</v>
      </c>
      <c r="M1294" s="3">
        <v>848</v>
      </c>
      <c r="N1294" s="3">
        <f t="shared" si="121"/>
        <v>1090.7280000000001</v>
      </c>
      <c r="O1294" s="3">
        <f>(IF(L1294&lt;4172.98,0,MIN(L1294*0.3,L1294-4172.98)))-M1294</f>
        <v>-848</v>
      </c>
      <c r="S1294" s="3" t="s">
        <v>69</v>
      </c>
      <c r="V1294" s="51">
        <v>0.37708333333333333</v>
      </c>
      <c r="Z1294" s="181">
        <v>1</v>
      </c>
    </row>
    <row r="1295" spans="1:26" hidden="1">
      <c r="A1295" s="12">
        <v>24144254</v>
      </c>
      <c r="B1295" s="13">
        <v>46266</v>
      </c>
      <c r="C1295" s="14">
        <v>3.636574074074074E-2</v>
      </c>
      <c r="D1295" s="15"/>
      <c r="E1295" s="16">
        <v>5216146019564</v>
      </c>
      <c r="F1295" s="15"/>
      <c r="G1295" s="15"/>
      <c r="H1295" s="17">
        <v>33018340837</v>
      </c>
      <c r="I1295" s="15"/>
      <c r="J1295" s="18"/>
      <c r="K1295" t="s">
        <v>51</v>
      </c>
      <c r="N1295" s="3">
        <f t="shared" si="121"/>
        <v>0</v>
      </c>
      <c r="O1295" s="3">
        <f>(IF(L1295&lt;4172.98,0,MIN(L1295*0.3,L1295-4172.98)))-M1295</f>
        <v>0</v>
      </c>
      <c r="S1295" s="3" t="s">
        <v>69</v>
      </c>
      <c r="V1295" s="51">
        <v>0.37708333333333333</v>
      </c>
      <c r="Z1295" s="181">
        <v>1</v>
      </c>
    </row>
    <row r="1296" spans="1:26" hidden="1">
      <c r="A1296" s="12">
        <v>24147146</v>
      </c>
      <c r="B1296" s="13">
        <v>46266</v>
      </c>
      <c r="C1296" s="14">
        <v>0.16462962962962963</v>
      </c>
      <c r="D1296" s="15"/>
      <c r="E1296" s="16">
        <v>5217223015350</v>
      </c>
      <c r="F1296" s="15"/>
      <c r="G1296" s="15"/>
      <c r="H1296" s="17">
        <v>65957487914</v>
      </c>
      <c r="I1296" s="15"/>
      <c r="J1296" s="18"/>
      <c r="K1296" t="s">
        <v>30</v>
      </c>
      <c r="L1296" s="3">
        <v>28138.54</v>
      </c>
      <c r="M1296" s="3">
        <v>9341.9699999999993</v>
      </c>
      <c r="N1296" s="3">
        <f t="shared" si="121"/>
        <v>8441.5619999999999</v>
      </c>
      <c r="O1296" s="3">
        <f>(IF(L1296&lt;4172.98,0,MIN(L1296*0.3,L1296-4172.98)))-M1296</f>
        <v>-900.40799999999945</v>
      </c>
      <c r="P1296" s="6">
        <v>46784</v>
      </c>
      <c r="Q1296" t="s">
        <v>141</v>
      </c>
      <c r="R1296" s="3">
        <v>7688.56</v>
      </c>
      <c r="S1296" s="3" t="s">
        <v>69</v>
      </c>
      <c r="V1296" s="51">
        <v>0.37708333333333333</v>
      </c>
      <c r="Z1296" s="181">
        <v>2</v>
      </c>
    </row>
    <row r="1297" spans="1:26" hidden="1">
      <c r="A1297" s="12">
        <v>24151390</v>
      </c>
      <c r="B1297" s="13">
        <v>46266</v>
      </c>
      <c r="C1297" s="14">
        <v>0.34128472222222223</v>
      </c>
      <c r="D1297" s="15" t="s">
        <v>1285</v>
      </c>
      <c r="E1297" s="16">
        <v>5219214715497</v>
      </c>
      <c r="F1297" s="15"/>
      <c r="G1297" s="15" t="s">
        <v>1286</v>
      </c>
      <c r="H1297" s="17"/>
      <c r="I1297" s="15"/>
      <c r="J1297" s="18"/>
      <c r="K1297" t="s">
        <v>32</v>
      </c>
      <c r="N1297" s="3">
        <f t="shared" si="121"/>
        <v>0</v>
      </c>
      <c r="O1297" s="3">
        <f>(IF(L1297&lt;4172.98,0,MIN(L1297*0.3,L1297-4172.98)))-M1297</f>
        <v>0</v>
      </c>
      <c r="S1297" s="3" t="s">
        <v>69</v>
      </c>
      <c r="V1297" s="51">
        <v>0.37708333333333333</v>
      </c>
      <c r="Z1297" s="181">
        <v>0</v>
      </c>
    </row>
    <row r="1298" spans="1:26" hidden="1">
      <c r="A1298" s="30">
        <v>24153302</v>
      </c>
      <c r="B1298" s="31">
        <v>46266</v>
      </c>
      <c r="C1298" s="32">
        <v>0.36973379629629627</v>
      </c>
      <c r="D1298" s="33"/>
      <c r="E1298" s="34">
        <v>5214642052490</v>
      </c>
      <c r="F1298" s="33"/>
      <c r="G1298" s="33"/>
      <c r="H1298" s="35" t="s">
        <v>1287</v>
      </c>
      <c r="I1298" s="33"/>
      <c r="J1298" s="36"/>
      <c r="K1298" t="s">
        <v>58</v>
      </c>
      <c r="L1298" s="3">
        <v>3017.67</v>
      </c>
      <c r="N1298" s="3">
        <f t="shared" si="121"/>
        <v>905.30100000000004</v>
      </c>
      <c r="O1298" s="3">
        <f>(IF(L1298&lt;4172.98,0,MIN(L1298*0.3,L1298-4172.98)))-M1298</f>
        <v>0</v>
      </c>
      <c r="S1298" s="3" t="s">
        <v>69</v>
      </c>
      <c r="V1298" s="51">
        <v>0.37708333333333333</v>
      </c>
      <c r="Z1298" s="181">
        <v>1</v>
      </c>
    </row>
    <row r="1299" spans="1:26" hidden="1">
      <c r="A1299" s="30">
        <v>24153722</v>
      </c>
      <c r="B1299" s="31">
        <v>46266</v>
      </c>
      <c r="C1299" s="32">
        <v>0.37768518518518518</v>
      </c>
      <c r="D1299" s="33"/>
      <c r="E1299" s="34">
        <v>5217224309749</v>
      </c>
      <c r="F1299" s="33"/>
      <c r="G1299" s="33"/>
      <c r="H1299" s="35">
        <v>10806362009</v>
      </c>
      <c r="I1299" s="33"/>
      <c r="J1299" s="36"/>
      <c r="K1299" t="s">
        <v>51</v>
      </c>
      <c r="N1299" s="3">
        <f>L1299*0.3</f>
        <v>0</v>
      </c>
      <c r="O1299" s="3">
        <f>(IF(L1299&lt;4172.98,0,MIN(L1299*0.3,L1299-4172.98)))-M1299</f>
        <v>0</v>
      </c>
      <c r="S1299" s="3" t="s">
        <v>69</v>
      </c>
      <c r="V1299" s="51">
        <v>0.37777777777777777</v>
      </c>
      <c r="Z1299" s="181">
        <v>1</v>
      </c>
    </row>
    <row r="1300" spans="1:26" hidden="1">
      <c r="A1300" s="30">
        <v>24153720</v>
      </c>
      <c r="B1300" s="31">
        <v>46266</v>
      </c>
      <c r="C1300" s="32">
        <v>0.3810648148148148</v>
      </c>
      <c r="D1300" s="33"/>
      <c r="E1300" s="34">
        <v>5214446675669</v>
      </c>
      <c r="F1300" s="33"/>
      <c r="G1300" s="33"/>
      <c r="H1300" s="35">
        <v>32806147651</v>
      </c>
      <c r="I1300" s="33"/>
      <c r="J1300" s="36"/>
      <c r="K1300" t="s">
        <v>51</v>
      </c>
      <c r="N1300" s="3">
        <f>L1300*0.3</f>
        <v>0</v>
      </c>
      <c r="O1300" s="3">
        <f>(IF(L1300&lt;4172.98,0,MIN(L1300*0.3,L1300-4172.98)))-M1300</f>
        <v>0</v>
      </c>
      <c r="S1300" s="3" t="s">
        <v>69</v>
      </c>
      <c r="V1300" s="51">
        <v>0.38124999999999998</v>
      </c>
      <c r="Z1300" s="181">
        <v>1</v>
      </c>
    </row>
    <row r="1301" spans="1:26" hidden="1">
      <c r="A1301" s="30">
        <v>24153872</v>
      </c>
      <c r="B1301" s="31">
        <v>46266</v>
      </c>
      <c r="C1301" s="32">
        <v>0.38439814814814816</v>
      </c>
      <c r="D1301" s="33"/>
      <c r="E1301" s="34">
        <v>5216671413346</v>
      </c>
      <c r="F1301" s="33"/>
      <c r="G1301" s="33" t="s">
        <v>1288</v>
      </c>
      <c r="H1301" s="35"/>
      <c r="I1301" s="33"/>
      <c r="J1301" s="36"/>
      <c r="K1301" t="s">
        <v>32</v>
      </c>
      <c r="N1301" s="3">
        <f>L1301*0.3</f>
        <v>0</v>
      </c>
      <c r="O1301" s="3">
        <f>(IF(L1301&lt;4172.98,0,MIN(L1301*0.3,L1301-4172.98)))-M1301</f>
        <v>0</v>
      </c>
      <c r="S1301" s="3" t="s">
        <v>69</v>
      </c>
      <c r="V1301" s="51">
        <v>0.3840277777777778</v>
      </c>
      <c r="Z1301" s="181">
        <v>0</v>
      </c>
    </row>
    <row r="1302" spans="1:26" hidden="1">
      <c r="A1302" s="30">
        <v>24153994</v>
      </c>
      <c r="B1302" s="31">
        <v>46266</v>
      </c>
      <c r="C1302" s="32">
        <v>0.39027777777777778</v>
      </c>
      <c r="D1302" s="33"/>
      <c r="E1302" s="34">
        <v>5218125356810</v>
      </c>
      <c r="F1302" s="33"/>
      <c r="G1302" s="33" t="s">
        <v>1289</v>
      </c>
      <c r="H1302" s="35" t="s">
        <v>1290</v>
      </c>
      <c r="I1302" s="33"/>
      <c r="J1302" s="36"/>
      <c r="K1302" t="s">
        <v>30</v>
      </c>
      <c r="L1302" s="3">
        <v>10636.54</v>
      </c>
      <c r="M1302" s="3">
        <v>3190.59</v>
      </c>
      <c r="N1302" s="3">
        <f>L1302*0.3</f>
        <v>3190.962</v>
      </c>
      <c r="O1302" s="3">
        <f>(IF(L1302&lt;4172.98,0,MIN(L1302*0.3,L1302-4172.98)))-M1302</f>
        <v>0.37199999999984357</v>
      </c>
      <c r="P1302" s="6">
        <v>46935</v>
      </c>
      <c r="Q1302" t="s">
        <v>206</v>
      </c>
      <c r="R1302" s="3">
        <v>1500</v>
      </c>
      <c r="S1302" s="3" t="s">
        <v>69</v>
      </c>
      <c r="V1302" s="51">
        <v>0.39583333333333331</v>
      </c>
      <c r="Z1302" s="181">
        <v>2</v>
      </c>
    </row>
    <row r="1303" spans="1:26" hidden="1">
      <c r="A1303" s="30">
        <v>24154292</v>
      </c>
      <c r="B1303" s="31">
        <v>46266</v>
      </c>
      <c r="C1303" s="32">
        <v>0.41067129629629628</v>
      </c>
      <c r="D1303" s="33"/>
      <c r="E1303" s="34">
        <v>5216674790262</v>
      </c>
      <c r="F1303" s="33"/>
      <c r="G1303" s="33" t="s">
        <v>1291</v>
      </c>
      <c r="H1303" s="35"/>
      <c r="I1303" s="33"/>
      <c r="J1303" s="36"/>
      <c r="K1303" t="s">
        <v>32</v>
      </c>
      <c r="N1303" s="3">
        <f>L1303*0.3</f>
        <v>0</v>
      </c>
      <c r="O1303" s="3">
        <f>(IF(L1303&lt;4172.98,0,MIN(L1303*0.3,L1303-4172.98)))-M1303</f>
        <v>0</v>
      </c>
      <c r="S1303" s="3" t="s">
        <v>69</v>
      </c>
      <c r="V1303" s="51">
        <v>0.41111111111111109</v>
      </c>
      <c r="Z1303" s="181">
        <v>0</v>
      </c>
    </row>
    <row r="1304" spans="1:26">
      <c r="A1304" s="30">
        <v>24154706</v>
      </c>
      <c r="B1304" s="31">
        <v>46266</v>
      </c>
      <c r="C1304" s="32">
        <v>0.41545138888888888</v>
      </c>
      <c r="D1304" s="33"/>
      <c r="E1304" s="34">
        <v>5218184674241</v>
      </c>
      <c r="F1304" s="33"/>
      <c r="G1304" s="33"/>
      <c r="H1304" s="35">
        <v>43866647795</v>
      </c>
      <c r="I1304" s="33"/>
      <c r="J1304" s="36"/>
      <c r="K1304" t="s">
        <v>54</v>
      </c>
      <c r="L1304" s="3">
        <v>10636.54</v>
      </c>
      <c r="N1304" s="3">
        <f>L1304*0.3</f>
        <v>3190.962</v>
      </c>
      <c r="O1304" s="3">
        <f>(IF(L1304&lt;4172.98,0,MIN(L1304*0.3,L1304-4172.98)))-M1304</f>
        <v>3190.962</v>
      </c>
      <c r="S1304" s="3" t="s">
        <v>55</v>
      </c>
      <c r="T1304" s="48">
        <v>46266</v>
      </c>
      <c r="V1304" s="51">
        <v>0.41597222222222224</v>
      </c>
      <c r="W1304" s="51">
        <v>0.42291666666666666</v>
      </c>
      <c r="X1304" s="51">
        <v>0.42499999999999999</v>
      </c>
      <c r="Y1304" s="51">
        <v>0.42916666666666664</v>
      </c>
      <c r="Z1304" s="181">
        <v>1</v>
      </c>
    </row>
    <row r="1305" spans="1:26" hidden="1">
      <c r="A1305" s="30">
        <v>24155098</v>
      </c>
      <c r="B1305" s="31">
        <v>46266</v>
      </c>
      <c r="C1305" s="32">
        <v>0.41899305555555555</v>
      </c>
      <c r="D1305" s="33"/>
      <c r="E1305" s="34">
        <v>5213319016923</v>
      </c>
      <c r="F1305" s="33"/>
      <c r="G1305" s="33"/>
      <c r="H1305" s="35">
        <v>54836302775</v>
      </c>
      <c r="I1305" s="33"/>
      <c r="J1305" s="36"/>
      <c r="K1305" t="s">
        <v>30</v>
      </c>
      <c r="L1305" s="3">
        <v>11881.17</v>
      </c>
      <c r="M1305" s="3">
        <v>3562.58</v>
      </c>
      <c r="N1305" s="3">
        <f>L1305*0.3</f>
        <v>3564.3510000000001</v>
      </c>
      <c r="O1305" s="3">
        <f>(IF(L1305&lt;4172.98,0,MIN(L1305*0.3,L1305-4172.98)))-M1305</f>
        <v>1.7710000000001855</v>
      </c>
      <c r="P1305" s="6">
        <v>46784</v>
      </c>
      <c r="Q1305" t="s">
        <v>73</v>
      </c>
      <c r="R1305" s="3">
        <v>3562.58</v>
      </c>
      <c r="S1305" s="3" t="s">
        <v>69</v>
      </c>
      <c r="V1305" s="51">
        <v>0.41944444444444445</v>
      </c>
      <c r="Z1305" s="181">
        <v>2</v>
      </c>
    </row>
    <row r="1306" spans="1:26">
      <c r="A1306" s="30">
        <v>24155064</v>
      </c>
      <c r="B1306" s="31">
        <v>46266</v>
      </c>
      <c r="C1306" s="32">
        <v>0.41986111111111113</v>
      </c>
      <c r="D1306" s="33"/>
      <c r="E1306" s="34">
        <v>5218119766225</v>
      </c>
      <c r="F1306" s="33"/>
      <c r="G1306" s="33"/>
      <c r="H1306" s="35">
        <v>43826405516</v>
      </c>
      <c r="I1306" s="33"/>
      <c r="J1306" s="36"/>
      <c r="K1306" t="s">
        <v>54</v>
      </c>
      <c r="L1306" s="3">
        <v>38440.160000000003</v>
      </c>
      <c r="N1306" s="3">
        <f>L1306*0.3</f>
        <v>11532.048000000001</v>
      </c>
      <c r="O1306" s="3">
        <f>(IF(L1306&lt;4172.98,0,MIN(L1306*0.3,L1306-4172.98)))-M1306</f>
        <v>11532.048000000001</v>
      </c>
      <c r="S1306" s="3" t="s">
        <v>348</v>
      </c>
      <c r="T1306" s="48">
        <v>46266</v>
      </c>
      <c r="V1306" s="51">
        <v>0.41944444444444445</v>
      </c>
      <c r="W1306" s="51">
        <v>0.42569444444444443</v>
      </c>
      <c r="X1306" s="51">
        <v>0.4284722222222222</v>
      </c>
      <c r="Y1306" s="51">
        <v>0.42916666666666664</v>
      </c>
      <c r="Z1306" s="181">
        <v>1</v>
      </c>
    </row>
    <row r="1307" spans="1:26" hidden="1">
      <c r="A1307" s="12">
        <v>24155268</v>
      </c>
      <c r="B1307" s="13">
        <v>46266</v>
      </c>
      <c r="C1307" s="14">
        <v>0.4259722222222222</v>
      </c>
      <c r="D1307" s="15"/>
      <c r="E1307" s="16">
        <v>5219617726465</v>
      </c>
      <c r="F1307" s="15"/>
      <c r="G1307" s="15" t="s">
        <v>1292</v>
      </c>
      <c r="H1307" s="17"/>
      <c r="I1307" s="15"/>
      <c r="J1307" s="18"/>
      <c r="K1307" t="s">
        <v>51</v>
      </c>
      <c r="N1307" s="3">
        <f t="shared" ref="N1307:N1308" si="122">L1307*0.3</f>
        <v>0</v>
      </c>
      <c r="O1307" s="3">
        <f>(IF(L1307&lt;4172.98,0,MIN(L1307*0.3,L1307-4172.98)))-M1307</f>
        <v>0</v>
      </c>
      <c r="S1307" s="3" t="s">
        <v>69</v>
      </c>
      <c r="V1307" s="51">
        <v>0.42638888888888887</v>
      </c>
      <c r="Z1307" s="181">
        <v>1</v>
      </c>
    </row>
    <row r="1308" spans="1:26">
      <c r="A1308" s="30">
        <v>24155260</v>
      </c>
      <c r="B1308" s="31">
        <v>46266</v>
      </c>
      <c r="C1308" s="32">
        <v>0.42607638888888888</v>
      </c>
      <c r="D1308" s="33" t="s">
        <v>1293</v>
      </c>
      <c r="E1308" s="34">
        <v>5218448276340</v>
      </c>
      <c r="F1308" s="33"/>
      <c r="G1308" s="33" t="s">
        <v>1294</v>
      </c>
      <c r="H1308" s="35">
        <v>32806376532</v>
      </c>
      <c r="I1308" s="33"/>
      <c r="J1308" s="36"/>
      <c r="K1308" t="s">
        <v>27</v>
      </c>
      <c r="L1308" s="3">
        <v>11545.07</v>
      </c>
      <c r="M1308" s="3">
        <v>3205.32</v>
      </c>
      <c r="N1308" s="3">
        <f t="shared" si="122"/>
        <v>3463.5209999999997</v>
      </c>
      <c r="O1308" s="3">
        <f>(IF(L1308&lt;4172.98,0,MIN(L1308*0.3,L1308-4172.98)))-M1308</f>
        <v>258.20099999999957</v>
      </c>
      <c r="P1308" s="6">
        <v>46266</v>
      </c>
      <c r="Q1308" t="s">
        <v>75</v>
      </c>
      <c r="R1308" s="3">
        <v>3205.32</v>
      </c>
      <c r="S1308" s="3" t="s">
        <v>28</v>
      </c>
      <c r="T1308" s="48">
        <v>46266</v>
      </c>
      <c r="V1308" s="51">
        <v>0.42638888888888887</v>
      </c>
      <c r="W1308" s="51">
        <v>0.43263888888888891</v>
      </c>
      <c r="X1308" s="51">
        <v>0.43472222222222223</v>
      </c>
      <c r="Y1308" s="51">
        <v>0.43819444444444444</v>
      </c>
      <c r="Z1308" s="181">
        <v>2</v>
      </c>
    </row>
    <row r="1309" spans="1:26" hidden="1">
      <c r="A1309" s="30">
        <v>24155352</v>
      </c>
      <c r="B1309" s="31">
        <v>46266</v>
      </c>
      <c r="C1309" s="32">
        <v>0.4382638888888889</v>
      </c>
      <c r="D1309" s="33"/>
      <c r="E1309" s="34">
        <v>5214642133312</v>
      </c>
      <c r="F1309" s="33"/>
      <c r="G1309" s="33" t="s">
        <v>1295</v>
      </c>
      <c r="H1309" s="35"/>
      <c r="I1309" s="33"/>
      <c r="J1309" s="36"/>
      <c r="K1309" t="s">
        <v>32</v>
      </c>
      <c r="N1309" s="3">
        <f>L1309*0.3</f>
        <v>0</v>
      </c>
      <c r="O1309" s="3">
        <f>(IF(L1309&lt;4172.98,0,MIN(L1309*0.3,L1309-4172.98)))-M1309</f>
        <v>0</v>
      </c>
      <c r="S1309" s="3" t="s">
        <v>69</v>
      </c>
      <c r="V1309" s="51">
        <v>0.43819444444444444</v>
      </c>
      <c r="Z1309" s="181">
        <v>0</v>
      </c>
    </row>
    <row r="1310" spans="1:26" hidden="1">
      <c r="A1310" s="30">
        <v>24155896</v>
      </c>
      <c r="B1310" s="31">
        <v>46266</v>
      </c>
      <c r="C1310" s="32">
        <v>0.44133101851851853</v>
      </c>
      <c r="D1310" s="33" t="s">
        <v>1296</v>
      </c>
      <c r="E1310" s="34">
        <v>5217891123652</v>
      </c>
      <c r="F1310" s="33"/>
      <c r="G1310" s="33" t="s">
        <v>1297</v>
      </c>
      <c r="H1310" s="35">
        <v>49786109212</v>
      </c>
      <c r="I1310" s="33"/>
      <c r="J1310" s="36"/>
      <c r="K1310" t="s">
        <v>30</v>
      </c>
      <c r="L1310" s="3">
        <v>9760.32</v>
      </c>
      <c r="M1310" s="3">
        <v>2917.32</v>
      </c>
      <c r="N1310" s="3">
        <f>L1310*0.3</f>
        <v>2928.096</v>
      </c>
      <c r="O1310" s="3">
        <f>(IF(L1310&lt;4172.98,0,MIN(L1310*0.3,L1310-4172.98)))-M1310</f>
        <v>10.77599999999984</v>
      </c>
      <c r="P1310" s="6">
        <v>46874</v>
      </c>
      <c r="Q1310" t="s">
        <v>75</v>
      </c>
      <c r="R1310" s="3">
        <v>1685.12</v>
      </c>
      <c r="S1310" s="3" t="s">
        <v>69</v>
      </c>
      <c r="V1310" s="51">
        <v>0.44236111111111109</v>
      </c>
      <c r="Z1310" s="181">
        <v>2</v>
      </c>
    </row>
    <row r="1311" spans="1:26">
      <c r="A1311" s="30">
        <v>24155744</v>
      </c>
      <c r="B1311" s="31">
        <v>46266</v>
      </c>
      <c r="C1311" s="32">
        <v>0.44333333333333336</v>
      </c>
      <c r="D1311" s="33"/>
      <c r="E1311" s="34">
        <v>5218332187743</v>
      </c>
      <c r="F1311" s="33"/>
      <c r="G1311" s="104"/>
      <c r="H1311" s="180" t="s">
        <v>1298</v>
      </c>
      <c r="I1311" s="30"/>
      <c r="J1311" s="36"/>
      <c r="K1311" t="s">
        <v>54</v>
      </c>
      <c r="L1311" s="3">
        <v>52406.17</v>
      </c>
      <c r="N1311" s="3">
        <f>L1311*0.3</f>
        <v>15721.850999999999</v>
      </c>
      <c r="O1311" s="3">
        <f>(IF(L1311&lt;4172.98,0,MIN(L1311*0.3,L1311-4172.98)))-M1311</f>
        <v>15721.850999999999</v>
      </c>
      <c r="S1311" s="3" t="s">
        <v>348</v>
      </c>
      <c r="T1311" s="48">
        <v>46266</v>
      </c>
      <c r="V1311" s="51">
        <v>0.44305555555555554</v>
      </c>
      <c r="W1311" s="51">
        <v>0.4548611111111111</v>
      </c>
      <c r="X1311" s="51">
        <v>0.4548611111111111</v>
      </c>
      <c r="Y1311" s="51">
        <v>0.45555555555555555</v>
      </c>
      <c r="Z1311" s="181">
        <v>1</v>
      </c>
    </row>
    <row r="1312" spans="1:26" hidden="1">
      <c r="A1312" s="30">
        <v>24156072</v>
      </c>
      <c r="B1312" s="31">
        <v>46266</v>
      </c>
      <c r="C1312" s="32">
        <v>0.44987268518518519</v>
      </c>
      <c r="D1312" s="33"/>
      <c r="E1312" s="34">
        <v>5216321059508</v>
      </c>
      <c r="F1312" s="104"/>
      <c r="G1312" s="123" t="s">
        <v>1299</v>
      </c>
      <c r="H1312" s="179"/>
      <c r="I1312" s="30"/>
      <c r="J1312" s="36"/>
      <c r="K1312" t="s">
        <v>32</v>
      </c>
      <c r="N1312" s="3">
        <f>L1312*0.3</f>
        <v>0</v>
      </c>
      <c r="O1312" s="3">
        <f>(IF(L1312&lt;4172.98,0,MIN(L1312*0.3,L1312-4172.98)))-M1312</f>
        <v>0</v>
      </c>
      <c r="S1312" s="3" t="s">
        <v>69</v>
      </c>
      <c r="V1312" s="51">
        <v>0.45</v>
      </c>
      <c r="Z1312" s="181">
        <v>0</v>
      </c>
    </row>
    <row r="1313" spans="1:25">
      <c r="A1313" s="30">
        <v>24156542</v>
      </c>
      <c r="B1313" s="31">
        <v>46266</v>
      </c>
      <c r="C1313" s="32">
        <v>0.46457175925925925</v>
      </c>
      <c r="D1313" s="33"/>
      <c r="E1313" s="34">
        <v>5213334444792</v>
      </c>
      <c r="F1313" s="33"/>
      <c r="G1313" s="33" t="s">
        <v>1300</v>
      </c>
      <c r="H1313" s="35"/>
      <c r="I1313" s="33"/>
      <c r="J1313" s="36"/>
      <c r="K1313" t="s">
        <v>54</v>
      </c>
      <c r="L1313" s="3">
        <f>152780.53-127457.79</f>
        <v>25322.740000000005</v>
      </c>
      <c r="N1313" s="3">
        <f>L1313*0.3</f>
        <v>7596.822000000001</v>
      </c>
      <c r="O1313" s="3">
        <f>(IF(L1313&lt;4172.98,0,MIN(L1313*0.3,L1313-4172.98)))-M1313</f>
        <v>7596.822000000001</v>
      </c>
      <c r="S1313" s="3" t="s">
        <v>55</v>
      </c>
      <c r="T1313" s="48">
        <v>46266</v>
      </c>
      <c r="V1313" s="51">
        <v>0.46458333333333335</v>
      </c>
      <c r="W1313" s="51">
        <v>0.47499999999999998</v>
      </c>
      <c r="X1313" s="51">
        <v>0.48749999999999999</v>
      </c>
      <c r="Y1313" s="51">
        <v>0.48958333333333331</v>
      </c>
    </row>
    <row r="1314" spans="1:25">
      <c r="A1314" s="30">
        <v>24156688</v>
      </c>
      <c r="B1314" s="31">
        <v>46266</v>
      </c>
      <c r="C1314" s="32">
        <v>0.46983796296296299</v>
      </c>
      <c r="D1314" s="33"/>
      <c r="E1314" s="34">
        <v>5219841467459</v>
      </c>
      <c r="F1314" s="33"/>
      <c r="G1314" s="33"/>
      <c r="H1314" s="35" t="s">
        <v>1301</v>
      </c>
      <c r="I1314" s="33"/>
      <c r="J1314" s="36"/>
      <c r="K1314" t="s">
        <v>38</v>
      </c>
      <c r="L1314" s="3">
        <v>5046.1899999999996</v>
      </c>
      <c r="N1314" s="3">
        <f>L1314*0.3</f>
        <v>1513.8569999999997</v>
      </c>
      <c r="O1314" s="3">
        <f>(IF(L1314&lt;4172.98,0,MIN(L1314*0.3,L1314-4172.98)))-M1314</f>
        <v>873.21</v>
      </c>
      <c r="S1314" s="3" t="s">
        <v>266</v>
      </c>
      <c r="T1314" s="48">
        <v>46266</v>
      </c>
      <c r="V1314" s="51">
        <v>0.47083333333333333</v>
      </c>
      <c r="W1314" s="51">
        <v>0.47847222222222224</v>
      </c>
      <c r="X1314" s="51">
        <v>0.48055555555555557</v>
      </c>
      <c r="Y1314" s="51">
        <v>0.48680555555555555</v>
      </c>
    </row>
    <row r="1315" spans="1:25">
      <c r="A1315" s="30">
        <v>24156958</v>
      </c>
      <c r="B1315" s="31">
        <v>46266</v>
      </c>
      <c r="C1315" s="32">
        <v>0.47414351851851849</v>
      </c>
      <c r="D1315" s="33"/>
      <c r="E1315" s="34">
        <v>5218111833089</v>
      </c>
      <c r="F1315" s="33"/>
      <c r="G1315" s="33" t="s">
        <v>1302</v>
      </c>
      <c r="H1315" s="35"/>
      <c r="I1315" s="33"/>
      <c r="J1315" s="36"/>
      <c r="K1315" t="s">
        <v>54</v>
      </c>
      <c r="L1315" s="3">
        <v>10636.54</v>
      </c>
      <c r="N1315" s="3">
        <f>L1315*0.3</f>
        <v>3190.962</v>
      </c>
      <c r="O1315" s="3">
        <f>(IF(L1315&lt;4172.98,0,MIN(L1315*0.3,L1315-4172.98)))-M1315</f>
        <v>3190.962</v>
      </c>
      <c r="S1315" s="3" t="s">
        <v>879</v>
      </c>
      <c r="T1315" s="48">
        <v>46266</v>
      </c>
      <c r="V1315" s="51">
        <v>0.47430555555555554</v>
      </c>
      <c r="W1315" s="51">
        <v>0.47916666666666669</v>
      </c>
      <c r="X1315" s="51">
        <v>0.48194444444444445</v>
      </c>
      <c r="Y1315" s="51">
        <v>0.48541666666666666</v>
      </c>
    </row>
    <row r="1316" spans="1:25" hidden="1">
      <c r="A1316" s="30">
        <v>24158284</v>
      </c>
      <c r="B1316" s="31">
        <v>46266</v>
      </c>
      <c r="C1316" s="32">
        <v>0.5096180555555555</v>
      </c>
      <c r="D1316" s="33" t="s">
        <v>1303</v>
      </c>
      <c r="E1316" s="34">
        <v>5215548133215</v>
      </c>
      <c r="F1316" s="33"/>
      <c r="G1316" s="33"/>
      <c r="H1316" s="35">
        <v>11684944512</v>
      </c>
      <c r="I1316" s="33"/>
      <c r="J1316" s="36"/>
      <c r="K1316" t="s">
        <v>30</v>
      </c>
      <c r="L1316" s="3">
        <v>8330.44</v>
      </c>
      <c r="M1316" s="3">
        <v>2400</v>
      </c>
      <c r="N1316" s="3">
        <f>L1316*0.3</f>
        <v>2499.1320000000001</v>
      </c>
      <c r="O1316" s="3">
        <f>(IF(L1316&lt;4172.98,0,MIN(L1316*0.3,L1316-4172.98)))-M1316</f>
        <v>99.132000000000062</v>
      </c>
      <c r="P1316" s="6">
        <v>46661</v>
      </c>
      <c r="Q1316" t="s">
        <v>80</v>
      </c>
      <c r="S1316" s="3" t="s">
        <v>69</v>
      </c>
      <c r="V1316" s="51">
        <v>0.51249999999999996</v>
      </c>
    </row>
    <row r="1317" spans="1:25" hidden="1">
      <c r="A1317" s="30">
        <v>24158396</v>
      </c>
      <c r="B1317" s="31">
        <v>46266</v>
      </c>
      <c r="C1317" s="32">
        <v>0.51503472222222224</v>
      </c>
      <c r="D1317" s="33"/>
      <c r="E1317" s="34">
        <v>5217472214452</v>
      </c>
      <c r="F1317" s="33"/>
      <c r="G1317" s="33" t="s">
        <v>1304</v>
      </c>
      <c r="H1317" s="35"/>
      <c r="I1317" s="33"/>
      <c r="J1317" s="36"/>
      <c r="K1317" t="s">
        <v>32</v>
      </c>
      <c r="N1317" s="3">
        <f>L1317*0.3</f>
        <v>0</v>
      </c>
      <c r="O1317" s="3">
        <f>(IF(L1317&lt;4172.98,0,MIN(L1317*0.3,L1317-4172.98)))-M1317</f>
        <v>0</v>
      </c>
      <c r="S1317" s="3" t="s">
        <v>69</v>
      </c>
      <c r="V1317" s="51">
        <v>0.51527777777777772</v>
      </c>
    </row>
    <row r="1318" spans="1:25">
      <c r="A1318" s="30">
        <v>24158638</v>
      </c>
      <c r="B1318" s="31">
        <v>46266</v>
      </c>
      <c r="C1318" s="32">
        <v>0.51876157407407408</v>
      </c>
      <c r="D1318" s="33" t="s">
        <v>1305</v>
      </c>
      <c r="E1318" s="34">
        <v>5218110181156</v>
      </c>
      <c r="F1318" s="33"/>
      <c r="G1318" s="33"/>
      <c r="H1318" s="35">
        <v>43735334849</v>
      </c>
      <c r="I1318" s="33"/>
      <c r="J1318" s="36"/>
      <c r="K1318" t="s">
        <v>38</v>
      </c>
      <c r="L1318" s="125">
        <v>31962.39</v>
      </c>
      <c r="M1318" s="125">
        <v>8873.1200000000008</v>
      </c>
      <c r="N1318" s="3">
        <f>L1318*0.3</f>
        <v>9588.7169999999987</v>
      </c>
      <c r="O1318" s="3">
        <f>(IF(L1318&lt;4172.98,0,MIN(L1318*0.3,L1318-4172.98)))-M1318</f>
        <v>715.59699999999793</v>
      </c>
      <c r="P1318" s="6">
        <v>46419</v>
      </c>
      <c r="Q1318" t="s">
        <v>59</v>
      </c>
      <c r="R1318" s="125">
        <v>8873.1200000000008</v>
      </c>
      <c r="S1318" s="3" t="s">
        <v>266</v>
      </c>
      <c r="T1318" s="48">
        <v>46266</v>
      </c>
      <c r="V1318" s="51">
        <v>0.51875000000000004</v>
      </c>
      <c r="W1318" s="51">
        <v>0.52777777777777779</v>
      </c>
      <c r="X1318" s="51">
        <v>0.54097222222222219</v>
      </c>
      <c r="Y1318" s="51">
        <v>0.59583333333333333</v>
      </c>
    </row>
    <row r="1319" spans="1:25" hidden="1">
      <c r="A1319" s="30">
        <v>24158736</v>
      </c>
      <c r="B1319" s="31">
        <v>46266</v>
      </c>
      <c r="C1319" s="32">
        <v>0.52120370370370372</v>
      </c>
      <c r="D1319" s="33"/>
      <c r="E1319" s="34">
        <v>5218130882691</v>
      </c>
      <c r="F1319" s="33"/>
      <c r="G1319" s="33"/>
      <c r="H1319" s="35" t="s">
        <v>1306</v>
      </c>
      <c r="I1319" s="33"/>
      <c r="J1319" s="36"/>
      <c r="K1319" t="s">
        <v>30</v>
      </c>
      <c r="L1319" s="125">
        <v>5055.88</v>
      </c>
      <c r="M1319" s="125">
        <v>1246.1400000000001</v>
      </c>
      <c r="N1319" s="3">
        <f>L1319*0.3</f>
        <v>1516.7639999999999</v>
      </c>
      <c r="O1319" s="3">
        <f>(IF(L1319&lt;4172.98,0,MIN(L1319*0.3,L1319-4172.98)))-M1319</f>
        <v>-363.23999999999955</v>
      </c>
      <c r="P1319" s="6">
        <v>46722</v>
      </c>
      <c r="Q1319" t="s">
        <v>43</v>
      </c>
      <c r="R1319" s="125">
        <v>1246.1400000000001</v>
      </c>
      <c r="S1319" s="3" t="s">
        <v>69</v>
      </c>
      <c r="V1319" s="51">
        <v>0.52152777777777781</v>
      </c>
    </row>
    <row r="1320" spans="1:25" hidden="1">
      <c r="A1320" s="12">
        <v>24159280</v>
      </c>
      <c r="B1320" s="13">
        <v>46266</v>
      </c>
      <c r="C1320" s="14">
        <v>0.528900462962963</v>
      </c>
      <c r="D1320" s="15"/>
      <c r="E1320" s="16">
        <v>5215546212918</v>
      </c>
      <c r="F1320" s="15"/>
      <c r="G1320" s="15"/>
      <c r="H1320" s="17" t="s">
        <v>1307</v>
      </c>
      <c r="I1320" s="15"/>
      <c r="J1320" s="18"/>
      <c r="K1320" t="s">
        <v>51</v>
      </c>
      <c r="N1320" s="3">
        <f>L1320*0.3</f>
        <v>0</v>
      </c>
      <c r="O1320" s="3">
        <f>(IF(L1320&lt;4172.98,0,MIN(L1320*0.3,L1320-4172.98)))-M1320</f>
        <v>0</v>
      </c>
      <c r="S1320" s="3" t="s">
        <v>69</v>
      </c>
      <c r="V1320" s="51">
        <v>0.53749999999999998</v>
      </c>
    </row>
    <row r="1321" spans="1:25">
      <c r="A1321" s="12">
        <v>24159388</v>
      </c>
      <c r="B1321" s="13">
        <v>46266</v>
      </c>
      <c r="C1321" s="14">
        <v>0.53233796296296299</v>
      </c>
      <c r="D1321" s="15" t="s">
        <v>1308</v>
      </c>
      <c r="E1321" s="16">
        <v>5218445025706</v>
      </c>
      <c r="F1321" s="15"/>
      <c r="G1321" s="15"/>
      <c r="H1321" s="17">
        <v>32816461415</v>
      </c>
      <c r="I1321" s="15"/>
      <c r="J1321" s="18"/>
      <c r="K1321" t="s">
        <v>54</v>
      </c>
      <c r="L1321" s="3">
        <v>40832.199999999997</v>
      </c>
      <c r="N1321" s="3">
        <f>L1321*0.3</f>
        <v>12249.659999999998</v>
      </c>
      <c r="O1321" s="3">
        <f>(IF(L1321&lt;4172.98,0,MIN(L1321*0.3,L1321-4172.98)))-M1321</f>
        <v>12249.659999999998</v>
      </c>
      <c r="S1321" s="3" t="s">
        <v>28</v>
      </c>
      <c r="T1321" s="48">
        <v>46266</v>
      </c>
      <c r="V1321" s="51">
        <v>0.53749999999999998</v>
      </c>
      <c r="W1321" s="51">
        <v>0.54236111111111107</v>
      </c>
      <c r="X1321" s="51">
        <v>0.54861111111111116</v>
      </c>
      <c r="Y1321" s="51">
        <v>0.5493055555555556</v>
      </c>
    </row>
    <row r="1322" spans="1:25" hidden="1">
      <c r="A1322" s="30">
        <v>24159376</v>
      </c>
      <c r="B1322" s="31">
        <v>46266</v>
      </c>
      <c r="C1322" s="32">
        <v>0.53440972222222227</v>
      </c>
      <c r="D1322" s="33"/>
      <c r="E1322" s="34">
        <v>5216862287373</v>
      </c>
      <c r="F1322" s="33"/>
      <c r="G1322" s="33"/>
      <c r="H1322" s="35">
        <v>21785830148</v>
      </c>
      <c r="I1322" s="33"/>
      <c r="J1322" s="36"/>
      <c r="K1322" t="s">
        <v>30</v>
      </c>
      <c r="L1322" s="3">
        <v>4813.6899999999996</v>
      </c>
      <c r="M1322" s="3">
        <v>639.95000000000005</v>
      </c>
      <c r="N1322" s="3">
        <f>L1322*0.3</f>
        <v>1444.1069999999997</v>
      </c>
      <c r="O1322" s="3">
        <f>(IF(L1322&lt;4172.98,0,MIN(L1322*0.3,L1322-4172.98)))-M1322</f>
        <v>0.75999999999999091</v>
      </c>
      <c r="P1322" s="6">
        <v>46631</v>
      </c>
      <c r="Q1322" t="s">
        <v>57</v>
      </c>
      <c r="R1322" s="3">
        <v>469.95</v>
      </c>
      <c r="S1322" s="3" t="s">
        <v>69</v>
      </c>
      <c r="V1322" s="51">
        <v>0.53749999999999998</v>
      </c>
    </row>
    <row r="1323" spans="1:25" hidden="1">
      <c r="A1323" s="30">
        <v>24159752</v>
      </c>
      <c r="B1323" s="31">
        <v>46266</v>
      </c>
      <c r="C1323" s="32">
        <v>0.54631944444444447</v>
      </c>
      <c r="D1323" s="33" t="s">
        <v>1309</v>
      </c>
      <c r="E1323" s="34">
        <v>5217841205164</v>
      </c>
      <c r="F1323" s="33"/>
      <c r="G1323" s="33"/>
      <c r="H1323" s="35">
        <v>49896422497</v>
      </c>
      <c r="I1323" s="33"/>
      <c r="J1323" s="36"/>
      <c r="K1323" t="s">
        <v>30</v>
      </c>
      <c r="L1323" s="125">
        <v>9760.2199999999993</v>
      </c>
      <c r="M1323" s="125">
        <v>2823.79</v>
      </c>
      <c r="N1323" s="3">
        <f>L1323*0.3</f>
        <v>2928.0659999999998</v>
      </c>
      <c r="O1323" s="3">
        <f>(IF(L1323&lt;4172.98,0,MIN(L1323*0.3,L1323-4172.98)))-M1323</f>
        <v>104.27599999999984</v>
      </c>
      <c r="P1323" s="6">
        <v>46631</v>
      </c>
      <c r="Q1323" t="s">
        <v>75</v>
      </c>
      <c r="R1323" s="3">
        <v>2166.39</v>
      </c>
      <c r="S1323" s="3" t="s">
        <v>69</v>
      </c>
      <c r="V1323" s="51">
        <v>0.54652777777777772</v>
      </c>
    </row>
    <row r="1324" spans="1:25" hidden="1">
      <c r="A1324" s="30">
        <v>24161432</v>
      </c>
      <c r="B1324" s="31">
        <v>46266</v>
      </c>
      <c r="C1324" s="32">
        <v>0.54921296296296296</v>
      </c>
      <c r="D1324" s="33"/>
      <c r="E1324" s="34">
        <v>5218132604817</v>
      </c>
      <c r="F1324" s="33"/>
      <c r="G1324" s="33"/>
      <c r="H1324" s="35">
        <v>43998147078</v>
      </c>
      <c r="I1324" s="33"/>
      <c r="J1324" s="36"/>
      <c r="K1324" t="s">
        <v>51</v>
      </c>
      <c r="N1324" s="3">
        <f>L1324*0.3</f>
        <v>0</v>
      </c>
      <c r="O1324" s="3">
        <f>(IF(L1324&lt;4172.98,0,MIN(L1324*0.3,L1324-4172.98)))-M1324</f>
        <v>0</v>
      </c>
      <c r="S1324" s="3" t="s">
        <v>69</v>
      </c>
      <c r="V1324" s="51">
        <v>0.5493055555555556</v>
      </c>
    </row>
    <row r="1325" spans="1:25">
      <c r="A1325" s="30">
        <v>24161368</v>
      </c>
      <c r="B1325" s="31">
        <v>46266</v>
      </c>
      <c r="C1325" s="32">
        <v>0.55391203703703706</v>
      </c>
      <c r="D1325" s="33"/>
      <c r="E1325" s="34">
        <v>5216644310392</v>
      </c>
      <c r="F1325" s="33"/>
      <c r="G1325" s="33" t="s">
        <v>1310</v>
      </c>
      <c r="H1325" s="35">
        <v>67834662357</v>
      </c>
      <c r="I1325" s="33"/>
      <c r="J1325" s="36"/>
      <c r="K1325" t="s">
        <v>54</v>
      </c>
      <c r="L1325" s="3">
        <v>11029.03</v>
      </c>
      <c r="N1325" s="3">
        <f>L1325*0.3</f>
        <v>3308.7090000000003</v>
      </c>
      <c r="O1325" s="3">
        <f>(IF(L1325&lt;4172.98,0,MIN(L1325*0.3,L1325-4172.98)))-M1325</f>
        <v>3308.7090000000003</v>
      </c>
      <c r="S1325" s="3" t="s">
        <v>327</v>
      </c>
      <c r="T1325" s="48">
        <v>46266</v>
      </c>
      <c r="V1325" s="51">
        <v>0.55486111111111114</v>
      </c>
      <c r="W1325" s="51">
        <v>0.55972222222222223</v>
      </c>
      <c r="X1325" s="51">
        <v>0.56805555555555554</v>
      </c>
      <c r="Y1325" s="51">
        <v>0.57708333333333328</v>
      </c>
    </row>
    <row r="1326" spans="1:25" hidden="1">
      <c r="A1326" s="12">
        <v>24161882</v>
      </c>
      <c r="B1326" s="13">
        <v>46266</v>
      </c>
      <c r="C1326" s="14">
        <v>0.56019675925925927</v>
      </c>
      <c r="D1326" s="15"/>
      <c r="E1326" s="16">
        <v>5216632149558</v>
      </c>
      <c r="F1326" s="15"/>
      <c r="G1326" s="15" t="s">
        <v>1311</v>
      </c>
      <c r="H1326" s="17">
        <v>25907375106</v>
      </c>
      <c r="I1326" s="15"/>
      <c r="J1326" s="18"/>
      <c r="K1326" t="s">
        <v>30</v>
      </c>
      <c r="L1326" s="111">
        <v>8181.55</v>
      </c>
      <c r="M1326" s="111">
        <v>2367.12</v>
      </c>
      <c r="N1326" s="3">
        <f t="shared" ref="N1326:N1327" si="123">L1326*0.3</f>
        <v>2454.4650000000001</v>
      </c>
      <c r="O1326" s="3">
        <f>(IF(L1326&lt;4172.98,0,MIN(L1326*0.3,L1326-4172.98)))-M1326</f>
        <v>87.345000000000255</v>
      </c>
      <c r="P1326" s="6">
        <v>46447</v>
      </c>
      <c r="Q1326" t="s">
        <v>1312</v>
      </c>
      <c r="R1326" s="111">
        <v>2367.12</v>
      </c>
      <c r="S1326" s="3" t="s">
        <v>69</v>
      </c>
      <c r="V1326" s="51">
        <v>0.56527777777777777</v>
      </c>
    </row>
    <row r="1327" spans="1:25" hidden="1">
      <c r="A1327" s="30">
        <v>24162004</v>
      </c>
      <c r="B1327" s="31">
        <v>46266</v>
      </c>
      <c r="C1327" s="32">
        <v>0.56193287037037032</v>
      </c>
      <c r="D1327" s="33"/>
      <c r="E1327" s="34">
        <v>5214444988216</v>
      </c>
      <c r="F1327" s="33"/>
      <c r="G1327" s="33" t="s">
        <v>1313</v>
      </c>
      <c r="H1327" s="35"/>
      <c r="I1327" s="33"/>
      <c r="J1327" s="36"/>
      <c r="K1327" t="s">
        <v>32</v>
      </c>
      <c r="N1327" s="3">
        <f t="shared" si="123"/>
        <v>0</v>
      </c>
      <c r="O1327" s="3">
        <f>(IF(L1327&lt;4172.98,0,MIN(L1327*0.3,L1327-4172.98)))-M1327</f>
        <v>0</v>
      </c>
      <c r="S1327" s="3" t="s">
        <v>69</v>
      </c>
      <c r="V1327" s="51">
        <v>0.56527777777777777</v>
      </c>
    </row>
    <row r="1328" spans="1:25">
      <c r="A1328" s="30">
        <v>24161588</v>
      </c>
      <c r="B1328" s="31">
        <v>46266</v>
      </c>
      <c r="C1328" s="32">
        <v>0.56670138888888888</v>
      </c>
      <c r="D1328" s="33"/>
      <c r="E1328" s="34">
        <v>5218113887928</v>
      </c>
      <c r="F1328" s="33"/>
      <c r="G1328" s="33"/>
      <c r="H1328" s="35" t="s">
        <v>1314</v>
      </c>
      <c r="I1328" s="33"/>
      <c r="J1328" s="36"/>
      <c r="K1328" t="s">
        <v>54</v>
      </c>
      <c r="L1328" s="111">
        <v>30669.119999999999</v>
      </c>
      <c r="M1328" s="111">
        <v>3034.58</v>
      </c>
      <c r="N1328" s="3">
        <f>L1328*0.3</f>
        <v>9200.735999999999</v>
      </c>
      <c r="O1328" s="3">
        <f>(IF(L1328&lt;4172.98,0,MIN(L1328*0.3,L1328-4172.98)))-M1328</f>
        <v>6166.155999999999</v>
      </c>
      <c r="P1328" s="6">
        <v>46600</v>
      </c>
      <c r="Q1328" t="s">
        <v>59</v>
      </c>
      <c r="R1328" s="111">
        <v>3034.58</v>
      </c>
      <c r="S1328" s="3" t="s">
        <v>327</v>
      </c>
      <c r="T1328" s="48">
        <v>46266</v>
      </c>
      <c r="V1328" s="51">
        <v>0.56666666666666665</v>
      </c>
      <c r="W1328" s="51">
        <v>0.5805555555555556</v>
      </c>
      <c r="X1328" s="51">
        <v>0.58888888888888891</v>
      </c>
      <c r="Y1328" s="51">
        <v>0.60277777777777775</v>
      </c>
    </row>
    <row r="1329" spans="1:25" hidden="1">
      <c r="A1329" s="30">
        <v>24140244</v>
      </c>
      <c r="B1329" s="31">
        <v>46266</v>
      </c>
      <c r="C1329" s="32">
        <v>0.58059027777777783</v>
      </c>
      <c r="D1329" s="33" t="s">
        <v>1315</v>
      </c>
      <c r="E1329" s="34">
        <v>5214921445687</v>
      </c>
      <c r="F1329" s="33"/>
      <c r="G1329" s="33" t="s">
        <v>1316</v>
      </c>
      <c r="H1329" s="35"/>
      <c r="I1329" s="182"/>
      <c r="J1329" s="36"/>
      <c r="K1329" t="s">
        <v>51</v>
      </c>
      <c r="N1329" s="3">
        <f>L1329*0.3</f>
        <v>0</v>
      </c>
      <c r="O1329" s="3">
        <f>(IF(L1329&lt;4172.98,0,MIN(L1329*0.3,L1329-4172.98)))-M1329</f>
        <v>0</v>
      </c>
      <c r="S1329" s="53" t="s">
        <v>69</v>
      </c>
      <c r="V1329" s="51">
        <v>0.5805555555555556</v>
      </c>
    </row>
    <row r="1330" spans="1:25" hidden="1">
      <c r="A1330" s="30">
        <v>24165326</v>
      </c>
      <c r="B1330" s="31">
        <v>46266</v>
      </c>
      <c r="C1330" s="32">
        <v>0.5894907407407407</v>
      </c>
      <c r="D1330" s="33"/>
      <c r="E1330" s="34">
        <v>5217531077828</v>
      </c>
      <c r="F1330" s="33"/>
      <c r="G1330" s="33"/>
      <c r="H1330" s="35">
        <v>54877145349</v>
      </c>
      <c r="I1330" s="33"/>
      <c r="J1330" s="36"/>
      <c r="K1330" t="s">
        <v>30</v>
      </c>
      <c r="L1330" s="3">
        <v>29460.98</v>
      </c>
      <c r="M1330" s="3">
        <v>8820.7000000000007</v>
      </c>
      <c r="N1330" s="3">
        <f>L1330*0.3</f>
        <v>8838.2939999999999</v>
      </c>
      <c r="O1330" s="3">
        <f>(IF(L1330&lt;4172.98,0,MIN(L1330*0.3,L1330-4172.98)))-M1330</f>
        <v>17.593999999999141</v>
      </c>
      <c r="P1330" s="6">
        <v>46874</v>
      </c>
      <c r="Q1330" t="s">
        <v>43</v>
      </c>
      <c r="R1330" s="3">
        <v>2723.6</v>
      </c>
      <c r="S1330" s="3" t="s">
        <v>69</v>
      </c>
      <c r="V1330" s="51">
        <v>0.58958333333333335</v>
      </c>
    </row>
    <row r="1331" spans="1:25" hidden="1">
      <c r="A1331" s="30">
        <v>24166406</v>
      </c>
      <c r="B1331" s="31">
        <v>46266</v>
      </c>
      <c r="C1331" s="32">
        <v>0.59748842592592588</v>
      </c>
      <c r="D1331" s="33"/>
      <c r="E1331" s="34">
        <v>5212296731251</v>
      </c>
      <c r="F1331" s="33"/>
      <c r="G1331" s="33"/>
      <c r="H1331" s="35" t="s">
        <v>1317</v>
      </c>
      <c r="I1331" s="33"/>
      <c r="J1331" s="36"/>
      <c r="K1331" t="s">
        <v>30</v>
      </c>
      <c r="L1331" s="3">
        <v>9760.32</v>
      </c>
      <c r="M1331" s="3">
        <v>2823.12</v>
      </c>
      <c r="N1331" s="3">
        <f>L1331*0.3</f>
        <v>2928.096</v>
      </c>
      <c r="O1331" s="3">
        <f>(IF(L1331&lt;4172.98,0,MIN(L1331*0.3,L1331-4172.98)))-M1331</f>
        <v>104.97600000000011</v>
      </c>
      <c r="P1331" s="6">
        <v>46784</v>
      </c>
      <c r="Q1331" t="s">
        <v>206</v>
      </c>
      <c r="R1331" s="3">
        <v>2823.1210000000001</v>
      </c>
      <c r="S1331" s="3" t="s">
        <v>69</v>
      </c>
      <c r="V1331" s="51">
        <v>0.59722222222222221</v>
      </c>
    </row>
    <row r="1332" spans="1:25" hidden="1">
      <c r="A1332" s="30">
        <v>24166400</v>
      </c>
      <c r="B1332" s="31">
        <v>46266</v>
      </c>
      <c r="C1332" s="32">
        <v>0.61</v>
      </c>
      <c r="D1332" s="33"/>
      <c r="E1332" s="34">
        <v>5214282352962</v>
      </c>
      <c r="F1332" s="33"/>
      <c r="G1332" s="33" t="s">
        <v>1318</v>
      </c>
      <c r="H1332" s="35"/>
      <c r="I1332" s="33"/>
      <c r="J1332" s="36"/>
      <c r="K1332" t="s">
        <v>32</v>
      </c>
      <c r="N1332" s="3">
        <f>L1332*0.3</f>
        <v>0</v>
      </c>
      <c r="O1332" s="3">
        <f>(IF(L1332&lt;4172.98,0,MIN(L1332*0.3,L1332-4172.98)))-M1332</f>
        <v>0</v>
      </c>
      <c r="S1332" s="3" t="s">
        <v>69</v>
      </c>
      <c r="V1332" s="51">
        <v>0.61041666666666672</v>
      </c>
    </row>
    <row r="1333" spans="1:25" hidden="1">
      <c r="A1333" s="12">
        <v>24167048</v>
      </c>
      <c r="B1333" s="13">
        <v>46266</v>
      </c>
      <c r="C1333" s="14">
        <v>0.61714120370370373</v>
      </c>
      <c r="D1333" s="15"/>
      <c r="E1333" s="16">
        <v>5219361010855</v>
      </c>
      <c r="F1333" s="15"/>
      <c r="G1333" s="15" t="s">
        <v>1319</v>
      </c>
      <c r="H1333" s="17"/>
      <c r="I1333" s="15"/>
      <c r="J1333" s="18"/>
      <c r="K1333" t="s">
        <v>32</v>
      </c>
      <c r="N1333" s="3">
        <f t="shared" ref="N1333:N1334" si="124">L1333*0.3</f>
        <v>0</v>
      </c>
      <c r="O1333" s="3">
        <f>(IF(L1333&lt;4172.98,0,MIN(L1333*0.3,L1333-4172.98)))-M1333</f>
        <v>0</v>
      </c>
      <c r="S1333" s="3" t="s">
        <v>69</v>
      </c>
      <c r="V1333" s="51">
        <v>0.61875000000000002</v>
      </c>
    </row>
    <row r="1334" spans="1:25" hidden="1">
      <c r="A1334" s="30">
        <v>24167354</v>
      </c>
      <c r="B1334" s="31">
        <v>46266</v>
      </c>
      <c r="C1334" s="32">
        <v>0.6174074074074074</v>
      </c>
      <c r="D1334" s="33"/>
      <c r="E1334" s="34">
        <v>5217715030433</v>
      </c>
      <c r="F1334" s="33"/>
      <c r="G1334" s="33" t="s">
        <v>1320</v>
      </c>
      <c r="H1334" s="35"/>
      <c r="I1334" s="33"/>
      <c r="J1334" s="36"/>
      <c r="K1334" t="s">
        <v>32</v>
      </c>
      <c r="N1334" s="3">
        <f t="shared" si="124"/>
        <v>0</v>
      </c>
      <c r="O1334" s="3">
        <f>(IF(L1334&lt;4172.98,0,MIN(L1334*0.3,L1334-4172.98)))-M1334</f>
        <v>0</v>
      </c>
      <c r="S1334" s="3" t="s">
        <v>69</v>
      </c>
      <c r="V1334" s="51">
        <v>0.61875000000000002</v>
      </c>
    </row>
    <row r="1335" spans="1:25" hidden="1">
      <c r="A1335" s="30">
        <v>24167704</v>
      </c>
      <c r="B1335" s="31">
        <v>46266</v>
      </c>
      <c r="C1335" s="32">
        <v>0.62170138888888893</v>
      </c>
      <c r="D1335" s="33"/>
      <c r="E1335" s="34">
        <v>5212411520609</v>
      </c>
      <c r="F1335" s="33"/>
      <c r="G1335" s="33"/>
      <c r="H1335" s="35" t="s">
        <v>1321</v>
      </c>
      <c r="I1335" s="33"/>
      <c r="J1335" s="36"/>
      <c r="K1335" t="s">
        <v>58</v>
      </c>
      <c r="L1335" s="3">
        <f>4317.35+848</f>
        <v>5165.3500000000004</v>
      </c>
      <c r="M1335" s="3">
        <v>848</v>
      </c>
      <c r="N1335" s="3">
        <f>L1335*0.3</f>
        <v>1549.605</v>
      </c>
      <c r="O1335" s="3">
        <f>(IF(L1335&lt;4172.98,0,MIN(L1335*0.3,L1335-4172.98)))-M1335</f>
        <v>144.3700000000008</v>
      </c>
      <c r="S1335" s="3" t="s">
        <v>69</v>
      </c>
      <c r="V1335" s="51">
        <v>0.62222222222222223</v>
      </c>
    </row>
    <row r="1336" spans="1:25" hidden="1">
      <c r="A1336" s="30">
        <v>24167522</v>
      </c>
      <c r="B1336" s="31">
        <v>46266</v>
      </c>
      <c r="C1336" s="32">
        <v>0.62608796296296299</v>
      </c>
      <c r="D1336" s="33"/>
      <c r="E1336" s="34">
        <v>5215561052995</v>
      </c>
      <c r="F1336" s="33"/>
      <c r="G1336" s="33" t="s">
        <v>1322</v>
      </c>
      <c r="H1336" s="35"/>
      <c r="I1336" s="33"/>
      <c r="J1336" s="36"/>
      <c r="K1336" t="s">
        <v>30</v>
      </c>
      <c r="L1336" s="125">
        <v>5617.63</v>
      </c>
      <c r="M1336" s="125">
        <v>1426.04</v>
      </c>
      <c r="N1336" s="3">
        <f>L1336*0.3</f>
        <v>1685.289</v>
      </c>
      <c r="O1336" s="3">
        <f>(IF(L1336&lt;4172.98,0,MIN(L1336*0.3,L1336-4172.98)))-M1336</f>
        <v>18.610000000000582</v>
      </c>
      <c r="P1336" s="6">
        <v>46327</v>
      </c>
      <c r="Q1336" t="s">
        <v>1323</v>
      </c>
      <c r="R1336" s="3">
        <v>506.6</v>
      </c>
      <c r="S1336" s="3" t="s">
        <v>69</v>
      </c>
      <c r="V1336" s="51">
        <v>0.62638888888888888</v>
      </c>
    </row>
    <row r="1337" spans="1:25" hidden="1">
      <c r="A1337" s="30">
        <v>24169536</v>
      </c>
      <c r="B1337" s="31">
        <v>46266</v>
      </c>
      <c r="C1337" s="32">
        <v>0.65770833333333334</v>
      </c>
      <c r="D1337" s="33"/>
      <c r="E1337" s="34">
        <v>5214531081782</v>
      </c>
      <c r="F1337" s="33"/>
      <c r="G1337" s="123" t="s">
        <v>1324</v>
      </c>
      <c r="H1337" s="35">
        <v>53796220464</v>
      </c>
      <c r="I1337" s="33"/>
      <c r="J1337" s="36"/>
      <c r="K1337" t="s">
        <v>58</v>
      </c>
      <c r="L1337" s="3">
        <v>4035.69</v>
      </c>
      <c r="N1337" s="3">
        <f>L1337*0.3</f>
        <v>1210.7069999999999</v>
      </c>
      <c r="O1337" s="3">
        <f>(IF(L1337&lt;4172.98,0,MIN(L1337*0.3,L1337-4172.98)))-M1337</f>
        <v>0</v>
      </c>
      <c r="S1337" s="3" t="s">
        <v>69</v>
      </c>
      <c r="V1337" s="51">
        <v>0.65763888888888888</v>
      </c>
    </row>
    <row r="1338" spans="1:25" hidden="1">
      <c r="A1338" s="30">
        <v>24169896</v>
      </c>
      <c r="B1338" s="31">
        <v>46266</v>
      </c>
      <c r="C1338" s="32">
        <v>0.66249999999999998</v>
      </c>
      <c r="D1338" s="33"/>
      <c r="E1338" s="34">
        <v>5216121837217</v>
      </c>
      <c r="F1338" s="33"/>
      <c r="G1338" s="33" t="s">
        <v>1325</v>
      </c>
      <c r="H1338" s="35"/>
      <c r="I1338" s="33"/>
      <c r="J1338" s="36"/>
      <c r="K1338" t="s">
        <v>32</v>
      </c>
      <c r="N1338" s="3">
        <f>L1338*0.3</f>
        <v>0</v>
      </c>
      <c r="O1338" s="3">
        <f>(IF(L1338&lt;4172.98,0,MIN(L1338*0.3,L1338-4172.98)))-M1338</f>
        <v>0</v>
      </c>
      <c r="S1338" s="3" t="s">
        <v>69</v>
      </c>
      <c r="V1338" s="51">
        <v>0.66249999999999998</v>
      </c>
    </row>
    <row r="1339" spans="1:25" hidden="1">
      <c r="A1339" s="30">
        <v>24169976</v>
      </c>
      <c r="B1339" s="31">
        <v>46266</v>
      </c>
      <c r="C1339" s="32">
        <v>0.67401620370370374</v>
      </c>
      <c r="D1339" s="33"/>
      <c r="E1339" s="34">
        <v>5218714794481</v>
      </c>
      <c r="F1339" s="33"/>
      <c r="G1339" s="33"/>
      <c r="H1339" s="35" t="s">
        <v>1326</v>
      </c>
      <c r="I1339" s="33"/>
      <c r="J1339" s="36"/>
      <c r="K1339" t="s">
        <v>58</v>
      </c>
      <c r="L1339" s="3">
        <v>3881.65</v>
      </c>
      <c r="N1339" s="3">
        <f>L1339*0.3</f>
        <v>1164.4949999999999</v>
      </c>
      <c r="O1339" s="3">
        <f>(IF(L1339&lt;4172.98,0,MIN(L1339*0.3,L1339-4172.98)))-M1339</f>
        <v>0</v>
      </c>
      <c r="S1339" s="3" t="s">
        <v>69</v>
      </c>
      <c r="V1339" s="51">
        <v>0.6743055555555556</v>
      </c>
    </row>
    <row r="1340" spans="1:25" hidden="1">
      <c r="A1340" s="30">
        <v>24170962</v>
      </c>
      <c r="B1340" s="31">
        <v>46266</v>
      </c>
      <c r="C1340" s="32">
        <v>0.68222222222222217</v>
      </c>
      <c r="D1340" s="33"/>
      <c r="E1340" s="34">
        <v>5213321911110</v>
      </c>
      <c r="F1340" s="33"/>
      <c r="G1340" s="33"/>
      <c r="H1340" s="35" t="s">
        <v>1327</v>
      </c>
      <c r="I1340" s="33"/>
      <c r="J1340" s="36"/>
      <c r="K1340" t="s">
        <v>30</v>
      </c>
      <c r="L1340" s="3">
        <v>9760.32</v>
      </c>
      <c r="M1340" s="3">
        <v>2823</v>
      </c>
      <c r="N1340" s="3">
        <f>L1340*0.3</f>
        <v>2928.096</v>
      </c>
      <c r="O1340" s="3">
        <f>(IF(L1340&lt;4172.98,0,MIN(L1340*0.3,L1340-4172.98)))-M1340</f>
        <v>105.096</v>
      </c>
      <c r="P1340" s="6">
        <v>46631</v>
      </c>
      <c r="Q1340" t="s">
        <v>47</v>
      </c>
      <c r="R1340" s="3">
        <v>2823.89</v>
      </c>
      <c r="S1340" s="3" t="s">
        <v>69</v>
      </c>
      <c r="V1340" s="51">
        <v>0.68263888888888891</v>
      </c>
    </row>
    <row r="1341" spans="1:25">
      <c r="A1341" s="30">
        <v>24171110</v>
      </c>
      <c r="B1341" s="31">
        <v>46266</v>
      </c>
      <c r="C1341" s="32">
        <v>0.68592592592592594</v>
      </c>
      <c r="D1341" s="33"/>
      <c r="E1341" s="34">
        <v>5216391767613</v>
      </c>
      <c r="F1341" s="33"/>
      <c r="G1341" s="33" t="s">
        <v>1328</v>
      </c>
      <c r="H1341" s="35"/>
      <c r="I1341" s="33"/>
      <c r="J1341" s="36"/>
      <c r="K1341" t="s">
        <v>54</v>
      </c>
      <c r="L1341" s="111">
        <v>10483.799999999999</v>
      </c>
      <c r="M1341" s="111">
        <v>848</v>
      </c>
      <c r="N1341" s="3">
        <f>L1341*0.3</f>
        <v>3145.14</v>
      </c>
      <c r="O1341" s="3">
        <f>(IF(L1341&lt;4172.98,0,MIN(L1341*0.3,L1341-4172.98)))-M1341</f>
        <v>2297.14</v>
      </c>
      <c r="S1341" s="3" t="s">
        <v>95</v>
      </c>
      <c r="T1341" s="48">
        <v>46266</v>
      </c>
      <c r="V1341" s="51">
        <v>0.68541666666666667</v>
      </c>
      <c r="W1341" s="51">
        <v>0.68958333333333333</v>
      </c>
      <c r="X1341" s="51">
        <v>0.69236111111111109</v>
      </c>
      <c r="Y1341" s="51">
        <v>0.69305555555555554</v>
      </c>
    </row>
    <row r="1342" spans="1:25" hidden="1">
      <c r="A1342" s="30">
        <v>24170670</v>
      </c>
      <c r="B1342" s="31">
        <v>46266</v>
      </c>
      <c r="C1342" s="32">
        <v>0.68708333333333338</v>
      </c>
      <c r="D1342" s="33"/>
      <c r="E1342" s="34">
        <v>5213339023721</v>
      </c>
      <c r="F1342" s="33"/>
      <c r="G1342" s="33" t="s">
        <v>1329</v>
      </c>
      <c r="H1342" s="35"/>
      <c r="I1342" s="33"/>
      <c r="J1342" s="36"/>
      <c r="K1342" t="s">
        <v>32</v>
      </c>
      <c r="N1342" s="3">
        <f>L1342*0.3</f>
        <v>0</v>
      </c>
      <c r="O1342" s="3">
        <f>(IF(L1342&lt;4172.98,0,MIN(L1342*0.3,L1342-4172.98)))-M1342</f>
        <v>0</v>
      </c>
      <c r="S1342" s="3" t="s">
        <v>69</v>
      </c>
      <c r="V1342" s="51">
        <v>0.68680555555555556</v>
      </c>
    </row>
    <row r="1343" spans="1:25" hidden="1">
      <c r="A1343" s="30">
        <v>24166450</v>
      </c>
      <c r="B1343" s="31">
        <v>46266</v>
      </c>
      <c r="C1343" s="32">
        <v>0.68873842592592593</v>
      </c>
      <c r="D1343" s="33"/>
      <c r="E1343" s="34">
        <v>5217333368450</v>
      </c>
      <c r="F1343" s="33"/>
      <c r="G1343" s="33" t="s">
        <v>1330</v>
      </c>
      <c r="H1343" s="35"/>
      <c r="I1343" s="33"/>
      <c r="J1343" s="36"/>
      <c r="K1343" t="s">
        <v>32</v>
      </c>
      <c r="N1343" s="3">
        <f>L1343*0.3</f>
        <v>0</v>
      </c>
      <c r="O1343" s="3">
        <f>(IF(L1343&lt;4172.98,0,MIN(L1343*0.3,L1343-4172.98)))-M1343</f>
        <v>0</v>
      </c>
      <c r="S1343" s="53" t="s">
        <v>69</v>
      </c>
      <c r="V1343" s="51">
        <v>0.68819444444444444</v>
      </c>
    </row>
    <row r="1344" spans="1:25" hidden="1">
      <c r="A1344" s="30">
        <v>24171170</v>
      </c>
      <c r="B1344" s="31">
        <v>46266</v>
      </c>
      <c r="C1344" s="32">
        <v>0.69185185185185183</v>
      </c>
      <c r="D1344" s="33"/>
      <c r="E1344" s="34">
        <v>5214921353450</v>
      </c>
      <c r="F1344" s="33"/>
      <c r="G1344" s="33" t="s">
        <v>1331</v>
      </c>
      <c r="H1344" s="35"/>
      <c r="I1344" s="33"/>
      <c r="J1344" s="36"/>
      <c r="K1344" t="s">
        <v>32</v>
      </c>
      <c r="N1344" s="3">
        <f>L1344*0.3</f>
        <v>0</v>
      </c>
      <c r="O1344" s="3">
        <f>(IF(L1344&lt;4172.98,0,MIN(L1344*0.3,L1344-4172.98)))-M1344</f>
        <v>0</v>
      </c>
      <c r="S1344" s="3" t="s">
        <v>69</v>
      </c>
      <c r="V1344" s="51">
        <v>0.69166666666666665</v>
      </c>
    </row>
    <row r="1345" spans="1:25">
      <c r="A1345" s="30">
        <v>24171284</v>
      </c>
      <c r="B1345" s="31">
        <v>46266</v>
      </c>
      <c r="C1345" s="32">
        <v>0.69449074074074069</v>
      </c>
      <c r="D1345" s="33"/>
      <c r="E1345" s="34">
        <v>5216741161016</v>
      </c>
      <c r="F1345" s="33"/>
      <c r="G1345" s="33" t="s">
        <v>1332</v>
      </c>
      <c r="H1345" s="35"/>
      <c r="I1345" s="33"/>
      <c r="J1345" s="36"/>
      <c r="K1345" t="s">
        <v>38</v>
      </c>
      <c r="L1345" s="111">
        <v>9760.32</v>
      </c>
      <c r="M1345" s="111">
        <f>1651.54+735.36</f>
        <v>2386.9</v>
      </c>
      <c r="N1345" s="3">
        <f>L1345*0.3</f>
        <v>2928.096</v>
      </c>
      <c r="O1345" s="3">
        <f>(IF(L1345&lt;4172.98,0,MIN(L1345*0.3,L1345-4172.98)))-M1345</f>
        <v>541.19599999999991</v>
      </c>
      <c r="P1345" s="6">
        <v>46935</v>
      </c>
      <c r="Q1345" t="s">
        <v>206</v>
      </c>
      <c r="R1345" s="3">
        <v>803.54</v>
      </c>
      <c r="S1345" s="3" t="s">
        <v>39</v>
      </c>
      <c r="T1345" s="48">
        <v>46266</v>
      </c>
      <c r="V1345" s="51">
        <v>0.69444444444444442</v>
      </c>
      <c r="W1345" s="51">
        <v>0.69722222222222219</v>
      </c>
      <c r="X1345" s="51">
        <v>0.70208333333333328</v>
      </c>
      <c r="Y1345" s="51">
        <v>0.7055555555555556</v>
      </c>
    </row>
    <row r="1346" spans="1:25" hidden="1">
      <c r="A1346" s="30">
        <v>24171428</v>
      </c>
      <c r="B1346" s="31">
        <v>46266</v>
      </c>
      <c r="C1346" s="32">
        <v>0.69877314814814817</v>
      </c>
      <c r="D1346" s="33"/>
      <c r="E1346" s="34">
        <v>5216691239948</v>
      </c>
      <c r="F1346" s="33"/>
      <c r="G1346" s="33"/>
      <c r="H1346" s="35" t="s">
        <v>1333</v>
      </c>
      <c r="I1346" s="33"/>
      <c r="J1346" s="36"/>
      <c r="K1346" t="s">
        <v>58</v>
      </c>
      <c r="L1346" s="3">
        <f>3283.79+848</f>
        <v>4131.79</v>
      </c>
      <c r="M1346" s="3">
        <v>848</v>
      </c>
      <c r="N1346" s="3">
        <f>L1346*0.3</f>
        <v>1239.537</v>
      </c>
      <c r="O1346" s="3">
        <f>(IF(L1346&lt;4172.98,0,MIN(L1346*0.3,L1346-4172.98)))-M1346</f>
        <v>-848</v>
      </c>
      <c r="S1346" s="3" t="s">
        <v>69</v>
      </c>
      <c r="V1346" s="51">
        <v>0.7</v>
      </c>
    </row>
    <row r="1347" spans="1:25" hidden="1">
      <c r="A1347" s="12">
        <v>24171454</v>
      </c>
      <c r="B1347" s="13">
        <v>46266</v>
      </c>
      <c r="C1347" s="14">
        <v>0.70082175925925927</v>
      </c>
      <c r="D1347" s="15" t="s">
        <v>1334</v>
      </c>
      <c r="E1347" s="16">
        <v>5216222276686</v>
      </c>
      <c r="F1347" s="15"/>
      <c r="G1347" s="15" t="s">
        <v>1335</v>
      </c>
      <c r="H1347" s="17"/>
      <c r="I1347" s="15"/>
      <c r="J1347" s="18"/>
      <c r="K1347" t="s">
        <v>30</v>
      </c>
      <c r="L1347" s="111">
        <v>6411.47</v>
      </c>
      <c r="M1347" s="111">
        <v>1853.96</v>
      </c>
      <c r="N1347" s="3">
        <f t="shared" ref="N1347:N1348" si="125">L1347*0.3</f>
        <v>1923.441</v>
      </c>
      <c r="O1347" s="3">
        <f>(IF(L1347&lt;4172.98,0,MIN(L1347*0.3,L1347-4172.98)))-M1347</f>
        <v>69.480999999999995</v>
      </c>
      <c r="P1347" s="6">
        <v>46478</v>
      </c>
      <c r="Q1347" t="s">
        <v>206</v>
      </c>
      <c r="R1347" s="111">
        <v>1853.96</v>
      </c>
      <c r="S1347" s="3" t="s">
        <v>69</v>
      </c>
      <c r="V1347" s="51">
        <v>0.7006944444444444</v>
      </c>
    </row>
    <row r="1348" spans="1:25" hidden="1">
      <c r="A1348" s="30">
        <v>24171764</v>
      </c>
      <c r="B1348" s="31">
        <v>46266</v>
      </c>
      <c r="C1348" s="32">
        <v>0.70121527777777781</v>
      </c>
      <c r="D1348" s="33"/>
      <c r="E1348" s="34">
        <v>5215522500530</v>
      </c>
      <c r="F1348" s="33"/>
      <c r="G1348" s="33" t="s">
        <v>1336</v>
      </c>
      <c r="H1348" s="35"/>
      <c r="I1348" s="33"/>
      <c r="J1348" s="36"/>
      <c r="K1348" t="s">
        <v>30</v>
      </c>
      <c r="L1348" s="111">
        <v>7920.51</v>
      </c>
      <c r="M1348" s="111">
        <v>2196.67</v>
      </c>
      <c r="N1348" s="3">
        <f t="shared" si="125"/>
        <v>2376.1529999999998</v>
      </c>
      <c r="O1348" s="3">
        <f>(IF(L1348&lt;4172.98,0,MIN(L1348*0.3,L1348-4172.98)))-M1348</f>
        <v>179.48299999999972</v>
      </c>
      <c r="P1348" s="6">
        <v>46388</v>
      </c>
      <c r="Q1348" t="s">
        <v>141</v>
      </c>
      <c r="R1348" s="111">
        <v>2196.67</v>
      </c>
      <c r="S1348" s="3" t="s">
        <v>69</v>
      </c>
      <c r="V1348" s="51">
        <v>0.7006944444444444</v>
      </c>
    </row>
    <row r="1349" spans="1:25" hidden="1">
      <c r="A1349" s="30">
        <v>24171348</v>
      </c>
      <c r="B1349" s="31">
        <v>46266</v>
      </c>
      <c r="C1349" s="32">
        <v>0.7020601851851852</v>
      </c>
      <c r="D1349" s="33" t="s">
        <v>1337</v>
      </c>
      <c r="E1349" s="34">
        <v>5215634615861</v>
      </c>
      <c r="F1349" s="33"/>
      <c r="G1349" s="33"/>
      <c r="H1349" s="35">
        <v>42816543559</v>
      </c>
      <c r="I1349" s="33"/>
      <c r="J1349" s="36"/>
      <c r="K1349" t="s">
        <v>30</v>
      </c>
      <c r="L1349" s="3">
        <v>11029.03</v>
      </c>
      <c r="M1349" s="3">
        <v>3297.94</v>
      </c>
      <c r="N1349" s="3">
        <f>L1349*0.3</f>
        <v>3308.7090000000003</v>
      </c>
      <c r="O1349" s="3">
        <f>(IF(L1349&lt;4172.98,0,MIN(L1349*0.3,L1349-4172.98)))-M1349</f>
        <v>10.769000000000233</v>
      </c>
      <c r="P1349" s="6">
        <v>46844</v>
      </c>
      <c r="Q1349" t="s">
        <v>206</v>
      </c>
      <c r="R1349" s="3">
        <v>2586.87</v>
      </c>
      <c r="S1349" s="3" t="s">
        <v>69</v>
      </c>
      <c r="V1349" s="51">
        <v>0.70277777777777772</v>
      </c>
    </row>
    <row r="1350" spans="1:25" hidden="1">
      <c r="A1350" s="12">
        <v>24171744</v>
      </c>
      <c r="B1350" s="13">
        <v>46266</v>
      </c>
      <c r="C1350" s="14">
        <v>0.70583333333333331</v>
      </c>
      <c r="D1350" s="15"/>
      <c r="E1350" s="16">
        <v>2441333236</v>
      </c>
      <c r="F1350" s="15"/>
      <c r="G1350" s="15" t="s">
        <v>1338</v>
      </c>
      <c r="H1350" s="17"/>
      <c r="I1350" s="15"/>
      <c r="J1350" s="18"/>
      <c r="K1350" t="s">
        <v>30</v>
      </c>
      <c r="L1350" s="111">
        <v>10636.54</v>
      </c>
      <c r="M1350" s="111">
        <v>3027.19</v>
      </c>
      <c r="N1350" s="3">
        <f t="shared" ref="N1350:N1351" si="126">L1350*0.3</f>
        <v>3190.962</v>
      </c>
      <c r="O1350" s="3">
        <f>(IF(L1350&lt;4172.98,0,MIN(L1350*0.3,L1350-4172.98)))-M1350</f>
        <v>163.77199999999993</v>
      </c>
      <c r="P1350" s="6">
        <v>46905</v>
      </c>
      <c r="Q1350" t="s">
        <v>1323</v>
      </c>
      <c r="R1350" s="111">
        <v>3027.19</v>
      </c>
      <c r="S1350" s="3" t="s">
        <v>69</v>
      </c>
      <c r="V1350" s="51">
        <v>0.70625000000000004</v>
      </c>
    </row>
    <row r="1351" spans="1:25">
      <c r="A1351" s="30">
        <v>24172054</v>
      </c>
      <c r="B1351" s="31">
        <v>46266</v>
      </c>
      <c r="C1351" s="32">
        <v>0.70646990740740745</v>
      </c>
      <c r="D1351" s="33"/>
      <c r="E1351" s="34">
        <v>5216531740815</v>
      </c>
      <c r="F1351" s="33"/>
      <c r="G1351" s="33"/>
      <c r="H1351" s="35">
        <v>23926510993</v>
      </c>
      <c r="I1351" s="33"/>
      <c r="J1351" s="36"/>
      <c r="K1351" t="s">
        <v>54</v>
      </c>
      <c r="L1351" s="3">
        <f>8881.32+879</f>
        <v>9760.32</v>
      </c>
      <c r="M1351" s="3">
        <v>879</v>
      </c>
      <c r="N1351" s="3">
        <f t="shared" si="126"/>
        <v>2928.096</v>
      </c>
      <c r="O1351" s="3">
        <f>(IF(L1351&lt;4172.98,0,MIN(L1351*0.3,L1351-4172.98)))-M1351</f>
        <v>2049.096</v>
      </c>
      <c r="S1351" s="3" t="s">
        <v>95</v>
      </c>
      <c r="T1351" s="48">
        <v>46266</v>
      </c>
      <c r="V1351" s="51">
        <v>0.70625000000000004</v>
      </c>
      <c r="W1351" s="51">
        <v>0.70902777777777781</v>
      </c>
      <c r="X1351" s="51">
        <v>0.71458333333333335</v>
      </c>
      <c r="Y1351" s="51">
        <v>0.71527777777777779</v>
      </c>
    </row>
    <row r="1352" spans="1:25" hidden="1">
      <c r="A1352" s="30">
        <v>24171986</v>
      </c>
      <c r="B1352" s="31">
        <v>46266</v>
      </c>
      <c r="C1352" s="32">
        <v>0.71159722222222221</v>
      </c>
      <c r="D1352" s="33"/>
      <c r="E1352" s="34">
        <v>5218714668341</v>
      </c>
      <c r="F1352" s="33"/>
      <c r="G1352" s="33" t="s">
        <v>1339</v>
      </c>
      <c r="H1352" s="35"/>
      <c r="I1352" s="33"/>
      <c r="J1352" s="36"/>
      <c r="K1352" t="s">
        <v>32</v>
      </c>
      <c r="N1352" s="3">
        <f>L1352*0.3</f>
        <v>0</v>
      </c>
      <c r="O1352" s="3">
        <f>(IF(L1352&lt;4172.98,0,MIN(L1352*0.3,L1352-4172.98)))-M1352</f>
        <v>0</v>
      </c>
      <c r="S1352" s="3" t="s">
        <v>69</v>
      </c>
      <c r="V1352" s="51">
        <v>0.71180555555555558</v>
      </c>
    </row>
    <row r="1353" spans="1:25" hidden="1">
      <c r="A1353" s="30">
        <v>24172154</v>
      </c>
      <c r="B1353" s="31">
        <v>46266</v>
      </c>
      <c r="C1353" s="32">
        <v>0.7173032407407407</v>
      </c>
      <c r="D1353" s="33"/>
      <c r="E1353" s="34">
        <v>5218671032014</v>
      </c>
      <c r="F1353" s="33"/>
      <c r="G1353" s="33"/>
      <c r="H1353" s="35" t="s">
        <v>1340</v>
      </c>
      <c r="I1353" s="33"/>
      <c r="J1353" s="36"/>
      <c r="K1353" t="s">
        <v>58</v>
      </c>
      <c r="L1353" s="3">
        <v>2606.16</v>
      </c>
      <c r="N1353" s="3">
        <f>L1353*0.3</f>
        <v>781.84799999999996</v>
      </c>
      <c r="O1353" s="3">
        <f>(IF(L1353&lt;4172.98,0,MIN(L1353*0.3,L1353-4172.98)))-M1353</f>
        <v>0</v>
      </c>
      <c r="S1353" s="3" t="s">
        <v>69</v>
      </c>
      <c r="V1353" s="51">
        <v>0.71736111111111112</v>
      </c>
    </row>
    <row r="1354" spans="1:25">
      <c r="A1354" s="30">
        <v>24172624</v>
      </c>
      <c r="B1354" s="31">
        <v>46266</v>
      </c>
      <c r="C1354" s="32">
        <v>0.72210648148148149</v>
      </c>
      <c r="D1354" s="33"/>
      <c r="E1354" s="34">
        <v>5218128785655</v>
      </c>
      <c r="F1354" s="33"/>
      <c r="G1354" s="33"/>
      <c r="H1354" s="35">
        <v>43856563408</v>
      </c>
      <c r="I1354" s="33"/>
      <c r="J1354" s="36"/>
      <c r="K1354" t="s">
        <v>54</v>
      </c>
      <c r="L1354" s="111">
        <v>21040.93</v>
      </c>
      <c r="M1354" s="111">
        <v>1639.52</v>
      </c>
      <c r="N1354" s="3">
        <f>L1354*0.3</f>
        <v>6312.2789999999995</v>
      </c>
      <c r="O1354" s="3">
        <f>(IF(L1354&lt;4172.98,0,MIN(L1354*0.3,L1354-4172.98)))-M1354</f>
        <v>4672.759</v>
      </c>
      <c r="P1354" s="6">
        <v>46935</v>
      </c>
      <c r="Q1354" t="s">
        <v>302</v>
      </c>
      <c r="R1354" s="3">
        <v>692.75</v>
      </c>
      <c r="S1354" s="3" t="s">
        <v>327</v>
      </c>
      <c r="T1354" s="48">
        <v>46266</v>
      </c>
      <c r="V1354" s="51">
        <v>0.72291666666666665</v>
      </c>
      <c r="W1354" s="51">
        <v>0.72569444444444442</v>
      </c>
      <c r="X1354" s="51">
        <v>0.72777777777777775</v>
      </c>
      <c r="Y1354" s="51">
        <v>0.73402777777777772</v>
      </c>
    </row>
    <row r="1355" spans="1:25" hidden="1">
      <c r="A1355" s="30">
        <v>24173124</v>
      </c>
      <c r="B1355" s="31">
        <v>46266</v>
      </c>
      <c r="C1355" s="32">
        <v>0.73321759259259256</v>
      </c>
      <c r="D1355" s="33"/>
      <c r="E1355" s="34">
        <v>5212291295941</v>
      </c>
      <c r="F1355" s="33"/>
      <c r="G1355" s="33" t="s">
        <v>1341</v>
      </c>
      <c r="H1355" s="35"/>
      <c r="I1355" s="33"/>
      <c r="J1355" s="36"/>
      <c r="K1355" t="s">
        <v>30</v>
      </c>
      <c r="L1355" s="125">
        <v>47575.32</v>
      </c>
      <c r="M1355" s="125">
        <v>14272.42</v>
      </c>
      <c r="N1355" s="3">
        <f>L1355*0.3</f>
        <v>14272.596</v>
      </c>
      <c r="O1355" s="3">
        <f>(IF(L1355&lt;4172.98,0,MIN(L1355*0.3,L1355-4172.98)))-M1355</f>
        <v>0.17599999999947613</v>
      </c>
      <c r="P1355" s="6">
        <v>46419</v>
      </c>
      <c r="Q1355" t="s">
        <v>206</v>
      </c>
      <c r="R1355" s="3">
        <v>555</v>
      </c>
      <c r="S1355" s="3" t="s">
        <v>69</v>
      </c>
      <c r="V1355" s="51">
        <v>0.73333333333333328</v>
      </c>
    </row>
    <row r="1356" spans="1:25">
      <c r="A1356" s="30">
        <v>24172910</v>
      </c>
      <c r="B1356" s="31">
        <v>46266</v>
      </c>
      <c r="C1356" s="32">
        <v>0.73425925925925928</v>
      </c>
      <c r="D1356" s="33"/>
      <c r="E1356" s="34">
        <v>5214131415809</v>
      </c>
      <c r="F1356" s="33"/>
      <c r="G1356" s="33" t="s">
        <v>1342</v>
      </c>
      <c r="H1356" s="35"/>
      <c r="I1356" s="33"/>
      <c r="J1356" s="36"/>
      <c r="K1356" t="s">
        <v>54</v>
      </c>
      <c r="L1356" s="3">
        <v>10636.54</v>
      </c>
      <c r="N1356" s="3">
        <f>L1356*0.3</f>
        <v>3190.962</v>
      </c>
      <c r="O1356" s="3">
        <f>(IF(L1356&lt;4172.98,0,MIN(L1356*0.3,L1356-4172.98)))-M1356</f>
        <v>3190.962</v>
      </c>
      <c r="S1356" s="3" t="s">
        <v>35</v>
      </c>
      <c r="T1356" s="48">
        <v>46266</v>
      </c>
      <c r="V1356" s="51">
        <v>0.73402777777777772</v>
      </c>
      <c r="W1356" s="51">
        <v>0.74305555555555558</v>
      </c>
      <c r="X1356" s="51">
        <v>0.77013888888888893</v>
      </c>
      <c r="Y1356" s="51">
        <v>0.77361111111111114</v>
      </c>
    </row>
    <row r="1357" spans="1:25" hidden="1">
      <c r="A1357" s="30">
        <v>24173272</v>
      </c>
      <c r="B1357" s="31">
        <v>46266</v>
      </c>
      <c r="C1357" s="32">
        <v>0.73584490740740738</v>
      </c>
      <c r="D1357" s="33"/>
      <c r="E1357" s="34">
        <v>5219843159792</v>
      </c>
      <c r="F1357" s="33"/>
      <c r="G1357" s="33" t="s">
        <v>1343</v>
      </c>
      <c r="H1357" s="35">
        <v>65836303308</v>
      </c>
      <c r="I1357" s="33"/>
      <c r="J1357" s="36"/>
      <c r="K1357" t="s">
        <v>30</v>
      </c>
      <c r="L1357" s="125">
        <v>9790.32</v>
      </c>
      <c r="M1357" s="125">
        <v>2926.25</v>
      </c>
      <c r="N1357" s="3">
        <f>L1357*0.3</f>
        <v>2937.096</v>
      </c>
      <c r="O1357" s="3">
        <f>(IF(L1357&lt;4172.98,0,MIN(L1357*0.3,L1357-4172.98)))-M1357</f>
        <v>10.846000000000004</v>
      </c>
      <c r="P1357" s="6">
        <v>46966</v>
      </c>
      <c r="Q1357" t="s">
        <v>184</v>
      </c>
      <c r="R1357" s="125">
        <v>2926.25</v>
      </c>
      <c r="S1357" s="3" t="s">
        <v>69</v>
      </c>
      <c r="V1357" s="51">
        <v>0.73611111111111116</v>
      </c>
    </row>
    <row r="1358" spans="1:25" hidden="1">
      <c r="A1358" s="30">
        <v>24173918</v>
      </c>
      <c r="B1358" s="31">
        <v>46266</v>
      </c>
      <c r="C1358" s="32">
        <v>0.74914351851851857</v>
      </c>
      <c r="D1358" s="33" t="s">
        <v>1344</v>
      </c>
      <c r="E1358" s="34">
        <v>5218661418612</v>
      </c>
      <c r="F1358" s="33"/>
      <c r="G1358" s="33" t="s">
        <v>1345</v>
      </c>
      <c r="H1358" s="35">
        <v>32776111539</v>
      </c>
      <c r="I1358" s="33"/>
      <c r="J1358" s="36"/>
      <c r="K1358" t="s">
        <v>32</v>
      </c>
      <c r="N1358" s="3">
        <f>L1358*0.3</f>
        <v>0</v>
      </c>
      <c r="O1358" s="3">
        <f>(IF(L1358&lt;4172.98,0,MIN(L1358*0.3,L1358-4172.98)))-M1358</f>
        <v>0</v>
      </c>
      <c r="S1358" s="3" t="s">
        <v>69</v>
      </c>
      <c r="V1358" s="51">
        <v>0.74861111111111112</v>
      </c>
    </row>
    <row r="1359" spans="1:25">
      <c r="A1359" s="30">
        <v>24174022</v>
      </c>
      <c r="B1359" s="31">
        <v>46266</v>
      </c>
      <c r="C1359" s="32">
        <v>0.75701388888888888</v>
      </c>
      <c r="D1359" s="33"/>
      <c r="E1359" s="34">
        <v>5215649941915</v>
      </c>
      <c r="F1359" s="33"/>
      <c r="G1359" s="33" t="s">
        <v>1346</v>
      </c>
      <c r="H1359" s="35"/>
      <c r="I1359" s="33"/>
      <c r="J1359" s="36"/>
      <c r="K1359" t="s">
        <v>107</v>
      </c>
      <c r="L1359" s="125">
        <v>4998.54</v>
      </c>
      <c r="M1359" s="125">
        <v>511.34</v>
      </c>
      <c r="N1359" s="3">
        <f>L1359*0.3</f>
        <v>1499.5619999999999</v>
      </c>
      <c r="O1359" s="3">
        <f>(IF(L1359&lt;4172.98,0,MIN(L1359*0.3,L1359-4172.98)))-M1359</f>
        <v>314.22000000000043</v>
      </c>
      <c r="P1359" s="6">
        <v>45383</v>
      </c>
      <c r="Q1359" t="s">
        <v>206</v>
      </c>
      <c r="R1359" s="125">
        <v>511.34</v>
      </c>
      <c r="S1359" s="3" t="s">
        <v>266</v>
      </c>
      <c r="T1359" s="48">
        <v>46266</v>
      </c>
      <c r="V1359" s="51">
        <v>0.75694444444444442</v>
      </c>
      <c r="W1359" s="51">
        <v>0.76458333333333328</v>
      </c>
      <c r="X1359" s="51">
        <v>0.79166666666666663</v>
      </c>
      <c r="Y1359" s="51">
        <v>0.79513888888888884</v>
      </c>
    </row>
    <row r="1360" spans="1:25">
      <c r="A1360" s="30">
        <v>24174378</v>
      </c>
      <c r="B1360" s="31">
        <v>46266</v>
      </c>
      <c r="C1360" s="32">
        <v>0.7596180555555555</v>
      </c>
      <c r="D1360" s="33" t="s">
        <v>1347</v>
      </c>
      <c r="E1360" s="34">
        <v>5217411381143</v>
      </c>
      <c r="F1360" s="33"/>
      <c r="G1360" s="33" t="s">
        <v>1348</v>
      </c>
      <c r="H1360" s="35"/>
      <c r="I1360" s="33"/>
      <c r="J1360" s="36"/>
      <c r="K1360" t="s">
        <v>27</v>
      </c>
      <c r="L1360" s="125">
        <v>13159.31</v>
      </c>
      <c r="M1360" s="125">
        <v>2851.99</v>
      </c>
      <c r="N1360" s="3">
        <f>L1360*0.3</f>
        <v>3947.7929999999997</v>
      </c>
      <c r="O1360" s="3">
        <f>(IF(L1360&lt;4172.98,0,MIN(L1360*0.3,L1360-4172.98)))-M1360</f>
        <v>1095.8029999999999</v>
      </c>
      <c r="P1360" s="6">
        <v>45717</v>
      </c>
      <c r="Q1360" t="s">
        <v>47</v>
      </c>
      <c r="R1360" s="125">
        <v>2851.99</v>
      </c>
      <c r="S1360" s="3" t="s">
        <v>879</v>
      </c>
      <c r="T1360" s="48">
        <v>46266</v>
      </c>
      <c r="V1360" s="51">
        <v>0.75902777777777775</v>
      </c>
      <c r="W1360" s="51">
        <v>0.76597222222222228</v>
      </c>
      <c r="X1360" s="51">
        <v>0.79791666666666672</v>
      </c>
      <c r="Y1360" s="51">
        <v>0.34583333333333333</v>
      </c>
    </row>
    <row r="1361" spans="1:25">
      <c r="A1361" s="12">
        <v>24174234</v>
      </c>
      <c r="B1361" s="13">
        <v>46266</v>
      </c>
      <c r="C1361" s="14">
        <v>0.76256944444444441</v>
      </c>
      <c r="D1361" s="15"/>
      <c r="E1361" s="16">
        <v>5219992506888</v>
      </c>
      <c r="F1361" s="15"/>
      <c r="G1361" s="15"/>
      <c r="H1361" s="17">
        <v>84846306854</v>
      </c>
      <c r="I1361" s="15"/>
      <c r="J1361" s="18"/>
      <c r="K1361" t="s">
        <v>54</v>
      </c>
      <c r="L1361" s="3">
        <v>50623</v>
      </c>
      <c r="N1361" s="3">
        <f t="shared" ref="N1361:N1363" si="127">L1361*0.3</f>
        <v>15186.9</v>
      </c>
      <c r="O1361" s="3">
        <f>(IF(L1361&lt;4172.98,0,MIN(L1361*0.3,L1361-4172.98)))-M1361</f>
        <v>15186.9</v>
      </c>
      <c r="S1361" s="3" t="s">
        <v>55</v>
      </c>
      <c r="T1361" s="48">
        <v>46266</v>
      </c>
      <c r="V1361" s="51">
        <v>0.76249999999999996</v>
      </c>
      <c r="W1361" s="51">
        <v>0.77430555555555558</v>
      </c>
      <c r="X1361" s="51">
        <v>0.7895833333333333</v>
      </c>
      <c r="Y1361" s="51">
        <v>0.79027777777777775</v>
      </c>
    </row>
    <row r="1362" spans="1:25" hidden="1">
      <c r="A1362" s="12">
        <v>24174650</v>
      </c>
      <c r="B1362" s="13">
        <v>46266</v>
      </c>
      <c r="C1362" s="14">
        <v>0.76694444444444443</v>
      </c>
      <c r="D1362" s="15"/>
      <c r="E1362" s="16">
        <v>5212281727486</v>
      </c>
      <c r="F1362" s="15"/>
      <c r="G1362" s="15" t="s">
        <v>1349</v>
      </c>
      <c r="H1362" s="17"/>
      <c r="I1362" s="15"/>
      <c r="J1362" s="18"/>
      <c r="K1362" t="s">
        <v>32</v>
      </c>
      <c r="N1362" s="3">
        <f t="shared" si="127"/>
        <v>0</v>
      </c>
      <c r="O1362" s="3">
        <f>(IF(L1362&lt;4172.98,0,MIN(L1362*0.3,L1362-4172.98)))-M1362</f>
        <v>0</v>
      </c>
      <c r="S1362" s="3" t="s">
        <v>69</v>
      </c>
      <c r="V1362" s="51">
        <v>0.76666666666666672</v>
      </c>
    </row>
    <row r="1363" spans="1:25" hidden="1">
      <c r="A1363" s="30">
        <v>24174128</v>
      </c>
      <c r="B1363" s="31">
        <v>46266</v>
      </c>
      <c r="C1363" s="32">
        <v>0.76800925925925922</v>
      </c>
      <c r="D1363" s="33"/>
      <c r="E1363" s="34">
        <v>5218442280695</v>
      </c>
      <c r="F1363" s="33"/>
      <c r="G1363" s="33"/>
      <c r="H1363" s="35">
        <v>32846579582</v>
      </c>
      <c r="I1363" s="33"/>
      <c r="J1363" s="36"/>
      <c r="K1363" t="s">
        <v>30</v>
      </c>
      <c r="L1363" s="125">
        <v>22037.23</v>
      </c>
      <c r="M1363" s="125">
        <v>6500.38</v>
      </c>
      <c r="N1363" s="3">
        <f t="shared" si="127"/>
        <v>6611.1689999999999</v>
      </c>
      <c r="O1363" s="3">
        <f>(IF(L1363&lt;4172.98,0,MIN(L1363*0.3,L1363-4172.98)))-M1363</f>
        <v>110.78899999999976</v>
      </c>
      <c r="P1363" s="6">
        <v>46966</v>
      </c>
      <c r="Q1363" t="s">
        <v>169</v>
      </c>
      <c r="R1363" s="125">
        <v>6500.38</v>
      </c>
      <c r="S1363" s="3" t="s">
        <v>69</v>
      </c>
      <c r="V1363" s="51">
        <v>0.76736111111111116</v>
      </c>
    </row>
    <row r="1364" spans="1:25">
      <c r="A1364" s="12">
        <v>24175106</v>
      </c>
      <c r="B1364" s="13">
        <v>46266</v>
      </c>
      <c r="C1364" s="14">
        <v>0.77946759259259257</v>
      </c>
      <c r="D1364" s="15"/>
      <c r="E1364" s="16">
        <v>5215530653088</v>
      </c>
      <c r="F1364" s="15"/>
      <c r="G1364" s="15" t="s">
        <v>1350</v>
      </c>
      <c r="H1364" s="17"/>
      <c r="I1364" s="15"/>
      <c r="J1364" s="18"/>
      <c r="K1364" t="s">
        <v>54</v>
      </c>
      <c r="L1364" s="3">
        <v>7073.35</v>
      </c>
      <c r="N1364" s="3">
        <f t="shared" ref="N1364:N1367" si="128">L1364*0.3</f>
        <v>2122.0050000000001</v>
      </c>
      <c r="O1364" s="3">
        <f>(IF(L1364&lt;4172.98,0,MIN(L1364*0.3,L1364-4172.98)))-M1364</f>
        <v>2122.0050000000001</v>
      </c>
      <c r="S1364" s="3" t="s">
        <v>98</v>
      </c>
      <c r="T1364" s="48">
        <v>46266</v>
      </c>
      <c r="V1364" s="51">
        <v>0.77916666666666667</v>
      </c>
      <c r="W1364" s="51">
        <v>0.80069444444444449</v>
      </c>
      <c r="X1364" s="51">
        <v>0.81527777777777777</v>
      </c>
      <c r="Y1364" s="51">
        <v>0.84444444444444444</v>
      </c>
    </row>
    <row r="1365" spans="1:25" hidden="1">
      <c r="A1365" s="12">
        <v>24175294</v>
      </c>
      <c r="B1365" s="13">
        <v>46266</v>
      </c>
      <c r="C1365" s="14">
        <v>0.78981481481481486</v>
      </c>
      <c r="D1365" s="15"/>
      <c r="E1365" s="16">
        <v>5215586974112</v>
      </c>
      <c r="F1365" s="15"/>
      <c r="G1365" s="15"/>
      <c r="H1365" s="17">
        <v>1786133213</v>
      </c>
      <c r="I1365" s="15"/>
      <c r="J1365" s="18"/>
      <c r="K1365" t="s">
        <v>30</v>
      </c>
      <c r="L1365" s="125">
        <v>7116.73</v>
      </c>
      <c r="M1365" s="125">
        <v>2057.96</v>
      </c>
      <c r="N1365" s="3">
        <f t="shared" si="128"/>
        <v>2135.0189999999998</v>
      </c>
      <c r="O1365" s="3">
        <f>(IF(L1365&lt;4172.98,0,MIN(L1365*0.3,L1365-4172.98)))-M1365</f>
        <v>77.058999999999742</v>
      </c>
      <c r="P1365" s="6">
        <v>46569</v>
      </c>
      <c r="Q1365" t="s">
        <v>75</v>
      </c>
      <c r="R1365" s="3">
        <v>1830</v>
      </c>
      <c r="S1365" s="3" t="s">
        <v>69</v>
      </c>
      <c r="V1365" s="51">
        <v>0.7895833333333333</v>
      </c>
    </row>
    <row r="1366" spans="1:25">
      <c r="A1366" s="12">
        <v>24175518</v>
      </c>
      <c r="B1366" s="13">
        <v>46266</v>
      </c>
      <c r="C1366" s="14">
        <v>0.79244212962962968</v>
      </c>
      <c r="D1366" s="15"/>
      <c r="E1366" s="16">
        <v>5212298581278</v>
      </c>
      <c r="F1366" s="15"/>
      <c r="G1366" s="15" t="s">
        <v>1351</v>
      </c>
      <c r="H1366" s="17">
        <v>1735569640</v>
      </c>
      <c r="I1366" s="15"/>
      <c r="J1366" s="18"/>
      <c r="K1366" t="s">
        <v>54</v>
      </c>
      <c r="L1366" s="3">
        <v>23364.799999999999</v>
      </c>
      <c r="N1366" s="3">
        <f t="shared" si="128"/>
        <v>7009.44</v>
      </c>
      <c r="O1366" s="3">
        <f>(IF(L1366&lt;4172.98,0,MIN(L1366*0.3,L1366-4172.98)))-M1366</f>
        <v>7009.44</v>
      </c>
      <c r="S1366" s="3" t="s">
        <v>28</v>
      </c>
      <c r="T1366" s="48">
        <v>46266</v>
      </c>
      <c r="V1366" s="51">
        <v>0.79236111111111107</v>
      </c>
      <c r="W1366" s="51">
        <v>0.80347222222222225</v>
      </c>
      <c r="X1366" s="51">
        <v>0.80902777777777779</v>
      </c>
      <c r="Y1366" s="51">
        <v>0.81041666666666667</v>
      </c>
    </row>
    <row r="1367" spans="1:25" hidden="1">
      <c r="A1367" s="30">
        <v>24175558</v>
      </c>
      <c r="B1367" s="31">
        <v>46266</v>
      </c>
      <c r="C1367" s="32">
        <v>0.79320601851851846</v>
      </c>
      <c r="D1367" s="33"/>
      <c r="E1367" s="34">
        <v>5215617263660</v>
      </c>
      <c r="F1367" s="33"/>
      <c r="G1367" s="33" t="s">
        <v>1352</v>
      </c>
      <c r="H1367" s="35"/>
      <c r="I1367" s="33"/>
      <c r="J1367" s="36"/>
      <c r="K1367" t="s">
        <v>32</v>
      </c>
      <c r="N1367" s="3">
        <f t="shared" si="128"/>
        <v>0</v>
      </c>
      <c r="O1367" s="3">
        <f>(IF(L1367&lt;4172.98,0,MIN(L1367*0.3,L1367-4172.98)))-M1367</f>
        <v>0</v>
      </c>
      <c r="S1367" s="3" t="s">
        <v>69</v>
      </c>
      <c r="V1367" s="51">
        <v>0.79305555555555551</v>
      </c>
    </row>
    <row r="1368" spans="1:25" hidden="1">
      <c r="A1368" s="30">
        <v>24176330</v>
      </c>
      <c r="B1368" s="31">
        <v>46266</v>
      </c>
      <c r="C1368" s="32">
        <v>0.81538194444444445</v>
      </c>
      <c r="D1368" s="33"/>
      <c r="E1368" s="34">
        <v>5212382742476</v>
      </c>
      <c r="F1368" s="33"/>
      <c r="G1368" s="33" t="s">
        <v>1353</v>
      </c>
      <c r="H1368" s="35"/>
      <c r="I1368" s="33"/>
      <c r="J1368" s="36"/>
      <c r="K1368" t="s">
        <v>32</v>
      </c>
      <c r="N1368" s="3">
        <f>L1368*0.3</f>
        <v>0</v>
      </c>
      <c r="O1368" s="3">
        <f>(IF(L1368&lt;4172.98,0,MIN(L1368*0.3,L1368-4172.98)))-M1368</f>
        <v>0</v>
      </c>
      <c r="S1368" s="3" t="s">
        <v>69</v>
      </c>
      <c r="U1368" s="85"/>
      <c r="V1368" s="51">
        <v>0.81527777777777777</v>
      </c>
    </row>
    <row r="1369" spans="1:25">
      <c r="A1369" s="30">
        <v>24176370</v>
      </c>
      <c r="B1369" s="31">
        <v>46266</v>
      </c>
      <c r="C1369" s="32">
        <v>0.81753472222222223</v>
      </c>
      <c r="D1369" s="33"/>
      <c r="E1369" s="34">
        <v>5215537061044</v>
      </c>
      <c r="F1369" s="33"/>
      <c r="G1369" s="33"/>
      <c r="H1369" s="35">
        <v>19745825505</v>
      </c>
      <c r="I1369" s="33"/>
      <c r="J1369" s="36"/>
      <c r="K1369" t="s">
        <v>54</v>
      </c>
      <c r="L1369" s="3">
        <f>7041.51+879</f>
        <v>7920.51</v>
      </c>
      <c r="M1369" s="3">
        <v>879</v>
      </c>
      <c r="N1369" s="3">
        <f>L1369*0.3</f>
        <v>2376.1529999999998</v>
      </c>
      <c r="O1369" s="3">
        <f>(IF(L1369&lt;4172.98,0,MIN(L1369*0.3,L1369-4172.98)))-M1369</f>
        <v>1497.1529999999998</v>
      </c>
      <c r="S1369" s="3" t="s">
        <v>886</v>
      </c>
      <c r="T1369" s="48">
        <v>46267</v>
      </c>
      <c r="V1369" s="51">
        <v>0.81736111111111109</v>
      </c>
      <c r="W1369" s="51">
        <v>0.3659722222222222</v>
      </c>
      <c r="X1369" s="51">
        <v>0.39166666666666666</v>
      </c>
      <c r="Y1369" s="51">
        <v>0.39374999999999999</v>
      </c>
    </row>
    <row r="1370" spans="1:25">
      <c r="A1370" s="12">
        <v>24176428</v>
      </c>
      <c r="B1370" s="13">
        <v>46266</v>
      </c>
      <c r="C1370" s="14">
        <v>0.82177083333333334</v>
      </c>
      <c r="D1370" s="15"/>
      <c r="E1370" s="16">
        <v>5213310204743</v>
      </c>
      <c r="F1370" s="15"/>
      <c r="G1370" s="15" t="s">
        <v>1354</v>
      </c>
      <c r="H1370" s="17"/>
      <c r="I1370" s="15"/>
      <c r="J1370" s="18"/>
      <c r="K1370" t="s">
        <v>54</v>
      </c>
      <c r="L1370" s="3">
        <v>50522.01</v>
      </c>
      <c r="N1370" s="3">
        <f t="shared" ref="N1370:N1376" si="129">L1370*0.3</f>
        <v>15156.602999999999</v>
      </c>
      <c r="O1370" s="3">
        <f>(IF(L1370&lt;4172.98,0,MIN(L1370*0.3,L1370-4172.98)))-M1370</f>
        <v>15156.602999999999</v>
      </c>
      <c r="S1370" s="3" t="s">
        <v>348</v>
      </c>
      <c r="T1370" s="48">
        <v>46267</v>
      </c>
      <c r="V1370" s="51">
        <v>0.38680555555555557</v>
      </c>
      <c r="W1370" s="51">
        <v>0.40347222222222223</v>
      </c>
      <c r="X1370" s="51">
        <v>0.40486111111111112</v>
      </c>
      <c r="Y1370" s="51">
        <v>0.40555555555555556</v>
      </c>
    </row>
    <row r="1371" spans="1:25">
      <c r="A1371" s="12">
        <v>24176270</v>
      </c>
      <c r="B1371" s="13">
        <v>46266</v>
      </c>
      <c r="C1371" s="14">
        <v>0.82173611111111111</v>
      </c>
      <c r="D1371" s="15"/>
      <c r="E1371" s="16">
        <v>5218116555750</v>
      </c>
      <c r="F1371" s="15"/>
      <c r="G1371" s="15"/>
      <c r="H1371" s="17">
        <v>43796319044</v>
      </c>
      <c r="I1371" s="15"/>
      <c r="J1371" s="18"/>
      <c r="K1371" t="s">
        <v>34</v>
      </c>
      <c r="L1371" s="3">
        <v>7920.5810000000001</v>
      </c>
      <c r="M1371" s="3">
        <v>2081.7199999999998</v>
      </c>
      <c r="N1371" s="3">
        <f t="shared" si="129"/>
        <v>2376.1743000000001</v>
      </c>
      <c r="O1371" s="3">
        <f>(IF(L1371&lt;4172.98,0,MIN(L1371*0.3,L1371-4172.98)))-M1371</f>
        <v>294.45430000000033</v>
      </c>
      <c r="P1371" s="6">
        <v>46023</v>
      </c>
      <c r="Q1371" t="s">
        <v>57</v>
      </c>
      <c r="R1371" s="3">
        <v>2081.7199999999998</v>
      </c>
      <c r="S1371" s="3" t="s">
        <v>35</v>
      </c>
      <c r="T1371" s="48">
        <v>46267</v>
      </c>
      <c r="V1371" s="51">
        <v>0.38680555555555557</v>
      </c>
      <c r="W1371" s="51">
        <v>0.40486111111111112</v>
      </c>
      <c r="X1371" s="51">
        <v>0.41111111111111109</v>
      </c>
      <c r="Y1371" s="51">
        <v>0.41249999999999998</v>
      </c>
    </row>
    <row r="1372" spans="1:25">
      <c r="A1372" s="12">
        <v>24177220</v>
      </c>
      <c r="B1372" s="13">
        <v>46266</v>
      </c>
      <c r="C1372" s="14">
        <v>0.85467592592592589</v>
      </c>
      <c r="D1372" s="15"/>
      <c r="E1372" s="16">
        <v>5218186835859</v>
      </c>
      <c r="F1372" s="15"/>
      <c r="G1372" s="15"/>
      <c r="H1372" s="17">
        <v>32917428396</v>
      </c>
      <c r="I1372" s="15"/>
      <c r="J1372" s="18"/>
      <c r="K1372" t="s">
        <v>54</v>
      </c>
      <c r="L1372" s="3">
        <f>41204.62-31622.15</f>
        <v>9582.4700000000012</v>
      </c>
      <c r="N1372" s="3">
        <f t="shared" si="129"/>
        <v>2874.7410000000004</v>
      </c>
      <c r="O1372" s="3">
        <f>(IF(L1372&lt;4172.98,0,MIN(L1372*0.3,L1372-4172.98)))-M1372</f>
        <v>2874.7410000000004</v>
      </c>
      <c r="S1372" s="3" t="s">
        <v>1091</v>
      </c>
      <c r="T1372" s="48">
        <v>46267</v>
      </c>
      <c r="V1372" s="51">
        <v>0.38680555555555557</v>
      </c>
      <c r="W1372" s="51">
        <v>0.40625</v>
      </c>
      <c r="X1372" s="51">
        <v>0.40694444444444444</v>
      </c>
      <c r="Y1372" s="51">
        <v>0.40972222222222221</v>
      </c>
    </row>
    <row r="1373" spans="1:25" hidden="1">
      <c r="A1373" s="12">
        <v>24177480</v>
      </c>
      <c r="B1373" s="13">
        <v>46266</v>
      </c>
      <c r="C1373" s="14">
        <v>0.86388888888888893</v>
      </c>
      <c r="D1373" s="15"/>
      <c r="E1373" s="16">
        <v>5217771639725</v>
      </c>
      <c r="F1373" s="15"/>
      <c r="G1373" s="15" t="s">
        <v>1355</v>
      </c>
      <c r="H1373" s="17"/>
      <c r="I1373" s="15"/>
      <c r="J1373" s="18"/>
      <c r="K1373" t="s">
        <v>32</v>
      </c>
      <c r="N1373" s="3">
        <f t="shared" si="129"/>
        <v>0</v>
      </c>
      <c r="O1373" s="3">
        <f>(IF(L1373&lt;4172.98,0,MIN(L1373*0.3,L1373-4172.98)))-M1373</f>
        <v>0</v>
      </c>
      <c r="S1373" s="3" t="s">
        <v>69</v>
      </c>
      <c r="V1373" s="51">
        <v>0.38680555555555557</v>
      </c>
    </row>
    <row r="1374" spans="1:25" hidden="1">
      <c r="A1374" s="12">
        <v>24177952</v>
      </c>
      <c r="B1374" s="13">
        <v>46266</v>
      </c>
      <c r="C1374" s="14">
        <v>0.87678240740740743</v>
      </c>
      <c r="D1374" s="15" t="s">
        <v>1356</v>
      </c>
      <c r="E1374" s="16">
        <v>5212961137123</v>
      </c>
      <c r="F1374" s="15"/>
      <c r="G1374" s="15" t="s">
        <v>1357</v>
      </c>
      <c r="H1374" s="17"/>
      <c r="I1374" s="15"/>
      <c r="J1374" s="18"/>
      <c r="K1374" t="s">
        <v>32</v>
      </c>
      <c r="N1374" s="3">
        <f t="shared" si="129"/>
        <v>0</v>
      </c>
      <c r="O1374" s="3">
        <f>(IF(L1374&lt;4172.98,0,MIN(L1374*0.3,L1374-4172.98)))-M1374</f>
        <v>0</v>
      </c>
      <c r="S1374" s="3" t="s">
        <v>69</v>
      </c>
      <c r="V1374" s="51">
        <v>0.38680555555555557</v>
      </c>
    </row>
    <row r="1375" spans="1:25" hidden="1">
      <c r="A1375" s="12">
        <v>24179074</v>
      </c>
      <c r="B1375" s="13">
        <v>46266</v>
      </c>
      <c r="C1375" s="14">
        <v>0.90760416666666666</v>
      </c>
      <c r="D1375" s="15" t="s">
        <v>1358</v>
      </c>
      <c r="E1375" s="16">
        <v>5215644473929</v>
      </c>
      <c r="F1375" s="15"/>
      <c r="G1375" s="15" t="s">
        <v>1359</v>
      </c>
      <c r="H1375" s="17">
        <v>12705117872</v>
      </c>
      <c r="I1375" s="15"/>
      <c r="J1375" s="18"/>
      <c r="K1375" t="s">
        <v>30</v>
      </c>
      <c r="L1375" s="3">
        <v>7610</v>
      </c>
      <c r="M1375" s="3">
        <v>2199.6</v>
      </c>
      <c r="N1375" s="3">
        <f t="shared" si="129"/>
        <v>2283</v>
      </c>
      <c r="O1375" s="3">
        <f>(IF(L1375&lt;4172.98,0,MIN(L1375*0.3,L1375-4172.98)))-M1375</f>
        <v>83.400000000000091</v>
      </c>
      <c r="P1375" s="6">
        <v>46447</v>
      </c>
      <c r="Q1375" t="s">
        <v>80</v>
      </c>
      <c r="R1375" s="3">
        <v>1797.13</v>
      </c>
      <c r="S1375" s="3" t="s">
        <v>69</v>
      </c>
      <c r="V1375" s="51">
        <v>0.38680555555555557</v>
      </c>
    </row>
    <row r="1376" spans="1:25">
      <c r="A1376" s="30">
        <v>24179252</v>
      </c>
      <c r="B1376" s="31">
        <v>46266</v>
      </c>
      <c r="C1376" s="32">
        <v>0.92521990740740745</v>
      </c>
      <c r="D1376" s="33"/>
      <c r="E1376" s="34">
        <v>5218714710529</v>
      </c>
      <c r="F1376" s="33"/>
      <c r="G1376" s="33" t="s">
        <v>1360</v>
      </c>
      <c r="H1376" s="35"/>
      <c r="I1376" s="33"/>
      <c r="J1376" s="36"/>
      <c r="K1376" t="s">
        <v>34</v>
      </c>
      <c r="L1376" s="3">
        <v>6460.14</v>
      </c>
      <c r="M1376" s="3">
        <v>786.39</v>
      </c>
      <c r="N1376" s="3">
        <f t="shared" si="129"/>
        <v>1938.0419999999999</v>
      </c>
      <c r="O1376" s="3">
        <f>(IF(L1376&lt;4172.98,0,MIN(L1376*0.3,L1376-4172.98)))-M1376</f>
        <v>1151.652</v>
      </c>
      <c r="P1376" s="6">
        <v>45809</v>
      </c>
      <c r="Q1376" t="s">
        <v>141</v>
      </c>
      <c r="R1376" s="3">
        <v>786.39</v>
      </c>
      <c r="S1376" s="3" t="s">
        <v>35</v>
      </c>
      <c r="T1376" s="48">
        <v>46267</v>
      </c>
      <c r="V1376" s="51">
        <v>0.38680555555555557</v>
      </c>
      <c r="W1376" s="51">
        <v>0.40902777777777777</v>
      </c>
      <c r="X1376" s="51">
        <v>0.41180555555555554</v>
      </c>
      <c r="Y1376" s="51">
        <v>0.41319444444444442</v>
      </c>
    </row>
    <row r="1377" spans="1:25" hidden="1">
      <c r="A1377" s="12">
        <v>24180892</v>
      </c>
      <c r="B1377" s="13">
        <v>46266</v>
      </c>
      <c r="C1377" s="14">
        <v>0.95212962962962966</v>
      </c>
      <c r="D1377" s="15"/>
      <c r="E1377" s="16">
        <v>5218333860294</v>
      </c>
      <c r="F1377" s="15"/>
      <c r="G1377" s="15"/>
      <c r="H1377" s="17" t="s">
        <v>1361</v>
      </c>
      <c r="I1377" s="15"/>
      <c r="J1377" s="18"/>
      <c r="K1377" t="s">
        <v>30</v>
      </c>
      <c r="L1377" s="3">
        <v>8445.25</v>
      </c>
      <c r="M1377" s="3">
        <v>2440.7600000000002</v>
      </c>
      <c r="N1377" s="3">
        <f t="shared" ref="N1377:N1380" si="130">L1377*0.3</f>
        <v>2533.5749999999998</v>
      </c>
      <c r="O1377" s="3">
        <f>(IF(L1377&lt;4172.98,0,MIN(L1377*0.3,L1377-4172.98)))-M1377</f>
        <v>92.8149999999996</v>
      </c>
      <c r="P1377" s="6">
        <v>46478</v>
      </c>
      <c r="Q1377" t="s">
        <v>59</v>
      </c>
      <c r="R1377" s="3">
        <v>2440.7600000000002</v>
      </c>
      <c r="S1377" s="3" t="s">
        <v>69</v>
      </c>
      <c r="V1377" s="51">
        <v>0.38819444444444445</v>
      </c>
    </row>
    <row r="1378" spans="1:25" hidden="1">
      <c r="A1378" s="12">
        <v>24181224</v>
      </c>
      <c r="B1378" s="13">
        <v>46267</v>
      </c>
      <c r="C1378" s="14">
        <v>9.6990740740740735E-3</v>
      </c>
      <c r="D1378" s="15"/>
      <c r="E1378" s="16">
        <v>5212481632245</v>
      </c>
      <c r="F1378" s="15"/>
      <c r="G1378" s="15" t="s">
        <v>1362</v>
      </c>
      <c r="H1378" s="17"/>
      <c r="I1378" s="15"/>
      <c r="J1378" s="18"/>
      <c r="K1378" t="s">
        <v>32</v>
      </c>
      <c r="N1378" s="3">
        <f t="shared" si="130"/>
        <v>0</v>
      </c>
      <c r="O1378" s="3">
        <f>(IF(L1378&lt;4172.98,0,MIN(L1378*0.3,L1378-4172.98)))-M1378</f>
        <v>0</v>
      </c>
      <c r="S1378" s="3" t="s">
        <v>69</v>
      </c>
      <c r="V1378" s="51">
        <v>0.38819444444444445</v>
      </c>
    </row>
    <row r="1379" spans="1:25">
      <c r="A1379" s="12">
        <v>24186106</v>
      </c>
      <c r="B1379" s="13">
        <v>46267</v>
      </c>
      <c r="C1379" s="14">
        <v>0.27892361111111114</v>
      </c>
      <c r="D1379" s="15"/>
      <c r="E1379" s="16">
        <v>5218711564700</v>
      </c>
      <c r="F1379" s="15"/>
      <c r="G1379" s="15"/>
      <c r="H1379" s="17">
        <v>33856507042</v>
      </c>
      <c r="I1379" s="15"/>
      <c r="J1379" s="18"/>
      <c r="K1379" t="s">
        <v>54</v>
      </c>
      <c r="L1379" s="3">
        <f>8881.32+879</f>
        <v>9760.32</v>
      </c>
      <c r="M1379" s="3">
        <v>879</v>
      </c>
      <c r="N1379" s="3">
        <f t="shared" si="130"/>
        <v>2928.096</v>
      </c>
      <c r="O1379" s="3">
        <f>(IF(L1379&lt;4172.98,0,MIN(L1379*0.3,L1379-4172.98)))-M1379</f>
        <v>2049.096</v>
      </c>
      <c r="S1379" s="3" t="s">
        <v>358</v>
      </c>
      <c r="T1379" s="48">
        <v>46267</v>
      </c>
      <c r="V1379" s="51">
        <v>0.38819444444444445</v>
      </c>
      <c r="W1379" s="51">
        <v>0.41111111111111109</v>
      </c>
      <c r="X1379" s="51">
        <v>0.41944444444444445</v>
      </c>
      <c r="Y1379" s="51">
        <v>0.42083333333333334</v>
      </c>
    </row>
    <row r="1380" spans="1:25">
      <c r="A1380" s="30">
        <v>24186924</v>
      </c>
      <c r="B1380" s="31">
        <v>46267</v>
      </c>
      <c r="C1380" s="32">
        <v>0.30706018518518519</v>
      </c>
      <c r="D1380" s="33"/>
      <c r="E1380" s="34">
        <v>5212291029648</v>
      </c>
      <c r="F1380" s="33"/>
      <c r="G1380" s="33"/>
      <c r="H1380" s="35">
        <v>65796045709</v>
      </c>
      <c r="I1380" s="33"/>
      <c r="J1380" s="36"/>
      <c r="K1380" t="s">
        <v>107</v>
      </c>
      <c r="L1380" s="3">
        <v>28001.73</v>
      </c>
      <c r="M1380" s="3">
        <v>8397.98</v>
      </c>
      <c r="N1380" s="3">
        <f t="shared" si="130"/>
        <v>8400.5190000000002</v>
      </c>
      <c r="O1380" s="3">
        <f>(IF(L1380&lt;4172.98,0,MIN(L1380*0.3,L1380-4172.98)))-M1380</f>
        <v>2.5390000000006694</v>
      </c>
      <c r="P1380" s="6">
        <v>46143</v>
      </c>
      <c r="Q1380" t="s">
        <v>80</v>
      </c>
      <c r="R1380" s="3">
        <v>360</v>
      </c>
      <c r="S1380" s="3" t="s">
        <v>39</v>
      </c>
      <c r="T1380" s="48">
        <v>46267</v>
      </c>
      <c r="V1380" s="51">
        <v>0.38819444444444445</v>
      </c>
      <c r="W1380" s="51">
        <v>0.41319444444444442</v>
      </c>
      <c r="X1380" s="51">
        <v>0.41597222222222224</v>
      </c>
      <c r="Y1380" s="51">
        <v>0.42569444444444443</v>
      </c>
    </row>
    <row r="1381" spans="1:25" hidden="1">
      <c r="A1381" s="30">
        <v>24188396</v>
      </c>
      <c r="B1381" s="31">
        <v>46267</v>
      </c>
      <c r="C1381" s="32">
        <v>0.33523148148148146</v>
      </c>
      <c r="D1381" s="33"/>
      <c r="E1381" s="34">
        <v>5213521642451</v>
      </c>
      <c r="F1381" s="33"/>
      <c r="G1381" s="33" t="s">
        <v>1363</v>
      </c>
      <c r="H1381" s="35"/>
      <c r="I1381" s="33"/>
      <c r="J1381" s="36"/>
      <c r="K1381" t="s">
        <v>32</v>
      </c>
      <c r="N1381" s="3">
        <f>L1381*0.3</f>
        <v>0</v>
      </c>
      <c r="O1381" s="3">
        <f>(IF(L1381&lt;4172.98,0,MIN(L1381*0.3,L1381-4172.98)))-M1381</f>
        <v>0</v>
      </c>
      <c r="S1381" s="3" t="s">
        <v>69</v>
      </c>
      <c r="V1381" s="51">
        <v>0.3888888888888889</v>
      </c>
    </row>
    <row r="1382" spans="1:25" hidden="1">
      <c r="A1382" s="30">
        <v>24191588</v>
      </c>
      <c r="B1382" s="31">
        <v>46267</v>
      </c>
      <c r="C1382" s="32">
        <v>0.42312499999999997</v>
      </c>
      <c r="D1382" s="33"/>
      <c r="E1382" s="34">
        <v>5214857977894</v>
      </c>
      <c r="F1382" s="33"/>
      <c r="G1382" s="33" t="s">
        <v>1364</v>
      </c>
      <c r="H1382" s="35" t="s">
        <v>1365</v>
      </c>
      <c r="I1382" s="33"/>
      <c r="J1382" s="36"/>
      <c r="K1382" t="s">
        <v>51</v>
      </c>
      <c r="N1382" s="3">
        <f>L1382*0.3</f>
        <v>0</v>
      </c>
      <c r="O1382" s="3">
        <f>(IF(L1382&lt;4172.98,0,MIN(L1382*0.3,L1382-4172.98)))-M1382</f>
        <v>0</v>
      </c>
      <c r="S1382" s="3" t="s">
        <v>69</v>
      </c>
      <c r="V1382" s="51">
        <v>0.4236111111111111</v>
      </c>
    </row>
    <row r="1383" spans="1:25" hidden="1">
      <c r="A1383" s="30">
        <v>24192918</v>
      </c>
      <c r="B1383" s="31">
        <v>46267</v>
      </c>
      <c r="C1383" s="32">
        <v>0.42725694444444445</v>
      </c>
      <c r="D1383" s="33"/>
      <c r="E1383" s="34">
        <v>5215533312304</v>
      </c>
      <c r="F1383" s="33"/>
      <c r="G1383" s="33" t="s">
        <v>1366</v>
      </c>
      <c r="H1383" s="35"/>
      <c r="I1383" s="33"/>
      <c r="J1383" s="36"/>
      <c r="K1383" t="s">
        <v>30</v>
      </c>
      <c r="L1383" s="3">
        <v>9760.32</v>
      </c>
      <c r="M1383" s="3">
        <v>2806.88</v>
      </c>
      <c r="N1383" s="3">
        <f>L1383*0.3</f>
        <v>2928.096</v>
      </c>
      <c r="O1383" s="3">
        <f>(IF(L1383&lt;4172.98,0,MIN(L1383*0.3,L1383-4172.98)))-M1383</f>
        <v>121.21599999999989</v>
      </c>
      <c r="P1383" s="6">
        <v>46600</v>
      </c>
      <c r="Q1383" t="s">
        <v>73</v>
      </c>
      <c r="R1383" s="3">
        <v>2806.88</v>
      </c>
      <c r="S1383" s="3" t="s">
        <v>69</v>
      </c>
      <c r="V1383" s="51">
        <v>0.42708333333333331</v>
      </c>
    </row>
    <row r="1384" spans="1:25" hidden="1">
      <c r="A1384" s="30">
        <v>24193252</v>
      </c>
      <c r="B1384" s="31">
        <v>46267</v>
      </c>
      <c r="C1384" s="32">
        <v>0.4334027777777778</v>
      </c>
      <c r="D1384" s="33"/>
      <c r="E1384" s="34">
        <v>5216143386953</v>
      </c>
      <c r="F1384" s="33"/>
      <c r="G1384" s="33" t="s">
        <v>1367</v>
      </c>
      <c r="H1384" s="35"/>
      <c r="I1384" s="33"/>
      <c r="J1384" s="36"/>
      <c r="K1384" t="s">
        <v>32</v>
      </c>
      <c r="N1384" s="3">
        <f>L1384*0.3</f>
        <v>0</v>
      </c>
      <c r="O1384" s="3">
        <f>(IF(L1384&lt;4172.98,0,MIN(L1384*0.3,L1384-4172.98)))-M1384</f>
        <v>0</v>
      </c>
      <c r="S1384" s="3" t="s">
        <v>69</v>
      </c>
      <c r="V1384" s="51">
        <v>0.43333333333333335</v>
      </c>
    </row>
    <row r="1385" spans="1:25" hidden="1">
      <c r="A1385" s="12">
        <v>24193868</v>
      </c>
      <c r="B1385" s="13">
        <v>46267</v>
      </c>
      <c r="C1385" s="14">
        <v>0.46315972222222224</v>
      </c>
      <c r="D1385" s="15"/>
      <c r="E1385" s="16">
        <v>5215615270978</v>
      </c>
      <c r="F1385" s="15"/>
      <c r="G1385" s="15" t="s">
        <v>1368</v>
      </c>
      <c r="H1385" s="17"/>
      <c r="I1385" s="15"/>
      <c r="J1385" s="18"/>
      <c r="K1385" t="s">
        <v>30</v>
      </c>
      <c r="L1385" s="111">
        <v>7116.73</v>
      </c>
      <c r="M1385" s="111">
        <v>2123.91</v>
      </c>
      <c r="N1385" s="3">
        <f t="shared" ref="N1385:N1386" si="131">L1385*0.3</f>
        <v>2135.0189999999998</v>
      </c>
      <c r="O1385" s="3">
        <f>(IF(L1385&lt;4172.98,0,MIN(L1385*0.3,L1385-4172.98)))-M1385</f>
        <v>11.108999999999924</v>
      </c>
      <c r="P1385" s="6">
        <v>46905</v>
      </c>
      <c r="Q1385" t="s">
        <v>141</v>
      </c>
      <c r="R1385" s="3">
        <v>2123.91</v>
      </c>
      <c r="S1385" s="3" t="s">
        <v>69</v>
      </c>
      <c r="V1385" s="51">
        <v>0.46388888888888891</v>
      </c>
    </row>
    <row r="1386" spans="1:25" hidden="1">
      <c r="A1386" s="30">
        <v>24193846</v>
      </c>
      <c r="B1386" s="31">
        <v>46267</v>
      </c>
      <c r="C1386" s="32">
        <v>0.46421296296296294</v>
      </c>
      <c r="D1386" s="33"/>
      <c r="E1386" s="34">
        <v>5218715700173</v>
      </c>
      <c r="F1386" s="33"/>
      <c r="G1386" s="33"/>
      <c r="H1386" s="35" t="s">
        <v>1369</v>
      </c>
      <c r="I1386" s="33"/>
      <c r="J1386" s="36"/>
      <c r="K1386" t="s">
        <v>30</v>
      </c>
      <c r="L1386" s="111">
        <v>5636.59</v>
      </c>
      <c r="M1386" s="111">
        <v>1620.25</v>
      </c>
      <c r="N1386" s="3">
        <f t="shared" si="131"/>
        <v>1690.9770000000001</v>
      </c>
      <c r="O1386" s="3">
        <f>(IF(L1386&lt;4172.98,0,MIN(L1386*0.3,L1386-4172.98)))-M1386</f>
        <v>-156.63999999999942</v>
      </c>
      <c r="P1386" s="6">
        <v>46539</v>
      </c>
      <c r="Q1386" t="s">
        <v>80</v>
      </c>
      <c r="R1386" s="3">
        <v>1445</v>
      </c>
      <c r="S1386" s="3" t="s">
        <v>69</v>
      </c>
      <c r="V1386" s="51">
        <v>0.46388888888888891</v>
      </c>
    </row>
    <row r="1387" spans="1:25">
      <c r="A1387" s="30">
        <v>24179126</v>
      </c>
      <c r="B1387" s="31">
        <v>46267</v>
      </c>
      <c r="C1387" s="32">
        <v>0.46449074074074076</v>
      </c>
      <c r="D1387" s="33"/>
      <c r="E1387" s="34">
        <v>6561859034</v>
      </c>
      <c r="F1387" s="33"/>
      <c r="G1387" s="33" t="s">
        <v>1370</v>
      </c>
      <c r="H1387" s="35">
        <v>33836434127</v>
      </c>
      <c r="I1387" s="33"/>
      <c r="J1387" s="36"/>
      <c r="K1387" t="s">
        <v>27</v>
      </c>
      <c r="L1387" s="111">
        <v>9081.52</v>
      </c>
      <c r="M1387" s="111">
        <v>2518.2800000000002</v>
      </c>
      <c r="N1387" s="3">
        <f>L1387*0.3</f>
        <v>2724.4560000000001</v>
      </c>
      <c r="O1387" s="3">
        <f>(IF(L1387&lt;4172.98,0,MIN(L1387*0.3,L1387-4172.98)))-M1387</f>
        <v>206.17599999999993</v>
      </c>
      <c r="P1387" s="6">
        <v>46235</v>
      </c>
      <c r="Q1387" t="s">
        <v>75</v>
      </c>
      <c r="R1387" s="3">
        <v>2518.2800000000002</v>
      </c>
      <c r="S1387" s="3" t="s">
        <v>98</v>
      </c>
      <c r="T1387" s="48">
        <v>46267</v>
      </c>
      <c r="V1387" s="51">
        <v>0.46458333333333335</v>
      </c>
      <c r="W1387" s="51">
        <v>0.47222222222222221</v>
      </c>
      <c r="X1387" s="51">
        <v>0.47361111111111109</v>
      </c>
      <c r="Y1387" s="51">
        <v>0.48125000000000001</v>
      </c>
    </row>
    <row r="1388" spans="1:25">
      <c r="A1388" s="30">
        <v>24194642</v>
      </c>
      <c r="B1388" s="31">
        <v>46267</v>
      </c>
      <c r="C1388" s="32">
        <v>0.47714120370370372</v>
      </c>
      <c r="D1388" s="33"/>
      <c r="E1388" s="34">
        <v>5219911001910</v>
      </c>
      <c r="F1388" s="33"/>
      <c r="G1388" s="33" t="s">
        <v>1371</v>
      </c>
      <c r="H1388" s="35"/>
      <c r="I1388" s="33"/>
      <c r="J1388" s="36"/>
      <c r="K1388" t="s">
        <v>54</v>
      </c>
      <c r="L1388" s="3">
        <v>7116.73</v>
      </c>
      <c r="N1388" s="3">
        <f>L1388*0.3</f>
        <v>2135.0189999999998</v>
      </c>
      <c r="O1388" s="3">
        <f>(IF(L1388&lt;4172.98,0,MIN(L1388*0.3,L1388-4172.98)))-M1388</f>
        <v>2135.0189999999998</v>
      </c>
      <c r="S1388" s="3" t="s">
        <v>1091</v>
      </c>
      <c r="T1388" s="48">
        <v>46267</v>
      </c>
      <c r="V1388" s="51">
        <v>0.47708333333333336</v>
      </c>
      <c r="W1388" s="51">
        <v>0.48819444444444443</v>
      </c>
      <c r="X1388" s="51">
        <v>0.4909722222222222</v>
      </c>
      <c r="Y1388" s="51">
        <v>0.49166666666666664</v>
      </c>
    </row>
    <row r="1389" spans="1:25">
      <c r="A1389" s="30">
        <v>24195644</v>
      </c>
      <c r="B1389" s="31">
        <v>46267</v>
      </c>
      <c r="C1389" s="32">
        <v>0.50653935185185184</v>
      </c>
      <c r="D1389" s="33"/>
      <c r="E1389" s="34">
        <v>5216441391798</v>
      </c>
      <c r="F1389" s="33"/>
      <c r="G1389" s="33" t="s">
        <v>1372</v>
      </c>
      <c r="H1389" s="35"/>
      <c r="I1389" s="33"/>
      <c r="J1389" s="36"/>
      <c r="K1389" t="s">
        <v>27</v>
      </c>
      <c r="L1389" s="111">
        <v>7116.73</v>
      </c>
      <c r="M1389" s="111">
        <v>1887</v>
      </c>
      <c r="N1389" s="3">
        <f>L1389*0.3</f>
        <v>2135.0189999999998</v>
      </c>
      <c r="O1389" s="3">
        <f>(IF(L1389&lt;4172.98,0,MIN(L1389*0.3,L1389-4172.98)))-M1389</f>
        <v>248.01899999999978</v>
      </c>
      <c r="P1389" s="6">
        <v>45931</v>
      </c>
      <c r="Q1389" t="s">
        <v>833</v>
      </c>
      <c r="R1389" s="111">
        <v>1887</v>
      </c>
      <c r="S1389" s="3" t="s">
        <v>98</v>
      </c>
      <c r="T1389" s="48">
        <v>46267</v>
      </c>
      <c r="V1389" s="51">
        <v>0.50694444444444442</v>
      </c>
      <c r="W1389" s="51">
        <v>0.51458333333333328</v>
      </c>
      <c r="X1389" s="51">
        <v>0.5180555555555556</v>
      </c>
      <c r="Y1389" s="51">
        <v>0.52152777777777781</v>
      </c>
    </row>
    <row r="1390" spans="1:25" hidden="1">
      <c r="A1390" s="30">
        <v>24196358</v>
      </c>
      <c r="B1390" s="31">
        <v>46267</v>
      </c>
      <c r="C1390" s="32">
        <v>0.52379629629629632</v>
      </c>
      <c r="D1390" s="33"/>
      <c r="E1390" s="34">
        <v>5216148288600</v>
      </c>
      <c r="F1390" s="33"/>
      <c r="G1390" s="33"/>
      <c r="H1390" s="35">
        <v>43846341410</v>
      </c>
      <c r="I1390" s="33"/>
      <c r="J1390" s="36"/>
      <c r="K1390" t="s">
        <v>32</v>
      </c>
      <c r="N1390" s="3">
        <f>L1390*0.3</f>
        <v>0</v>
      </c>
      <c r="O1390" s="3">
        <f>(IF(L1390&lt;4172.98,0,MIN(L1390*0.3,L1390-4172.98)))-M1390</f>
        <v>0</v>
      </c>
      <c r="S1390" s="3" t="s">
        <v>69</v>
      </c>
      <c r="V1390" s="51">
        <v>0.52361111111111114</v>
      </c>
    </row>
    <row r="1391" spans="1:25" hidden="1">
      <c r="A1391" s="30">
        <v>24196498</v>
      </c>
      <c r="B1391" s="31">
        <v>46267</v>
      </c>
      <c r="C1391" s="32">
        <v>0.53037037037037038</v>
      </c>
      <c r="D1391" s="33"/>
      <c r="E1391" s="34">
        <v>5218717833900</v>
      </c>
      <c r="F1391" s="33"/>
      <c r="G1391" s="33" t="s">
        <v>1373</v>
      </c>
      <c r="H1391" s="35">
        <v>32806300755</v>
      </c>
      <c r="I1391" s="33"/>
      <c r="J1391" s="36"/>
      <c r="K1391" t="s">
        <v>30</v>
      </c>
      <c r="L1391" s="111">
        <v>15850.76</v>
      </c>
      <c r="M1391" s="111">
        <v>4755.22</v>
      </c>
      <c r="N1391" s="3">
        <f>L1391*0.3</f>
        <v>4755.2280000000001</v>
      </c>
      <c r="O1391" s="3">
        <f>(IF(L1391&lt;4172.98,0,MIN(L1391*0.3,L1391-4172.98)))-M1391</f>
        <v>7.9999999998108251E-3</v>
      </c>
      <c r="P1391" s="6">
        <v>46905</v>
      </c>
      <c r="Q1391" t="s">
        <v>77</v>
      </c>
      <c r="R1391" s="3">
        <v>4755.22</v>
      </c>
      <c r="S1391" s="3" t="s">
        <v>69</v>
      </c>
      <c r="V1391" s="51">
        <v>0.52986111111111112</v>
      </c>
    </row>
    <row r="1392" spans="1:25" hidden="1">
      <c r="A1392" s="30">
        <v>24196998</v>
      </c>
      <c r="B1392" s="31">
        <v>46267</v>
      </c>
      <c r="C1392" s="32">
        <v>0.54571759259259256</v>
      </c>
      <c r="D1392" s="33"/>
      <c r="E1392" s="34">
        <v>5215517055725</v>
      </c>
      <c r="F1392" s="33"/>
      <c r="G1392" s="33" t="s">
        <v>1374</v>
      </c>
      <c r="H1392" s="35"/>
      <c r="I1392" s="33"/>
      <c r="J1392" s="36"/>
      <c r="K1392" t="s">
        <v>32</v>
      </c>
      <c r="N1392" s="3">
        <f>L1392*0.3</f>
        <v>0</v>
      </c>
      <c r="O1392" s="3">
        <f>(IF(L1392&lt;4172.98,0,MIN(L1392*0.3,L1392-4172.98)))-M1392</f>
        <v>0</v>
      </c>
      <c r="S1392" s="3" t="s">
        <v>69</v>
      </c>
      <c r="V1392" s="51">
        <v>0.54583333333333328</v>
      </c>
    </row>
    <row r="1393" spans="1:25" hidden="1">
      <c r="A1393" s="30">
        <v>24197372</v>
      </c>
      <c r="B1393" s="31">
        <v>46267</v>
      </c>
      <c r="C1393" s="32">
        <v>0.55061342592592588</v>
      </c>
      <c r="D1393" s="33"/>
      <c r="E1393" s="34">
        <v>5213310210669</v>
      </c>
      <c r="F1393" s="33"/>
      <c r="G1393" s="33"/>
      <c r="H1393" s="35" t="s">
        <v>1375</v>
      </c>
      <c r="I1393" s="33"/>
      <c r="J1393" s="36"/>
      <c r="K1393" t="s">
        <v>51</v>
      </c>
      <c r="N1393" s="3">
        <f>L1393*0.3</f>
        <v>0</v>
      </c>
      <c r="O1393" s="3">
        <f>(IF(L1393&lt;4172.98,0,MIN(L1393*0.3,L1393-4172.98)))-M1393</f>
        <v>0</v>
      </c>
      <c r="S1393" s="3" t="s">
        <v>69</v>
      </c>
      <c r="V1393" s="51">
        <v>0.55138888888888893</v>
      </c>
    </row>
    <row r="1394" spans="1:25" hidden="1">
      <c r="A1394" s="30">
        <v>24198494</v>
      </c>
      <c r="B1394" s="31">
        <v>46267</v>
      </c>
      <c r="C1394" s="32">
        <v>0.57837962962962963</v>
      </c>
      <c r="D1394" s="33"/>
      <c r="E1394" s="34">
        <v>5218641064023</v>
      </c>
      <c r="F1394" s="33"/>
      <c r="G1394" s="33"/>
      <c r="H1394" s="35">
        <v>32957752549</v>
      </c>
      <c r="I1394" s="33"/>
      <c r="J1394" s="36"/>
      <c r="K1394" t="s">
        <v>30</v>
      </c>
      <c r="L1394" s="125">
        <v>6409.06</v>
      </c>
      <c r="M1394" s="125">
        <v>1839.27</v>
      </c>
      <c r="N1394" s="3">
        <f>L1394*0.3</f>
        <v>1922.7180000000001</v>
      </c>
      <c r="O1394" s="3">
        <f>(IF(L1394&lt;4172.98,0,MIN(L1394*0.3,L1394-4172.98)))-M1394</f>
        <v>83.448000000000093</v>
      </c>
      <c r="P1394" s="6">
        <v>46661</v>
      </c>
      <c r="Q1394" t="s">
        <v>73</v>
      </c>
      <c r="R1394" s="125">
        <v>1839.27</v>
      </c>
      <c r="S1394" s="3" t="s">
        <v>69</v>
      </c>
      <c r="V1394" s="51">
        <v>0.57847222222222228</v>
      </c>
    </row>
    <row r="1395" spans="1:25" hidden="1">
      <c r="A1395" s="30">
        <v>24198716</v>
      </c>
      <c r="B1395" s="31">
        <v>46267</v>
      </c>
      <c r="C1395" s="32">
        <v>0.58442129629629624</v>
      </c>
      <c r="D1395" s="33"/>
      <c r="E1395" s="34">
        <v>5215517830334</v>
      </c>
      <c r="F1395" s="33"/>
      <c r="G1395" s="33"/>
      <c r="H1395" s="35">
        <v>1755863543</v>
      </c>
      <c r="I1395" s="33"/>
      <c r="J1395" s="36"/>
      <c r="K1395" t="s">
        <v>30</v>
      </c>
      <c r="L1395" s="125">
        <v>9081.92</v>
      </c>
      <c r="M1395" s="125">
        <v>2724.26</v>
      </c>
      <c r="N1395" s="3">
        <f>L1395*0.3</f>
        <v>2724.576</v>
      </c>
      <c r="O1395" s="3">
        <f>(IF(L1395&lt;4172.98,0,MIN(L1395*0.3,L1395-4172.98)))-M1395</f>
        <v>0.31599999999980355</v>
      </c>
      <c r="P1395" s="6">
        <v>46539</v>
      </c>
      <c r="Q1395" t="s">
        <v>73</v>
      </c>
      <c r="R1395" s="3">
        <v>2346.2600000000002</v>
      </c>
      <c r="S1395" s="3" t="s">
        <v>69</v>
      </c>
      <c r="V1395" s="51">
        <v>0.5854166666666667</v>
      </c>
    </row>
    <row r="1396" spans="1:25">
      <c r="A1396" s="30">
        <v>24199408</v>
      </c>
      <c r="B1396" s="31">
        <v>46267</v>
      </c>
      <c r="C1396" s="32">
        <v>0.60513888888888889</v>
      </c>
      <c r="D1396" s="33"/>
      <c r="E1396" s="34">
        <v>5218125802778</v>
      </c>
      <c r="F1396" s="33"/>
      <c r="G1396" s="33"/>
      <c r="H1396" s="35">
        <v>43796074813</v>
      </c>
      <c r="I1396" s="33"/>
      <c r="J1396" s="36"/>
      <c r="K1396" t="s">
        <v>107</v>
      </c>
      <c r="L1396" s="111">
        <v>6269.7</v>
      </c>
      <c r="M1396" s="111">
        <v>1813.01</v>
      </c>
      <c r="N1396" s="3">
        <f>L1396*0.3</f>
        <v>1880.9099999999999</v>
      </c>
      <c r="O1396" s="3">
        <f>(IF(L1396&lt;4172.98,0,MIN(L1396*0.3,L1396-4172.98)))-M1396</f>
        <v>67.899999999999864</v>
      </c>
      <c r="P1396" s="6">
        <v>45748</v>
      </c>
      <c r="Q1396" t="s">
        <v>44</v>
      </c>
      <c r="R1396" s="3">
        <v>355.85</v>
      </c>
      <c r="S1396" s="3" t="s">
        <v>266</v>
      </c>
      <c r="T1396" s="48">
        <v>46267</v>
      </c>
      <c r="V1396" s="51">
        <v>0.60555555555555551</v>
      </c>
      <c r="W1396" s="51">
        <v>0.61111111111111116</v>
      </c>
      <c r="X1396" s="51">
        <v>0.61250000000000004</v>
      </c>
      <c r="Y1396" s="51">
        <v>0.61527777777777781</v>
      </c>
    </row>
    <row r="1397" spans="1:25">
      <c r="A1397" s="12">
        <v>24199760</v>
      </c>
      <c r="B1397" s="13">
        <v>46267</v>
      </c>
      <c r="C1397" s="14">
        <v>0.62016203703703698</v>
      </c>
      <c r="D1397" s="15"/>
      <c r="E1397" s="16">
        <v>5215543747951</v>
      </c>
      <c r="F1397" s="15"/>
      <c r="G1397" s="15" t="s">
        <v>1376</v>
      </c>
      <c r="H1397" s="17"/>
      <c r="I1397" s="15"/>
      <c r="J1397" s="18"/>
      <c r="K1397" t="s">
        <v>54</v>
      </c>
      <c r="L1397" s="3">
        <v>9612.19</v>
      </c>
      <c r="N1397" s="3">
        <f>L1397*0.3</f>
        <v>2883.6570000000002</v>
      </c>
      <c r="O1397" s="3">
        <f>(IF(L1397&lt;4172.98,0,MIN(L1397*0.3,L1397-4172.98)))-M1397</f>
        <v>2883.6570000000002</v>
      </c>
      <c r="S1397" s="3" t="s">
        <v>327</v>
      </c>
      <c r="T1397" s="48">
        <v>46267</v>
      </c>
      <c r="V1397" s="51">
        <v>0.62083333333333335</v>
      </c>
      <c r="W1397" s="51">
        <v>0.62569444444444444</v>
      </c>
      <c r="X1397" s="51">
        <v>0.63958333333333328</v>
      </c>
      <c r="Y1397" s="51">
        <v>0.64375000000000004</v>
      </c>
    </row>
    <row r="1398" spans="1:25">
      <c r="A1398" s="30">
        <v>24199870</v>
      </c>
      <c r="B1398" s="31">
        <v>46267</v>
      </c>
      <c r="C1398" s="32">
        <v>0.62028935185185186</v>
      </c>
      <c r="D1398" s="33"/>
      <c r="E1398" s="34">
        <v>5215562169296</v>
      </c>
      <c r="F1398" s="33"/>
      <c r="G1398" s="33" t="s">
        <v>1377</v>
      </c>
      <c r="H1398" s="35"/>
      <c r="I1398" s="35"/>
      <c r="J1398" s="36"/>
      <c r="K1398" t="s">
        <v>34</v>
      </c>
      <c r="L1398" s="111">
        <v>10247.51</v>
      </c>
      <c r="M1398" s="111">
        <v>2964</v>
      </c>
      <c r="N1398" s="3">
        <f>L1398*0.3</f>
        <v>3074.2530000000002</v>
      </c>
      <c r="O1398" s="3">
        <f>(IF(L1398&lt;4172.98,0,MIN(L1398*0.3,L1398-4172.98)))-M1398</f>
        <v>110.25300000000016</v>
      </c>
      <c r="P1398" s="6">
        <v>46204</v>
      </c>
      <c r="Q1398" t="s">
        <v>141</v>
      </c>
      <c r="R1398" s="3">
        <v>2232.8000000000002</v>
      </c>
      <c r="S1398" s="3" t="s">
        <v>35</v>
      </c>
      <c r="T1398" s="48">
        <v>46267</v>
      </c>
      <c r="V1398" s="51">
        <v>0.62083333333333335</v>
      </c>
      <c r="W1398" s="51">
        <v>0.62708333333333333</v>
      </c>
      <c r="X1398" s="51">
        <v>0.63611111111111107</v>
      </c>
      <c r="Y1398" s="51">
        <v>0.63958333333333328</v>
      </c>
    </row>
    <row r="1399" spans="1:25">
      <c r="A1399" s="12">
        <v>24200274</v>
      </c>
      <c r="B1399" s="13">
        <v>46267</v>
      </c>
      <c r="C1399" s="14">
        <v>0.63262731481481482</v>
      </c>
      <c r="D1399" s="15"/>
      <c r="E1399" s="16">
        <v>5212221150207</v>
      </c>
      <c r="F1399" s="15"/>
      <c r="G1399" s="15"/>
      <c r="H1399" s="17">
        <v>62806241899</v>
      </c>
      <c r="I1399" s="15"/>
      <c r="J1399" s="18"/>
      <c r="K1399" t="s">
        <v>34</v>
      </c>
      <c r="L1399" s="111">
        <v>7116.73</v>
      </c>
      <c r="M1399" s="111">
        <v>516.91999999999996</v>
      </c>
      <c r="N1399" s="3">
        <f t="shared" ref="N1399:N1400" si="132">L1399*0.3</f>
        <v>2135.0189999999998</v>
      </c>
      <c r="O1399" s="3">
        <f t="shared" ref="O1399:O1400" si="133">(IF(L1399&lt;4172.98,0,MIN(L1399*0.3,L1399-4172.98)))-M1399</f>
        <v>1618.0989999999997</v>
      </c>
      <c r="P1399" s="6">
        <v>45748</v>
      </c>
      <c r="Q1399" t="s">
        <v>141</v>
      </c>
      <c r="R1399" s="111">
        <v>516.91999999999996</v>
      </c>
      <c r="S1399" s="3" t="s">
        <v>35</v>
      </c>
      <c r="T1399" s="48">
        <v>46267</v>
      </c>
      <c r="V1399" s="51">
        <v>0.63194444444444442</v>
      </c>
      <c r="W1399" s="51">
        <v>0.65069444444444446</v>
      </c>
      <c r="X1399" s="51">
        <v>0.65486111111111112</v>
      </c>
      <c r="Y1399" s="51">
        <v>0.65555555555555556</v>
      </c>
    </row>
    <row r="1400" spans="1:25" hidden="1">
      <c r="A1400" s="12">
        <v>24200460</v>
      </c>
      <c r="B1400" s="13">
        <v>46267</v>
      </c>
      <c r="C1400" s="14">
        <v>0.63938657407407407</v>
      </c>
      <c r="D1400" s="15" t="s">
        <v>1378</v>
      </c>
      <c r="E1400" s="16">
        <v>5216251193969</v>
      </c>
      <c r="F1400" s="15"/>
      <c r="G1400" s="15"/>
      <c r="H1400" s="17">
        <v>50967730164</v>
      </c>
      <c r="I1400" s="15"/>
      <c r="J1400" s="18"/>
      <c r="K1400" t="s">
        <v>58</v>
      </c>
      <c r="L1400" s="3">
        <v>4172.79</v>
      </c>
      <c r="N1400" s="3">
        <f t="shared" si="132"/>
        <v>1251.837</v>
      </c>
      <c r="O1400" s="3">
        <f t="shared" si="133"/>
        <v>0</v>
      </c>
      <c r="S1400" s="3" t="s">
        <v>69</v>
      </c>
      <c r="V1400" s="51">
        <v>0.63888888888888884</v>
      </c>
    </row>
    <row r="1401" spans="1:25">
      <c r="A1401" s="30">
        <v>24200472</v>
      </c>
      <c r="B1401" s="31">
        <v>46267</v>
      </c>
      <c r="C1401" s="32">
        <v>0.63975694444444442</v>
      </c>
      <c r="D1401" s="33"/>
      <c r="E1401" s="34">
        <v>5218136084482</v>
      </c>
      <c r="F1401" s="33"/>
      <c r="G1401" s="33" t="s">
        <v>1379</v>
      </c>
      <c r="H1401" s="35"/>
      <c r="I1401" s="33"/>
      <c r="J1401" s="36"/>
      <c r="K1401" t="s">
        <v>54</v>
      </c>
      <c r="L1401" s="3">
        <v>10636.54</v>
      </c>
      <c r="N1401" s="3">
        <f>L1401*0.3</f>
        <v>3190.962</v>
      </c>
      <c r="O1401" s="3">
        <f>(IF(L1401&lt;4172.98,0,MIN(L1401*0.3,L1401-4172.98)))-M1401</f>
        <v>3190.962</v>
      </c>
      <c r="S1401" s="3" t="s">
        <v>28</v>
      </c>
      <c r="T1401" s="48">
        <v>46267</v>
      </c>
      <c r="V1401" s="51">
        <v>0.63958333333333328</v>
      </c>
      <c r="W1401" s="51">
        <v>0.65902777777777777</v>
      </c>
      <c r="X1401" s="51">
        <v>0.65972222222222221</v>
      </c>
      <c r="Y1401" s="51">
        <v>0.66041666666666665</v>
      </c>
    </row>
    <row r="1402" spans="1:25">
      <c r="A1402" s="12">
        <v>24200638</v>
      </c>
      <c r="B1402" s="13">
        <v>46267</v>
      </c>
      <c r="C1402" s="14">
        <v>0.64934027777777781</v>
      </c>
      <c r="D1402" s="15" t="s">
        <v>1380</v>
      </c>
      <c r="E1402" s="16">
        <v>5212711269633</v>
      </c>
      <c r="F1402" s="15"/>
      <c r="G1402" s="15" t="s">
        <v>1381</v>
      </c>
      <c r="H1402" s="17" t="s">
        <v>1382</v>
      </c>
      <c r="I1402" s="15"/>
      <c r="J1402" s="18"/>
      <c r="K1402" t="s">
        <v>38</v>
      </c>
      <c r="L1402" s="3">
        <v>4813.6899999999996</v>
      </c>
      <c r="N1402" s="3">
        <f t="shared" ref="N1402:N1403" si="134">L1402*0.3</f>
        <v>1444.1069999999997</v>
      </c>
      <c r="O1402" s="3">
        <f t="shared" ref="O1402:O1403" si="135">(IF(L1402&lt;4172.98,0,MIN(L1402*0.3,L1402-4172.98)))-M1402</f>
        <v>640.71</v>
      </c>
      <c r="S1402" s="3" t="s">
        <v>39</v>
      </c>
      <c r="T1402" s="48">
        <v>46267</v>
      </c>
      <c r="V1402" s="51">
        <v>0.64930555555555558</v>
      </c>
      <c r="W1402" s="51">
        <v>0.66874999999999996</v>
      </c>
      <c r="X1402" s="51">
        <v>0.67291666666666672</v>
      </c>
      <c r="Y1402" s="51">
        <v>0.67569444444444449</v>
      </c>
    </row>
    <row r="1403" spans="1:25" hidden="1">
      <c r="A1403" s="30">
        <v>24200740</v>
      </c>
      <c r="B1403" s="31">
        <v>46267</v>
      </c>
      <c r="C1403" s="32">
        <v>0.65534722222222219</v>
      </c>
      <c r="D1403" s="33"/>
      <c r="E1403" s="34">
        <v>5212292293635</v>
      </c>
      <c r="F1403" s="33"/>
      <c r="G1403" s="33" t="s">
        <v>1383</v>
      </c>
      <c r="H1403" s="35"/>
      <c r="I1403" s="33"/>
      <c r="J1403" s="36"/>
      <c r="K1403" t="s">
        <v>30</v>
      </c>
      <c r="L1403" s="111">
        <v>37881.089999999997</v>
      </c>
      <c r="M1403" s="111">
        <v>11335.47</v>
      </c>
      <c r="N1403" s="3">
        <f t="shared" si="134"/>
        <v>11364.326999999999</v>
      </c>
      <c r="O1403" s="3">
        <f t="shared" si="135"/>
        <v>28.856999999999971</v>
      </c>
      <c r="P1403" s="6">
        <v>46905</v>
      </c>
      <c r="Q1403" t="s">
        <v>73</v>
      </c>
      <c r="R1403" s="111">
        <v>11335.47</v>
      </c>
      <c r="S1403" s="3" t="s">
        <v>69</v>
      </c>
      <c r="V1403" s="51">
        <v>0.65486111111111112</v>
      </c>
    </row>
    <row r="1404" spans="1:25" hidden="1">
      <c r="A1404" s="30">
        <v>24201088</v>
      </c>
      <c r="B1404" s="31">
        <v>46267</v>
      </c>
      <c r="C1404" s="32">
        <v>0.66059027777777779</v>
      </c>
      <c r="D1404" s="33"/>
      <c r="E1404" s="34">
        <v>5215547031705</v>
      </c>
      <c r="F1404" s="33"/>
      <c r="G1404" s="33"/>
      <c r="H1404" s="35">
        <v>88836407606</v>
      </c>
      <c r="I1404" s="33"/>
      <c r="J1404" s="36"/>
      <c r="K1404" t="s">
        <v>30</v>
      </c>
      <c r="L1404" s="111">
        <v>9760.32</v>
      </c>
      <c r="M1404" s="111">
        <v>2823</v>
      </c>
      <c r="N1404" s="3">
        <f>L1404*0.3</f>
        <v>2928.096</v>
      </c>
      <c r="O1404" s="3">
        <f>(IF(L1404&lt;4172.98,0,MIN(L1404*0.3,L1404-4172.98)))-M1404</f>
        <v>105.096</v>
      </c>
      <c r="P1404" s="6">
        <v>46722</v>
      </c>
      <c r="Q1404" t="s">
        <v>44</v>
      </c>
      <c r="R1404" s="111">
        <v>2823</v>
      </c>
      <c r="S1404" s="3" t="s">
        <v>69</v>
      </c>
      <c r="V1404" s="51">
        <v>0.66041666666666665</v>
      </c>
    </row>
    <row r="1405" spans="1:25" hidden="1">
      <c r="A1405" s="30">
        <v>24201002</v>
      </c>
      <c r="B1405" s="31">
        <v>46267</v>
      </c>
      <c r="C1405" s="32">
        <v>0.66123842592592597</v>
      </c>
      <c r="D1405" s="33"/>
      <c r="E1405" s="34">
        <v>5215568548927</v>
      </c>
      <c r="F1405" s="33"/>
      <c r="G1405" s="33" t="s">
        <v>1384</v>
      </c>
      <c r="H1405" s="35"/>
      <c r="I1405" s="33"/>
      <c r="J1405" s="36"/>
      <c r="K1405" t="s">
        <v>189</v>
      </c>
      <c r="N1405" s="3">
        <f>L1405*0.3</f>
        <v>0</v>
      </c>
      <c r="O1405" s="3">
        <f>(IF(L1405&lt;4172.98,0,MIN(L1405*0.3,L1405-4172.98)))-M1405</f>
        <v>0</v>
      </c>
      <c r="S1405" s="3" t="s">
        <v>69</v>
      </c>
      <c r="V1405" s="51">
        <v>0.66111111111111109</v>
      </c>
    </row>
    <row r="1406" spans="1:25" hidden="1">
      <c r="A1406" s="12">
        <v>24201216</v>
      </c>
      <c r="B1406" s="13">
        <v>46267</v>
      </c>
      <c r="C1406" s="14">
        <v>0.66732638888888884</v>
      </c>
      <c r="D1406" s="15"/>
      <c r="E1406" s="16">
        <v>5216863940318</v>
      </c>
      <c r="F1406" s="15"/>
      <c r="G1406" s="15"/>
      <c r="H1406" s="17" t="s">
        <v>1385</v>
      </c>
      <c r="I1406" s="15"/>
      <c r="J1406" s="18"/>
      <c r="K1406" t="s">
        <v>30</v>
      </c>
      <c r="L1406" s="111">
        <v>9760.32</v>
      </c>
      <c r="M1406" s="111">
        <v>2823.85</v>
      </c>
      <c r="N1406" s="3">
        <f t="shared" ref="N1406:N1407" si="136">L1406*0.3</f>
        <v>2928.096</v>
      </c>
      <c r="O1406" s="3">
        <f t="shared" ref="O1406:O1407" si="137">(IF(L1406&lt;4172.98,0,MIN(L1406*0.3,L1406-4172.98)))-M1406</f>
        <v>104.24600000000009</v>
      </c>
      <c r="P1406" s="6">
        <v>46753</v>
      </c>
      <c r="Q1406" t="s">
        <v>44</v>
      </c>
      <c r="R1406" s="111">
        <v>2823.85</v>
      </c>
      <c r="S1406" s="3" t="s">
        <v>69</v>
      </c>
      <c r="U1406" s="51"/>
      <c r="V1406" s="51">
        <v>0.67013888888888884</v>
      </c>
    </row>
    <row r="1407" spans="1:25" hidden="1">
      <c r="A1407" s="30">
        <v>24201274</v>
      </c>
      <c r="B1407" s="31">
        <v>46267</v>
      </c>
      <c r="C1407" s="32">
        <v>0.66965277777777776</v>
      </c>
      <c r="D1407" s="33"/>
      <c r="E1407" s="34">
        <v>5218333870333</v>
      </c>
      <c r="F1407" s="33"/>
      <c r="G1407" s="33"/>
      <c r="H1407" s="35">
        <v>49866200238</v>
      </c>
      <c r="I1407" s="33"/>
      <c r="J1407" s="36"/>
      <c r="K1407" t="s">
        <v>32</v>
      </c>
      <c r="N1407" s="3">
        <f t="shared" si="136"/>
        <v>0</v>
      </c>
      <c r="O1407" s="3">
        <f t="shared" si="137"/>
        <v>0</v>
      </c>
      <c r="S1407" s="3" t="s">
        <v>69</v>
      </c>
      <c r="U1407" s="51"/>
      <c r="V1407" s="51">
        <v>0.67013888888888884</v>
      </c>
    </row>
    <row r="1408" spans="1:25">
      <c r="A1408" s="12">
        <v>24201574</v>
      </c>
      <c r="B1408" s="13">
        <v>46267</v>
      </c>
      <c r="C1408" s="14">
        <v>0.67907407407407405</v>
      </c>
      <c r="D1408" s="15"/>
      <c r="E1408" s="16">
        <v>5215561277808</v>
      </c>
      <c r="F1408" s="15"/>
      <c r="G1408" s="15"/>
      <c r="H1408" s="17" t="s">
        <v>1386</v>
      </c>
      <c r="I1408" s="15"/>
      <c r="J1408" s="18"/>
      <c r="K1408" t="s">
        <v>54</v>
      </c>
      <c r="L1408" s="3">
        <f>42546.16-31909.62</f>
        <v>10636.540000000005</v>
      </c>
      <c r="N1408" s="3">
        <f t="shared" ref="N1408:N1409" si="138">L1408*0.3</f>
        <v>3190.9620000000014</v>
      </c>
      <c r="O1408" s="3">
        <f t="shared" ref="O1408:O1409" si="139">(IF(L1408&lt;4172.98,0,MIN(L1408*0.3,L1408-4172.98)))-M1408</f>
        <v>3190.9620000000014</v>
      </c>
      <c r="S1408" s="3" t="s">
        <v>55</v>
      </c>
      <c r="T1408" s="48">
        <v>46267</v>
      </c>
      <c r="V1408" s="51">
        <v>0.6791666666666667</v>
      </c>
      <c r="W1408" s="51">
        <v>0.68194444444444446</v>
      </c>
      <c r="X1408" s="51">
        <v>0.68611111111111112</v>
      </c>
      <c r="Y1408" s="51">
        <v>0.68611111111111112</v>
      </c>
    </row>
    <row r="1409" spans="1:25">
      <c r="A1409" s="30">
        <v>24201552</v>
      </c>
      <c r="B1409" s="31">
        <v>46267</v>
      </c>
      <c r="C1409" s="32">
        <v>0.6794675925925926</v>
      </c>
      <c r="D1409" s="33"/>
      <c r="E1409" s="34">
        <v>5217228677012</v>
      </c>
      <c r="F1409" s="33"/>
      <c r="G1409" s="33" t="s">
        <v>1387</v>
      </c>
      <c r="H1409" s="35"/>
      <c r="I1409" s="33"/>
      <c r="J1409" s="36"/>
      <c r="K1409" t="s">
        <v>27</v>
      </c>
      <c r="L1409" s="111">
        <v>13266.31</v>
      </c>
      <c r="M1409" s="111">
        <v>3461.12</v>
      </c>
      <c r="N1409" s="3">
        <f t="shared" si="138"/>
        <v>3979.8929999999996</v>
      </c>
      <c r="O1409" s="3">
        <f t="shared" si="139"/>
        <v>518.77299999999968</v>
      </c>
      <c r="P1409" s="6">
        <v>46054</v>
      </c>
      <c r="Q1409" t="s">
        <v>77</v>
      </c>
      <c r="R1409" s="3">
        <v>2353.61</v>
      </c>
      <c r="S1409" s="3" t="s">
        <v>62</v>
      </c>
      <c r="T1409" s="48">
        <v>46267</v>
      </c>
      <c r="V1409" s="51">
        <v>0.6791666666666667</v>
      </c>
      <c r="W1409" s="51">
        <v>0.68402777777777779</v>
      </c>
      <c r="X1409" s="51">
        <v>0.6875</v>
      </c>
      <c r="Y1409" s="51">
        <v>0.69027777777777777</v>
      </c>
    </row>
    <row r="1410" spans="1:25" hidden="1">
      <c r="A1410" s="30">
        <v>24201818</v>
      </c>
      <c r="B1410" s="31">
        <v>46267</v>
      </c>
      <c r="C1410" s="32">
        <v>0.69193287037037032</v>
      </c>
      <c r="D1410" s="33" t="s">
        <v>1388</v>
      </c>
      <c r="E1410" s="34" t="s">
        <v>1389</v>
      </c>
      <c r="F1410" s="33"/>
      <c r="G1410" s="33" t="s">
        <v>1390</v>
      </c>
      <c r="H1410" s="35">
        <v>32947708114</v>
      </c>
      <c r="I1410" s="33"/>
      <c r="J1410" s="36"/>
      <c r="K1410" t="s">
        <v>30</v>
      </c>
      <c r="L1410" s="111">
        <v>9582.4699999999993</v>
      </c>
      <c r="M1410" s="111">
        <v>2872.01</v>
      </c>
      <c r="N1410" s="3">
        <f>L1410*0.3</f>
        <v>2874.7409999999995</v>
      </c>
      <c r="O1410" s="3">
        <f>(IF(L1410&lt;4172.98,0,MIN(L1410*0.3,L1410-4172.98)))-M1410</f>
        <v>2.7309999999993124</v>
      </c>
      <c r="P1410" s="6">
        <v>46966</v>
      </c>
      <c r="Q1410" t="s">
        <v>141</v>
      </c>
      <c r="R1410" s="111">
        <v>2872.01</v>
      </c>
      <c r="S1410" s="3" t="s">
        <v>69</v>
      </c>
      <c r="V1410" s="51">
        <v>0.69236111111111109</v>
      </c>
    </row>
    <row r="1411" spans="1:25" hidden="1">
      <c r="A1411" s="30">
        <v>24202090</v>
      </c>
      <c r="B1411" s="31">
        <v>46267</v>
      </c>
      <c r="C1411" s="32">
        <v>0.70105324074074071</v>
      </c>
      <c r="D1411" s="33"/>
      <c r="E1411" s="34">
        <v>6971077917</v>
      </c>
      <c r="F1411" s="33"/>
      <c r="G1411" s="33" t="s">
        <v>1391</v>
      </c>
      <c r="H1411" s="35"/>
      <c r="I1411" s="33"/>
      <c r="J1411" s="36"/>
      <c r="K1411" t="s">
        <v>32</v>
      </c>
      <c r="N1411" s="3">
        <f>L1411*0.3</f>
        <v>0</v>
      </c>
      <c r="O1411" s="3">
        <f>(IF(L1411&lt;4172.98,0,MIN(L1411*0.3,L1411-4172.98)))-M1411</f>
        <v>0</v>
      </c>
      <c r="S1411" s="3" t="s">
        <v>69</v>
      </c>
      <c r="V1411" s="51">
        <v>0.70208333333333328</v>
      </c>
    </row>
    <row r="1412" spans="1:25">
      <c r="A1412" s="30">
        <v>24202298</v>
      </c>
      <c r="B1412" s="31">
        <v>46267</v>
      </c>
      <c r="C1412" s="32">
        <v>0.70357638888888885</v>
      </c>
      <c r="D1412" s="33"/>
      <c r="E1412" s="34">
        <v>5216674049471</v>
      </c>
      <c r="F1412" s="33"/>
      <c r="G1412" s="33" t="s">
        <v>1392</v>
      </c>
      <c r="H1412" s="35"/>
      <c r="I1412" s="33"/>
      <c r="J1412" s="36"/>
      <c r="K1412" t="s">
        <v>54</v>
      </c>
      <c r="L1412" s="111">
        <v>23694.92</v>
      </c>
      <c r="M1412" s="111">
        <v>2013.3</v>
      </c>
      <c r="N1412" s="3">
        <f>L1412*0.3</f>
        <v>7108.4759999999997</v>
      </c>
      <c r="O1412" s="3">
        <f>(IF(L1412&lt;4172.98,0,MIN(L1412*0.3,L1412-4172.98)))-M1412</f>
        <v>5095.1759999999995</v>
      </c>
      <c r="P1412" s="6">
        <v>46935</v>
      </c>
      <c r="Q1412" t="s">
        <v>75</v>
      </c>
      <c r="R1412" s="3">
        <v>2013.83</v>
      </c>
      <c r="S1412" s="3" t="s">
        <v>327</v>
      </c>
      <c r="T1412" s="48">
        <v>46267</v>
      </c>
      <c r="V1412" s="51">
        <v>0.70347222222222228</v>
      </c>
      <c r="W1412" s="51">
        <v>0.70972222222222225</v>
      </c>
      <c r="X1412" s="51">
        <v>0.71250000000000002</v>
      </c>
      <c r="Y1412" s="51">
        <v>0.71388888888888891</v>
      </c>
    </row>
    <row r="1413" spans="1:25" hidden="1">
      <c r="A1413" s="30">
        <v>24202354</v>
      </c>
      <c r="B1413" s="31">
        <v>46267</v>
      </c>
      <c r="C1413" s="32">
        <v>0.70564814814814814</v>
      </c>
      <c r="D1413" s="33"/>
      <c r="E1413" s="34">
        <v>5214424799490</v>
      </c>
      <c r="F1413" s="33"/>
      <c r="G1413" s="33" t="s">
        <v>1393</v>
      </c>
      <c r="H1413" s="35">
        <v>78763801582</v>
      </c>
      <c r="I1413" s="33"/>
      <c r="J1413" s="36"/>
      <c r="K1413" t="s">
        <v>58</v>
      </c>
      <c r="L1413" s="3">
        <v>3941.18</v>
      </c>
      <c r="N1413" s="3">
        <f>L1413*0.3</f>
        <v>1182.3539999999998</v>
      </c>
      <c r="O1413" s="3">
        <f>(IF(L1413&lt;4172.98,0,MIN(L1413*0.3,L1413-4172.98)))-M1413</f>
        <v>0</v>
      </c>
      <c r="S1413" s="3" t="s">
        <v>69</v>
      </c>
      <c r="V1413" s="51">
        <v>0.7055555555555556</v>
      </c>
    </row>
    <row r="1414" spans="1:25">
      <c r="A1414" s="30">
        <v>24202672</v>
      </c>
      <c r="B1414" s="31">
        <v>46267</v>
      </c>
      <c r="C1414" s="32">
        <v>0.71866898148148151</v>
      </c>
      <c r="D1414" s="33"/>
      <c r="E1414" s="34">
        <v>5218671006954</v>
      </c>
      <c r="F1414" s="33"/>
      <c r="G1414" s="33"/>
      <c r="H1414" s="35">
        <v>49886983920</v>
      </c>
      <c r="I1414" s="33"/>
      <c r="J1414" s="36"/>
      <c r="K1414" t="s">
        <v>27</v>
      </c>
      <c r="L1414" s="111">
        <v>5661.66</v>
      </c>
      <c r="M1414" s="111">
        <v>1372.94</v>
      </c>
      <c r="N1414" s="3">
        <f>L1414*0.3</f>
        <v>1698.4979999999998</v>
      </c>
      <c r="O1414" s="3">
        <f>(IF(L1414&lt;4172.98,0,MIN(L1414*0.3,L1414-4172.98)))-M1414</f>
        <v>115.74000000000024</v>
      </c>
      <c r="P1414" s="6">
        <v>46235</v>
      </c>
      <c r="Q1414" t="s">
        <v>1312</v>
      </c>
      <c r="R1414" s="111">
        <v>1372.94</v>
      </c>
      <c r="S1414" s="3" t="s">
        <v>358</v>
      </c>
      <c r="T1414" s="48">
        <v>46267</v>
      </c>
      <c r="V1414" s="51">
        <v>0.72569444444444442</v>
      </c>
      <c r="W1414" s="51">
        <v>0.72916666666666663</v>
      </c>
      <c r="X1414" s="51">
        <v>0.73124999999999996</v>
      </c>
      <c r="Y1414" s="51">
        <v>0.73333333333333328</v>
      </c>
    </row>
    <row r="1415" spans="1:25" hidden="1">
      <c r="A1415" s="30">
        <v>24202916</v>
      </c>
      <c r="B1415" s="31">
        <v>46267</v>
      </c>
      <c r="C1415" s="32">
        <v>0.73185185185185186</v>
      </c>
      <c r="D1415" s="33"/>
      <c r="E1415" s="34">
        <v>5214495386064</v>
      </c>
      <c r="F1415" s="33"/>
      <c r="G1415" s="33"/>
      <c r="H1415" s="35">
        <v>51867100847</v>
      </c>
      <c r="I1415" s="33"/>
      <c r="J1415" s="36"/>
      <c r="K1415" t="s">
        <v>58</v>
      </c>
      <c r="L1415" s="3">
        <v>2695.91</v>
      </c>
      <c r="N1415" s="3">
        <f>L1415*0.3</f>
        <v>808.77299999999991</v>
      </c>
      <c r="O1415" s="3">
        <f>(IF(L1415&lt;4172.98,0,MIN(L1415*0.3,L1415-4172.98)))-M1415</f>
        <v>0</v>
      </c>
      <c r="S1415" s="3" t="s">
        <v>69</v>
      </c>
      <c r="V1415" s="51">
        <v>0.73263888888888884</v>
      </c>
    </row>
    <row r="1416" spans="1:25">
      <c r="A1416" s="30">
        <v>24203114</v>
      </c>
      <c r="B1416" s="31">
        <v>46267</v>
      </c>
      <c r="C1416" s="32">
        <v>0.73771990740740745</v>
      </c>
      <c r="D1416" s="33"/>
      <c r="E1416" s="34">
        <v>5215651620763</v>
      </c>
      <c r="F1416" s="33"/>
      <c r="G1416" s="33"/>
      <c r="H1416" s="35" t="s">
        <v>1394</v>
      </c>
      <c r="I1416" s="33"/>
      <c r="J1416" s="36"/>
      <c r="K1416" t="s">
        <v>54</v>
      </c>
      <c r="L1416" s="111">
        <v>9760.32</v>
      </c>
      <c r="M1416" s="111">
        <v>879</v>
      </c>
      <c r="N1416" s="3">
        <f>L1416*0.3</f>
        <v>2928.096</v>
      </c>
      <c r="O1416" s="3">
        <f>(IF(L1416&lt;4172.98,0,MIN(L1416*0.3,L1416-4172.98)))-M1416</f>
        <v>2049.096</v>
      </c>
      <c r="S1416" s="3" t="s">
        <v>886</v>
      </c>
      <c r="T1416" s="48">
        <v>46267</v>
      </c>
      <c r="V1416" s="51">
        <v>0.73819444444444449</v>
      </c>
      <c r="W1416" s="51">
        <v>0.74791666666666667</v>
      </c>
      <c r="X1416" s="51">
        <v>0.75208333333333333</v>
      </c>
      <c r="Y1416" s="51">
        <v>0.75416666666666665</v>
      </c>
    </row>
    <row r="1417" spans="1:25" hidden="1">
      <c r="A1417" s="30">
        <v>24203272</v>
      </c>
      <c r="B1417" s="31">
        <v>46267</v>
      </c>
      <c r="C1417" s="32">
        <v>0.74228009259259264</v>
      </c>
      <c r="D1417" s="33"/>
      <c r="E1417" s="34">
        <v>5216331013360</v>
      </c>
      <c r="F1417" s="33"/>
      <c r="G1417" s="33"/>
      <c r="H1417" s="35" t="s">
        <v>1395</v>
      </c>
      <c r="I1417" s="33"/>
      <c r="J1417" s="36"/>
      <c r="K1417" t="s">
        <v>32</v>
      </c>
      <c r="N1417" s="3">
        <f>L1417*0.3</f>
        <v>0</v>
      </c>
      <c r="O1417" s="3">
        <f>(IF(L1417&lt;4172.98,0,MIN(L1417*0.3,L1417-4172.98)))-M1417</f>
        <v>0</v>
      </c>
      <c r="S1417" s="3" t="s">
        <v>69</v>
      </c>
      <c r="V1417" s="51">
        <v>0.74305555555555558</v>
      </c>
    </row>
    <row r="1418" spans="1:25" hidden="1">
      <c r="A1418" s="30">
        <v>24203224</v>
      </c>
      <c r="B1418" s="31">
        <v>46267</v>
      </c>
      <c r="C1418" s="32">
        <v>0.74392361111111116</v>
      </c>
      <c r="D1418" s="33"/>
      <c r="E1418" s="34">
        <v>5218441103615</v>
      </c>
      <c r="F1418" s="33"/>
      <c r="G1418" s="33"/>
      <c r="H1418" s="35">
        <v>32917580022</v>
      </c>
      <c r="I1418" s="33"/>
      <c r="J1418" s="36"/>
      <c r="K1418" t="s">
        <v>30</v>
      </c>
      <c r="L1418" s="111">
        <v>8181.55</v>
      </c>
      <c r="M1418" s="111">
        <v>2453.4899999999998</v>
      </c>
      <c r="N1418" s="3">
        <f>L1418*0.3</f>
        <v>2454.4650000000001</v>
      </c>
      <c r="O1418" s="3">
        <f>(IF(L1418&lt;4172.98,0,MIN(L1418*0.3,L1418-4172.98)))-M1418</f>
        <v>0.9750000000003638</v>
      </c>
      <c r="P1418" s="6">
        <v>46966</v>
      </c>
      <c r="Q1418" t="s">
        <v>43</v>
      </c>
      <c r="R1418" s="111">
        <v>2453.4899999999998</v>
      </c>
      <c r="S1418" s="3" t="s">
        <v>69</v>
      </c>
      <c r="V1418" s="51">
        <v>0.74583333333333335</v>
      </c>
    </row>
    <row r="1419" spans="1:25">
      <c r="A1419" s="30">
        <v>24203302</v>
      </c>
      <c r="B1419" s="31">
        <v>46267</v>
      </c>
      <c r="C1419" s="32">
        <v>0.74674768518518519</v>
      </c>
      <c r="D1419" s="33"/>
      <c r="E1419" s="34">
        <v>5216413260487</v>
      </c>
      <c r="F1419" s="33"/>
      <c r="G1419" s="33"/>
      <c r="H1419" s="35">
        <v>23775706205</v>
      </c>
      <c r="I1419" s="33"/>
      <c r="J1419" s="36"/>
      <c r="K1419" t="s">
        <v>54</v>
      </c>
      <c r="L1419" s="3">
        <v>9081.52</v>
      </c>
      <c r="N1419" s="3">
        <f>L1419*0.3</f>
        <v>2724.4560000000001</v>
      </c>
      <c r="O1419" s="3">
        <f>(IF(L1419&lt;4172.98,0,MIN(L1419*0.3,L1419-4172.98)))-M1419</f>
        <v>2724.4560000000001</v>
      </c>
      <c r="S1419" s="3" t="s">
        <v>879</v>
      </c>
      <c r="T1419" s="48">
        <v>46267</v>
      </c>
      <c r="V1419" s="51">
        <v>0.74722222222222223</v>
      </c>
      <c r="W1419" s="51">
        <v>0.75486111111111109</v>
      </c>
      <c r="X1419" s="51">
        <v>0.75694444444444442</v>
      </c>
      <c r="Y1419" s="51">
        <v>0.75763888888888886</v>
      </c>
    </row>
    <row r="1420" spans="1:25" hidden="1">
      <c r="A1420" s="30">
        <v>24203234</v>
      </c>
      <c r="B1420" s="31">
        <v>46267</v>
      </c>
      <c r="C1420" s="32">
        <v>0.7480324074074074</v>
      </c>
      <c r="D1420" s="33"/>
      <c r="E1420" s="34">
        <v>5215539969834</v>
      </c>
      <c r="F1420" s="33"/>
      <c r="G1420" s="33"/>
      <c r="H1420" s="35">
        <v>63826303214</v>
      </c>
      <c r="I1420" s="33"/>
      <c r="J1420" s="36"/>
      <c r="K1420" t="s">
        <v>32</v>
      </c>
      <c r="N1420" s="3">
        <f>L1420*0.3</f>
        <v>0</v>
      </c>
      <c r="O1420" s="3">
        <f>(IF(L1420&lt;4172.98,0,MIN(L1420*0.3,L1420-4172.98)))-M1420</f>
        <v>0</v>
      </c>
      <c r="S1420" s="3" t="s">
        <v>69</v>
      </c>
      <c r="V1420" s="51">
        <v>0.74791666666666667</v>
      </c>
    </row>
    <row r="1421" spans="1:25">
      <c r="A1421" s="30">
        <v>24203454</v>
      </c>
      <c r="B1421" s="31">
        <v>46267</v>
      </c>
      <c r="C1421" s="32">
        <v>0.74996527777777777</v>
      </c>
      <c r="D1421" s="33"/>
      <c r="E1421" s="34">
        <v>5213141025455</v>
      </c>
      <c r="F1421" s="33"/>
      <c r="G1421" s="33"/>
      <c r="H1421" s="35">
        <v>52845801431</v>
      </c>
      <c r="I1421" s="33"/>
      <c r="J1421" s="36"/>
      <c r="K1421" t="s">
        <v>54</v>
      </c>
      <c r="L1421" s="111">
        <v>41541.58</v>
      </c>
      <c r="M1421" s="111">
        <v>1315.26</v>
      </c>
      <c r="N1421" s="3">
        <f>L1421*0.3</f>
        <v>12462.474</v>
      </c>
      <c r="O1421" s="3">
        <f>(IF(L1421&lt;4172.98,0,MIN(L1421*0.3,L1421-4172.98)))-M1421</f>
        <v>11147.214</v>
      </c>
      <c r="P1421" s="6">
        <v>46204</v>
      </c>
      <c r="Q1421" t="s">
        <v>59</v>
      </c>
      <c r="R1421" s="111">
        <v>1315.26</v>
      </c>
      <c r="S1421" s="3" t="s">
        <v>55</v>
      </c>
      <c r="T1421" s="48">
        <v>46267</v>
      </c>
      <c r="V1421" s="51">
        <v>0.75069444444444444</v>
      </c>
      <c r="W1421" s="51">
        <v>0.75902777777777775</v>
      </c>
      <c r="X1421" s="51">
        <v>0.76458333333333328</v>
      </c>
      <c r="Y1421" s="51">
        <v>0.76527777777777772</v>
      </c>
    </row>
    <row r="1422" spans="1:25">
      <c r="A1422" s="30">
        <v>24203902</v>
      </c>
      <c r="B1422" s="31">
        <v>46267</v>
      </c>
      <c r="C1422" s="32">
        <v>0.75531250000000005</v>
      </c>
      <c r="D1422" s="33"/>
      <c r="E1422" s="34">
        <v>5218948468176</v>
      </c>
      <c r="F1422" s="33"/>
      <c r="G1422" s="33" t="s">
        <v>1396</v>
      </c>
      <c r="H1422" s="35"/>
      <c r="I1422" s="33"/>
      <c r="J1422" s="36"/>
      <c r="K1422" t="s">
        <v>27</v>
      </c>
      <c r="L1422" s="111">
        <v>11813.87</v>
      </c>
      <c r="M1422" s="111">
        <v>1955.8</v>
      </c>
      <c r="N1422" s="3">
        <f>L1422*0.3</f>
        <v>3544.1610000000001</v>
      </c>
      <c r="O1422" s="3">
        <f>(IF(L1422&lt;4172.98,0,MIN(L1422*0.3,L1422-4172.98)))-M1422</f>
        <v>1588.3610000000001</v>
      </c>
      <c r="P1422" s="6">
        <v>46143</v>
      </c>
      <c r="Q1422" t="s">
        <v>210</v>
      </c>
      <c r="R1422" s="111">
        <v>1955.8</v>
      </c>
      <c r="S1422" s="3" t="s">
        <v>358</v>
      </c>
      <c r="T1422" s="48">
        <v>46267</v>
      </c>
      <c r="V1422" s="51">
        <v>0.75486111111111109</v>
      </c>
      <c r="W1422" s="51">
        <v>0.76041666666666663</v>
      </c>
      <c r="X1422" s="51">
        <v>0.76249999999999996</v>
      </c>
      <c r="Y1422" s="51">
        <v>0.76736111111111116</v>
      </c>
    </row>
    <row r="1423" spans="1:25">
      <c r="A1423" s="30">
        <v>24203936</v>
      </c>
      <c r="B1423" s="31">
        <v>46267</v>
      </c>
      <c r="C1423" s="32">
        <v>0.76009259259259254</v>
      </c>
      <c r="D1423" s="33"/>
      <c r="E1423" s="34">
        <v>5213311902269</v>
      </c>
      <c r="F1423" s="33"/>
      <c r="G1423" s="33"/>
      <c r="H1423" s="35" t="s">
        <v>1397</v>
      </c>
      <c r="I1423" s="33"/>
      <c r="J1423" s="36"/>
      <c r="K1423" t="s">
        <v>54</v>
      </c>
      <c r="L1423" s="3">
        <v>9081.52</v>
      </c>
      <c r="N1423" s="3">
        <f>L1423*0.3</f>
        <v>2724.4560000000001</v>
      </c>
      <c r="O1423" s="3">
        <f>(IF(L1423&lt;4172.98,0,MIN(L1423*0.3,L1423-4172.98)))-M1423</f>
        <v>2724.4560000000001</v>
      </c>
      <c r="S1423" s="3" t="s">
        <v>879</v>
      </c>
      <c r="T1423" s="48">
        <v>46267</v>
      </c>
      <c r="U1423" s="85"/>
      <c r="V1423" s="51">
        <v>0.76041666666666663</v>
      </c>
      <c r="W1423" s="51">
        <v>0.76180555555555551</v>
      </c>
      <c r="X1423" s="51">
        <v>0.76944444444444449</v>
      </c>
      <c r="Y1423" s="51">
        <v>0.78541666666666665</v>
      </c>
    </row>
    <row r="1424" spans="1:25" hidden="1">
      <c r="A1424" s="12">
        <v>24204146</v>
      </c>
      <c r="B1424" s="13">
        <v>46267</v>
      </c>
      <c r="C1424" s="14">
        <v>0.77135416666666667</v>
      </c>
      <c r="D1424" s="15"/>
      <c r="E1424" s="16">
        <v>5216871982184</v>
      </c>
      <c r="F1424" s="15">
        <v>1</v>
      </c>
      <c r="G1424" s="15"/>
      <c r="H1424" s="17">
        <v>23745627770</v>
      </c>
      <c r="I1424" s="15"/>
      <c r="J1424" s="18"/>
      <c r="K1424" t="s">
        <v>58</v>
      </c>
      <c r="L1424" s="3">
        <v>3675.56</v>
      </c>
      <c r="M1424" s="3">
        <v>848</v>
      </c>
      <c r="N1424" s="3">
        <f t="shared" ref="N1424:N1436" si="140">L1424*0.3</f>
        <v>1102.6679999999999</v>
      </c>
      <c r="O1424" s="3">
        <f t="shared" ref="O1424:O1436" si="141">(IF(L1424&lt;4172.98,0,MIN(L1424*0.3,L1424-4172.98)))-M1424</f>
        <v>-848</v>
      </c>
      <c r="S1424" s="3" t="s">
        <v>204</v>
      </c>
      <c r="V1424" s="51">
        <v>0.38541666666666669</v>
      </c>
    </row>
    <row r="1425" spans="1:25">
      <c r="A1425" s="12">
        <v>24204370</v>
      </c>
      <c r="B1425" s="13">
        <v>46267</v>
      </c>
      <c r="C1425" s="14">
        <v>0.77762731481481484</v>
      </c>
      <c r="D1425" s="15"/>
      <c r="E1425" s="16">
        <v>5218711618300</v>
      </c>
      <c r="F1425" s="15">
        <v>1</v>
      </c>
      <c r="G1425" s="15"/>
      <c r="H1425" s="17" t="s">
        <v>1398</v>
      </c>
      <c r="I1425" s="15"/>
      <c r="J1425" s="18"/>
      <c r="K1425" t="s">
        <v>34</v>
      </c>
      <c r="L1425" s="111">
        <v>28020.9</v>
      </c>
      <c r="M1425" s="111">
        <v>7374.36</v>
      </c>
      <c r="N1425" s="3">
        <f t="shared" si="140"/>
        <v>8406.27</v>
      </c>
      <c r="O1425" s="3">
        <f t="shared" si="141"/>
        <v>1031.9100000000008</v>
      </c>
      <c r="P1425" s="6">
        <v>46054</v>
      </c>
      <c r="Q1425" t="s">
        <v>141</v>
      </c>
      <c r="R1425" s="3">
        <v>8406.27</v>
      </c>
      <c r="S1425" s="3" t="s">
        <v>35</v>
      </c>
      <c r="T1425" s="48">
        <v>46268</v>
      </c>
      <c r="V1425" s="51">
        <v>0.38541666666666669</v>
      </c>
      <c r="W1425" s="51">
        <v>0.39791666666666664</v>
      </c>
      <c r="X1425" s="51">
        <v>0.40694444444444444</v>
      </c>
      <c r="Y1425" s="51">
        <v>0.40902777777777777</v>
      </c>
    </row>
    <row r="1426" spans="1:25" hidden="1">
      <c r="A1426" s="12">
        <v>24204512</v>
      </c>
      <c r="B1426" s="13">
        <v>46267</v>
      </c>
      <c r="C1426" s="14">
        <v>0.77844907407407404</v>
      </c>
      <c r="D1426" s="15"/>
      <c r="E1426" s="16">
        <v>5212271211567</v>
      </c>
      <c r="F1426" s="15">
        <v>1</v>
      </c>
      <c r="G1426" s="15" t="s">
        <v>1399</v>
      </c>
      <c r="H1426" s="17"/>
      <c r="I1426" s="15"/>
      <c r="J1426" s="18"/>
      <c r="K1426" t="s">
        <v>32</v>
      </c>
      <c r="N1426" s="3">
        <f t="shared" si="140"/>
        <v>0</v>
      </c>
      <c r="O1426" s="3">
        <f t="shared" si="141"/>
        <v>0</v>
      </c>
      <c r="S1426" s="3" t="s">
        <v>204</v>
      </c>
      <c r="V1426" s="51">
        <v>0.38541666666666669</v>
      </c>
    </row>
    <row r="1427" spans="1:25">
      <c r="A1427" s="12">
        <v>24205238</v>
      </c>
      <c r="B1427" s="13">
        <v>46267</v>
      </c>
      <c r="C1427" s="14">
        <v>0.81776620370370368</v>
      </c>
      <c r="D1427" s="15"/>
      <c r="E1427" s="16">
        <v>5214441596083</v>
      </c>
      <c r="F1427" s="15">
        <v>1</v>
      </c>
      <c r="G1427" s="15"/>
      <c r="H1427" s="17" t="s">
        <v>1400</v>
      </c>
      <c r="I1427" s="15"/>
      <c r="J1427" s="18"/>
      <c r="K1427" t="s">
        <v>34</v>
      </c>
      <c r="L1427" s="111">
        <v>6390.8</v>
      </c>
      <c r="M1427" s="111">
        <v>1917.17</v>
      </c>
      <c r="N1427" s="3">
        <f t="shared" si="140"/>
        <v>1917.24</v>
      </c>
      <c r="O1427" s="3">
        <f t="shared" si="141"/>
        <v>6.9999999999936335E-2</v>
      </c>
      <c r="P1427" s="6">
        <v>45717</v>
      </c>
      <c r="Q1427" t="s">
        <v>141</v>
      </c>
      <c r="R1427" s="3">
        <v>1408.17</v>
      </c>
      <c r="S1427" s="3" t="s">
        <v>271</v>
      </c>
      <c r="T1427" s="48">
        <v>46268</v>
      </c>
      <c r="V1427" s="51">
        <v>0.38541666666666669</v>
      </c>
      <c r="W1427" s="51">
        <v>0.4</v>
      </c>
      <c r="X1427" s="51">
        <v>0.40902777777777777</v>
      </c>
      <c r="Y1427" s="51">
        <v>0.41041666666666665</v>
      </c>
    </row>
    <row r="1428" spans="1:25" hidden="1">
      <c r="A1428" s="12">
        <v>24205298</v>
      </c>
      <c r="B1428" s="13">
        <v>46267</v>
      </c>
      <c r="C1428" s="14">
        <v>0.8195486111111111</v>
      </c>
      <c r="D1428" s="15"/>
      <c r="E1428" s="16">
        <v>5212461030766</v>
      </c>
      <c r="F1428" s="15">
        <v>1</v>
      </c>
      <c r="G1428" s="15"/>
      <c r="H1428" s="17" t="s">
        <v>1401</v>
      </c>
      <c r="I1428" s="15"/>
      <c r="J1428" s="18"/>
      <c r="K1428" t="s">
        <v>32</v>
      </c>
      <c r="N1428" s="3">
        <f t="shared" si="140"/>
        <v>0</v>
      </c>
      <c r="O1428" s="3">
        <f t="shared" si="141"/>
        <v>0</v>
      </c>
      <c r="S1428" s="3" t="s">
        <v>204</v>
      </c>
      <c r="V1428" s="51">
        <v>0.38541666666666669</v>
      </c>
    </row>
    <row r="1429" spans="1:25" hidden="1">
      <c r="A1429" s="12">
        <v>24205284</v>
      </c>
      <c r="B1429" s="13">
        <v>46267</v>
      </c>
      <c r="C1429" s="14">
        <v>0.82424768518518521</v>
      </c>
      <c r="D1429" s="15"/>
      <c r="E1429" s="16">
        <v>5212471061739</v>
      </c>
      <c r="F1429" s="15">
        <v>1</v>
      </c>
      <c r="G1429" s="15"/>
      <c r="H1429" s="17">
        <v>61866203245</v>
      </c>
      <c r="I1429" s="15"/>
      <c r="J1429" s="18"/>
      <c r="K1429" t="s">
        <v>30</v>
      </c>
      <c r="L1429" s="111">
        <v>8747</v>
      </c>
      <c r="M1429" s="111">
        <v>2624.09</v>
      </c>
      <c r="N1429" s="3">
        <f t="shared" si="140"/>
        <v>2624.1</v>
      </c>
      <c r="O1429" s="3">
        <f t="shared" si="141"/>
        <v>9.9999999997635314E-3</v>
      </c>
      <c r="P1429" s="6">
        <v>46722</v>
      </c>
      <c r="Q1429" t="s">
        <v>75</v>
      </c>
      <c r="R1429" s="3">
        <v>2170</v>
      </c>
      <c r="S1429" s="3" t="s">
        <v>204</v>
      </c>
      <c r="V1429" s="51">
        <v>0.38541666666666669</v>
      </c>
    </row>
    <row r="1430" spans="1:25">
      <c r="A1430" s="12">
        <v>24205382</v>
      </c>
      <c r="B1430" s="13">
        <v>46267</v>
      </c>
      <c r="C1430" s="14">
        <v>0.82530092592592597</v>
      </c>
      <c r="D1430" s="15"/>
      <c r="E1430" s="16">
        <v>5216462476311</v>
      </c>
      <c r="F1430" s="15">
        <v>1</v>
      </c>
      <c r="G1430" s="15" t="s">
        <v>1402</v>
      </c>
      <c r="H1430" s="17"/>
      <c r="I1430" s="15"/>
      <c r="J1430" s="18"/>
      <c r="K1430" t="s">
        <v>54</v>
      </c>
      <c r="L1430" s="3">
        <v>11029.03</v>
      </c>
      <c r="N1430" s="3">
        <f t="shared" si="140"/>
        <v>3308.7090000000003</v>
      </c>
      <c r="O1430" s="3">
        <f t="shared" si="141"/>
        <v>3308.7090000000003</v>
      </c>
      <c r="S1430" s="3" t="s">
        <v>55</v>
      </c>
      <c r="T1430" s="48">
        <v>46268</v>
      </c>
      <c r="V1430" s="51">
        <v>0.38541666666666669</v>
      </c>
      <c r="W1430" s="51">
        <v>0.40208333333333335</v>
      </c>
      <c r="X1430" s="51">
        <v>0.40486111111111112</v>
      </c>
      <c r="Y1430" s="51">
        <v>0.40763888888888888</v>
      </c>
    </row>
    <row r="1431" spans="1:25">
      <c r="A1431" s="12">
        <v>24205474</v>
      </c>
      <c r="B1431" s="13">
        <v>46267</v>
      </c>
      <c r="C1431" s="14">
        <v>0.82836805555555559</v>
      </c>
      <c r="D1431" s="15"/>
      <c r="E1431" s="16">
        <v>5216862375265</v>
      </c>
      <c r="F1431" s="15">
        <v>1</v>
      </c>
      <c r="G1431" s="15"/>
      <c r="H1431" s="17">
        <v>21927573184</v>
      </c>
      <c r="I1431" s="15"/>
      <c r="J1431" s="18"/>
      <c r="K1431" t="s">
        <v>34</v>
      </c>
      <c r="L1431" s="111">
        <v>5629.77</v>
      </c>
      <c r="M1431" s="111">
        <v>1348.18</v>
      </c>
      <c r="N1431" s="3">
        <f t="shared" si="140"/>
        <v>1688.931</v>
      </c>
      <c r="O1431" s="3">
        <f t="shared" si="141"/>
        <v>108.61000000000081</v>
      </c>
      <c r="P1431" s="6">
        <v>46235</v>
      </c>
      <c r="Q1431" t="s">
        <v>57</v>
      </c>
      <c r="R1431" s="3">
        <v>1688.93</v>
      </c>
      <c r="S1431" s="3" t="s">
        <v>271</v>
      </c>
      <c r="T1431" s="48">
        <v>46268</v>
      </c>
      <c r="V1431" s="51">
        <v>0.38541666666666669</v>
      </c>
      <c r="W1431" s="51">
        <v>0.40277777777777779</v>
      </c>
      <c r="X1431" s="51">
        <v>0.41458333333333336</v>
      </c>
      <c r="Y1431" s="51">
        <v>0.41666666666666669</v>
      </c>
    </row>
    <row r="1432" spans="1:25" hidden="1">
      <c r="A1432" s="12">
        <v>23378154</v>
      </c>
      <c r="B1432" s="13">
        <v>46267</v>
      </c>
      <c r="C1432" s="14">
        <v>0.83024305555555555</v>
      </c>
      <c r="D1432" s="15" t="s">
        <v>1403</v>
      </c>
      <c r="E1432" s="16"/>
      <c r="F1432" s="15">
        <v>1</v>
      </c>
      <c r="G1432" s="15"/>
      <c r="H1432" s="17" t="s">
        <v>1404</v>
      </c>
      <c r="I1432" s="15"/>
      <c r="J1432" s="18"/>
      <c r="K1432" t="s">
        <v>58</v>
      </c>
      <c r="L1432" s="3">
        <f>3494.43+848</f>
        <v>4342.43</v>
      </c>
      <c r="M1432" s="3">
        <v>848</v>
      </c>
      <c r="N1432" s="3">
        <f t="shared" si="140"/>
        <v>1302.729</v>
      </c>
      <c r="O1432" s="3">
        <f t="shared" si="141"/>
        <v>-678.54999999999927</v>
      </c>
      <c r="S1432" s="3" t="s">
        <v>204</v>
      </c>
      <c r="V1432" s="51">
        <v>0.38541666666666669</v>
      </c>
    </row>
    <row r="1433" spans="1:25" hidden="1">
      <c r="A1433" s="12">
        <v>24206326</v>
      </c>
      <c r="B1433" s="13">
        <v>46267</v>
      </c>
      <c r="C1433" s="14">
        <v>0.88166666666666671</v>
      </c>
      <c r="D1433" s="15" t="s">
        <v>1405</v>
      </c>
      <c r="E1433" s="16">
        <v>5215572154290</v>
      </c>
      <c r="F1433" s="15">
        <v>1</v>
      </c>
      <c r="G1433" s="15" t="s">
        <v>1406</v>
      </c>
      <c r="H1433" s="17"/>
      <c r="I1433" s="15"/>
      <c r="J1433" s="18"/>
      <c r="K1433" t="s">
        <v>32</v>
      </c>
      <c r="N1433" s="3">
        <f t="shared" si="140"/>
        <v>0</v>
      </c>
      <c r="O1433" s="3">
        <f t="shared" si="141"/>
        <v>0</v>
      </c>
      <c r="S1433" s="3" t="s">
        <v>204</v>
      </c>
      <c r="V1433" s="51">
        <v>0.38541666666666669</v>
      </c>
    </row>
    <row r="1434" spans="1:25" hidden="1">
      <c r="A1434" s="12">
        <v>24206400</v>
      </c>
      <c r="B1434" s="13">
        <v>46267</v>
      </c>
      <c r="C1434" s="14">
        <v>0.89762731481481484</v>
      </c>
      <c r="D1434" s="15" t="s">
        <v>1407</v>
      </c>
      <c r="E1434" s="16">
        <v>5218444444606</v>
      </c>
      <c r="F1434" s="15">
        <v>1</v>
      </c>
      <c r="G1434" s="15" t="s">
        <v>1408</v>
      </c>
      <c r="H1434" s="17"/>
      <c r="I1434" s="15"/>
      <c r="J1434" s="18"/>
      <c r="K1434" t="s">
        <v>32</v>
      </c>
      <c r="N1434" s="3">
        <f t="shared" si="140"/>
        <v>0</v>
      </c>
      <c r="O1434" s="3">
        <f t="shared" si="141"/>
        <v>0</v>
      </c>
      <c r="S1434" s="3" t="s">
        <v>204</v>
      </c>
      <c r="V1434" s="51">
        <v>0.38541666666666669</v>
      </c>
    </row>
    <row r="1435" spans="1:25" hidden="1">
      <c r="A1435" s="12">
        <v>24206886</v>
      </c>
      <c r="B1435" s="13">
        <v>46267</v>
      </c>
      <c r="C1435" s="14">
        <v>0.93384259259259261</v>
      </c>
      <c r="D1435" s="15"/>
      <c r="E1435" s="16">
        <v>5216721178307</v>
      </c>
      <c r="F1435" s="15">
        <v>1</v>
      </c>
      <c r="G1435" s="15"/>
      <c r="H1435" s="17" t="s">
        <v>1409</v>
      </c>
      <c r="I1435" s="15"/>
      <c r="J1435" s="18"/>
      <c r="K1435" t="s">
        <v>32</v>
      </c>
      <c r="N1435" s="3">
        <f t="shared" si="140"/>
        <v>0</v>
      </c>
      <c r="O1435" s="3">
        <f t="shared" si="141"/>
        <v>0</v>
      </c>
      <c r="S1435" s="3" t="s">
        <v>204</v>
      </c>
      <c r="V1435" s="51">
        <v>0.38541666666666669</v>
      </c>
    </row>
    <row r="1436" spans="1:25" hidden="1">
      <c r="A1436" s="30">
        <v>24206970</v>
      </c>
      <c r="B1436" s="31">
        <v>46267</v>
      </c>
      <c r="C1436" s="32">
        <v>0.94379629629629624</v>
      </c>
      <c r="D1436" s="33"/>
      <c r="E1436" s="34">
        <v>5215519191399</v>
      </c>
      <c r="F1436" s="33">
        <v>1</v>
      </c>
      <c r="G1436" s="33"/>
      <c r="H1436" s="35">
        <v>18816500229</v>
      </c>
      <c r="I1436" s="33"/>
      <c r="J1436" s="36"/>
      <c r="K1436" t="s">
        <v>30</v>
      </c>
      <c r="L1436" s="111">
        <v>9760.32</v>
      </c>
      <c r="M1436" s="111">
        <v>2910.92</v>
      </c>
      <c r="N1436" s="3">
        <f t="shared" si="140"/>
        <v>2928.096</v>
      </c>
      <c r="O1436" s="3">
        <f t="shared" si="141"/>
        <v>17.175999999999931</v>
      </c>
      <c r="P1436" s="6">
        <v>46966</v>
      </c>
      <c r="Q1436" t="s">
        <v>43</v>
      </c>
      <c r="R1436" s="3">
        <v>2910.92</v>
      </c>
      <c r="S1436" s="3" t="s">
        <v>204</v>
      </c>
      <c r="V1436" s="51">
        <v>0.38541666666666669</v>
      </c>
    </row>
    <row r="1437" spans="1:25">
      <c r="A1437" s="12">
        <v>24207464</v>
      </c>
      <c r="B1437" s="13">
        <v>46268</v>
      </c>
      <c r="C1437" s="14">
        <v>2.8148148148148148E-2</v>
      </c>
      <c r="D1437" s="15"/>
      <c r="E1437" s="16">
        <v>5216144963769</v>
      </c>
      <c r="F1437" s="15"/>
      <c r="G1437" s="15"/>
      <c r="H1437" s="17">
        <v>33796160415</v>
      </c>
      <c r="I1437" s="15"/>
      <c r="J1437" s="18"/>
      <c r="K1437" t="s">
        <v>54</v>
      </c>
      <c r="L1437" s="3">
        <v>5918.41</v>
      </c>
      <c r="N1437" s="3">
        <f t="shared" ref="N1437:N1445" si="142">L1437*0.3</f>
        <v>1775.5229999999999</v>
      </c>
      <c r="O1437" s="3">
        <f t="shared" ref="O1437:O1445" si="143">(IF(L1437&lt;4172.98,0,MIN(L1437*0.3,L1437-4172.98)))-M1437</f>
        <v>1745.4300000000003</v>
      </c>
      <c r="S1437" s="3" t="s">
        <v>886</v>
      </c>
      <c r="T1437" s="48">
        <v>46268</v>
      </c>
      <c r="V1437" s="51">
        <v>0.38541666666666669</v>
      </c>
      <c r="W1437" s="51">
        <v>0.40902777777777777</v>
      </c>
      <c r="X1437" s="51">
        <v>0.41180555555555554</v>
      </c>
      <c r="Y1437" s="51">
        <v>0.41736111111111113</v>
      </c>
    </row>
    <row r="1438" spans="1:25" hidden="1">
      <c r="A1438" s="12">
        <v>24207548</v>
      </c>
      <c r="B1438" s="13">
        <v>46268</v>
      </c>
      <c r="C1438" s="14">
        <v>4.7650462962962964E-2</v>
      </c>
      <c r="D1438" s="15"/>
      <c r="E1438" s="16"/>
      <c r="F1438" s="15"/>
      <c r="G1438" s="15"/>
      <c r="H1438" s="17">
        <v>32806361690</v>
      </c>
      <c r="I1438" s="15"/>
      <c r="J1438" s="18"/>
      <c r="K1438" t="s">
        <v>30</v>
      </c>
      <c r="L1438" s="111">
        <v>8115.07</v>
      </c>
      <c r="M1438" s="111">
        <v>2347.86</v>
      </c>
      <c r="N1438" s="3">
        <f t="shared" si="142"/>
        <v>2434.5209999999997</v>
      </c>
      <c r="O1438" s="3">
        <f t="shared" si="143"/>
        <v>86.660999999999603</v>
      </c>
      <c r="P1438" s="6">
        <v>46296</v>
      </c>
      <c r="Q1438" t="s">
        <v>421</v>
      </c>
      <c r="R1438" s="3">
        <v>821.31</v>
      </c>
      <c r="S1438" s="3" t="s">
        <v>204</v>
      </c>
      <c r="V1438" s="51">
        <v>0.38541666666666669</v>
      </c>
    </row>
    <row r="1439" spans="1:25" hidden="1">
      <c r="A1439" s="12">
        <v>24208514</v>
      </c>
      <c r="B1439" s="13">
        <v>46268</v>
      </c>
      <c r="C1439" s="14">
        <v>0.19643518518518518</v>
      </c>
      <c r="D1439" s="15"/>
      <c r="E1439" s="16">
        <v>6691163380</v>
      </c>
      <c r="F1439" s="15"/>
      <c r="G1439" s="15"/>
      <c r="H1439" s="17">
        <v>78917121812</v>
      </c>
      <c r="I1439" s="15"/>
      <c r="J1439" s="18"/>
      <c r="K1439" t="s">
        <v>32</v>
      </c>
      <c r="N1439" s="3">
        <f t="shared" si="142"/>
        <v>0</v>
      </c>
      <c r="O1439" s="3">
        <f t="shared" si="143"/>
        <v>0</v>
      </c>
      <c r="S1439" s="3" t="s">
        <v>204</v>
      </c>
      <c r="V1439" s="51">
        <v>0.38541666666666669</v>
      </c>
    </row>
    <row r="1440" spans="1:25" hidden="1">
      <c r="A1440" s="12">
        <v>24213660</v>
      </c>
      <c r="B1440" s="13">
        <v>46268</v>
      </c>
      <c r="C1440" s="14">
        <v>0.32829861111111114</v>
      </c>
      <c r="D1440" s="15"/>
      <c r="E1440" s="16">
        <v>5215518463049</v>
      </c>
      <c r="F1440" s="15"/>
      <c r="G1440" s="15"/>
      <c r="H1440" s="17">
        <v>1725684904</v>
      </c>
      <c r="I1440" s="15"/>
      <c r="J1440" s="18"/>
      <c r="K1440" t="s">
        <v>30</v>
      </c>
      <c r="L1440" s="111">
        <v>5973.73</v>
      </c>
      <c r="M1440" s="111">
        <v>1726.48</v>
      </c>
      <c r="N1440" s="3">
        <f t="shared" si="142"/>
        <v>1792.1189999999999</v>
      </c>
      <c r="O1440" s="3">
        <f t="shared" si="143"/>
        <v>65.638999999999896</v>
      </c>
      <c r="P1440" s="6">
        <v>46569</v>
      </c>
      <c r="Q1440" t="s">
        <v>59</v>
      </c>
      <c r="R1440" s="3">
        <v>1541</v>
      </c>
      <c r="S1440" s="3" t="s">
        <v>204</v>
      </c>
      <c r="V1440" s="51">
        <v>0.38541666666666669</v>
      </c>
    </row>
    <row r="1441" spans="1:25" hidden="1">
      <c r="A1441" s="12">
        <v>24213664</v>
      </c>
      <c r="B1441" s="13">
        <v>46268</v>
      </c>
      <c r="C1441" s="14">
        <v>0.33078703703703705</v>
      </c>
      <c r="D1441" s="15"/>
      <c r="E1441" s="16">
        <v>5214624714743</v>
      </c>
      <c r="F1441" s="15"/>
      <c r="G1441" s="15" t="s">
        <v>1410</v>
      </c>
      <c r="H1441" s="17">
        <v>12916515385</v>
      </c>
      <c r="I1441" s="15"/>
      <c r="J1441" s="18"/>
      <c r="K1441" t="s">
        <v>30</v>
      </c>
      <c r="L1441" s="3">
        <v>8784.2900000000009</v>
      </c>
      <c r="M1441" s="3">
        <v>2539.02</v>
      </c>
      <c r="N1441" s="3">
        <f t="shared" si="142"/>
        <v>2635.2870000000003</v>
      </c>
      <c r="O1441" s="3">
        <f t="shared" si="143"/>
        <v>96.26700000000028</v>
      </c>
      <c r="P1441" s="6">
        <v>46784</v>
      </c>
      <c r="Q1441" t="s">
        <v>210</v>
      </c>
      <c r="R1441" s="3">
        <v>2539.02</v>
      </c>
      <c r="S1441" s="3" t="s">
        <v>204</v>
      </c>
      <c r="V1441" s="51">
        <v>0.38541666666666669</v>
      </c>
    </row>
    <row r="1442" spans="1:25">
      <c r="A1442" s="12">
        <v>24213502</v>
      </c>
      <c r="B1442" s="13">
        <v>46268</v>
      </c>
      <c r="C1442" s="14">
        <v>0.33512731481481484</v>
      </c>
      <c r="D1442" s="15" t="s">
        <v>1411</v>
      </c>
      <c r="E1442" s="16">
        <v>5218701493453</v>
      </c>
      <c r="F1442" s="15"/>
      <c r="G1442" s="15" t="s">
        <v>1412</v>
      </c>
      <c r="H1442" s="17">
        <v>32896503276</v>
      </c>
      <c r="I1442" s="15"/>
      <c r="J1442" s="18"/>
      <c r="K1442" t="s">
        <v>38</v>
      </c>
      <c r="L1442" s="111">
        <v>9760.32</v>
      </c>
      <c r="M1442" s="111">
        <v>1974.6</v>
      </c>
      <c r="N1442" s="3">
        <f t="shared" si="142"/>
        <v>2928.096</v>
      </c>
      <c r="O1442" s="3">
        <f t="shared" si="143"/>
        <v>953.49600000000009</v>
      </c>
      <c r="P1442" s="6">
        <v>46600</v>
      </c>
      <c r="Q1442" t="s">
        <v>75</v>
      </c>
      <c r="R1442" s="3">
        <v>1513.78</v>
      </c>
      <c r="S1442" s="3" t="s">
        <v>39</v>
      </c>
      <c r="T1442" s="48">
        <v>46268</v>
      </c>
      <c r="V1442" s="51">
        <v>0.38541666666666669</v>
      </c>
      <c r="W1442" s="51">
        <v>0.4201388888888889</v>
      </c>
      <c r="X1442" s="51">
        <v>0.42291666666666666</v>
      </c>
      <c r="Y1442" s="51">
        <v>0.42499999999999999</v>
      </c>
    </row>
    <row r="1443" spans="1:25" hidden="1">
      <c r="A1443" s="12">
        <v>24214918</v>
      </c>
      <c r="B1443" s="13">
        <v>46268</v>
      </c>
      <c r="C1443" s="14">
        <v>0.36326388888888889</v>
      </c>
      <c r="D1443" s="15"/>
      <c r="E1443" s="16">
        <v>5218143469563</v>
      </c>
      <c r="F1443" s="15"/>
      <c r="G1443" s="15"/>
      <c r="H1443" s="17">
        <v>10180299157</v>
      </c>
      <c r="I1443" s="15"/>
      <c r="J1443" s="18"/>
      <c r="K1443" t="s">
        <v>32</v>
      </c>
      <c r="N1443" s="3">
        <f t="shared" si="142"/>
        <v>0</v>
      </c>
      <c r="O1443" s="3">
        <f t="shared" si="143"/>
        <v>0</v>
      </c>
      <c r="S1443" s="3" t="s">
        <v>204</v>
      </c>
      <c r="V1443" s="51">
        <v>0.38541666666666669</v>
      </c>
    </row>
    <row r="1444" spans="1:25" hidden="1">
      <c r="A1444" s="12">
        <v>24215118</v>
      </c>
      <c r="B1444" s="13">
        <v>46268</v>
      </c>
      <c r="C1444" s="14">
        <v>0.37130787037037039</v>
      </c>
      <c r="D1444" s="15"/>
      <c r="E1444" s="16">
        <v>5216181650627</v>
      </c>
      <c r="F1444" s="15"/>
      <c r="G1444" s="15" t="s">
        <v>1413</v>
      </c>
      <c r="H1444" s="17">
        <v>31796400625</v>
      </c>
      <c r="I1444" s="15"/>
      <c r="J1444" s="18"/>
      <c r="K1444" t="s">
        <v>58</v>
      </c>
      <c r="L1444" s="3">
        <v>1816.06</v>
      </c>
      <c r="N1444" s="3">
        <f t="shared" si="142"/>
        <v>544.81799999999998</v>
      </c>
      <c r="O1444" s="3">
        <f t="shared" si="143"/>
        <v>0</v>
      </c>
      <c r="S1444" s="3" t="s">
        <v>204</v>
      </c>
      <c r="V1444" s="51">
        <v>0.38541666666666669</v>
      </c>
    </row>
    <row r="1445" spans="1:25" hidden="1">
      <c r="A1445" s="30">
        <v>24215262</v>
      </c>
      <c r="B1445" s="31">
        <v>46268</v>
      </c>
      <c r="C1445" s="32">
        <v>0.38324074074074072</v>
      </c>
      <c r="D1445" s="33" t="s">
        <v>1414</v>
      </c>
      <c r="E1445" s="34">
        <v>5216863469054</v>
      </c>
      <c r="F1445" s="33"/>
      <c r="G1445" s="33" t="s">
        <v>1415</v>
      </c>
      <c r="H1445" s="35"/>
      <c r="I1445" s="33"/>
      <c r="J1445" s="36"/>
      <c r="K1445" t="s">
        <v>32</v>
      </c>
      <c r="N1445" s="3">
        <f t="shared" si="142"/>
        <v>0</v>
      </c>
      <c r="O1445" s="3">
        <f t="shared" si="143"/>
        <v>0</v>
      </c>
      <c r="S1445" s="3" t="s">
        <v>204</v>
      </c>
      <c r="V1445" s="51">
        <v>0.38541666666666669</v>
      </c>
    </row>
    <row r="1446" spans="1:25">
      <c r="A1446" s="30">
        <v>24215910</v>
      </c>
      <c r="B1446" s="31">
        <v>46268</v>
      </c>
      <c r="C1446" s="32">
        <v>0.39384259259259258</v>
      </c>
      <c r="D1446" s="33" t="s">
        <v>1416</v>
      </c>
      <c r="E1446" s="34">
        <v>5212381712916</v>
      </c>
      <c r="F1446" s="33"/>
      <c r="G1446" s="33" t="s">
        <v>1417</v>
      </c>
      <c r="H1446" s="35" t="s">
        <v>1418</v>
      </c>
      <c r="I1446" s="33"/>
      <c r="J1446" s="36"/>
      <c r="K1446" t="s">
        <v>27</v>
      </c>
      <c r="L1446" s="3">
        <v>7128.48</v>
      </c>
      <c r="M1446" s="3">
        <v>1977.07</v>
      </c>
      <c r="N1446" s="3">
        <f>L1446*0.3</f>
        <v>2138.5439999999999</v>
      </c>
      <c r="O1446" s="3">
        <f>(IF(L1446&lt;4172.98,0,MIN(L1446*0.3,L1446-4172.98)))-M1446</f>
        <v>161.47399999999993</v>
      </c>
      <c r="P1446" s="6">
        <v>46054</v>
      </c>
      <c r="Q1446" t="s">
        <v>47</v>
      </c>
      <c r="R1446" s="3">
        <v>1977.07</v>
      </c>
      <c r="S1446" s="3" t="s">
        <v>62</v>
      </c>
      <c r="T1446" s="48">
        <v>46268</v>
      </c>
      <c r="V1446" s="51">
        <v>0.39652777777777776</v>
      </c>
      <c r="W1446" s="51">
        <v>0.4284722222222222</v>
      </c>
      <c r="X1446" s="51">
        <v>0.43055555555555558</v>
      </c>
      <c r="Y1446" s="51">
        <v>0.43263888888888891</v>
      </c>
    </row>
    <row r="1447" spans="1:25" hidden="1">
      <c r="A1447" s="30">
        <v>24216186</v>
      </c>
      <c r="B1447" s="31">
        <v>46268</v>
      </c>
      <c r="C1447" s="32">
        <v>0.40482638888888889</v>
      </c>
      <c r="D1447" s="33"/>
      <c r="E1447" s="34">
        <v>5216121402769</v>
      </c>
      <c r="F1447" s="33"/>
      <c r="G1447" s="33"/>
      <c r="H1447" s="35">
        <v>22835000013</v>
      </c>
      <c r="I1447" s="33"/>
      <c r="J1447" s="36"/>
      <c r="K1447" t="s">
        <v>32</v>
      </c>
      <c r="N1447" s="3">
        <f>L1447*0.3</f>
        <v>0</v>
      </c>
      <c r="O1447" s="3">
        <f>(IF(L1447&lt;4172.98,0,MIN(L1447*0.3,L1447-4172.98)))-M1447</f>
        <v>0</v>
      </c>
      <c r="S1447" s="3" t="s">
        <v>204</v>
      </c>
      <c r="V1447" s="51">
        <v>0.40625</v>
      </c>
    </row>
    <row r="1448" spans="1:25" hidden="1">
      <c r="A1448" s="30">
        <v>24216536</v>
      </c>
      <c r="B1448" s="31">
        <v>46268</v>
      </c>
      <c r="C1448" s="32">
        <v>0.41055555555555556</v>
      </c>
      <c r="D1448" s="33"/>
      <c r="E1448" s="34">
        <v>5219845388364</v>
      </c>
      <c r="F1448" s="33"/>
      <c r="G1448" s="33" t="s">
        <v>1419</v>
      </c>
      <c r="H1448" s="35"/>
      <c r="I1448" s="33"/>
      <c r="J1448" s="36"/>
      <c r="K1448" t="s">
        <v>30</v>
      </c>
      <c r="L1448" s="111">
        <v>9760.32</v>
      </c>
      <c r="M1448" s="111">
        <v>2916.08</v>
      </c>
      <c r="N1448" s="3">
        <f>L1448*0.3</f>
        <v>2928.096</v>
      </c>
      <c r="O1448" s="3">
        <f>(IF(L1448&lt;4172.98,0,MIN(L1448*0.3,L1448-4172.98)))-M1448</f>
        <v>12.016000000000076</v>
      </c>
      <c r="P1448" s="6">
        <v>46874</v>
      </c>
      <c r="Q1448" t="s">
        <v>44</v>
      </c>
      <c r="R1448" s="3">
        <v>2916.08</v>
      </c>
      <c r="S1448" s="3" t="s">
        <v>204</v>
      </c>
      <c r="V1448" s="51">
        <v>0.41041666666666665</v>
      </c>
    </row>
    <row r="1449" spans="1:25">
      <c r="A1449" s="12">
        <v>24216578</v>
      </c>
      <c r="B1449" s="13">
        <v>46268</v>
      </c>
      <c r="C1449" s="14">
        <v>0.41084490740740742</v>
      </c>
      <c r="D1449" s="15"/>
      <c r="E1449" s="16">
        <v>5215577205660</v>
      </c>
      <c r="F1449" s="15"/>
      <c r="G1449" s="15"/>
      <c r="H1449" s="17" t="s">
        <v>1420</v>
      </c>
      <c r="I1449" s="15"/>
      <c r="J1449" s="18"/>
      <c r="K1449" t="s">
        <v>54</v>
      </c>
      <c r="L1449" s="3">
        <v>7320.67</v>
      </c>
      <c r="N1449" s="3">
        <f t="shared" ref="N1449:N1450" si="144">L1449*0.3</f>
        <v>2196.201</v>
      </c>
      <c r="O1449" s="3">
        <f t="shared" ref="O1449:O1450" si="145">(IF(L1449&lt;4172.98,0,MIN(L1449*0.3,L1449-4172.98)))-M1449</f>
        <v>2196.201</v>
      </c>
      <c r="S1449" s="3" t="s">
        <v>1091</v>
      </c>
      <c r="T1449" s="48">
        <v>46268</v>
      </c>
      <c r="V1449" s="51">
        <v>0.41180555555555554</v>
      </c>
      <c r="W1449" s="51">
        <v>0.43055555555555558</v>
      </c>
      <c r="X1449" s="51">
        <v>0.43263888888888891</v>
      </c>
      <c r="Y1449" s="51">
        <v>0.43333333333333335</v>
      </c>
    </row>
    <row r="1450" spans="1:25" hidden="1">
      <c r="A1450" s="30">
        <v>24216282</v>
      </c>
      <c r="B1450" s="31">
        <v>46268</v>
      </c>
      <c r="C1450" s="32">
        <v>0.41160879629629632</v>
      </c>
      <c r="D1450" s="33"/>
      <c r="E1450" s="34">
        <v>5218338441717</v>
      </c>
      <c r="F1450" s="33"/>
      <c r="G1450" s="33" t="s">
        <v>1421</v>
      </c>
      <c r="H1450" s="35"/>
      <c r="I1450" s="33"/>
      <c r="J1450" s="36"/>
      <c r="K1450" t="s">
        <v>30</v>
      </c>
      <c r="L1450" s="111">
        <v>9081.52</v>
      </c>
      <c r="M1450" s="111">
        <v>2724</v>
      </c>
      <c r="N1450" s="3">
        <f t="shared" si="144"/>
        <v>2724.4560000000001</v>
      </c>
      <c r="O1450" s="3">
        <f t="shared" si="145"/>
        <v>0.45600000000013097</v>
      </c>
      <c r="P1450" s="6">
        <v>46905</v>
      </c>
      <c r="Q1450" t="s">
        <v>44</v>
      </c>
      <c r="R1450" s="3">
        <v>2724</v>
      </c>
      <c r="S1450" s="3" t="s">
        <v>204</v>
      </c>
      <c r="V1450" s="51">
        <v>0.41180555555555554</v>
      </c>
    </row>
    <row r="1451" spans="1:25" hidden="1">
      <c r="A1451" s="30">
        <v>24217146</v>
      </c>
      <c r="B1451" s="31">
        <v>46268</v>
      </c>
      <c r="C1451" s="32">
        <v>0.43224537037037036</v>
      </c>
      <c r="D1451" s="33"/>
      <c r="E1451" s="34">
        <v>5218443590371</v>
      </c>
      <c r="F1451" s="33"/>
      <c r="G1451" s="33"/>
      <c r="H1451" s="35" t="s">
        <v>1422</v>
      </c>
      <c r="I1451" s="33"/>
      <c r="J1451" s="36"/>
      <c r="K1451" t="s">
        <v>189</v>
      </c>
      <c r="N1451" s="3">
        <f>L1451*0.3</f>
        <v>0</v>
      </c>
      <c r="O1451" s="3">
        <f>(IF(L1451&lt;4172.98,0,MIN(L1451*0.3,L1451-4172.98)))-M1451</f>
        <v>0</v>
      </c>
      <c r="S1451" s="3" t="s">
        <v>204</v>
      </c>
      <c r="V1451" s="51">
        <v>0.43333333333333335</v>
      </c>
    </row>
    <row r="1452" spans="1:25" hidden="1">
      <c r="A1452" s="30">
        <v>24217524</v>
      </c>
      <c r="B1452" s="31">
        <v>46268</v>
      </c>
      <c r="C1452" s="32">
        <v>0.44341435185185185</v>
      </c>
      <c r="D1452" s="33"/>
      <c r="E1452" s="34">
        <v>5218341457800</v>
      </c>
      <c r="F1452" s="33"/>
      <c r="G1452" s="33"/>
      <c r="H1452" s="35">
        <v>49877153566</v>
      </c>
      <c r="I1452" s="33"/>
      <c r="J1452" s="36"/>
      <c r="K1452" t="s">
        <v>30</v>
      </c>
      <c r="L1452" s="111">
        <v>7135.6</v>
      </c>
      <c r="M1452" s="111">
        <v>2138.7199999999998</v>
      </c>
      <c r="N1452" s="3">
        <f>L1452*0.3</f>
        <v>2140.6799999999998</v>
      </c>
      <c r="O1452" s="3">
        <f>(IF(L1452&lt;4172.98,0,MIN(L1452*0.3,L1452-4172.98)))-M1452</f>
        <v>1.9600000000000364</v>
      </c>
      <c r="P1452" s="6">
        <v>46874</v>
      </c>
      <c r="Q1452" t="s">
        <v>184</v>
      </c>
      <c r="R1452" s="3">
        <v>2138.7199999999998</v>
      </c>
      <c r="S1452" s="3" t="s">
        <v>204</v>
      </c>
      <c r="V1452" s="51">
        <v>0.44374999999999998</v>
      </c>
    </row>
    <row r="1453" spans="1:25" hidden="1">
      <c r="A1453" s="30">
        <v>24217658</v>
      </c>
      <c r="B1453" s="31">
        <v>46268</v>
      </c>
      <c r="C1453" s="32">
        <v>0.44650462962962961</v>
      </c>
      <c r="D1453" s="33" t="s">
        <v>1423</v>
      </c>
      <c r="E1453" s="34">
        <v>5212411487369</v>
      </c>
      <c r="F1453" s="33"/>
      <c r="G1453" s="33" t="s">
        <v>1424</v>
      </c>
      <c r="H1453" s="35"/>
      <c r="I1453" s="33"/>
      <c r="J1453" s="36"/>
      <c r="K1453" t="s">
        <v>32</v>
      </c>
      <c r="N1453" s="3">
        <f>L1453*0.3</f>
        <v>0</v>
      </c>
      <c r="O1453" s="3">
        <f>(IF(L1453&lt;4172.98,0,MIN(L1453*0.3,L1453-4172.98)))-M1453</f>
        <v>0</v>
      </c>
      <c r="S1453" s="3" t="s">
        <v>204</v>
      </c>
      <c r="V1453" s="51">
        <v>0.44722222222222224</v>
      </c>
    </row>
    <row r="1454" spans="1:25">
      <c r="A1454" s="30">
        <v>24218364</v>
      </c>
      <c r="B1454" s="31">
        <v>46268</v>
      </c>
      <c r="C1454" s="32">
        <v>0.45028935185185187</v>
      </c>
      <c r="D1454" s="33"/>
      <c r="E1454" s="34">
        <v>5215558188398</v>
      </c>
      <c r="F1454" s="33"/>
      <c r="G1454" s="33"/>
      <c r="H1454" s="35">
        <v>19856610704</v>
      </c>
      <c r="I1454" s="33"/>
      <c r="J1454" s="36"/>
      <c r="K1454" t="s">
        <v>54</v>
      </c>
      <c r="L1454" s="3">
        <v>47411.35</v>
      </c>
      <c r="N1454" s="3">
        <f>L1454*0.3</f>
        <v>14223.404999999999</v>
      </c>
      <c r="O1454" s="3">
        <f>(IF(L1454&lt;4172.98,0,MIN(L1454*0.3,L1454-4172.98)))-M1454</f>
        <v>14223.404999999999</v>
      </c>
      <c r="S1454" s="3" t="s">
        <v>28</v>
      </c>
      <c r="T1454" s="48">
        <v>46268</v>
      </c>
      <c r="V1454" s="51">
        <v>0.4513888888888889</v>
      </c>
      <c r="W1454" s="51">
        <v>0.45694444444444443</v>
      </c>
      <c r="X1454" s="51">
        <v>0.46388888888888891</v>
      </c>
      <c r="Y1454" s="51">
        <v>0.46527777777777779</v>
      </c>
    </row>
    <row r="1455" spans="1:25">
      <c r="A1455" s="12">
        <v>24217770</v>
      </c>
      <c r="B1455" s="13">
        <v>46268</v>
      </c>
      <c r="C1455" s="14">
        <v>0.45420138888888889</v>
      </c>
      <c r="D1455" s="15" t="s">
        <v>1425</v>
      </c>
      <c r="E1455" s="16">
        <v>5215544794862</v>
      </c>
      <c r="F1455" s="15"/>
      <c r="G1455" s="15" t="s">
        <v>1426</v>
      </c>
      <c r="H1455" s="17"/>
      <c r="I1455" s="15"/>
      <c r="J1455" s="18"/>
      <c r="K1455" t="s">
        <v>54</v>
      </c>
      <c r="L1455" s="111">
        <v>9760.32</v>
      </c>
      <c r="M1455" s="111"/>
      <c r="N1455" s="3">
        <f>L1455*0.3</f>
        <v>2928.096</v>
      </c>
      <c r="O1455" s="3">
        <f>(IF(L1455&lt;4172.98,0,MIN(L1455*0.3,L1455-4172.98)))-M1455</f>
        <v>2928.096</v>
      </c>
      <c r="P1455" s="6"/>
      <c r="S1455" s="3" t="s">
        <v>879</v>
      </c>
      <c r="T1455" s="48">
        <v>46268</v>
      </c>
      <c r="V1455" s="51">
        <v>0.45555555555555555</v>
      </c>
      <c r="W1455" s="51">
        <v>0.46666666666666667</v>
      </c>
      <c r="X1455" s="51">
        <v>0.47361111111111109</v>
      </c>
      <c r="Y1455" s="51">
        <v>0.49027777777777776</v>
      </c>
    </row>
    <row r="1456" spans="1:25" hidden="1">
      <c r="A1456" s="30">
        <v>24218398</v>
      </c>
      <c r="B1456" s="31">
        <v>46268</v>
      </c>
      <c r="C1456" s="32">
        <v>0.45430555555555557</v>
      </c>
      <c r="D1456" s="33"/>
      <c r="E1456" s="34">
        <v>5216721149153</v>
      </c>
      <c r="F1456" s="33"/>
      <c r="G1456" s="33"/>
      <c r="H1456" s="35" t="s">
        <v>1427</v>
      </c>
      <c r="I1456" s="33"/>
      <c r="J1456" s="36"/>
      <c r="K1456" t="s">
        <v>51</v>
      </c>
      <c r="N1456" s="3">
        <f t="shared" ref="N1456" si="146">L1456*0.3</f>
        <v>0</v>
      </c>
      <c r="O1456" s="3">
        <f t="shared" ref="O1456" si="147">(IF(L1456&lt;4172.98,0,MIN(L1456*0.3,L1456-4172.98)))-M1456</f>
        <v>0</v>
      </c>
      <c r="S1456" s="3" t="s">
        <v>204</v>
      </c>
      <c r="V1456" s="51">
        <v>0.45555555555555555</v>
      </c>
    </row>
    <row r="1457" spans="1:25" hidden="1">
      <c r="A1457" s="30">
        <v>24217752</v>
      </c>
      <c r="B1457" s="31">
        <v>46268</v>
      </c>
      <c r="C1457" s="32">
        <v>0.45954861111111112</v>
      </c>
      <c r="D1457" s="33"/>
      <c r="E1457" s="34">
        <v>5219841202140</v>
      </c>
      <c r="F1457" s="33"/>
      <c r="G1457" s="33" t="s">
        <v>1428</v>
      </c>
      <c r="H1457" s="35"/>
      <c r="I1457" s="33"/>
      <c r="J1457" s="36"/>
      <c r="K1457" t="s">
        <v>32</v>
      </c>
      <c r="N1457" s="3">
        <f>L1457*0.3</f>
        <v>0</v>
      </c>
      <c r="O1457" s="3">
        <f>(IF(L1457&lt;4172.98,0,MIN(L1457*0.3,L1457-4172.98)))-M1457</f>
        <v>0</v>
      </c>
      <c r="S1457" s="3" t="s">
        <v>204</v>
      </c>
      <c r="V1457" s="51">
        <v>0.46250000000000002</v>
      </c>
    </row>
    <row r="1458" spans="1:25">
      <c r="A1458" s="30">
        <v>24218744</v>
      </c>
      <c r="B1458" s="31">
        <v>46268</v>
      </c>
      <c r="C1458" s="32">
        <v>0.46266203703703701</v>
      </c>
      <c r="D1458" s="33"/>
      <c r="E1458" s="34">
        <v>5218711374448</v>
      </c>
      <c r="F1458" s="33"/>
      <c r="G1458" s="33" t="s">
        <v>1429</v>
      </c>
      <c r="H1458" s="35"/>
      <c r="I1458" s="33"/>
      <c r="J1458" s="36"/>
      <c r="K1458" t="s">
        <v>54</v>
      </c>
      <c r="L1458" s="3">
        <v>9081.52</v>
      </c>
      <c r="N1458" s="3">
        <f>L1458*0.3</f>
        <v>2724.4560000000001</v>
      </c>
      <c r="O1458" s="3">
        <f>(IF(L1458&lt;4172.98,0,MIN(L1458*0.3,L1458-4172.98)))-M1458</f>
        <v>2724.4560000000001</v>
      </c>
      <c r="S1458" s="3" t="s">
        <v>348</v>
      </c>
      <c r="T1458" s="48">
        <v>46268</v>
      </c>
      <c r="V1458" s="51">
        <v>0.46250000000000002</v>
      </c>
      <c r="W1458" s="51">
        <v>0.47291666666666665</v>
      </c>
      <c r="X1458" s="51">
        <v>0.51180555555555551</v>
      </c>
      <c r="Y1458" s="51">
        <v>0.51249999999999996</v>
      </c>
    </row>
    <row r="1459" spans="1:25">
      <c r="A1459" s="12">
        <v>24218814</v>
      </c>
      <c r="B1459" s="13">
        <v>46268</v>
      </c>
      <c r="C1459" s="14">
        <v>0.46653935185185186</v>
      </c>
      <c r="D1459" s="15"/>
      <c r="E1459" s="16">
        <v>5215585411534</v>
      </c>
      <c r="F1459" s="15"/>
      <c r="G1459" s="15"/>
      <c r="H1459" s="17">
        <v>11715512494</v>
      </c>
      <c r="I1459" s="15"/>
      <c r="J1459" s="18"/>
      <c r="K1459" t="s">
        <v>107</v>
      </c>
      <c r="L1459" s="111">
        <v>5467.47</v>
      </c>
      <c r="M1459" s="111">
        <v>1197</v>
      </c>
      <c r="N1459" s="3">
        <f t="shared" ref="N1459:N1463" si="148">L1459*0.3</f>
        <v>1640.241</v>
      </c>
      <c r="O1459" s="3">
        <f t="shared" ref="O1459:O1463" si="149">(IF(L1459&lt;4172.98,0,MIN(L1459*0.3,L1459-4172.98)))-M1459</f>
        <v>97.490000000000691</v>
      </c>
      <c r="P1459" s="6">
        <v>46235</v>
      </c>
      <c r="Q1459" t="s">
        <v>1430</v>
      </c>
      <c r="R1459" s="3">
        <v>1197</v>
      </c>
      <c r="S1459" s="3" t="s">
        <v>39</v>
      </c>
      <c r="T1459" s="48">
        <v>46268</v>
      </c>
      <c r="V1459" s="51">
        <v>0.4826388888888889</v>
      </c>
      <c r="W1459" s="51">
        <v>0.5083333333333333</v>
      </c>
      <c r="X1459" s="51">
        <v>0.51458333333333328</v>
      </c>
      <c r="Y1459" s="51">
        <v>0.51597222222222228</v>
      </c>
    </row>
    <row r="1460" spans="1:25" hidden="1">
      <c r="A1460" s="12">
        <v>24219524</v>
      </c>
      <c r="B1460" s="13">
        <v>46268</v>
      </c>
      <c r="C1460" s="14">
        <v>0.47209490740740739</v>
      </c>
      <c r="D1460" s="15"/>
      <c r="E1460" s="16">
        <v>5218111949425</v>
      </c>
      <c r="F1460" s="15"/>
      <c r="G1460" s="15" t="s">
        <v>1431</v>
      </c>
      <c r="H1460" s="17"/>
      <c r="I1460" s="15"/>
      <c r="J1460" s="18"/>
      <c r="K1460" t="s">
        <v>58</v>
      </c>
      <c r="L1460" s="3">
        <v>2127</v>
      </c>
      <c r="N1460" s="3">
        <f t="shared" si="148"/>
        <v>638.1</v>
      </c>
      <c r="O1460" s="3">
        <f t="shared" si="149"/>
        <v>0</v>
      </c>
      <c r="S1460" s="3" t="s">
        <v>204</v>
      </c>
      <c r="V1460" s="51">
        <v>0.4826388888888889</v>
      </c>
    </row>
    <row r="1461" spans="1:25">
      <c r="A1461" s="12">
        <v>24219430</v>
      </c>
      <c r="B1461" s="13">
        <v>46268</v>
      </c>
      <c r="C1461" s="14">
        <v>0.47215277777777775</v>
      </c>
      <c r="D1461" s="15"/>
      <c r="E1461" s="16">
        <v>5219999099755</v>
      </c>
      <c r="F1461" s="15"/>
      <c r="G1461" s="15"/>
      <c r="H1461" s="17" t="s">
        <v>1432</v>
      </c>
      <c r="I1461" s="15"/>
      <c r="J1461" s="18"/>
      <c r="K1461" t="s">
        <v>54</v>
      </c>
      <c r="L1461" s="3">
        <f>9757.54+879</f>
        <v>10636.54</v>
      </c>
      <c r="M1461" s="3">
        <v>879</v>
      </c>
      <c r="N1461" s="3">
        <f t="shared" si="148"/>
        <v>3190.962</v>
      </c>
      <c r="O1461" s="3">
        <f t="shared" si="149"/>
        <v>2311.962</v>
      </c>
      <c r="S1461" s="3" t="s">
        <v>1091</v>
      </c>
      <c r="T1461" s="48">
        <v>46268</v>
      </c>
      <c r="V1461" s="51">
        <v>0.4826388888888889</v>
      </c>
      <c r="W1461" s="51">
        <v>0.49305555555555558</v>
      </c>
      <c r="X1461" s="51">
        <v>0.5083333333333333</v>
      </c>
      <c r="Y1461" s="51">
        <v>0.50972222222222219</v>
      </c>
    </row>
    <row r="1462" spans="1:25">
      <c r="A1462" s="12">
        <v>24219458</v>
      </c>
      <c r="B1462" s="13">
        <v>46268</v>
      </c>
      <c r="C1462" s="14">
        <v>0.47251157407407407</v>
      </c>
      <c r="D1462" s="15"/>
      <c r="E1462" s="16">
        <v>5217772325747</v>
      </c>
      <c r="F1462" s="15"/>
      <c r="G1462" s="15"/>
      <c r="H1462" s="17">
        <v>15846616496</v>
      </c>
      <c r="I1462" s="15"/>
      <c r="J1462" s="18"/>
      <c r="K1462" t="s">
        <v>54</v>
      </c>
      <c r="L1462" s="3">
        <v>23492.45</v>
      </c>
      <c r="N1462" s="3">
        <f t="shared" si="148"/>
        <v>7047.7349999999997</v>
      </c>
      <c r="O1462" s="3">
        <f t="shared" si="149"/>
        <v>7047.7349999999997</v>
      </c>
      <c r="S1462" s="3" t="s">
        <v>348</v>
      </c>
      <c r="T1462" s="48">
        <v>46268</v>
      </c>
      <c r="V1462" s="51">
        <v>0.4826388888888889</v>
      </c>
      <c r="W1462" s="51">
        <v>0.49375000000000002</v>
      </c>
      <c r="X1462" s="51">
        <v>0.50138888888888888</v>
      </c>
      <c r="Y1462" s="51">
        <v>0.50208333333333333</v>
      </c>
    </row>
    <row r="1463" spans="1:25" hidden="1">
      <c r="A1463" s="30">
        <v>24219776</v>
      </c>
      <c r="B1463" s="31">
        <v>46268</v>
      </c>
      <c r="C1463" s="32">
        <v>0.48090277777777779</v>
      </c>
      <c r="D1463" s="33"/>
      <c r="E1463" s="34">
        <v>5216691225623</v>
      </c>
      <c r="F1463" s="33"/>
      <c r="G1463" s="33"/>
      <c r="H1463" s="35" t="s">
        <v>1433</v>
      </c>
      <c r="I1463" s="33"/>
      <c r="J1463" s="36"/>
      <c r="K1463" t="s">
        <v>32</v>
      </c>
      <c r="N1463" s="3">
        <f t="shared" si="148"/>
        <v>0</v>
      </c>
      <c r="O1463" s="3">
        <f t="shared" si="149"/>
        <v>0</v>
      </c>
      <c r="S1463" s="3" t="s">
        <v>204</v>
      </c>
      <c r="V1463" s="51">
        <v>0.4826388888888889</v>
      </c>
    </row>
    <row r="1464" spans="1:25" hidden="1">
      <c r="A1464" s="30">
        <v>24219778</v>
      </c>
      <c r="B1464" s="31">
        <v>46268</v>
      </c>
      <c r="C1464" s="32">
        <v>0.48340277777777779</v>
      </c>
      <c r="D1464" s="33"/>
      <c r="E1464" s="34">
        <v>5217299224834</v>
      </c>
      <c r="F1464" s="33"/>
      <c r="G1464" s="33" t="s">
        <v>1434</v>
      </c>
      <c r="H1464" s="35"/>
      <c r="I1464" s="33"/>
      <c r="J1464" s="36"/>
      <c r="K1464" t="s">
        <v>32</v>
      </c>
      <c r="N1464" s="3">
        <f>L1464*0.3</f>
        <v>0</v>
      </c>
      <c r="O1464" s="3">
        <f>(IF(L1464&lt;4172.98,0,MIN(L1464*0.3,L1464-4172.98)))-M1464</f>
        <v>0</v>
      </c>
      <c r="S1464" s="3" t="s">
        <v>204</v>
      </c>
      <c r="V1464" s="51">
        <v>0.48333333333333334</v>
      </c>
    </row>
    <row r="1465" spans="1:25" hidden="1">
      <c r="A1465" s="12">
        <v>24219974</v>
      </c>
      <c r="B1465" s="13">
        <v>46268</v>
      </c>
      <c r="C1465" s="14">
        <v>0.48584490740740743</v>
      </c>
      <c r="D1465" s="15"/>
      <c r="E1465" s="16">
        <v>5214121429932</v>
      </c>
      <c r="F1465" s="15"/>
      <c r="G1465" s="15"/>
      <c r="H1465" s="17">
        <v>12098520302</v>
      </c>
      <c r="I1465" s="15"/>
      <c r="J1465" s="18"/>
      <c r="K1465" t="s">
        <v>51</v>
      </c>
      <c r="N1465" s="3">
        <f t="shared" ref="N1465:N1466" si="150">L1465*0.3</f>
        <v>0</v>
      </c>
      <c r="O1465" s="3">
        <f t="shared" ref="O1465:O1466" si="151">(IF(L1465&lt;4172.98,0,MIN(L1465*0.3,L1465-4172.98)))-M1465</f>
        <v>0</v>
      </c>
      <c r="S1465" s="3" t="s">
        <v>204</v>
      </c>
      <c r="V1465" s="51">
        <v>0.4909722222222222</v>
      </c>
    </row>
    <row r="1466" spans="1:25">
      <c r="A1466" s="30">
        <v>24220162</v>
      </c>
      <c r="B1466" s="31">
        <v>46268</v>
      </c>
      <c r="C1466" s="32">
        <v>0.48950231481481482</v>
      </c>
      <c r="D1466" s="33"/>
      <c r="E1466" s="34">
        <v>5218111315588</v>
      </c>
      <c r="F1466" s="33"/>
      <c r="G1466" s="33" t="s">
        <v>1435</v>
      </c>
      <c r="H1466" s="35"/>
      <c r="I1466" s="33"/>
      <c r="J1466" s="36"/>
      <c r="K1466" t="s">
        <v>54</v>
      </c>
      <c r="L1466" s="3">
        <f>6042.27+848</f>
        <v>6890.27</v>
      </c>
      <c r="M1466" s="3">
        <v>848</v>
      </c>
      <c r="N1466" s="3">
        <f t="shared" si="150"/>
        <v>2067.0810000000001</v>
      </c>
      <c r="O1466" s="3">
        <f t="shared" si="151"/>
        <v>1219.0810000000001</v>
      </c>
      <c r="S1466" s="3" t="s">
        <v>327</v>
      </c>
      <c r="T1466" s="48">
        <v>46268</v>
      </c>
      <c r="V1466" s="51">
        <v>0.4909722222222222</v>
      </c>
      <c r="W1466" s="51">
        <v>0.50277777777777777</v>
      </c>
      <c r="X1466" s="51">
        <v>0.50486111111111109</v>
      </c>
      <c r="Y1466" s="51">
        <v>0.5180555555555556</v>
      </c>
    </row>
    <row r="1467" spans="1:25" hidden="1">
      <c r="A1467" s="12">
        <v>24219922</v>
      </c>
      <c r="B1467" s="13">
        <v>46268</v>
      </c>
      <c r="C1467" s="14">
        <v>0.4931828703703704</v>
      </c>
      <c r="D1467" s="15"/>
      <c r="E1467" s="16">
        <v>5214791434591</v>
      </c>
      <c r="F1467" s="15"/>
      <c r="G1467" s="15" t="s">
        <v>1436</v>
      </c>
      <c r="H1467" s="17"/>
      <c r="I1467" s="15"/>
      <c r="J1467" s="18"/>
      <c r="K1467" t="s">
        <v>58</v>
      </c>
      <c r="L1467" s="3">
        <f>4198.19+848</f>
        <v>5046.1899999999996</v>
      </c>
      <c r="M1467" s="3">
        <v>848</v>
      </c>
      <c r="N1467" s="3">
        <f t="shared" ref="N1467:N1469" si="152">L1467*0.3</f>
        <v>1513.8569999999997</v>
      </c>
      <c r="O1467" s="3">
        <f t="shared" ref="O1467:O1469" si="153">(IF(L1467&lt;4172.98,0,MIN(L1467*0.3,L1467-4172.98)))-M1467</f>
        <v>25.210000000000036</v>
      </c>
      <c r="S1467" s="3" t="s">
        <v>204</v>
      </c>
      <c r="V1467" s="51">
        <v>0.49583333333333335</v>
      </c>
    </row>
    <row r="1468" spans="1:25">
      <c r="A1468" s="12">
        <v>24220100</v>
      </c>
      <c r="B1468" s="13">
        <v>46268</v>
      </c>
      <c r="C1468" s="14">
        <v>0.49437500000000001</v>
      </c>
      <c r="D1468" s="15"/>
      <c r="E1468" s="16">
        <v>5219981049803</v>
      </c>
      <c r="F1468" s="15"/>
      <c r="G1468" s="15"/>
      <c r="H1468" s="17">
        <v>82826413443</v>
      </c>
      <c r="I1468" s="15"/>
      <c r="J1468" s="18"/>
      <c r="K1468" t="s">
        <v>54</v>
      </c>
      <c r="L1468" s="3">
        <v>11029.03</v>
      </c>
      <c r="N1468" s="3">
        <f t="shared" si="152"/>
        <v>3308.7090000000003</v>
      </c>
      <c r="O1468" s="3">
        <f t="shared" si="153"/>
        <v>3308.7090000000003</v>
      </c>
      <c r="S1468" s="3" t="s">
        <v>55</v>
      </c>
      <c r="T1468" s="48">
        <v>46268</v>
      </c>
      <c r="V1468" s="51">
        <v>0.49583333333333335</v>
      </c>
      <c r="W1468" s="51">
        <v>0.50416666666666665</v>
      </c>
      <c r="X1468" s="51">
        <v>0.5131944444444444</v>
      </c>
      <c r="Y1468" s="51">
        <v>0.51597222222222228</v>
      </c>
    </row>
    <row r="1469" spans="1:25" hidden="1">
      <c r="A1469" s="30">
        <v>24219734</v>
      </c>
      <c r="B1469" s="31">
        <v>46268</v>
      </c>
      <c r="C1469" s="32">
        <v>0.49484953703703705</v>
      </c>
      <c r="D1469" s="33"/>
      <c r="E1469" s="34" t="s">
        <v>1437</v>
      </c>
      <c r="F1469" s="33"/>
      <c r="G1469" s="33"/>
      <c r="H1469" s="35" t="s">
        <v>1438</v>
      </c>
      <c r="I1469" s="33"/>
      <c r="J1469" s="36"/>
      <c r="K1469" t="s">
        <v>30</v>
      </c>
      <c r="L1469" s="111">
        <v>30022.52</v>
      </c>
      <c r="M1469" s="111">
        <v>9006.76</v>
      </c>
      <c r="N1469" s="3">
        <f t="shared" si="152"/>
        <v>9006.7559999999994</v>
      </c>
      <c r="O1469" s="3">
        <f t="shared" si="153"/>
        <v>-4.0000000008149073E-3</v>
      </c>
      <c r="P1469" s="6">
        <v>46296</v>
      </c>
      <c r="Q1469" t="s">
        <v>59</v>
      </c>
      <c r="R1469" s="3">
        <v>8332.9699999999993</v>
      </c>
      <c r="S1469" s="3" t="s">
        <v>204</v>
      </c>
      <c r="V1469" s="51">
        <v>0.49583333333333335</v>
      </c>
    </row>
    <row r="1470" spans="1:25">
      <c r="A1470" s="30">
        <v>24220278</v>
      </c>
      <c r="B1470" s="31">
        <v>46268</v>
      </c>
      <c r="C1470" s="32">
        <v>0.49753472222222223</v>
      </c>
      <c r="D1470" s="33" t="s">
        <v>1439</v>
      </c>
      <c r="E1470" s="34">
        <v>5214781053874</v>
      </c>
      <c r="F1470" s="33"/>
      <c r="G1470" s="33" t="s">
        <v>1440</v>
      </c>
      <c r="H1470" s="35">
        <v>92946101083</v>
      </c>
      <c r="I1470" s="33"/>
      <c r="J1470" s="36"/>
      <c r="K1470" t="s">
        <v>34</v>
      </c>
      <c r="L1470" s="111">
        <v>8059.64</v>
      </c>
      <c r="M1470" s="111">
        <v>1977.45</v>
      </c>
      <c r="N1470" s="3">
        <f>L1470*0.3</f>
        <v>2417.8919999999998</v>
      </c>
      <c r="O1470" s="3">
        <f>(IF(L1470&lt;4172.98,0,MIN(L1470*0.3,L1470-4172.98)))-M1470</f>
        <v>440.44199999999978</v>
      </c>
      <c r="P1470" s="6">
        <v>45627</v>
      </c>
      <c r="Q1470" t="s">
        <v>141</v>
      </c>
      <c r="R1470" s="3">
        <v>1977.45</v>
      </c>
      <c r="S1470" s="3" t="s">
        <v>271</v>
      </c>
      <c r="T1470" s="48">
        <v>46268</v>
      </c>
      <c r="V1470" s="51">
        <v>0.49791666666666667</v>
      </c>
      <c r="W1470" s="51">
        <v>0.50694444444444442</v>
      </c>
      <c r="X1470" s="51">
        <v>0.51041666666666663</v>
      </c>
      <c r="Y1470" s="51">
        <v>0.52013888888888893</v>
      </c>
    </row>
    <row r="1471" spans="1:25">
      <c r="A1471" s="30">
        <v>24220508</v>
      </c>
      <c r="B1471" s="31">
        <v>46268</v>
      </c>
      <c r="C1471" s="32">
        <v>0.50517361111111114</v>
      </c>
      <c r="D1471" s="33"/>
      <c r="E1471" s="34">
        <v>5215520721882</v>
      </c>
      <c r="F1471" s="33"/>
      <c r="G1471" s="33"/>
      <c r="H1471" s="35">
        <v>88806209545</v>
      </c>
      <c r="I1471" s="33"/>
      <c r="J1471" s="36"/>
      <c r="K1471" t="s">
        <v>54</v>
      </c>
      <c r="L1471" s="3">
        <v>14151.18</v>
      </c>
      <c r="N1471" s="3">
        <f>L1471*0.3</f>
        <v>4245.3540000000003</v>
      </c>
      <c r="O1471" s="3">
        <f>(IF(L1471&lt;4172.98,0,MIN(L1471*0.3,L1471-4172.98)))-M1471</f>
        <v>4245.3540000000003</v>
      </c>
      <c r="S1471" s="3" t="s">
        <v>28</v>
      </c>
      <c r="T1471" s="48">
        <v>46268</v>
      </c>
      <c r="V1471" s="51">
        <v>0.50555555555555554</v>
      </c>
      <c r="W1471" s="51">
        <v>0.5131944444444444</v>
      </c>
      <c r="X1471" s="51">
        <v>0.51527777777777772</v>
      </c>
      <c r="Y1471" s="51">
        <v>0.51736111111111116</v>
      </c>
    </row>
    <row r="1472" spans="1:25" hidden="1">
      <c r="A1472" s="30">
        <v>24220762</v>
      </c>
      <c r="B1472" s="31">
        <v>46268</v>
      </c>
      <c r="C1472" s="32">
        <v>0.50979166666666664</v>
      </c>
      <c r="D1472" s="33"/>
      <c r="E1472" s="34">
        <v>5215619824635</v>
      </c>
      <c r="F1472" s="33"/>
      <c r="G1472" s="33" t="s">
        <v>1441</v>
      </c>
      <c r="H1472" s="35">
        <v>13725602547</v>
      </c>
      <c r="I1472" s="33"/>
      <c r="J1472" s="36"/>
      <c r="K1472" t="s">
        <v>30</v>
      </c>
      <c r="L1472" s="111">
        <v>9021.89</v>
      </c>
      <c r="M1472" s="111">
        <v>2504</v>
      </c>
      <c r="N1472" s="3">
        <f>L1472*0.3</f>
        <v>2706.5669999999996</v>
      </c>
      <c r="O1472" s="3">
        <f>(IF(L1472&lt;4172.98,0,MIN(L1472*0.3,L1472-4172.98)))-M1472</f>
        <v>202.56699999999955</v>
      </c>
      <c r="P1472" s="6">
        <v>46296</v>
      </c>
      <c r="Q1472" t="s">
        <v>44</v>
      </c>
      <c r="R1472" s="3">
        <v>2504</v>
      </c>
      <c r="S1472" s="3" t="s">
        <v>204</v>
      </c>
      <c r="V1472" s="51">
        <v>0.51041666666666663</v>
      </c>
    </row>
    <row r="1473" spans="1:25">
      <c r="A1473" s="30">
        <v>24221258</v>
      </c>
      <c r="B1473" s="31">
        <v>46268</v>
      </c>
      <c r="C1473" s="32">
        <v>0.52482638888888888</v>
      </c>
      <c r="D1473" s="33"/>
      <c r="E1473" s="34">
        <v>5215646794204</v>
      </c>
      <c r="F1473" s="33"/>
      <c r="G1473" s="33"/>
      <c r="H1473" s="35" t="s">
        <v>1442</v>
      </c>
      <c r="I1473" s="33"/>
      <c r="J1473" s="36"/>
      <c r="K1473" t="s">
        <v>27</v>
      </c>
      <c r="L1473" s="111">
        <v>9081.52</v>
      </c>
      <c r="M1473" s="111">
        <v>2520.37</v>
      </c>
      <c r="N1473" s="3">
        <f>L1473*0.3</f>
        <v>2724.4560000000001</v>
      </c>
      <c r="O1473" s="3">
        <f>(IF(L1473&lt;4172.98,0,MIN(L1473*0.3,L1473-4172.98)))-M1473</f>
        <v>204.08600000000024</v>
      </c>
      <c r="P1473" s="6">
        <v>46204</v>
      </c>
      <c r="Q1473" t="s">
        <v>47</v>
      </c>
      <c r="R1473" s="3">
        <v>2520.37</v>
      </c>
      <c r="S1473" s="3" t="s">
        <v>879</v>
      </c>
      <c r="T1473" s="48">
        <v>46268</v>
      </c>
      <c r="V1473" s="51">
        <v>0.52500000000000002</v>
      </c>
      <c r="W1473" s="51">
        <v>0.52847222222222223</v>
      </c>
      <c r="X1473" s="51">
        <v>0.53194444444444444</v>
      </c>
      <c r="Y1473" s="51">
        <v>0.55972222222222223</v>
      </c>
    </row>
    <row r="1474" spans="1:25">
      <c r="A1474" s="12">
        <v>24221396</v>
      </c>
      <c r="B1474" s="13">
        <v>46268</v>
      </c>
      <c r="C1474" s="14">
        <v>0.53156250000000005</v>
      </c>
      <c r="D1474" s="15"/>
      <c r="E1474" s="16">
        <v>5212412397202</v>
      </c>
      <c r="F1474" s="15"/>
      <c r="G1474" s="15"/>
      <c r="H1474" s="17" t="s">
        <v>1443</v>
      </c>
      <c r="I1474" s="15"/>
      <c r="J1474" s="18"/>
      <c r="K1474" t="s">
        <v>38</v>
      </c>
      <c r="L1474" s="111">
        <v>8539.89</v>
      </c>
      <c r="M1474" s="111">
        <v>1723.89</v>
      </c>
      <c r="N1474" s="3">
        <f t="shared" ref="N1474:N1476" si="154">L1474*0.3</f>
        <v>2561.9669999999996</v>
      </c>
      <c r="O1474" s="3">
        <f t="shared" ref="O1474:O1476" si="155">(IF(L1474&lt;4172.98,0,MIN(L1474*0.3,L1474-4172.98)))-M1474</f>
        <v>838.07699999999954</v>
      </c>
      <c r="P1474" s="6">
        <v>46935</v>
      </c>
      <c r="Q1474" t="s">
        <v>141</v>
      </c>
      <c r="R1474" s="111">
        <v>1723.89</v>
      </c>
      <c r="S1474" s="3" t="s">
        <v>266</v>
      </c>
      <c r="T1474" s="48">
        <v>46268</v>
      </c>
      <c r="V1474" s="51">
        <v>0.53263888888888888</v>
      </c>
      <c r="W1474" s="51">
        <v>0.53541666666666665</v>
      </c>
      <c r="X1474" s="51">
        <v>0.53611111111111109</v>
      </c>
      <c r="Y1474" s="51">
        <v>0.53749999999999998</v>
      </c>
    </row>
    <row r="1475" spans="1:25" hidden="1">
      <c r="A1475" s="12">
        <v>24221724</v>
      </c>
      <c r="B1475" s="13">
        <v>46268</v>
      </c>
      <c r="C1475" s="14">
        <v>0.53189814814814818</v>
      </c>
      <c r="D1475" s="15"/>
      <c r="E1475" s="16">
        <v>5215511715633</v>
      </c>
      <c r="F1475" s="15"/>
      <c r="G1475" s="15"/>
      <c r="H1475" s="17">
        <v>30907008020</v>
      </c>
      <c r="I1475" s="15"/>
      <c r="J1475" s="18"/>
      <c r="K1475" t="s">
        <v>32</v>
      </c>
      <c r="N1475" s="3">
        <f t="shared" si="154"/>
        <v>0</v>
      </c>
      <c r="O1475" s="3">
        <f t="shared" si="155"/>
        <v>0</v>
      </c>
      <c r="S1475" s="3" t="s">
        <v>204</v>
      </c>
      <c r="V1475" s="51">
        <v>0.53263888888888888</v>
      </c>
    </row>
    <row r="1476" spans="1:25">
      <c r="A1476" s="30">
        <v>24221740</v>
      </c>
      <c r="B1476" s="31">
        <v>46268</v>
      </c>
      <c r="C1476" s="32">
        <v>0.53202546296296294</v>
      </c>
      <c r="D1476" s="33"/>
      <c r="E1476" s="34">
        <v>5216391618866</v>
      </c>
      <c r="F1476" s="33"/>
      <c r="G1476" s="33"/>
      <c r="H1476" s="35" t="s">
        <v>1444</v>
      </c>
      <c r="I1476" s="33"/>
      <c r="J1476" s="36"/>
      <c r="K1476" t="s">
        <v>54</v>
      </c>
      <c r="L1476" s="3">
        <v>7920.51</v>
      </c>
      <c r="N1476" s="3">
        <f t="shared" si="154"/>
        <v>2376.1529999999998</v>
      </c>
      <c r="O1476" s="3">
        <f t="shared" si="155"/>
        <v>2376.1529999999998</v>
      </c>
      <c r="S1476" s="3" t="s">
        <v>62</v>
      </c>
      <c r="T1476" s="48">
        <v>46268</v>
      </c>
      <c r="V1476" s="51">
        <v>0.53263888888888888</v>
      </c>
      <c r="W1476" s="51">
        <v>0.53611111111111109</v>
      </c>
      <c r="X1476" s="51">
        <v>0.54027777777777775</v>
      </c>
      <c r="Y1476" s="51">
        <v>0.54236111111111107</v>
      </c>
    </row>
    <row r="1477" spans="1:25">
      <c r="A1477" s="30">
        <v>24221968</v>
      </c>
      <c r="B1477" s="31">
        <v>46268</v>
      </c>
      <c r="C1477" s="32">
        <v>0.53651620370370368</v>
      </c>
      <c r="D1477" s="33"/>
      <c r="E1477" s="34"/>
      <c r="F1477" s="33"/>
      <c r="G1477" s="33"/>
      <c r="H1477" s="35">
        <v>31887033962</v>
      </c>
      <c r="I1477" s="33"/>
      <c r="J1477" s="36"/>
      <c r="K1477" t="s">
        <v>27</v>
      </c>
      <c r="L1477" s="111">
        <v>6411.47</v>
      </c>
      <c r="M1477" s="111">
        <v>1776.98</v>
      </c>
      <c r="N1477" s="3">
        <f>L1477*0.3</f>
        <v>1923.441</v>
      </c>
      <c r="O1477" s="3">
        <f>(IF(L1477&lt;4172.98,0,MIN(L1477*0.3,L1477-4172.98)))-M1477</f>
        <v>146.46100000000001</v>
      </c>
      <c r="P1477" s="6">
        <v>46266</v>
      </c>
      <c r="Q1477" t="s">
        <v>1312</v>
      </c>
      <c r="R1477" s="111">
        <v>1776.98</v>
      </c>
      <c r="S1477" s="3" t="s">
        <v>358</v>
      </c>
      <c r="T1477" s="48">
        <v>46268</v>
      </c>
      <c r="V1477" s="51">
        <v>0.53680555555555554</v>
      </c>
      <c r="W1477" s="51">
        <v>0.54513888888888884</v>
      </c>
      <c r="X1477" s="51">
        <v>0.54652777777777772</v>
      </c>
      <c r="Y1477" s="51">
        <v>0.55555555555555558</v>
      </c>
    </row>
    <row r="1478" spans="1:25">
      <c r="A1478" s="30">
        <v>24222262</v>
      </c>
      <c r="B1478" s="31">
        <v>46268</v>
      </c>
      <c r="C1478" s="32">
        <v>0.54833333333333334</v>
      </c>
      <c r="D1478" s="33"/>
      <c r="E1478" s="34">
        <v>5218112132273</v>
      </c>
      <c r="F1478" s="33"/>
      <c r="G1478" s="33"/>
      <c r="H1478" s="35">
        <v>43866808165</v>
      </c>
      <c r="I1478" s="33"/>
      <c r="J1478" s="36"/>
      <c r="K1478" t="s">
        <v>54</v>
      </c>
      <c r="L1478" s="3">
        <v>7913.78</v>
      </c>
      <c r="N1478" s="3">
        <f>L1478*0.3</f>
        <v>2374.134</v>
      </c>
      <c r="O1478" s="3">
        <f>(IF(L1478&lt;4172.98,0,MIN(L1478*0.3,L1478-4172.98)))-M1478</f>
        <v>2374.134</v>
      </c>
      <c r="S1478" s="3" t="s">
        <v>886</v>
      </c>
      <c r="T1478" s="48">
        <v>46268</v>
      </c>
      <c r="V1478" s="51">
        <v>0.54861111111111116</v>
      </c>
      <c r="W1478" s="51">
        <v>0.55208333333333337</v>
      </c>
      <c r="X1478" s="51">
        <v>0.55555555555555558</v>
      </c>
      <c r="Y1478" s="51">
        <v>0.55694444444444446</v>
      </c>
    </row>
    <row r="1479" spans="1:25">
      <c r="A1479" s="30">
        <v>24222542</v>
      </c>
      <c r="B1479" s="31">
        <v>46268</v>
      </c>
      <c r="C1479" s="32">
        <v>0.55905092592592598</v>
      </c>
      <c r="D1479" s="33"/>
      <c r="E1479" s="34">
        <v>17846309288</v>
      </c>
      <c r="F1479" s="33"/>
      <c r="G1479" s="33"/>
      <c r="H1479" s="35">
        <v>17846309288</v>
      </c>
      <c r="I1479" s="33"/>
      <c r="J1479" s="36"/>
      <c r="K1479" t="s">
        <v>54</v>
      </c>
      <c r="L1479" s="3">
        <v>10636.54</v>
      </c>
      <c r="N1479" s="3">
        <f>L1479*0.3</f>
        <v>3190.962</v>
      </c>
      <c r="O1479" s="3">
        <f>(IF(L1479&lt;4172.98,0,MIN(L1479*0.3,L1479-4172.98)))-M1479</f>
        <v>3190.962</v>
      </c>
      <c r="S1479" s="3" t="s">
        <v>55</v>
      </c>
      <c r="T1479" s="48">
        <v>46268</v>
      </c>
      <c r="V1479" s="51">
        <v>0.55972222222222223</v>
      </c>
      <c r="W1479" s="51">
        <v>0.56111111111111112</v>
      </c>
      <c r="X1479" s="51">
        <v>0.56388888888888888</v>
      </c>
      <c r="Y1479" s="51">
        <v>0.56527777777777777</v>
      </c>
    </row>
    <row r="1480" spans="1:25" hidden="1">
      <c r="A1480" s="30">
        <v>24223390</v>
      </c>
      <c r="B1480" s="31">
        <v>46268</v>
      </c>
      <c r="C1480" s="32">
        <v>0.57984953703703701</v>
      </c>
      <c r="D1480" s="33"/>
      <c r="E1480" s="34">
        <v>5214781251992</v>
      </c>
      <c r="F1480" s="33"/>
      <c r="G1480" s="33" t="s">
        <v>1445</v>
      </c>
      <c r="H1480" s="35"/>
      <c r="I1480" s="33"/>
      <c r="J1480" s="36"/>
      <c r="K1480" t="s">
        <v>30</v>
      </c>
      <c r="L1480" s="125">
        <v>11928.35</v>
      </c>
      <c r="M1480" s="125">
        <v>3575.96</v>
      </c>
      <c r="N1480" s="3">
        <f>L1480*0.3</f>
        <v>3578.5050000000001</v>
      </c>
      <c r="O1480" s="3">
        <f>(IF(L1480&lt;4172.98,0,MIN(L1480*0.3,L1480-4172.98)))-M1480</f>
        <v>2.5450000000000728</v>
      </c>
      <c r="P1480" s="6">
        <v>46813</v>
      </c>
      <c r="Q1480" t="s">
        <v>44</v>
      </c>
      <c r="R1480" s="125">
        <v>3575.96</v>
      </c>
      <c r="S1480" s="3" t="s">
        <v>204</v>
      </c>
      <c r="V1480" s="51">
        <v>0.57986111111111116</v>
      </c>
    </row>
    <row r="1481" spans="1:25">
      <c r="A1481" s="12">
        <v>24223596</v>
      </c>
      <c r="B1481" s="13">
        <v>46268</v>
      </c>
      <c r="C1481" s="14">
        <v>0.58078703703703705</v>
      </c>
      <c r="D1481" s="15"/>
      <c r="E1481" s="16">
        <v>5219933601985</v>
      </c>
      <c r="F1481" s="15"/>
      <c r="G1481" s="15"/>
      <c r="H1481" s="17">
        <v>83816436386</v>
      </c>
      <c r="I1481" s="15"/>
      <c r="J1481" s="18"/>
      <c r="K1481" t="s">
        <v>54</v>
      </c>
      <c r="L1481" s="3">
        <v>12084.32</v>
      </c>
      <c r="N1481" s="3">
        <f t="shared" ref="N1481:N1482" si="156">L1481*0.3</f>
        <v>3625.2959999999998</v>
      </c>
      <c r="O1481" s="3">
        <f t="shared" ref="O1481:O1482" si="157">(IF(L1481&lt;4172.98,0,MIN(L1481*0.3,L1481-4172.98)))-M1481</f>
        <v>3625.2959999999998</v>
      </c>
      <c r="S1481" s="3" t="s">
        <v>28</v>
      </c>
      <c r="T1481" s="48">
        <v>46268</v>
      </c>
      <c r="V1481" s="51">
        <v>0.58194444444444449</v>
      </c>
      <c r="W1481" s="51">
        <v>0.59166666666666667</v>
      </c>
      <c r="X1481" s="51">
        <v>0.59444444444444444</v>
      </c>
      <c r="Y1481" s="51">
        <v>0.59513888888888888</v>
      </c>
    </row>
    <row r="1482" spans="1:25" hidden="1">
      <c r="A1482" s="30">
        <v>24223296</v>
      </c>
      <c r="B1482" s="31">
        <v>46268</v>
      </c>
      <c r="C1482" s="32">
        <v>0.58173611111111112</v>
      </c>
      <c r="D1482" s="33"/>
      <c r="E1482" s="34">
        <v>5216861957900</v>
      </c>
      <c r="F1482" s="33"/>
      <c r="G1482" s="33" t="s">
        <v>1446</v>
      </c>
      <c r="H1482" s="35"/>
      <c r="I1482" s="33"/>
      <c r="J1482" s="36"/>
      <c r="K1482" t="s">
        <v>32</v>
      </c>
      <c r="N1482" s="3">
        <f t="shared" si="156"/>
        <v>0</v>
      </c>
      <c r="O1482" s="3">
        <f t="shared" si="157"/>
        <v>0</v>
      </c>
      <c r="S1482" s="3" t="s">
        <v>204</v>
      </c>
      <c r="V1482" s="51">
        <v>0.58194444444444449</v>
      </c>
    </row>
    <row r="1483" spans="1:25">
      <c r="A1483" s="30">
        <v>24223410</v>
      </c>
      <c r="B1483" s="31">
        <v>46268</v>
      </c>
      <c r="C1483" s="32">
        <v>0.58587962962962958</v>
      </c>
      <c r="D1483" s="33"/>
      <c r="E1483" s="34">
        <v>5216442099980</v>
      </c>
      <c r="F1483" s="33"/>
      <c r="G1483" s="33"/>
      <c r="H1483" s="35" t="s">
        <v>1447</v>
      </c>
      <c r="I1483" s="33"/>
      <c r="J1483" s="36"/>
      <c r="K1483" t="s">
        <v>38</v>
      </c>
      <c r="L1483" s="125">
        <v>5017.5</v>
      </c>
      <c r="M1483" s="125">
        <v>439.62</v>
      </c>
      <c r="N1483" s="3">
        <f>L1483*0.3</f>
        <v>1505.25</v>
      </c>
      <c r="O1483" s="3">
        <f>(IF(L1483&lt;4172.98,0,MIN(L1483*0.3,L1483-4172.98)))-M1483</f>
        <v>404.90000000000043</v>
      </c>
      <c r="P1483" s="6">
        <v>46966</v>
      </c>
      <c r="Q1483" t="s">
        <v>184</v>
      </c>
      <c r="R1483" s="125">
        <v>439.62</v>
      </c>
      <c r="S1483" s="3" t="s">
        <v>266</v>
      </c>
      <c r="T1483" s="48">
        <v>46268</v>
      </c>
      <c r="V1483" s="51">
        <v>0.58611111111111114</v>
      </c>
      <c r="W1483" s="51">
        <v>0.59305555555555556</v>
      </c>
      <c r="X1483" s="51">
        <v>0.59791666666666665</v>
      </c>
      <c r="Y1483" s="51">
        <v>0.6</v>
      </c>
    </row>
    <row r="1484" spans="1:25" hidden="1">
      <c r="A1484" s="30">
        <v>24223538</v>
      </c>
      <c r="B1484" s="31">
        <v>46268</v>
      </c>
      <c r="C1484" s="32">
        <v>0.58611111111111114</v>
      </c>
      <c r="D1484" s="33"/>
      <c r="E1484" s="34">
        <v>5214831126053</v>
      </c>
      <c r="F1484" s="33"/>
      <c r="G1484" s="33" t="s">
        <v>1448</v>
      </c>
      <c r="H1484" s="35"/>
      <c r="I1484" s="33"/>
      <c r="J1484" s="36"/>
      <c r="K1484" t="s">
        <v>32</v>
      </c>
      <c r="N1484" s="3">
        <f>L1484*0.3</f>
        <v>0</v>
      </c>
      <c r="O1484" s="3">
        <f>(IF(L1484&lt;4172.98,0,MIN(L1484*0.3,L1484-4172.98)))-M1484</f>
        <v>0</v>
      </c>
      <c r="S1484" s="3" t="s">
        <v>204</v>
      </c>
      <c r="V1484" s="51">
        <v>0.58611111111111114</v>
      </c>
    </row>
    <row r="1485" spans="1:25" hidden="1">
      <c r="A1485" s="30">
        <v>24223520</v>
      </c>
      <c r="B1485" s="31">
        <v>46268</v>
      </c>
      <c r="C1485" s="32">
        <v>0.58689814814814811</v>
      </c>
      <c r="D1485" s="33"/>
      <c r="E1485" s="34">
        <v>5218113915843</v>
      </c>
      <c r="F1485" s="33"/>
      <c r="G1485" s="33"/>
      <c r="H1485" s="35" t="s">
        <v>1449</v>
      </c>
      <c r="I1485" s="33"/>
      <c r="J1485" s="36"/>
      <c r="K1485" t="s">
        <v>30</v>
      </c>
      <c r="L1485" s="125">
        <v>20014.900000000001</v>
      </c>
      <c r="M1485" s="125">
        <v>6003.69</v>
      </c>
      <c r="N1485" s="3">
        <f>L1485*0.3</f>
        <v>6004.47</v>
      </c>
      <c r="O1485" s="3">
        <f>(IF(L1485&lt;4172.98,0,MIN(L1485*0.3,L1485-4172.98)))-M1485</f>
        <v>0.78000000000065484</v>
      </c>
      <c r="P1485" s="6">
        <v>46631</v>
      </c>
      <c r="Q1485" t="s">
        <v>44</v>
      </c>
      <c r="R1485" s="3">
        <v>5789.62</v>
      </c>
      <c r="S1485" s="3" t="s">
        <v>204</v>
      </c>
      <c r="V1485" s="51">
        <v>0.58819444444444446</v>
      </c>
    </row>
    <row r="1486" spans="1:25" hidden="1">
      <c r="A1486" s="30">
        <v>24223936</v>
      </c>
      <c r="B1486" s="31">
        <v>46268</v>
      </c>
      <c r="C1486" s="32">
        <v>0.58998842592592593</v>
      </c>
      <c r="D1486" s="33"/>
      <c r="E1486" s="34">
        <v>5218443143147</v>
      </c>
      <c r="F1486" s="33"/>
      <c r="G1486" s="33"/>
      <c r="H1486" s="35">
        <v>32967935340</v>
      </c>
      <c r="I1486" s="33"/>
      <c r="J1486" s="36"/>
      <c r="K1486" t="s">
        <v>30</v>
      </c>
      <c r="L1486" s="125">
        <v>5527.15</v>
      </c>
      <c r="M1486" s="125">
        <v>1298.6099999999999</v>
      </c>
      <c r="N1486" s="3">
        <f>L1486*0.3</f>
        <v>1658.1449999999998</v>
      </c>
      <c r="O1486" s="3">
        <f>(IF(L1486&lt;4172.98,0,MIN(L1486*0.3,L1486-4172.98)))-M1486</f>
        <v>55.560000000000173</v>
      </c>
      <c r="P1486" s="6">
        <v>46539</v>
      </c>
      <c r="Q1486" t="s">
        <v>47</v>
      </c>
      <c r="R1486" s="125">
        <v>1298.6099999999999</v>
      </c>
      <c r="S1486" s="3" t="s">
        <v>204</v>
      </c>
      <c r="V1486" s="51">
        <v>0.59236111111111112</v>
      </c>
    </row>
    <row r="1487" spans="1:25" hidden="1">
      <c r="A1487" s="30">
        <v>24223954</v>
      </c>
      <c r="B1487" s="31">
        <v>46268</v>
      </c>
      <c r="C1487" s="32">
        <v>0.59400462962962963</v>
      </c>
      <c r="D1487" s="33"/>
      <c r="E1487" s="34">
        <v>5215567463886</v>
      </c>
      <c r="F1487" s="33"/>
      <c r="G1487" s="33" t="s">
        <v>1450</v>
      </c>
      <c r="H1487" s="35"/>
      <c r="I1487" s="33"/>
      <c r="J1487" s="36"/>
      <c r="K1487" t="s">
        <v>30</v>
      </c>
      <c r="L1487" s="125">
        <v>9081.52</v>
      </c>
      <c r="M1487" s="125">
        <v>2521.33</v>
      </c>
      <c r="N1487" s="3">
        <f>L1487*0.3</f>
        <v>2724.4560000000001</v>
      </c>
      <c r="O1487" s="3">
        <f>(IF(L1487&lt;4172.98,0,MIN(L1487*0.3,L1487-4172.98)))-M1487</f>
        <v>203.1260000000002</v>
      </c>
      <c r="P1487" s="6">
        <v>46327</v>
      </c>
      <c r="Q1487" t="s">
        <v>1312</v>
      </c>
      <c r="R1487" s="125">
        <v>2521.33</v>
      </c>
      <c r="S1487" s="3" t="s">
        <v>204</v>
      </c>
      <c r="V1487" s="51">
        <v>0.59444444444444444</v>
      </c>
    </row>
    <row r="1488" spans="1:25" hidden="1">
      <c r="A1488" s="30">
        <v>24224006</v>
      </c>
      <c r="B1488" s="31">
        <v>46268</v>
      </c>
      <c r="C1488" s="32">
        <v>0.59515046296296292</v>
      </c>
      <c r="D1488" s="33"/>
      <c r="E1488" s="34">
        <v>5213311541458</v>
      </c>
      <c r="F1488" s="33"/>
      <c r="G1488" s="33"/>
      <c r="H1488" s="35">
        <v>11796151642</v>
      </c>
      <c r="I1488" s="33"/>
      <c r="J1488" s="36"/>
      <c r="K1488" t="s">
        <v>30</v>
      </c>
      <c r="L1488" s="125">
        <v>24460.74</v>
      </c>
      <c r="M1488" s="125">
        <v>7337.5</v>
      </c>
      <c r="N1488" s="3">
        <f>L1488*0.3</f>
        <v>7338.2220000000007</v>
      </c>
      <c r="O1488" s="3">
        <f>(IF(L1488&lt;4172.98,0,MIN(L1488*0.3,L1488-4172.98)))-M1488</f>
        <v>0.72200000000066211</v>
      </c>
      <c r="P1488" s="6">
        <v>46478</v>
      </c>
      <c r="Q1488" t="s">
        <v>75</v>
      </c>
      <c r="R1488" s="3">
        <v>300.60000000000002</v>
      </c>
      <c r="S1488" s="3" t="s">
        <v>204</v>
      </c>
      <c r="V1488" s="51">
        <v>0.59652777777777777</v>
      </c>
    </row>
    <row r="1489" spans="1:25" hidden="1">
      <c r="A1489" s="12">
        <v>24223994</v>
      </c>
      <c r="B1489" s="13">
        <v>46268</v>
      </c>
      <c r="C1489" s="14">
        <v>0.59577546296296291</v>
      </c>
      <c r="D1489" s="15" t="s">
        <v>1451</v>
      </c>
      <c r="E1489" s="16">
        <v>5216732306272</v>
      </c>
      <c r="F1489" s="15"/>
      <c r="G1489" s="15"/>
      <c r="H1489" s="17" t="s">
        <v>1452</v>
      </c>
      <c r="I1489" s="15"/>
      <c r="J1489" s="18"/>
      <c r="K1489" t="s">
        <v>30</v>
      </c>
      <c r="L1489" s="125">
        <v>5636.59</v>
      </c>
      <c r="M1489" s="125">
        <v>1690.98</v>
      </c>
      <c r="N1489" s="3">
        <f>L1489*0.3</f>
        <v>1690.9770000000001</v>
      </c>
      <c r="O1489" s="3">
        <f>(IF(L1489&lt;4172.98,0,MIN(L1489*0.3,L1489-4172.98)))-M1489</f>
        <v>-227.36999999999944</v>
      </c>
      <c r="P1489" s="6">
        <v>46784</v>
      </c>
      <c r="Q1489" t="s">
        <v>43</v>
      </c>
      <c r="R1489" s="3">
        <v>922.23</v>
      </c>
      <c r="S1489" s="3" t="s">
        <v>204</v>
      </c>
      <c r="V1489" s="51">
        <v>0.6020833333333333</v>
      </c>
    </row>
    <row r="1490" spans="1:25">
      <c r="A1490" s="30">
        <v>24224150</v>
      </c>
      <c r="B1490" s="31">
        <v>46268</v>
      </c>
      <c r="C1490" s="32">
        <v>0.59703703703703703</v>
      </c>
      <c r="D1490" s="33"/>
      <c r="E1490" s="34">
        <v>5214151446284</v>
      </c>
      <c r="F1490" s="33"/>
      <c r="G1490" s="33"/>
      <c r="H1490" s="35">
        <v>10856332381</v>
      </c>
      <c r="I1490" s="33"/>
      <c r="J1490" s="36"/>
      <c r="K1490" t="s">
        <v>38</v>
      </c>
      <c r="L1490" s="125">
        <v>28845.23</v>
      </c>
      <c r="M1490" s="125">
        <v>8341.84</v>
      </c>
      <c r="N1490" s="3">
        <f>L1490*0.3</f>
        <v>8653.5689999999995</v>
      </c>
      <c r="O1490" s="3">
        <f>(IF(L1490&lt;4172.98,0,MIN(L1490*0.3,L1490-4172.98)))-M1490</f>
        <v>311.72899999999936</v>
      </c>
      <c r="P1490" s="6">
        <v>46692</v>
      </c>
      <c r="Q1490" t="s">
        <v>739</v>
      </c>
      <c r="R1490" s="3">
        <v>8341.84</v>
      </c>
      <c r="S1490" s="3" t="s">
        <v>266</v>
      </c>
      <c r="T1490" s="48">
        <v>46268</v>
      </c>
      <c r="V1490" s="51">
        <v>0.6020833333333333</v>
      </c>
      <c r="W1490" s="51">
        <v>0.6069444444444444</v>
      </c>
      <c r="X1490" s="51">
        <v>0.61458333333333337</v>
      </c>
      <c r="Y1490" s="51">
        <v>0.61736111111111114</v>
      </c>
    </row>
    <row r="1491" spans="1:25">
      <c r="A1491" s="30">
        <v>24224344</v>
      </c>
      <c r="B1491" s="31">
        <v>46268</v>
      </c>
      <c r="C1491" s="32">
        <v>0.6068634259259259</v>
      </c>
      <c r="D1491" s="33"/>
      <c r="E1491" s="34">
        <v>5215548531711</v>
      </c>
      <c r="F1491" s="33"/>
      <c r="G1491" s="33"/>
      <c r="H1491" s="35" t="s">
        <v>1453</v>
      </c>
      <c r="I1491" s="33"/>
      <c r="J1491" s="36"/>
      <c r="K1491" t="s">
        <v>34</v>
      </c>
      <c r="L1491" s="125">
        <v>12564.26</v>
      </c>
      <c r="M1491" s="125">
        <v>3323.97</v>
      </c>
      <c r="N1491" s="3">
        <f>L1491*0.3</f>
        <v>3769.2779999999998</v>
      </c>
      <c r="O1491" s="3">
        <f>(IF(L1491&lt;4172.98,0,MIN(L1491*0.3,L1491-4172.98)))-M1491</f>
        <v>445.30799999999999</v>
      </c>
      <c r="P1491" s="6">
        <v>45839</v>
      </c>
      <c r="Q1491" t="s">
        <v>141</v>
      </c>
      <c r="R1491" s="125">
        <v>3323.97</v>
      </c>
      <c r="S1491" s="3" t="s">
        <v>271</v>
      </c>
      <c r="T1491" s="48">
        <v>46268</v>
      </c>
      <c r="V1491" s="51">
        <v>0.6069444444444444</v>
      </c>
      <c r="W1491" s="51">
        <v>0.61319444444444449</v>
      </c>
      <c r="X1491" s="51">
        <v>0.61597222222222225</v>
      </c>
      <c r="Y1491" s="51">
        <v>0.62291666666666667</v>
      </c>
    </row>
    <row r="1492" spans="1:25" hidden="1">
      <c r="A1492" s="30">
        <v>24225410</v>
      </c>
      <c r="B1492" s="31">
        <v>46268</v>
      </c>
      <c r="C1492" s="32">
        <v>0.60787037037037039</v>
      </c>
      <c r="D1492" s="33"/>
      <c r="E1492" s="34">
        <v>5214949424565</v>
      </c>
      <c r="F1492" s="33"/>
      <c r="G1492" s="33"/>
      <c r="H1492" s="35">
        <v>34765401855</v>
      </c>
      <c r="I1492" s="33"/>
      <c r="J1492" s="36"/>
      <c r="K1492" t="s">
        <v>30</v>
      </c>
      <c r="L1492" s="125">
        <v>5587.03</v>
      </c>
      <c r="M1492" s="125">
        <v>1363.7</v>
      </c>
      <c r="N1492" s="3">
        <f>L1492*0.3</f>
        <v>1676.1089999999999</v>
      </c>
      <c r="O1492" s="3">
        <f>(IF(L1492&lt;4172.98,0,MIN(L1492*0.3,L1492-4172.98)))-M1492</f>
        <v>50.350000000000136</v>
      </c>
      <c r="P1492" s="6">
        <v>46478</v>
      </c>
      <c r="Q1492" t="s">
        <v>75</v>
      </c>
      <c r="R1492" s="125">
        <v>1363.7</v>
      </c>
      <c r="S1492" s="3" t="s">
        <v>204</v>
      </c>
      <c r="V1492" s="51">
        <v>0.60833333333333328</v>
      </c>
    </row>
    <row r="1493" spans="1:25" hidden="1">
      <c r="A1493" s="12">
        <v>24225750</v>
      </c>
      <c r="B1493" s="13">
        <v>46268</v>
      </c>
      <c r="C1493" s="14">
        <v>0.61151620370370374</v>
      </c>
      <c r="D1493" s="15"/>
      <c r="E1493" s="16">
        <v>5218124232023</v>
      </c>
      <c r="F1493" s="15"/>
      <c r="G1493" s="15"/>
      <c r="H1493" s="17">
        <v>43796293249</v>
      </c>
      <c r="I1493" s="15"/>
      <c r="J1493" s="18"/>
      <c r="K1493" t="s">
        <v>30</v>
      </c>
      <c r="L1493" s="125">
        <v>11030.49</v>
      </c>
      <c r="M1493" s="125">
        <v>3188.4</v>
      </c>
      <c r="N1493" s="3">
        <f>L1493*0.3</f>
        <v>3309.1469999999999</v>
      </c>
      <c r="O1493" s="3">
        <f>(IF(L1493&lt;4172.98,0,MIN(L1493*0.3,L1493-4172.98)))-M1493</f>
        <v>120.74699999999984</v>
      </c>
      <c r="P1493" s="6">
        <v>46600</v>
      </c>
      <c r="Q1493" t="s">
        <v>1312</v>
      </c>
      <c r="R1493" s="3">
        <v>2000</v>
      </c>
      <c r="S1493" s="3" t="s">
        <v>204</v>
      </c>
      <c r="V1493" s="51">
        <v>0.6118055555555556</v>
      </c>
    </row>
    <row r="1494" spans="1:25" hidden="1">
      <c r="A1494" s="30">
        <v>24225768</v>
      </c>
      <c r="B1494" s="31">
        <v>46268</v>
      </c>
      <c r="C1494" s="32">
        <v>0.61105324074074074</v>
      </c>
      <c r="D1494" s="33"/>
      <c r="E1494" s="34">
        <v>5216444519737</v>
      </c>
      <c r="F1494" s="33"/>
      <c r="G1494" s="33"/>
      <c r="H1494" s="35" t="s">
        <v>1454</v>
      </c>
      <c r="I1494" s="33"/>
      <c r="J1494" s="36"/>
      <c r="K1494" t="s">
        <v>30</v>
      </c>
      <c r="L1494" s="3">
        <v>8784.2999999999993</v>
      </c>
      <c r="M1494" s="3">
        <v>2635.29</v>
      </c>
      <c r="N1494" s="3">
        <f>L1494*0.3</f>
        <v>2635.2899999999995</v>
      </c>
      <c r="O1494" s="3">
        <f>(IF(L1494&lt;4172.98,0,MIN(L1494*0.3,L1494-4172.98)))-M1494</f>
        <v>0</v>
      </c>
      <c r="P1494" s="6">
        <v>46813</v>
      </c>
      <c r="Q1494" t="s">
        <v>80</v>
      </c>
      <c r="R1494" s="3">
        <v>2635.29</v>
      </c>
      <c r="S1494" s="3" t="s">
        <v>204</v>
      </c>
      <c r="V1494" s="51">
        <v>0.6118055555555556</v>
      </c>
    </row>
    <row r="1495" spans="1:25" hidden="1">
      <c r="A1495" s="30">
        <v>24226102</v>
      </c>
      <c r="B1495" s="31">
        <v>46268</v>
      </c>
      <c r="C1495" s="32">
        <v>0.62070601851851848</v>
      </c>
      <c r="D1495" s="33"/>
      <c r="E1495" s="34">
        <v>5218711345169</v>
      </c>
      <c r="F1495" s="33"/>
      <c r="G1495" s="33"/>
      <c r="H1495" s="35">
        <v>32816413432</v>
      </c>
      <c r="I1495" s="33"/>
      <c r="J1495" s="36"/>
      <c r="K1495" t="s">
        <v>30</v>
      </c>
      <c r="L1495" s="125">
        <v>12073.19</v>
      </c>
      <c r="M1495" s="125">
        <v>3620.17</v>
      </c>
      <c r="N1495" s="3">
        <f>L1495*0.3</f>
        <v>3621.9569999999999</v>
      </c>
      <c r="O1495" s="3">
        <f>(IF(L1495&lt;4172.98,0,MIN(L1495*0.3,L1495-4172.98)))-M1495</f>
        <v>1.7869999999998072</v>
      </c>
      <c r="P1495" s="6">
        <v>46784</v>
      </c>
      <c r="Q1495" t="s">
        <v>141</v>
      </c>
      <c r="R1495" s="125">
        <v>3620.17</v>
      </c>
      <c r="S1495" s="3" t="s">
        <v>204</v>
      </c>
      <c r="V1495" s="51">
        <v>0.62152777777777779</v>
      </c>
    </row>
    <row r="1496" spans="1:25">
      <c r="A1496" s="12">
        <v>24226154</v>
      </c>
      <c r="B1496" s="13">
        <v>46268</v>
      </c>
      <c r="C1496" s="14">
        <v>0.62258101851851855</v>
      </c>
      <c r="D1496" s="15"/>
      <c r="E1496" s="16">
        <v>5215621714633</v>
      </c>
      <c r="F1496" s="15"/>
      <c r="G1496" s="15"/>
      <c r="H1496" s="17">
        <v>17826020459</v>
      </c>
      <c r="I1496" s="15"/>
      <c r="J1496" s="18"/>
      <c r="K1496" t="s">
        <v>54</v>
      </c>
      <c r="L1496" s="3">
        <v>10636.54</v>
      </c>
      <c r="N1496" s="3">
        <f>L1496*0.3</f>
        <v>3190.962</v>
      </c>
      <c r="O1496" s="3">
        <f>(IF(L1496&lt;4172.98,0,MIN(L1496*0.3,L1496-4172.98)))-M1496</f>
        <v>3190.962</v>
      </c>
      <c r="S1496" s="3" t="s">
        <v>28</v>
      </c>
      <c r="T1496" s="48">
        <v>46268</v>
      </c>
      <c r="V1496" s="51">
        <v>0.62291666666666667</v>
      </c>
      <c r="W1496" s="51">
        <v>0.62708333333333333</v>
      </c>
      <c r="X1496" s="51">
        <v>0.63055555555555554</v>
      </c>
      <c r="Y1496" s="51">
        <v>0.63194444444444442</v>
      </c>
    </row>
    <row r="1497" spans="1:25" hidden="1">
      <c r="A1497" s="30">
        <v>24226226</v>
      </c>
      <c r="B1497" s="31">
        <v>46268</v>
      </c>
      <c r="C1497" s="32">
        <v>0.62274305555555554</v>
      </c>
      <c r="D1497" s="33"/>
      <c r="E1497" s="34">
        <v>7352224363</v>
      </c>
      <c r="F1497" s="33"/>
      <c r="G1497" s="33" t="s">
        <v>1455</v>
      </c>
      <c r="H1497" s="35"/>
      <c r="I1497" s="33"/>
      <c r="J1497" s="36"/>
      <c r="K1497" t="s">
        <v>30</v>
      </c>
      <c r="L1497" s="125">
        <v>9760.32</v>
      </c>
      <c r="M1497" s="125">
        <v>2822.17</v>
      </c>
      <c r="N1497" s="3">
        <f>L1497*0.3</f>
        <v>2928.096</v>
      </c>
      <c r="O1497" s="3">
        <f>(IF(L1497&lt;4172.98,0,MIN(L1497*0.3,L1497-4172.98)))-M1497</f>
        <v>105.92599999999993</v>
      </c>
      <c r="P1497" s="6">
        <v>46661</v>
      </c>
      <c r="Q1497" t="s">
        <v>1312</v>
      </c>
      <c r="R1497" s="125">
        <v>2822.17</v>
      </c>
      <c r="S1497" s="3" t="s">
        <v>204</v>
      </c>
      <c r="V1497" s="51">
        <v>0.62291666666666667</v>
      </c>
    </row>
    <row r="1498" spans="1:25">
      <c r="A1498" s="30">
        <v>24226360</v>
      </c>
      <c r="B1498" s="31">
        <v>46268</v>
      </c>
      <c r="C1498" s="32">
        <v>0.62967592592592592</v>
      </c>
      <c r="D1498" s="33"/>
      <c r="E1498" s="34">
        <v>5218994268879</v>
      </c>
      <c r="F1498" s="33"/>
      <c r="G1498" s="33" t="s">
        <v>1456</v>
      </c>
      <c r="H1498" s="35"/>
      <c r="I1498" s="33"/>
      <c r="J1498" s="36"/>
      <c r="K1498" t="s">
        <v>54</v>
      </c>
      <c r="L1498" s="3">
        <v>6947.65</v>
      </c>
      <c r="N1498" s="3">
        <f>L1498*0.3</f>
        <v>2084.2949999999996</v>
      </c>
      <c r="O1498" s="3">
        <f>(IF(L1498&lt;4172.98,0,MIN(L1498*0.3,L1498-4172.98)))-M1498</f>
        <v>2084.2949999999996</v>
      </c>
      <c r="S1498" s="3" t="s">
        <v>62</v>
      </c>
      <c r="T1498" s="48">
        <v>46268</v>
      </c>
      <c r="V1498" s="51">
        <v>0.62986111111111109</v>
      </c>
      <c r="W1498" s="51">
        <v>0.63194444444444442</v>
      </c>
      <c r="X1498" s="51">
        <v>0.63680555555555551</v>
      </c>
      <c r="Y1498" s="51">
        <v>0.63958333333333328</v>
      </c>
    </row>
    <row r="1499" spans="1:25">
      <c r="A1499" s="30">
        <v>24226318</v>
      </c>
      <c r="B1499" s="31">
        <v>46268</v>
      </c>
      <c r="C1499" s="32">
        <v>0.63018518518518518</v>
      </c>
      <c r="D1499" s="33"/>
      <c r="E1499" s="34">
        <v>5216311771472</v>
      </c>
      <c r="F1499" s="33"/>
      <c r="G1499" s="33" t="s">
        <v>1457</v>
      </c>
      <c r="H1499" s="35"/>
      <c r="I1499" s="33"/>
      <c r="J1499" s="36"/>
      <c r="K1499" t="s">
        <v>107</v>
      </c>
      <c r="L1499" s="111">
        <v>7116.7</v>
      </c>
      <c r="M1499" s="111">
        <v>1320.58</v>
      </c>
      <c r="N1499" s="3">
        <f>L1499*0.3</f>
        <v>2135.0099999999998</v>
      </c>
      <c r="O1499" s="3">
        <f>(IF(L1499&lt;4172.98,0,MIN(L1499*0.3,L1499-4172.98)))-M1499</f>
        <v>814.42999999999984</v>
      </c>
      <c r="P1499" s="6">
        <v>46143</v>
      </c>
      <c r="Q1499" t="s">
        <v>80</v>
      </c>
      <c r="R1499" s="111">
        <v>880.27</v>
      </c>
      <c r="S1499" s="3" t="s">
        <v>39</v>
      </c>
      <c r="T1499" s="48">
        <v>46268</v>
      </c>
      <c r="V1499" s="51">
        <v>0.62986111111111109</v>
      </c>
      <c r="W1499" s="51">
        <v>0.64375000000000004</v>
      </c>
      <c r="X1499" s="51">
        <v>0.65833333333333333</v>
      </c>
      <c r="Y1499" s="51">
        <v>0.65972222222222221</v>
      </c>
    </row>
    <row r="1500" spans="1:25" hidden="1">
      <c r="A1500" s="30">
        <v>24226460</v>
      </c>
      <c r="B1500" s="31">
        <v>46268</v>
      </c>
      <c r="C1500" s="32">
        <v>0.63555555555555554</v>
      </c>
      <c r="D1500" s="33"/>
      <c r="E1500" s="34">
        <v>5216521012688</v>
      </c>
      <c r="F1500" s="33"/>
      <c r="G1500" s="33"/>
      <c r="H1500" s="35">
        <v>35866800747</v>
      </c>
      <c r="I1500" s="33"/>
      <c r="J1500" s="36"/>
      <c r="K1500" t="s">
        <v>58</v>
      </c>
      <c r="L1500" s="111">
        <v>5060.93</v>
      </c>
      <c r="M1500" s="111">
        <v>848</v>
      </c>
      <c r="N1500" s="3">
        <f>L1500*0.3</f>
        <v>1518.279</v>
      </c>
      <c r="O1500" s="3">
        <f>(IF(L1500&lt;4172.98,0,MIN(L1500*0.3,L1500-4172.98)))-M1500</f>
        <v>39.950000000000728</v>
      </c>
      <c r="S1500" s="3" t="s">
        <v>204</v>
      </c>
      <c r="V1500" s="51">
        <v>0.63541666666666663</v>
      </c>
    </row>
    <row r="1501" spans="1:25" hidden="1">
      <c r="A1501" s="12">
        <v>24226870</v>
      </c>
      <c r="B1501" s="13">
        <v>46268</v>
      </c>
      <c r="C1501" s="14">
        <v>0.64563657407407404</v>
      </c>
      <c r="D1501" s="15"/>
      <c r="E1501" s="16">
        <v>5218781154112</v>
      </c>
      <c r="F1501" s="15"/>
      <c r="G1501" s="15" t="s">
        <v>1458</v>
      </c>
      <c r="H1501" s="17"/>
      <c r="I1501" s="15"/>
      <c r="J1501" s="18"/>
      <c r="K1501" t="s">
        <v>32</v>
      </c>
      <c r="N1501" s="3">
        <f t="shared" ref="N1501:N1504" si="158">L1501*0.3</f>
        <v>0</v>
      </c>
      <c r="O1501" s="3">
        <f t="shared" ref="O1501:O1504" si="159">(IF(L1501&lt;4172.98,0,MIN(L1501*0.3,L1501-4172.98)))-M1501</f>
        <v>0</v>
      </c>
      <c r="S1501" s="3" t="s">
        <v>204</v>
      </c>
      <c r="V1501" s="51">
        <v>0.64583333333333337</v>
      </c>
    </row>
    <row r="1502" spans="1:25" hidden="1">
      <c r="A1502" s="12">
        <v>24226658</v>
      </c>
      <c r="B1502" s="13">
        <v>46268</v>
      </c>
      <c r="C1502" s="14">
        <v>0.6457060185185185</v>
      </c>
      <c r="D1502" s="15"/>
      <c r="E1502" s="16">
        <v>5213317226122</v>
      </c>
      <c r="F1502" s="15"/>
      <c r="G1502" s="15" t="s">
        <v>1459</v>
      </c>
      <c r="H1502" s="17">
        <v>64856304585</v>
      </c>
      <c r="I1502" s="15"/>
      <c r="J1502" s="18"/>
      <c r="K1502" t="s">
        <v>30</v>
      </c>
      <c r="L1502" s="111">
        <v>24536.080000000002</v>
      </c>
      <c r="M1502" s="111">
        <v>7358</v>
      </c>
      <c r="N1502" s="3">
        <f t="shared" si="158"/>
        <v>7360.8240000000005</v>
      </c>
      <c r="O1502" s="3">
        <f t="shared" si="159"/>
        <v>2.8240000000005239</v>
      </c>
      <c r="P1502" s="6">
        <v>46813</v>
      </c>
      <c r="Q1502" t="s">
        <v>1312</v>
      </c>
      <c r="R1502" s="3">
        <v>549</v>
      </c>
      <c r="S1502" s="3" t="s">
        <v>204</v>
      </c>
      <c r="V1502" s="51">
        <v>0.64583333333333337</v>
      </c>
    </row>
    <row r="1503" spans="1:25" hidden="1">
      <c r="A1503" s="12">
        <v>24226886</v>
      </c>
      <c r="B1503" s="13">
        <v>46268</v>
      </c>
      <c r="C1503" s="14">
        <v>0.64581018518518518</v>
      </c>
      <c r="D1503" s="15" t="s">
        <v>1460</v>
      </c>
      <c r="E1503" s="16">
        <v>5215510464384</v>
      </c>
      <c r="F1503" s="15"/>
      <c r="G1503" s="15" t="s">
        <v>1461</v>
      </c>
      <c r="H1503" s="17"/>
      <c r="I1503" s="15"/>
      <c r="J1503" s="18"/>
      <c r="K1503" t="s">
        <v>32</v>
      </c>
      <c r="N1503" s="3">
        <f t="shared" si="158"/>
        <v>0</v>
      </c>
      <c r="O1503" s="3">
        <f t="shared" si="159"/>
        <v>0</v>
      </c>
      <c r="S1503" s="3" t="s">
        <v>204</v>
      </c>
      <c r="V1503" s="51">
        <v>0.64583333333333337</v>
      </c>
    </row>
    <row r="1504" spans="1:25" hidden="1">
      <c r="A1504" s="30">
        <v>24226872</v>
      </c>
      <c r="B1504" s="31">
        <v>46268</v>
      </c>
      <c r="C1504" s="32">
        <v>0.64771990740740737</v>
      </c>
      <c r="D1504" s="33"/>
      <c r="E1504" s="34">
        <v>5216421576723</v>
      </c>
      <c r="F1504" s="33"/>
      <c r="G1504" s="33"/>
      <c r="H1504" s="35" t="s">
        <v>1462</v>
      </c>
      <c r="I1504" s="33"/>
      <c r="J1504" s="36"/>
      <c r="K1504" t="s">
        <v>58</v>
      </c>
      <c r="L1504" s="3">
        <f>3934.69+879</f>
        <v>4813.6900000000005</v>
      </c>
      <c r="M1504" s="3">
        <v>879</v>
      </c>
      <c r="N1504" s="3">
        <f t="shared" si="158"/>
        <v>1444.1070000000002</v>
      </c>
      <c r="O1504" s="3">
        <f t="shared" si="159"/>
        <v>-238.28999999999905</v>
      </c>
      <c r="S1504" s="3" t="s">
        <v>204</v>
      </c>
      <c r="V1504" s="51">
        <v>0.64861111111111114</v>
      </c>
    </row>
    <row r="1505" spans="1:25" hidden="1">
      <c r="A1505" s="12">
        <v>24226986</v>
      </c>
      <c r="B1505" s="13">
        <v>46268</v>
      </c>
      <c r="C1505" s="14">
        <v>0.64833333333333332</v>
      </c>
      <c r="D1505" s="15"/>
      <c r="E1505" s="16">
        <v>5216672345692</v>
      </c>
      <c r="F1505" s="15"/>
      <c r="G1505" s="15" t="s">
        <v>1463</v>
      </c>
      <c r="H1505" s="17"/>
      <c r="I1505" s="15"/>
      <c r="J1505" s="18"/>
      <c r="K1505" t="s">
        <v>32</v>
      </c>
      <c r="N1505" s="3">
        <f t="shared" ref="N1505:N1507" si="160">L1505*0.3</f>
        <v>0</v>
      </c>
      <c r="O1505" s="3">
        <f t="shared" ref="O1505:O1507" si="161">(IF(L1505&lt;4172.98,0,MIN(L1505*0.3,L1505-4172.98)))-M1505</f>
        <v>0</v>
      </c>
      <c r="S1505" s="3" t="s">
        <v>204</v>
      </c>
      <c r="V1505" s="51">
        <v>0.64861111111111114</v>
      </c>
    </row>
    <row r="1506" spans="1:25" hidden="1">
      <c r="A1506" s="12">
        <v>24226916</v>
      </c>
      <c r="B1506" s="13">
        <v>46268</v>
      </c>
      <c r="C1506" s="14">
        <v>0.64842592592592596</v>
      </c>
      <c r="D1506" s="15"/>
      <c r="E1506" s="16">
        <v>5216563127392</v>
      </c>
      <c r="F1506" s="15"/>
      <c r="G1506" s="15" t="s">
        <v>1464</v>
      </c>
      <c r="H1506" s="17"/>
      <c r="I1506" s="15"/>
      <c r="J1506" s="18"/>
      <c r="K1506" t="s">
        <v>30</v>
      </c>
      <c r="L1506" s="111">
        <v>20316.580000000002</v>
      </c>
      <c r="M1506" s="111">
        <v>5865.66</v>
      </c>
      <c r="N1506" s="3">
        <f t="shared" si="160"/>
        <v>6094.9740000000002</v>
      </c>
      <c r="O1506" s="3">
        <f t="shared" si="161"/>
        <v>229.31400000000031</v>
      </c>
      <c r="P1506" s="6">
        <v>46419</v>
      </c>
      <c r="Q1506" t="s">
        <v>73</v>
      </c>
      <c r="R1506" s="111">
        <v>5865.66</v>
      </c>
      <c r="S1506" s="3" t="s">
        <v>204</v>
      </c>
      <c r="V1506" s="51">
        <v>0.64861111111111114</v>
      </c>
    </row>
    <row r="1507" spans="1:25" hidden="1">
      <c r="A1507" s="30">
        <v>24226892</v>
      </c>
      <c r="B1507" s="31">
        <v>46268</v>
      </c>
      <c r="C1507" s="32">
        <v>0.65099537037037036</v>
      </c>
      <c r="D1507" s="33" t="s">
        <v>1465</v>
      </c>
      <c r="E1507" s="34">
        <v>5219983496996</v>
      </c>
      <c r="F1507" s="33"/>
      <c r="G1507" s="33" t="s">
        <v>1466</v>
      </c>
      <c r="H1507" s="35" t="s">
        <v>1467</v>
      </c>
      <c r="I1507" s="33"/>
      <c r="J1507" s="36"/>
      <c r="K1507" t="s">
        <v>51</v>
      </c>
      <c r="N1507" s="3">
        <f t="shared" si="160"/>
        <v>0</v>
      </c>
      <c r="O1507" s="3">
        <f t="shared" si="161"/>
        <v>0</v>
      </c>
      <c r="S1507" s="3" t="s">
        <v>204</v>
      </c>
      <c r="V1507" s="51">
        <v>0.65138888888888891</v>
      </c>
    </row>
    <row r="1508" spans="1:25" hidden="1">
      <c r="A1508" s="30">
        <v>24227020</v>
      </c>
      <c r="B1508" s="31">
        <v>46268</v>
      </c>
      <c r="C1508" s="32">
        <v>0.66</v>
      </c>
      <c r="D1508" s="33"/>
      <c r="E1508" s="34">
        <v>5213141426866</v>
      </c>
      <c r="F1508" s="33"/>
      <c r="G1508" s="33" t="s">
        <v>1468</v>
      </c>
      <c r="H1508" s="35">
        <v>30977821005</v>
      </c>
      <c r="I1508" s="33"/>
      <c r="J1508" s="36"/>
      <c r="K1508" t="s">
        <v>189</v>
      </c>
      <c r="N1508" s="3">
        <f>L1508*0.3</f>
        <v>0</v>
      </c>
      <c r="O1508" s="3">
        <f>(IF(L1508&lt;4172.98,0,MIN(L1508*0.3,L1508-4172.98)))-M1508</f>
        <v>0</v>
      </c>
      <c r="S1508" s="3" t="s">
        <v>204</v>
      </c>
      <c r="V1508" s="51">
        <v>0.66041666666666665</v>
      </c>
    </row>
    <row r="1509" spans="1:25" hidden="1">
      <c r="A1509" s="12">
        <v>24227266</v>
      </c>
      <c r="B1509" s="13">
        <v>46268</v>
      </c>
      <c r="C1509" s="14">
        <v>0.66578703703703701</v>
      </c>
      <c r="D1509" s="15"/>
      <c r="E1509" s="16">
        <v>5218771004662</v>
      </c>
      <c r="F1509" s="15"/>
      <c r="G1509" s="15"/>
      <c r="H1509" s="17" t="s">
        <v>1469</v>
      </c>
      <c r="I1509" s="15"/>
      <c r="J1509" s="18"/>
      <c r="K1509" t="s">
        <v>30</v>
      </c>
      <c r="L1509" s="111">
        <v>9760.32</v>
      </c>
      <c r="M1509" s="111">
        <v>2928.1</v>
      </c>
      <c r="N1509" s="3">
        <f t="shared" ref="N1509:N1510" si="162">L1509*0.3</f>
        <v>2928.096</v>
      </c>
      <c r="O1509" s="3">
        <f t="shared" ref="O1509:O1510" si="163">(IF(L1509&lt;4172.98,0,MIN(L1509*0.3,L1509-4172.98)))-M1509</f>
        <v>-3.9999999999054126E-3</v>
      </c>
      <c r="P1509" s="6">
        <v>46813</v>
      </c>
      <c r="Q1509" t="s">
        <v>44</v>
      </c>
      <c r="R1509" s="3">
        <v>2080.1</v>
      </c>
      <c r="S1509" s="3" t="s">
        <v>204</v>
      </c>
      <c r="V1509" s="51">
        <v>0.66597222222222219</v>
      </c>
    </row>
    <row r="1510" spans="1:25" hidden="1">
      <c r="A1510" s="30">
        <v>24227596</v>
      </c>
      <c r="B1510" s="31">
        <v>46268</v>
      </c>
      <c r="C1510" s="32">
        <v>0.66695601851851849</v>
      </c>
      <c r="D1510" s="33"/>
      <c r="E1510" s="34">
        <v>5219581072650</v>
      </c>
      <c r="F1510" s="33"/>
      <c r="G1510" s="33"/>
      <c r="H1510" s="35" t="s">
        <v>1470</v>
      </c>
      <c r="I1510" s="33"/>
      <c r="J1510" s="36"/>
      <c r="K1510" t="s">
        <v>30</v>
      </c>
      <c r="L1510" s="111">
        <v>9081.52</v>
      </c>
      <c r="M1510" s="111">
        <v>2608.96</v>
      </c>
      <c r="N1510" s="3">
        <f t="shared" si="162"/>
        <v>2724.4560000000001</v>
      </c>
      <c r="O1510" s="3">
        <f t="shared" si="163"/>
        <v>115.49600000000009</v>
      </c>
      <c r="P1510" s="6">
        <v>46722</v>
      </c>
      <c r="Q1510" t="s">
        <v>73</v>
      </c>
      <c r="R1510" s="111">
        <v>2608.96</v>
      </c>
      <c r="S1510" s="3" t="s">
        <v>204</v>
      </c>
      <c r="V1510" s="51">
        <v>0.66736111111111107</v>
      </c>
    </row>
    <row r="1511" spans="1:25" hidden="1">
      <c r="A1511" s="30">
        <v>24227974</v>
      </c>
      <c r="B1511" s="31">
        <v>46268</v>
      </c>
      <c r="C1511" s="32">
        <v>0.68391203703703707</v>
      </c>
      <c r="D1511" s="33"/>
      <c r="E1511" s="34">
        <v>5216143516053</v>
      </c>
      <c r="F1511" s="33"/>
      <c r="G1511" s="33" t="s">
        <v>1471</v>
      </c>
      <c r="H1511" s="35"/>
      <c r="I1511" s="33"/>
      <c r="J1511" s="36"/>
      <c r="K1511" t="s">
        <v>30</v>
      </c>
      <c r="L1511" s="125">
        <v>5797.84</v>
      </c>
      <c r="M1511" s="125">
        <v>1503.86</v>
      </c>
      <c r="N1511" s="3">
        <f>L1511*0.3</f>
        <v>1739.3520000000001</v>
      </c>
      <c r="O1511" s="3">
        <f>(IF(L1511&lt;4172.98,0,MIN(L1511*0.3,L1511-4172.98)))-M1511</f>
        <v>121.00000000000068</v>
      </c>
      <c r="P1511" s="6">
        <v>46631</v>
      </c>
      <c r="Q1511" t="s">
        <v>57</v>
      </c>
      <c r="R1511" s="3">
        <v>1503.86</v>
      </c>
      <c r="S1511" s="3" t="s">
        <v>204</v>
      </c>
      <c r="V1511" s="51">
        <v>0.68541666666666667</v>
      </c>
    </row>
    <row r="1512" spans="1:25" hidden="1">
      <c r="A1512" s="30">
        <v>24228854</v>
      </c>
      <c r="B1512" s="31">
        <v>46268</v>
      </c>
      <c r="C1512" s="32">
        <v>0.72018518518518515</v>
      </c>
      <c r="D1512" s="33"/>
      <c r="E1512" s="34">
        <v>5217122223795</v>
      </c>
      <c r="F1512" s="33"/>
      <c r="G1512" s="33" t="s">
        <v>1472</v>
      </c>
      <c r="H1512" s="35"/>
      <c r="I1512" s="33"/>
      <c r="J1512" s="36"/>
      <c r="K1512" t="s">
        <v>32</v>
      </c>
      <c r="N1512" s="3">
        <f>L1512*0.3</f>
        <v>0</v>
      </c>
      <c r="O1512" s="3">
        <f>(IF(L1512&lt;4172.98,0,MIN(L1512*0.3,L1512-4172.98)))-M1512</f>
        <v>0</v>
      </c>
      <c r="S1512" s="3" t="s">
        <v>204</v>
      </c>
      <c r="V1512" s="51">
        <v>0.72083333333333333</v>
      </c>
    </row>
    <row r="1513" spans="1:25" hidden="1">
      <c r="A1513" s="30">
        <v>24229022</v>
      </c>
      <c r="B1513" s="31">
        <v>46268</v>
      </c>
      <c r="C1513" s="32">
        <v>0.72453703703703709</v>
      </c>
      <c r="D1513" s="33"/>
      <c r="E1513" s="34">
        <v>5216565900861</v>
      </c>
      <c r="F1513" s="33"/>
      <c r="G1513" s="33"/>
      <c r="H1513" s="35">
        <v>33846738863</v>
      </c>
      <c r="I1513" s="33"/>
      <c r="J1513" s="36"/>
      <c r="K1513" t="s">
        <v>58</v>
      </c>
      <c r="L1513" s="111">
        <v>3930.71</v>
      </c>
      <c r="M1513" s="111">
        <v>848</v>
      </c>
      <c r="N1513" s="3">
        <f>L1513*0.3</f>
        <v>1179.213</v>
      </c>
      <c r="O1513" s="3">
        <f>(IF(L1513&lt;4172.98,0,MIN(L1513*0.3,L1513-4172.98)))-M1513</f>
        <v>-848</v>
      </c>
      <c r="S1513" s="3" t="s">
        <v>204</v>
      </c>
      <c r="V1513" s="51">
        <v>0.72499999999999998</v>
      </c>
    </row>
    <row r="1514" spans="1:25">
      <c r="A1514" s="30">
        <v>24229380</v>
      </c>
      <c r="B1514" s="31">
        <v>46268</v>
      </c>
      <c r="C1514" s="32">
        <v>0.74256944444444439</v>
      </c>
      <c r="D1514" s="33"/>
      <c r="E1514" s="34">
        <v>5219991582469</v>
      </c>
      <c r="F1514" s="33"/>
      <c r="G1514" s="33" t="s">
        <v>1473</v>
      </c>
      <c r="H1514" s="35"/>
      <c r="I1514" s="33"/>
      <c r="J1514" s="36"/>
      <c r="K1514" t="s">
        <v>54</v>
      </c>
      <c r="L1514" s="3">
        <v>8539.89</v>
      </c>
      <c r="N1514" s="3">
        <f>L1514*0.3</f>
        <v>2561.9669999999996</v>
      </c>
      <c r="O1514" s="3">
        <f>(IF(L1514&lt;4172.98,0,MIN(L1514*0.3,L1514-4172.98)))-M1514</f>
        <v>2561.9669999999996</v>
      </c>
      <c r="S1514" s="3" t="s">
        <v>28</v>
      </c>
      <c r="T1514" s="48">
        <v>46268</v>
      </c>
      <c r="V1514" s="51">
        <v>0.74305555555555558</v>
      </c>
      <c r="W1514" s="51">
        <v>0.74583333333333335</v>
      </c>
      <c r="X1514" s="51">
        <v>0.74791666666666667</v>
      </c>
      <c r="Y1514" s="51">
        <v>0.74930555555555556</v>
      </c>
    </row>
    <row r="1515" spans="1:25" hidden="1">
      <c r="A1515" s="30">
        <v>24229336</v>
      </c>
      <c r="B1515" s="31">
        <v>46268</v>
      </c>
      <c r="C1515" s="32">
        <v>0.74510416666666668</v>
      </c>
      <c r="D1515" s="33" t="s">
        <v>1474</v>
      </c>
      <c r="E1515" s="34">
        <v>5212212703191</v>
      </c>
      <c r="F1515" s="33"/>
      <c r="G1515" s="33"/>
      <c r="H1515" s="35">
        <v>62826227738</v>
      </c>
      <c r="I1515" s="33"/>
      <c r="J1515" s="36"/>
      <c r="K1515" t="s">
        <v>30</v>
      </c>
      <c r="L1515" s="111">
        <v>18607.8</v>
      </c>
      <c r="M1515" s="111">
        <v>5582.35</v>
      </c>
      <c r="N1515" s="3">
        <f>L1515*0.3</f>
        <v>5582.3399999999992</v>
      </c>
      <c r="O1515" s="3">
        <f>(IF(L1515&lt;4172.98,0,MIN(L1515*0.3,L1515-4172.98)))-M1515</f>
        <v>-1.0000000001127773E-2</v>
      </c>
      <c r="P1515" s="6">
        <v>46296</v>
      </c>
      <c r="Q1515" t="s">
        <v>1312</v>
      </c>
      <c r="R1515" s="3">
        <v>4593</v>
      </c>
      <c r="S1515" s="3" t="s">
        <v>204</v>
      </c>
      <c r="V1515" s="51">
        <v>0.74652777777777779</v>
      </c>
    </row>
    <row r="1516" spans="1:25" hidden="1">
      <c r="A1516" s="30">
        <v>24230032</v>
      </c>
      <c r="B1516" s="31">
        <v>46268</v>
      </c>
      <c r="C1516" s="32">
        <v>0.763275462962963</v>
      </c>
      <c r="D1516" s="33"/>
      <c r="E1516" s="34">
        <v>6623403345</v>
      </c>
      <c r="F1516" s="33"/>
      <c r="G1516" s="33"/>
      <c r="H1516" s="35" t="s">
        <v>1475</v>
      </c>
      <c r="I1516" s="33"/>
      <c r="J1516" s="36"/>
      <c r="K1516" t="s">
        <v>189</v>
      </c>
      <c r="N1516" s="3">
        <f>L1516*0.3</f>
        <v>0</v>
      </c>
      <c r="O1516" s="3">
        <f>(IF(L1516&lt;4172.98,0,MIN(L1516*0.3,L1516-4172.98)))-M1516</f>
        <v>0</v>
      </c>
      <c r="S1516" s="3" t="s">
        <v>204</v>
      </c>
      <c r="V1516" s="51">
        <v>0.76458333333333328</v>
      </c>
    </row>
    <row r="1517" spans="1:25" hidden="1">
      <c r="A1517" s="30">
        <v>24230090</v>
      </c>
      <c r="B1517" s="31">
        <v>46268</v>
      </c>
      <c r="C1517" s="32">
        <v>0.76703703703703707</v>
      </c>
      <c r="D1517" s="33"/>
      <c r="E1517" s="34">
        <v>5215561567586</v>
      </c>
      <c r="F1517" s="33"/>
      <c r="G1517" s="33"/>
      <c r="H1517" s="35">
        <v>42866524632</v>
      </c>
      <c r="I1517" s="33"/>
      <c r="J1517" s="36"/>
      <c r="K1517" t="s">
        <v>30</v>
      </c>
      <c r="L1517" s="111">
        <v>11627.75</v>
      </c>
      <c r="M1517" s="111">
        <v>3488.32</v>
      </c>
      <c r="N1517" s="3">
        <f>L1517*0.3</f>
        <v>3488.3249999999998</v>
      </c>
      <c r="O1517" s="3">
        <f>(IF(L1517&lt;4172.98,0,MIN(L1517*0.3,L1517-4172.98)))-M1517</f>
        <v>4.999999999654392E-3</v>
      </c>
      <c r="P1517" s="6">
        <v>46813</v>
      </c>
      <c r="Q1517" t="s">
        <v>1312</v>
      </c>
      <c r="R1517" s="111">
        <v>3488.32</v>
      </c>
      <c r="S1517" s="3" t="s">
        <v>204</v>
      </c>
      <c r="U1517" s="85"/>
      <c r="V1517" s="51">
        <v>0.76736111111111116</v>
      </c>
    </row>
    <row r="1518" spans="1:25">
      <c r="A1518" s="12">
        <v>24229996</v>
      </c>
      <c r="B1518" s="13">
        <v>46268</v>
      </c>
      <c r="C1518" s="14">
        <v>0.77031249999999996</v>
      </c>
      <c r="D1518" s="15"/>
      <c r="E1518" s="16">
        <v>5215648842502</v>
      </c>
      <c r="F1518" s="15"/>
      <c r="G1518" s="15" t="s">
        <v>1476</v>
      </c>
      <c r="H1518" s="17">
        <v>6796104096</v>
      </c>
      <c r="I1518" s="15"/>
      <c r="J1518" s="18"/>
      <c r="K1518" t="s">
        <v>54</v>
      </c>
      <c r="L1518" s="3">
        <v>38631.31</v>
      </c>
      <c r="N1518" s="3">
        <f t="shared" ref="N1518:N1519" si="164">L1518*0.3</f>
        <v>11589.392999999998</v>
      </c>
      <c r="O1518" s="3">
        <f t="shared" ref="O1518:O1519" si="165">(IF(L1518&lt;4172.98,0,MIN(L1518*0.3,L1518-4172.98)))-M1518</f>
        <v>11589.392999999998</v>
      </c>
      <c r="S1518" s="3" t="s">
        <v>879</v>
      </c>
      <c r="T1518" s="48">
        <v>46269</v>
      </c>
      <c r="V1518" s="51">
        <v>0.39930555555555558</v>
      </c>
      <c r="W1518" s="51">
        <v>0.40902777777777777</v>
      </c>
      <c r="X1518" s="51">
        <v>0.45694444444444443</v>
      </c>
      <c r="Y1518" s="51">
        <v>0.46527777777777779</v>
      </c>
    </row>
    <row r="1519" spans="1:25" hidden="1">
      <c r="A1519" s="30">
        <v>24230334</v>
      </c>
      <c r="B1519" s="31">
        <v>46268</v>
      </c>
      <c r="C1519" s="32">
        <v>0.77929398148148143</v>
      </c>
      <c r="D1519" s="33"/>
      <c r="E1519" s="34">
        <v>5214641196691</v>
      </c>
      <c r="F1519" s="33"/>
      <c r="G1519" s="33" t="s">
        <v>1477</v>
      </c>
      <c r="H1519" s="35"/>
      <c r="I1519" s="33"/>
      <c r="J1519" s="36"/>
      <c r="K1519" t="s">
        <v>30</v>
      </c>
      <c r="L1519" s="125">
        <v>9504.4</v>
      </c>
      <c r="M1519" s="125">
        <v>2851.11</v>
      </c>
      <c r="N1519" s="3">
        <f t="shared" si="164"/>
        <v>2851.3199999999997</v>
      </c>
      <c r="O1519" s="3">
        <f t="shared" si="165"/>
        <v>0.20999999999958163</v>
      </c>
      <c r="P1519" s="6">
        <v>46327</v>
      </c>
      <c r="Q1519" t="s">
        <v>47</v>
      </c>
      <c r="R1519" s="3">
        <v>2638.84</v>
      </c>
      <c r="S1519" s="3" t="s">
        <v>204</v>
      </c>
      <c r="V1519" s="51">
        <v>0.39930555555555558</v>
      </c>
    </row>
    <row r="1520" spans="1:25" hidden="1">
      <c r="A1520" s="12">
        <v>24230494</v>
      </c>
      <c r="B1520" s="13">
        <v>46268</v>
      </c>
      <c r="C1520" s="14">
        <v>0.78262731481481485</v>
      </c>
      <c r="D1520" s="15"/>
      <c r="E1520" s="16">
        <v>5217411200341</v>
      </c>
      <c r="F1520" s="15"/>
      <c r="G1520" s="15" t="s">
        <v>1478</v>
      </c>
      <c r="H1520" s="17"/>
      <c r="I1520" s="15"/>
      <c r="J1520" s="18"/>
      <c r="K1520" t="s">
        <v>32</v>
      </c>
      <c r="N1520" s="3">
        <f t="shared" ref="N1520:N1523" si="166">L1520*0.3</f>
        <v>0</v>
      </c>
      <c r="O1520" s="3">
        <f t="shared" ref="O1520:O1523" si="167">(IF(L1520&lt;4172.98,0,MIN(L1520*0.3,L1520-4172.98)))-M1520</f>
        <v>0</v>
      </c>
      <c r="S1520" s="3" t="s">
        <v>204</v>
      </c>
      <c r="V1520" s="51">
        <v>0.4</v>
      </c>
    </row>
    <row r="1521" spans="1:25" hidden="1">
      <c r="A1521" s="12">
        <v>24232776</v>
      </c>
      <c r="B1521" s="13">
        <v>46268</v>
      </c>
      <c r="C1521" s="14">
        <v>0.92195601851851849</v>
      </c>
      <c r="D1521" s="15"/>
      <c r="E1521" s="16">
        <v>5215579635576</v>
      </c>
      <c r="F1521" s="15"/>
      <c r="G1521" s="15" t="s">
        <v>1479</v>
      </c>
      <c r="H1521" s="17"/>
      <c r="I1521" s="15"/>
      <c r="J1521" s="18"/>
      <c r="K1521" t="s">
        <v>32</v>
      </c>
      <c r="N1521" s="3">
        <f t="shared" si="166"/>
        <v>0</v>
      </c>
      <c r="O1521" s="3">
        <f t="shared" si="167"/>
        <v>0</v>
      </c>
      <c r="S1521" s="3" t="s">
        <v>204</v>
      </c>
      <c r="V1521" s="51">
        <v>0.4</v>
      </c>
    </row>
    <row r="1522" spans="1:25" hidden="1">
      <c r="A1522" s="12">
        <v>24232948</v>
      </c>
      <c r="B1522" s="13">
        <v>46268</v>
      </c>
      <c r="C1522" s="14">
        <v>0.92606481481481484</v>
      </c>
      <c r="D1522" s="15" t="s">
        <v>1480</v>
      </c>
      <c r="E1522" s="16">
        <v>5215586657634</v>
      </c>
      <c r="F1522" s="15"/>
      <c r="G1522" s="15"/>
      <c r="H1522" s="17">
        <v>19806507075</v>
      </c>
      <c r="I1522" s="15"/>
      <c r="J1522" s="18"/>
      <c r="K1522" t="s">
        <v>30</v>
      </c>
      <c r="L1522" s="125">
        <v>9760.32</v>
      </c>
      <c r="M1522" s="125">
        <v>2926.03</v>
      </c>
      <c r="N1522" s="3">
        <f t="shared" si="166"/>
        <v>2928.096</v>
      </c>
      <c r="O1522" s="3">
        <f t="shared" si="167"/>
        <v>2.0659999999998035</v>
      </c>
      <c r="P1522" s="6">
        <v>46874</v>
      </c>
      <c r="Q1522" t="s">
        <v>43</v>
      </c>
      <c r="R1522" s="125">
        <v>2926.03</v>
      </c>
      <c r="S1522" s="3" t="s">
        <v>204</v>
      </c>
      <c r="V1522" s="51">
        <v>0.4</v>
      </c>
    </row>
    <row r="1523" spans="1:25" hidden="1">
      <c r="A1523" s="30">
        <v>24233168</v>
      </c>
      <c r="B1523" s="31">
        <v>46268</v>
      </c>
      <c r="C1523" s="32">
        <v>0.96046296296296296</v>
      </c>
      <c r="D1523" s="33"/>
      <c r="E1523" s="34">
        <v>5218444940658</v>
      </c>
      <c r="F1523" s="33"/>
      <c r="G1523" s="33"/>
      <c r="H1523" s="35">
        <v>32846541160</v>
      </c>
      <c r="I1523" s="33"/>
      <c r="J1523" s="36"/>
      <c r="K1523" t="s">
        <v>30</v>
      </c>
      <c r="L1523" s="111">
        <v>22454.84</v>
      </c>
      <c r="M1523" s="111">
        <v>6734.73</v>
      </c>
      <c r="N1523" s="3">
        <f t="shared" si="166"/>
        <v>6736.4520000000002</v>
      </c>
      <c r="O1523" s="3">
        <f t="shared" si="167"/>
        <v>1.7220000000006621</v>
      </c>
      <c r="P1523" s="6">
        <v>46508</v>
      </c>
      <c r="Q1523" t="s">
        <v>75</v>
      </c>
      <c r="R1523" s="3">
        <v>4740.59</v>
      </c>
      <c r="S1523" s="3" t="s">
        <v>204</v>
      </c>
      <c r="V1523" s="51">
        <v>0.4</v>
      </c>
    </row>
    <row r="1524" spans="1:25" hidden="1">
      <c r="A1524" s="12">
        <v>24233258</v>
      </c>
      <c r="B1524" s="13">
        <v>46268</v>
      </c>
      <c r="C1524" s="14">
        <v>0.97454861111111113</v>
      </c>
      <c r="D1524" s="15"/>
      <c r="E1524" s="16">
        <v>5215568668258</v>
      </c>
      <c r="F1524" s="15"/>
      <c r="G1524" s="15"/>
      <c r="H1524" s="17" t="s">
        <v>1481</v>
      </c>
      <c r="I1524" s="15"/>
      <c r="J1524" s="18"/>
      <c r="K1524" t="s">
        <v>30</v>
      </c>
      <c r="L1524" s="111">
        <v>7116.73</v>
      </c>
      <c r="M1524" s="111">
        <v>2000</v>
      </c>
      <c r="N1524" s="3">
        <f t="shared" ref="N1524:N1531" si="168">L1524*0.3</f>
        <v>2135.0189999999998</v>
      </c>
      <c r="O1524" s="3">
        <f t="shared" ref="O1524:O1531" si="169">(IF(L1524&lt;4172.98,0,MIN(L1524*0.3,L1524-4172.98)))-M1524</f>
        <v>135.01899999999978</v>
      </c>
      <c r="P1524" s="6">
        <v>46539</v>
      </c>
      <c r="Q1524" t="s">
        <v>75</v>
      </c>
      <c r="R1524" s="111">
        <v>2000</v>
      </c>
      <c r="S1524" s="3" t="s">
        <v>204</v>
      </c>
      <c r="V1524" s="51">
        <v>0.40069444444444446</v>
      </c>
    </row>
    <row r="1525" spans="1:25" hidden="1">
      <c r="A1525" s="12">
        <v>24239036</v>
      </c>
      <c r="B1525" s="13">
        <v>46269</v>
      </c>
      <c r="C1525" s="14">
        <v>0.28898148148148151</v>
      </c>
      <c r="D1525" s="15"/>
      <c r="E1525" s="16">
        <v>5212722291475</v>
      </c>
      <c r="F1525" s="15"/>
      <c r="G1525" s="15"/>
      <c r="H1525" s="17">
        <v>67896600409</v>
      </c>
      <c r="I1525" s="15"/>
      <c r="J1525" s="18"/>
      <c r="K1525" t="s">
        <v>58</v>
      </c>
      <c r="L1525" s="125">
        <v>3900.89</v>
      </c>
      <c r="M1525" s="125">
        <v>848</v>
      </c>
      <c r="N1525" s="3">
        <f t="shared" si="168"/>
        <v>1170.2669999999998</v>
      </c>
      <c r="O1525" s="3">
        <f t="shared" si="169"/>
        <v>-848</v>
      </c>
      <c r="S1525" s="3" t="s">
        <v>204</v>
      </c>
      <c r="V1525" s="51">
        <v>0.40069444444444446</v>
      </c>
    </row>
    <row r="1526" spans="1:25" hidden="1">
      <c r="A1526" s="12">
        <v>24240822</v>
      </c>
      <c r="B1526" s="13">
        <v>46269</v>
      </c>
      <c r="C1526" s="14">
        <v>0.33777777777777779</v>
      </c>
      <c r="D1526" s="15"/>
      <c r="E1526" s="16">
        <v>5213322465732</v>
      </c>
      <c r="F1526" s="15"/>
      <c r="G1526" s="15" t="s">
        <v>1482</v>
      </c>
      <c r="H1526" s="17"/>
      <c r="I1526" s="15"/>
      <c r="J1526" s="18"/>
      <c r="K1526" t="s">
        <v>30</v>
      </c>
      <c r="L1526" s="125">
        <v>8780.5499999999993</v>
      </c>
      <c r="M1526" s="125">
        <v>2625.64</v>
      </c>
      <c r="N1526" s="3">
        <f t="shared" si="168"/>
        <v>2634.1649999999995</v>
      </c>
      <c r="O1526" s="3">
        <f t="shared" si="169"/>
        <v>8.5249999999996362</v>
      </c>
      <c r="P1526" s="6">
        <v>46692</v>
      </c>
      <c r="Q1526" t="s">
        <v>43</v>
      </c>
      <c r="R1526" s="3">
        <v>815.55</v>
      </c>
      <c r="S1526" s="3" t="s">
        <v>204</v>
      </c>
      <c r="V1526" s="51">
        <v>0.40069444444444446</v>
      </c>
    </row>
    <row r="1527" spans="1:25" hidden="1">
      <c r="A1527" s="12">
        <v>24240780</v>
      </c>
      <c r="B1527" s="13">
        <v>46269</v>
      </c>
      <c r="C1527" s="14">
        <v>0.33834490740740741</v>
      </c>
      <c r="D1527" s="15"/>
      <c r="E1527" s="16">
        <v>5218681753474</v>
      </c>
      <c r="F1527" s="15"/>
      <c r="G1527" s="15" t="s">
        <v>1483</v>
      </c>
      <c r="H1527" s="17"/>
      <c r="I1527" s="15"/>
      <c r="J1527" s="18"/>
      <c r="K1527" t="s">
        <v>32</v>
      </c>
      <c r="N1527" s="3">
        <f t="shared" si="168"/>
        <v>0</v>
      </c>
      <c r="O1527" s="3">
        <f t="shared" si="169"/>
        <v>0</v>
      </c>
      <c r="S1527" s="3" t="s">
        <v>204</v>
      </c>
      <c r="V1527" s="51">
        <v>0.40069444444444446</v>
      </c>
    </row>
    <row r="1528" spans="1:25" hidden="1">
      <c r="A1528" s="12">
        <v>24241036</v>
      </c>
      <c r="B1528" s="13">
        <v>46269</v>
      </c>
      <c r="C1528" s="14">
        <v>0.35641203703703705</v>
      </c>
      <c r="D1528" s="15"/>
      <c r="E1528" s="16">
        <v>5214445164423</v>
      </c>
      <c r="F1528" s="15"/>
      <c r="G1528" s="15" t="s">
        <v>1484</v>
      </c>
      <c r="H1528" s="17"/>
      <c r="I1528" s="15"/>
      <c r="J1528" s="18"/>
      <c r="K1528" t="s">
        <v>32</v>
      </c>
      <c r="N1528" s="3">
        <f t="shared" si="168"/>
        <v>0</v>
      </c>
      <c r="O1528" s="3">
        <f t="shared" si="169"/>
        <v>0</v>
      </c>
      <c r="S1528" s="3" t="s">
        <v>204</v>
      </c>
      <c r="V1528" s="51">
        <v>0.40069444444444446</v>
      </c>
    </row>
    <row r="1529" spans="1:25">
      <c r="A1529" s="12">
        <v>24241430</v>
      </c>
      <c r="B1529" s="13">
        <v>46269</v>
      </c>
      <c r="C1529" s="14">
        <v>0.37201388888888887</v>
      </c>
      <c r="D1529" s="15"/>
      <c r="E1529" s="16">
        <v>5214271171411</v>
      </c>
      <c r="F1529" s="15"/>
      <c r="G1529" s="183" t="s">
        <v>1485</v>
      </c>
      <c r="H1529" s="17"/>
      <c r="I1529" s="15"/>
      <c r="J1529" s="18"/>
      <c r="K1529" t="s">
        <v>54</v>
      </c>
      <c r="L1529" s="3">
        <v>6262.86</v>
      </c>
      <c r="N1529" s="3">
        <f t="shared" si="168"/>
        <v>1878.8579999999997</v>
      </c>
      <c r="O1529" s="3">
        <f t="shared" si="169"/>
        <v>1878.8579999999997</v>
      </c>
      <c r="S1529" s="3" t="s">
        <v>327</v>
      </c>
      <c r="T1529" s="48">
        <v>46269</v>
      </c>
      <c r="V1529" s="51">
        <v>0.40069444444444446</v>
      </c>
      <c r="W1529" s="51">
        <v>0.42499999999999999</v>
      </c>
      <c r="X1529" s="51">
        <v>0.44583333333333336</v>
      </c>
      <c r="Y1529" s="51">
        <v>0.44861111111111113</v>
      </c>
    </row>
    <row r="1530" spans="1:25">
      <c r="A1530" s="12">
        <v>24242012</v>
      </c>
      <c r="B1530" s="13">
        <v>46269</v>
      </c>
      <c r="C1530" s="14">
        <v>0.37319444444444444</v>
      </c>
      <c r="D1530" s="15"/>
      <c r="E1530" s="16">
        <v>5218187073102</v>
      </c>
      <c r="F1530" s="15"/>
      <c r="G1530" s="15"/>
      <c r="H1530" s="17">
        <v>43896224219</v>
      </c>
      <c r="I1530" s="15"/>
      <c r="J1530" s="18"/>
      <c r="K1530" t="s">
        <v>107</v>
      </c>
      <c r="L1530" s="125">
        <v>8270.24</v>
      </c>
      <c r="M1530" s="125">
        <v>2392.7800000000002</v>
      </c>
      <c r="N1530" s="3">
        <f t="shared" si="168"/>
        <v>2481.0719999999997</v>
      </c>
      <c r="O1530" s="3">
        <f t="shared" si="169"/>
        <v>88.291999999999462</v>
      </c>
      <c r="P1530" s="6">
        <v>45931</v>
      </c>
      <c r="Q1530" t="s">
        <v>184</v>
      </c>
      <c r="R1530" s="3">
        <v>576.47</v>
      </c>
      <c r="S1530" s="3" t="s">
        <v>266</v>
      </c>
      <c r="T1530" s="48">
        <v>46269</v>
      </c>
      <c r="V1530" s="51">
        <v>0.40069444444444446</v>
      </c>
      <c r="W1530" s="51">
        <v>0.41736111111111113</v>
      </c>
      <c r="X1530" s="51">
        <v>0.42986111111111114</v>
      </c>
      <c r="Y1530" s="51">
        <v>0.43125000000000002</v>
      </c>
    </row>
    <row r="1531" spans="1:25" hidden="1">
      <c r="A1531" s="30">
        <v>24243340</v>
      </c>
      <c r="B1531" s="31">
        <v>46269</v>
      </c>
      <c r="C1531" s="32">
        <v>0.39793981481481483</v>
      </c>
      <c r="D1531" s="33"/>
      <c r="E1531" s="34">
        <v>5218681324719</v>
      </c>
      <c r="F1531" s="33"/>
      <c r="G1531" s="33"/>
      <c r="H1531" s="35">
        <v>49936454336</v>
      </c>
      <c r="I1531" s="33"/>
      <c r="J1531" s="36"/>
      <c r="K1531" t="s">
        <v>30</v>
      </c>
      <c r="L1531" s="125">
        <v>6262.86</v>
      </c>
      <c r="M1531" s="125">
        <v>1808.59</v>
      </c>
      <c r="N1531" s="3">
        <f t="shared" si="168"/>
        <v>1878.8579999999997</v>
      </c>
      <c r="O1531" s="3">
        <f t="shared" si="169"/>
        <v>70.267999999999802</v>
      </c>
      <c r="P1531" s="6">
        <v>46692</v>
      </c>
      <c r="Q1531" t="s">
        <v>57</v>
      </c>
      <c r="R1531" s="3">
        <v>960.59</v>
      </c>
      <c r="S1531" s="3" t="s">
        <v>204</v>
      </c>
      <c r="V1531" s="51">
        <v>0.40069444444444446</v>
      </c>
    </row>
    <row r="1532" spans="1:25">
      <c r="A1532" s="30">
        <v>24243554</v>
      </c>
      <c r="B1532" s="31">
        <v>46269</v>
      </c>
      <c r="C1532" s="32">
        <v>0.40658564814814813</v>
      </c>
      <c r="D1532" s="33"/>
      <c r="E1532" s="34">
        <v>5212711349180</v>
      </c>
      <c r="F1532" s="33"/>
      <c r="G1532" s="33"/>
      <c r="H1532" s="35">
        <v>67846152279</v>
      </c>
      <c r="I1532" s="33"/>
      <c r="J1532" s="36"/>
      <c r="K1532" t="s">
        <v>34</v>
      </c>
      <c r="L1532" s="111">
        <v>6262.86</v>
      </c>
      <c r="M1532" s="111">
        <v>1651.41</v>
      </c>
      <c r="N1532" s="3">
        <f>L1532*0.3</f>
        <v>1878.8579999999997</v>
      </c>
      <c r="O1532" s="3">
        <f>(IF(L1532&lt;4172.98,0,MIN(L1532*0.3,L1532-4172.98)))-M1532</f>
        <v>227.44799999999964</v>
      </c>
      <c r="P1532" s="6">
        <v>45778</v>
      </c>
      <c r="Q1532" t="s">
        <v>141</v>
      </c>
      <c r="R1532" s="111">
        <v>1651.41</v>
      </c>
      <c r="S1532" s="3" t="s">
        <v>271</v>
      </c>
      <c r="T1532" s="48">
        <v>46269</v>
      </c>
      <c r="V1532" s="51">
        <v>0.40694444444444444</v>
      </c>
      <c r="W1532" s="51">
        <v>0.42638888888888887</v>
      </c>
      <c r="X1532" s="51">
        <v>0.43402777777777779</v>
      </c>
      <c r="Y1532" s="51">
        <v>0.43888888888888888</v>
      </c>
    </row>
    <row r="1533" spans="1:25" hidden="1">
      <c r="A1533" s="30">
        <v>24243848</v>
      </c>
      <c r="B1533" s="31">
        <v>46269</v>
      </c>
      <c r="C1533" s="32">
        <v>0.41987268518518517</v>
      </c>
      <c r="D1533" s="33"/>
      <c r="E1533" s="34">
        <v>5219992301024</v>
      </c>
      <c r="F1533" s="33"/>
      <c r="G1533" s="33" t="s">
        <v>1486</v>
      </c>
      <c r="H1533" s="35" t="s">
        <v>1487</v>
      </c>
      <c r="I1533" s="33"/>
      <c r="J1533" s="36"/>
      <c r="K1533" t="s">
        <v>30</v>
      </c>
      <c r="L1533" s="111">
        <v>8173.37</v>
      </c>
      <c r="M1533" s="111">
        <v>2449.4899999999998</v>
      </c>
      <c r="N1533" s="3">
        <f>L1533*0.3</f>
        <v>2452.011</v>
      </c>
      <c r="O1533" s="3">
        <f>(IF(L1533&lt;4172.98,0,MIN(L1533*0.3,L1533-4172.98)))-M1533</f>
        <v>2.5210000000001855</v>
      </c>
      <c r="P1533" s="6">
        <v>46357</v>
      </c>
      <c r="Q1533" t="s">
        <v>47</v>
      </c>
      <c r="R1533" s="3">
        <v>2264.16</v>
      </c>
      <c r="S1533" s="3" t="s">
        <v>204</v>
      </c>
      <c r="V1533" s="51">
        <v>0.4201388888888889</v>
      </c>
    </row>
    <row r="1534" spans="1:25">
      <c r="A1534" s="30">
        <v>24243982</v>
      </c>
      <c r="B1534" s="31">
        <v>46269</v>
      </c>
      <c r="C1534" s="32">
        <v>0.42959490740740741</v>
      </c>
      <c r="D1534" s="33"/>
      <c r="E1534" s="34">
        <v>5217444075710</v>
      </c>
      <c r="F1534" s="33"/>
      <c r="G1534" s="33"/>
      <c r="H1534" s="35">
        <v>72816325863</v>
      </c>
      <c r="I1534" s="33"/>
      <c r="J1534" s="36"/>
      <c r="K1534" t="s">
        <v>54</v>
      </c>
      <c r="L1534" s="3">
        <v>6270</v>
      </c>
      <c r="N1534" s="3">
        <f>L1534*0.3</f>
        <v>1881</v>
      </c>
      <c r="O1534" s="3">
        <f>(IF(L1534&lt;4172.98,0,MIN(L1534*0.3,L1534-4172.98)))-M1534</f>
        <v>1881</v>
      </c>
      <c r="S1534" s="3" t="s">
        <v>62</v>
      </c>
      <c r="T1534" s="48">
        <v>46269</v>
      </c>
      <c r="V1534" s="51">
        <v>0.43263888888888891</v>
      </c>
      <c r="W1534" s="51">
        <v>0.44027777777777777</v>
      </c>
      <c r="X1534" s="51">
        <v>0.44722222222222224</v>
      </c>
      <c r="Y1534" s="51">
        <v>0.44930555555555557</v>
      </c>
    </row>
    <row r="1535" spans="1:25" hidden="1">
      <c r="A1535" s="30">
        <v>24244518</v>
      </c>
      <c r="B1535" s="31">
        <v>46269</v>
      </c>
      <c r="C1535" s="32">
        <v>0.4425810185185185</v>
      </c>
      <c r="D1535" s="33"/>
      <c r="E1535" s="34">
        <v>5219511203341</v>
      </c>
      <c r="F1535" s="33"/>
      <c r="G1535" s="33"/>
      <c r="H1535" s="35" t="s">
        <v>1488</v>
      </c>
      <c r="I1535" s="33"/>
      <c r="J1535" s="36"/>
      <c r="K1535" t="s">
        <v>32</v>
      </c>
      <c r="N1535" s="3">
        <f>L1535*0.3</f>
        <v>0</v>
      </c>
      <c r="O1535" s="3">
        <f>(IF(L1535&lt;4172.98,0,MIN(L1535*0.3,L1535-4172.98)))-M1535</f>
        <v>0</v>
      </c>
      <c r="S1535" s="3" t="s">
        <v>204</v>
      </c>
      <c r="V1535" s="51">
        <v>0.44444444444444442</v>
      </c>
    </row>
    <row r="1536" spans="1:25">
      <c r="A1536" s="30">
        <v>24245026</v>
      </c>
      <c r="B1536" s="31">
        <v>46269</v>
      </c>
      <c r="C1536" s="32">
        <v>0.44756944444444446</v>
      </c>
      <c r="D1536" s="33"/>
      <c r="E1536" s="34">
        <v>5217775914098</v>
      </c>
      <c r="F1536" s="33"/>
      <c r="G1536" s="33"/>
      <c r="H1536" s="35" t="s">
        <v>1489</v>
      </c>
      <c r="I1536" s="33"/>
      <c r="J1536" s="36"/>
      <c r="K1536" t="s">
        <v>54</v>
      </c>
      <c r="L1536" s="111">
        <v>9081.52</v>
      </c>
      <c r="M1536" s="111"/>
      <c r="N1536" s="3">
        <f>L1536*0.3</f>
        <v>2724.4560000000001</v>
      </c>
      <c r="O1536" s="3">
        <f>(IF(L1536&lt;4172.98,0,MIN(L1536*0.3,L1536-4172.98)))-M1536</f>
        <v>2724.4560000000001</v>
      </c>
      <c r="S1536" s="3" t="s">
        <v>1080</v>
      </c>
      <c r="T1536" s="48">
        <v>46269</v>
      </c>
      <c r="V1536" s="51">
        <v>0.44861111111111113</v>
      </c>
      <c r="W1536" s="51">
        <v>0.45624999999999999</v>
      </c>
      <c r="X1536" s="51">
        <v>0.47013888888888888</v>
      </c>
      <c r="Y1536" s="51">
        <v>0.47152777777777777</v>
      </c>
    </row>
    <row r="1537" spans="1:25" hidden="1">
      <c r="A1537" s="30">
        <v>24245462</v>
      </c>
      <c r="B1537" s="31">
        <v>46269</v>
      </c>
      <c r="C1537" s="32">
        <v>0.4613888888888889</v>
      </c>
      <c r="D1537" s="33"/>
      <c r="E1537" s="34">
        <v>5216861513621</v>
      </c>
      <c r="F1537" s="33"/>
      <c r="G1537" s="33" t="s">
        <v>1490</v>
      </c>
      <c r="H1537" s="35"/>
      <c r="I1537" s="33"/>
      <c r="J1537" s="36"/>
      <c r="K1537" t="s">
        <v>32</v>
      </c>
      <c r="N1537" s="3">
        <f>L1537*0.3</f>
        <v>0</v>
      </c>
      <c r="O1537" s="3">
        <f>(IF(L1537&lt;4172.98,0,MIN(L1537*0.3,L1537-4172.98)))-M1537</f>
        <v>0</v>
      </c>
      <c r="S1537" s="3" t="s">
        <v>204</v>
      </c>
      <c r="V1537" s="51">
        <v>0.46250000000000002</v>
      </c>
    </row>
    <row r="1538" spans="1:25">
      <c r="A1538" s="30">
        <v>24245628</v>
      </c>
      <c r="B1538" s="31">
        <v>46269</v>
      </c>
      <c r="C1538" s="32">
        <v>0.46361111111111108</v>
      </c>
      <c r="D1538" s="33"/>
      <c r="E1538" s="34">
        <v>5218117032781</v>
      </c>
      <c r="F1538" s="33"/>
      <c r="G1538" s="33"/>
      <c r="H1538" s="35">
        <v>43927326207</v>
      </c>
      <c r="I1538" s="33"/>
      <c r="J1538" s="36"/>
      <c r="K1538" t="s">
        <v>54</v>
      </c>
      <c r="L1538" s="3">
        <v>15275.98</v>
      </c>
      <c r="N1538" s="3">
        <f>L1538*0.3</f>
        <v>4582.7939999999999</v>
      </c>
      <c r="O1538" s="3">
        <f>(IF(L1538&lt;4172.98,0,MIN(L1538*0.3,L1538-4172.98)))-M1538</f>
        <v>4582.7939999999999</v>
      </c>
      <c r="S1538" s="3" t="s">
        <v>886</v>
      </c>
      <c r="T1538" s="48">
        <v>46269</v>
      </c>
      <c r="V1538" s="51">
        <v>0.46388888888888891</v>
      </c>
      <c r="W1538" s="51">
        <v>0.46805555555555556</v>
      </c>
      <c r="X1538" s="51">
        <v>0.47222222222222221</v>
      </c>
      <c r="Y1538" s="51">
        <v>0.47430555555555554</v>
      </c>
    </row>
    <row r="1539" spans="1:25" hidden="1">
      <c r="A1539" s="30">
        <v>24245774</v>
      </c>
      <c r="B1539" s="31">
        <v>46269</v>
      </c>
      <c r="C1539" s="32">
        <v>0.47222222222222221</v>
      </c>
      <c r="D1539" s="33"/>
      <c r="E1539" s="34">
        <v>5214494257143</v>
      </c>
      <c r="F1539" s="33"/>
      <c r="G1539" s="33" t="s">
        <v>1491</v>
      </c>
      <c r="H1539" s="35"/>
      <c r="I1539" s="33"/>
      <c r="J1539" s="36"/>
      <c r="K1539" t="s">
        <v>32</v>
      </c>
      <c r="N1539" s="3">
        <f>L1539*0.3</f>
        <v>0</v>
      </c>
      <c r="O1539" s="3">
        <f>(IF(L1539&lt;4172.98,0,MIN(L1539*0.3,L1539-4172.98)))-M1539</f>
        <v>0</v>
      </c>
      <c r="S1539" s="3" t="s">
        <v>204</v>
      </c>
      <c r="V1539" s="51">
        <v>0.47430555555555554</v>
      </c>
    </row>
    <row r="1540" spans="1:25" hidden="1">
      <c r="A1540" s="30">
        <v>24246138</v>
      </c>
      <c r="B1540" s="31">
        <v>46269</v>
      </c>
      <c r="C1540" s="32">
        <v>0.48616898148148147</v>
      </c>
      <c r="D1540" s="33"/>
      <c r="E1540" s="34">
        <v>5216677567113</v>
      </c>
      <c r="F1540" s="33"/>
      <c r="G1540" s="33"/>
      <c r="H1540" s="35">
        <v>23806416162</v>
      </c>
      <c r="I1540" s="33"/>
      <c r="J1540" s="36"/>
      <c r="K1540" t="s">
        <v>30</v>
      </c>
      <c r="L1540" s="111">
        <v>9081.52</v>
      </c>
      <c r="M1540" s="111">
        <v>2520.35</v>
      </c>
      <c r="N1540" s="3">
        <f>L1540*0.3</f>
        <v>2724.4560000000001</v>
      </c>
      <c r="O1540" s="3">
        <f>(IF(L1540&lt;4172.98,0,MIN(L1540*0.3,L1540-4172.98)))-M1540</f>
        <v>204.10600000000022</v>
      </c>
      <c r="P1540" s="6">
        <v>46388</v>
      </c>
      <c r="Q1540" t="s">
        <v>44</v>
      </c>
      <c r="R1540" s="111">
        <v>2520.35</v>
      </c>
      <c r="S1540" s="3" t="s">
        <v>204</v>
      </c>
      <c r="V1540" s="51">
        <v>0.4861111111111111</v>
      </c>
    </row>
    <row r="1541" spans="1:25">
      <c r="A1541" s="30">
        <v>24246328</v>
      </c>
      <c r="B1541" s="31">
        <v>46269</v>
      </c>
      <c r="C1541" s="32">
        <v>0.48856481481481484</v>
      </c>
      <c r="D1541" s="33"/>
      <c r="E1541" s="34">
        <v>5217447010425</v>
      </c>
      <c r="F1541" s="33"/>
      <c r="G1541" s="33"/>
      <c r="H1541" s="35">
        <v>72856646848</v>
      </c>
      <c r="I1541" s="33"/>
      <c r="J1541" s="36"/>
      <c r="K1541" t="s">
        <v>54</v>
      </c>
      <c r="L1541" s="3">
        <v>10636.54</v>
      </c>
      <c r="N1541" s="3">
        <f>L1541*0.3</f>
        <v>3190.962</v>
      </c>
      <c r="O1541" s="3">
        <f>(IF(L1541&lt;4172.98,0,MIN(L1541*0.3,L1541-4172.98)))-M1541</f>
        <v>3190.962</v>
      </c>
      <c r="S1541" s="3" t="s">
        <v>886</v>
      </c>
      <c r="T1541" s="48">
        <v>46269</v>
      </c>
      <c r="V1541" s="51">
        <v>0.48888888888888887</v>
      </c>
      <c r="W1541" s="51">
        <v>0.49236111111111114</v>
      </c>
      <c r="X1541" s="51">
        <v>0.49722222222222223</v>
      </c>
      <c r="Y1541" s="51">
        <v>0.50138888888888888</v>
      </c>
    </row>
    <row r="1542" spans="1:25" hidden="1">
      <c r="A1542" s="30">
        <v>24246158</v>
      </c>
      <c r="B1542" s="31">
        <v>46269</v>
      </c>
      <c r="C1542" s="32">
        <v>0.49144675925925924</v>
      </c>
      <c r="D1542" s="33" t="s">
        <v>1492</v>
      </c>
      <c r="E1542" s="34">
        <v>5213891087728</v>
      </c>
      <c r="F1542" s="33"/>
      <c r="G1542" s="33" t="s">
        <v>1493</v>
      </c>
      <c r="H1542" s="35">
        <v>80107434527</v>
      </c>
      <c r="I1542" s="33"/>
      <c r="J1542" s="36"/>
      <c r="K1542" t="s">
        <v>32</v>
      </c>
      <c r="N1542" s="3">
        <f>L1542*0.3</f>
        <v>0</v>
      </c>
      <c r="O1542" s="3">
        <f>(IF(L1542&lt;4172.98,0,MIN(L1542*0.3,L1542-4172.98)))-M1542</f>
        <v>0</v>
      </c>
      <c r="S1542" s="3" t="s">
        <v>204</v>
      </c>
      <c r="V1542" s="51">
        <v>0.49166666666666664</v>
      </c>
    </row>
    <row r="1543" spans="1:25">
      <c r="A1543" s="30">
        <v>24246764</v>
      </c>
      <c r="B1543" s="31">
        <v>46269</v>
      </c>
      <c r="C1543" s="32">
        <v>0.49916666666666665</v>
      </c>
      <c r="D1543" s="33"/>
      <c r="E1543" s="34">
        <v>5216647087165</v>
      </c>
      <c r="F1543" s="33"/>
      <c r="G1543" s="33"/>
      <c r="H1543" s="35">
        <v>67806417472</v>
      </c>
      <c r="I1543" s="33"/>
      <c r="J1543" s="36"/>
      <c r="K1543" t="s">
        <v>38</v>
      </c>
      <c r="L1543" s="111">
        <v>5877.47</v>
      </c>
      <c r="M1543" s="111">
        <v>550.1</v>
      </c>
      <c r="N1543" s="3">
        <f>L1543*0.3</f>
        <v>1763.241</v>
      </c>
      <c r="O1543" s="3">
        <f>(IF(L1543&lt;4172.98,0,MIN(L1543*0.3,L1543-4172.98)))-M1543</f>
        <v>1154.3900000000008</v>
      </c>
      <c r="P1543" s="6">
        <v>46935</v>
      </c>
      <c r="Q1543" t="s">
        <v>43</v>
      </c>
      <c r="R1543" s="3">
        <v>366.19</v>
      </c>
      <c r="S1543" s="3" t="s">
        <v>39</v>
      </c>
      <c r="T1543" s="48">
        <v>46269</v>
      </c>
      <c r="V1543" s="51">
        <v>0.49930555555555556</v>
      </c>
      <c r="W1543" s="51">
        <v>0.50416666666666665</v>
      </c>
      <c r="X1543" s="51">
        <v>0.5083333333333333</v>
      </c>
      <c r="Y1543" s="51">
        <v>0.51041666666666663</v>
      </c>
    </row>
    <row r="1544" spans="1:25" hidden="1">
      <c r="A1544" s="30">
        <v>24234342</v>
      </c>
      <c r="B1544" s="31">
        <v>46269</v>
      </c>
      <c r="C1544" s="32">
        <v>0.51104166666666662</v>
      </c>
      <c r="D1544" s="33"/>
      <c r="E1544" s="34">
        <v>6531321231</v>
      </c>
      <c r="F1544" s="33"/>
      <c r="G1544" s="33" t="s">
        <v>1494</v>
      </c>
      <c r="H1544" s="35"/>
      <c r="I1544" s="33"/>
      <c r="J1544" s="36"/>
      <c r="K1544" t="s">
        <v>30</v>
      </c>
      <c r="L1544" s="111">
        <v>8793.09</v>
      </c>
      <c r="M1544" s="111">
        <v>2611.4899999999998</v>
      </c>
      <c r="N1544" s="3">
        <f>L1544*0.3</f>
        <v>2637.9270000000001</v>
      </c>
      <c r="O1544" s="3">
        <f>(IF(L1544&lt;4172.98,0,MIN(L1544*0.3,L1544-4172.98)))-M1544</f>
        <v>26.437000000000353</v>
      </c>
      <c r="P1544" s="6">
        <v>46784</v>
      </c>
      <c r="Q1544" t="s">
        <v>57</v>
      </c>
      <c r="R1544" s="3">
        <v>1440.63</v>
      </c>
      <c r="S1544" s="3" t="s">
        <v>204</v>
      </c>
      <c r="V1544" s="51">
        <v>0.51180555555555551</v>
      </c>
    </row>
    <row r="1545" spans="1:25" hidden="1">
      <c r="A1545" s="30">
        <v>24247468</v>
      </c>
      <c r="B1545" s="31">
        <v>46269</v>
      </c>
      <c r="C1545" s="32">
        <v>0.51726851851851852</v>
      </c>
      <c r="D1545" s="33" t="s">
        <v>1495</v>
      </c>
      <c r="E1545" s="34">
        <v>5217151977318</v>
      </c>
      <c r="F1545" s="33"/>
      <c r="G1545" s="33" t="s">
        <v>1496</v>
      </c>
      <c r="H1545" s="35"/>
      <c r="I1545" s="33"/>
      <c r="J1545" s="36"/>
      <c r="K1545" t="s">
        <v>189</v>
      </c>
      <c r="N1545" s="3">
        <f>L1545*0.3</f>
        <v>0</v>
      </c>
      <c r="O1545" s="3">
        <f>(IF(L1545&lt;4172.98,0,MIN(L1545*0.3,L1545-4172.98)))-M1545</f>
        <v>0</v>
      </c>
      <c r="S1545" s="3" t="s">
        <v>204</v>
      </c>
      <c r="V1545" s="51">
        <v>0.51736111111111116</v>
      </c>
    </row>
    <row r="1546" spans="1:25" hidden="1">
      <c r="A1546" s="30">
        <v>24247482</v>
      </c>
      <c r="B1546" s="31">
        <v>46269</v>
      </c>
      <c r="C1546" s="32">
        <v>0.51944444444444449</v>
      </c>
      <c r="D1546" s="33"/>
      <c r="E1546" s="34">
        <v>5218446785157</v>
      </c>
      <c r="F1546" s="33"/>
      <c r="G1546" s="33" t="s">
        <v>1497</v>
      </c>
      <c r="H1546" s="35"/>
      <c r="I1546" s="33"/>
      <c r="J1546" s="36"/>
      <c r="K1546" t="s">
        <v>58</v>
      </c>
      <c r="L1546" s="3">
        <v>4035.69</v>
      </c>
      <c r="N1546" s="3">
        <f>L1546*0.3</f>
        <v>1210.7069999999999</v>
      </c>
      <c r="O1546" s="3">
        <f>(IF(L1546&lt;4172.98,0,MIN(L1546*0.3,L1546-4172.98)))-M1546</f>
        <v>0</v>
      </c>
      <c r="S1546" s="3" t="s">
        <v>204</v>
      </c>
      <c r="V1546" s="51">
        <v>0.51944444444444449</v>
      </c>
    </row>
    <row r="1547" spans="1:25" hidden="1">
      <c r="A1547" s="12">
        <v>24247612</v>
      </c>
      <c r="B1547" s="13">
        <v>46269</v>
      </c>
      <c r="C1547" s="14">
        <v>0.52209490740740738</v>
      </c>
      <c r="D1547" s="15" t="s">
        <v>1498</v>
      </c>
      <c r="E1547" s="16">
        <v>5213311188911</v>
      </c>
      <c r="F1547" s="15"/>
      <c r="G1547" s="15"/>
      <c r="H1547" s="17">
        <v>56957505144</v>
      </c>
      <c r="I1547" s="15"/>
      <c r="J1547" s="18"/>
      <c r="K1547" t="s">
        <v>32</v>
      </c>
      <c r="N1547" s="3">
        <f t="shared" ref="N1547:N1548" si="170">L1547*0.3</f>
        <v>0</v>
      </c>
      <c r="O1547" s="3">
        <f t="shared" ref="O1547:O1548" si="171">(IF(L1547&lt;4172.98,0,MIN(L1547*0.3,L1547-4172.98)))-M1547</f>
        <v>0</v>
      </c>
      <c r="S1547" s="3" t="s">
        <v>204</v>
      </c>
      <c r="V1547" s="51">
        <v>0.52500000000000002</v>
      </c>
    </row>
    <row r="1548" spans="1:25" hidden="1">
      <c r="A1548" s="30">
        <v>24247754</v>
      </c>
      <c r="B1548" s="31">
        <v>46269</v>
      </c>
      <c r="C1548" s="32">
        <v>0.52451388888888884</v>
      </c>
      <c r="D1548" s="33"/>
      <c r="E1548" s="34">
        <v>5215531250661</v>
      </c>
      <c r="F1548" s="33"/>
      <c r="G1548" s="33"/>
      <c r="H1548" s="35">
        <v>89826445903</v>
      </c>
      <c r="I1548" s="33"/>
      <c r="J1548" s="36"/>
      <c r="K1548" t="s">
        <v>30</v>
      </c>
      <c r="L1548" s="111">
        <v>19980.87</v>
      </c>
      <c r="M1548" s="111">
        <v>5751.26</v>
      </c>
      <c r="N1548" s="3">
        <f t="shared" si="170"/>
        <v>5994.2609999999995</v>
      </c>
      <c r="O1548" s="3">
        <f t="shared" si="171"/>
        <v>243.00099999999929</v>
      </c>
      <c r="P1548" s="6">
        <v>46600</v>
      </c>
      <c r="Q1548" t="s">
        <v>75</v>
      </c>
      <c r="R1548" s="3">
        <v>4000</v>
      </c>
      <c r="S1548" s="3" t="s">
        <v>204</v>
      </c>
      <c r="V1548" s="51">
        <v>0.52500000000000002</v>
      </c>
    </row>
    <row r="1549" spans="1:25" hidden="1">
      <c r="A1549" s="30">
        <v>24248102</v>
      </c>
      <c r="B1549" s="31">
        <v>46269</v>
      </c>
      <c r="C1549" s="32">
        <v>0.53825231481481484</v>
      </c>
      <c r="D1549" s="33"/>
      <c r="E1549" s="34">
        <v>5216141363570</v>
      </c>
      <c r="F1549" s="33"/>
      <c r="G1549" s="33"/>
      <c r="H1549" s="35">
        <v>33866606289</v>
      </c>
      <c r="I1549" s="33"/>
      <c r="J1549" s="36"/>
      <c r="K1549" t="s">
        <v>30</v>
      </c>
      <c r="L1549" s="111">
        <v>5708.11</v>
      </c>
      <c r="M1549" s="111">
        <v>1528.9</v>
      </c>
      <c r="N1549" s="3">
        <f>L1549*0.3</f>
        <v>1712.4329999999998</v>
      </c>
      <c r="O1549" s="3">
        <f>(IF(L1549&lt;4172.98,0,MIN(L1549*0.3,L1549-4172.98)))-M1549</f>
        <v>6.2300000000000182</v>
      </c>
      <c r="P1549" s="6">
        <v>46874</v>
      </c>
      <c r="Q1549" t="s">
        <v>43</v>
      </c>
      <c r="R1549" s="3">
        <v>680.9</v>
      </c>
      <c r="S1549" s="3" t="s">
        <v>204</v>
      </c>
      <c r="V1549" s="51">
        <v>0.53888888888888886</v>
      </c>
    </row>
    <row r="1550" spans="1:25" hidden="1">
      <c r="A1550" s="30">
        <v>24248120</v>
      </c>
      <c r="B1550" s="31">
        <v>46269</v>
      </c>
      <c r="C1550" s="32">
        <v>0.54374999999999996</v>
      </c>
      <c r="D1550" s="33"/>
      <c r="E1550" s="34"/>
      <c r="F1550" s="33"/>
      <c r="G1550" s="33"/>
      <c r="H1550" s="35" t="s">
        <v>1499</v>
      </c>
      <c r="I1550" s="33"/>
      <c r="J1550" s="36"/>
      <c r="K1550" t="s">
        <v>32</v>
      </c>
      <c r="N1550" s="3">
        <f>L1550*0.3</f>
        <v>0</v>
      </c>
      <c r="O1550" s="3">
        <f>(IF(L1550&lt;4172.98,0,MIN(L1550*0.3,L1550-4172.98)))-M1550</f>
        <v>0</v>
      </c>
      <c r="S1550" s="3" t="s">
        <v>204</v>
      </c>
      <c r="V1550" s="51">
        <v>0.54374999999999996</v>
      </c>
    </row>
    <row r="1551" spans="1:25" hidden="1">
      <c r="A1551" s="30">
        <v>24248648</v>
      </c>
      <c r="B1551" s="31">
        <v>46269</v>
      </c>
      <c r="C1551" s="32">
        <v>0.5455092592592593</v>
      </c>
      <c r="D1551" s="33"/>
      <c r="E1551" s="34">
        <v>5217831425504</v>
      </c>
      <c r="F1551" s="33"/>
      <c r="G1551" s="33"/>
      <c r="H1551" s="35" t="s">
        <v>1500</v>
      </c>
      <c r="I1551" s="33"/>
      <c r="J1551" s="36"/>
      <c r="K1551" t="s">
        <v>58</v>
      </c>
      <c r="L1551" s="111">
        <v>4199.87</v>
      </c>
      <c r="M1551" s="111">
        <v>848</v>
      </c>
      <c r="N1551" s="3">
        <f>L1551*0.3</f>
        <v>1259.961</v>
      </c>
      <c r="O1551" s="3">
        <f>(IF(L1551&lt;4172.98,0,MIN(L1551*0.3,L1551-4172.98)))-M1551</f>
        <v>-821.10999999999967</v>
      </c>
      <c r="S1551" s="3" t="s">
        <v>204</v>
      </c>
      <c r="V1551" s="51">
        <v>0.50416666666666665</v>
      </c>
    </row>
    <row r="1552" spans="1:25" hidden="1">
      <c r="A1552" s="30">
        <v>24248542</v>
      </c>
      <c r="B1552" s="31">
        <v>46269</v>
      </c>
      <c r="C1552" s="32">
        <v>0.54600694444444442</v>
      </c>
      <c r="D1552" s="33"/>
      <c r="E1552" s="34">
        <v>5219381073572</v>
      </c>
      <c r="F1552" s="33"/>
      <c r="G1552" s="33" t="s">
        <v>1501</v>
      </c>
      <c r="H1552" s="35"/>
      <c r="I1552" s="33"/>
      <c r="J1552" s="36"/>
      <c r="K1552" t="s">
        <v>30</v>
      </c>
      <c r="L1552" s="111">
        <v>16462.02</v>
      </c>
      <c r="M1552" s="111">
        <v>4938.5600000000004</v>
      </c>
      <c r="N1552" s="3">
        <f>L1552*0.3</f>
        <v>4938.6059999999998</v>
      </c>
      <c r="O1552" s="3">
        <f>(IF(L1552&lt;4172.98,0,MIN(L1552*0.3,L1552-4172.98)))-M1552</f>
        <v>4.5999999999366992E-2</v>
      </c>
      <c r="P1552" s="6">
        <v>46753</v>
      </c>
      <c r="Q1552" t="s">
        <v>44</v>
      </c>
      <c r="R1552" s="3">
        <v>2475.0100000000002</v>
      </c>
      <c r="S1552" s="3" t="s">
        <v>204</v>
      </c>
      <c r="V1552" s="51">
        <v>0.50416666666666665</v>
      </c>
    </row>
    <row r="1553" spans="1:25">
      <c r="A1553" s="30">
        <v>24249094</v>
      </c>
      <c r="B1553" s="31">
        <v>46269</v>
      </c>
      <c r="C1553" s="32">
        <v>0.56584490740740745</v>
      </c>
      <c r="D1553" s="33"/>
      <c r="E1553" s="34">
        <v>5216682330647</v>
      </c>
      <c r="F1553" s="33"/>
      <c r="G1553" s="33"/>
      <c r="H1553" s="35">
        <v>23916728035</v>
      </c>
      <c r="I1553" s="33"/>
      <c r="J1553" s="36"/>
      <c r="K1553" t="s">
        <v>54</v>
      </c>
      <c r="L1553" s="3">
        <v>6411.47</v>
      </c>
      <c r="N1553" s="3">
        <f>L1553*0.3</f>
        <v>1923.441</v>
      </c>
      <c r="O1553" s="3">
        <f>(IF(L1553&lt;4172.98,0,MIN(L1553*0.3,L1553-4172.98)))-M1553</f>
        <v>1923.441</v>
      </c>
      <c r="S1553" s="3" t="s">
        <v>62</v>
      </c>
      <c r="T1553" s="48">
        <v>46269</v>
      </c>
      <c r="V1553" s="51">
        <v>0.56597222222222221</v>
      </c>
      <c r="W1553" s="51">
        <v>0.56805555555555554</v>
      </c>
      <c r="X1553" s="51">
        <v>0.57638888888888884</v>
      </c>
      <c r="Y1553" s="51">
        <v>0.57847222222222228</v>
      </c>
    </row>
    <row r="1554" spans="1:25">
      <c r="A1554" s="30">
        <v>24249652</v>
      </c>
      <c r="B1554" s="31">
        <v>46269</v>
      </c>
      <c r="C1554" s="32">
        <v>0.57984953703703701</v>
      </c>
      <c r="D1554" s="33"/>
      <c r="E1554" s="34">
        <v>5219223224886</v>
      </c>
      <c r="F1554" s="33"/>
      <c r="G1554" s="33"/>
      <c r="H1554" s="35" t="s">
        <v>1502</v>
      </c>
      <c r="I1554" s="33"/>
      <c r="J1554" s="36"/>
      <c r="K1554" t="s">
        <v>38</v>
      </c>
      <c r="L1554" s="111">
        <v>5661.69</v>
      </c>
      <c r="M1554" s="111">
        <v>848</v>
      </c>
      <c r="N1554" s="3">
        <f>L1554*0.3</f>
        <v>1698.5069999999998</v>
      </c>
      <c r="O1554" s="3">
        <f>(IF(L1554&lt;4172.98,0,MIN(L1554*0.3,L1554-4172.98)))-M1554</f>
        <v>640.71</v>
      </c>
      <c r="S1554" s="3" t="s">
        <v>266</v>
      </c>
      <c r="T1554" s="48">
        <v>46269</v>
      </c>
      <c r="V1554" s="51">
        <v>0.57986111111111116</v>
      </c>
      <c r="W1554" s="51">
        <v>0.58333333333333337</v>
      </c>
      <c r="X1554" s="51">
        <v>0.58750000000000002</v>
      </c>
      <c r="Y1554" s="51">
        <v>0.59513888888888888</v>
      </c>
    </row>
    <row r="1555" spans="1:25" hidden="1">
      <c r="A1555" s="30">
        <v>24250072</v>
      </c>
      <c r="B1555" s="31">
        <v>46269</v>
      </c>
      <c r="C1555" s="32">
        <v>0.60203703703703704</v>
      </c>
      <c r="D1555" s="33"/>
      <c r="E1555" s="34">
        <v>5218120092386</v>
      </c>
      <c r="F1555" s="33"/>
      <c r="G1555" s="33"/>
      <c r="H1555" s="35">
        <v>43806208989</v>
      </c>
      <c r="I1555" s="33"/>
      <c r="J1555" s="36"/>
      <c r="K1555" t="s">
        <v>30</v>
      </c>
      <c r="L1555" s="111">
        <v>7614.96</v>
      </c>
      <c r="M1555" s="111">
        <v>2202.8000000000002</v>
      </c>
      <c r="N1555" s="3">
        <f>L1555*0.3</f>
        <v>2284.4879999999998</v>
      </c>
      <c r="O1555" s="3">
        <f>(IF(L1555&lt;4172.98,0,MIN(L1555*0.3,L1555-4172.98)))-M1555</f>
        <v>81.687999999999647</v>
      </c>
      <c r="P1555" s="6">
        <v>46784</v>
      </c>
      <c r="Q1555" t="s">
        <v>59</v>
      </c>
      <c r="R1555" s="3">
        <v>2202.8000000000002</v>
      </c>
      <c r="S1555" s="3" t="s">
        <v>204</v>
      </c>
      <c r="V1555" s="51">
        <v>0.6020833333333333</v>
      </c>
    </row>
    <row r="1556" spans="1:25" hidden="1">
      <c r="A1556" s="30">
        <v>24250502</v>
      </c>
      <c r="B1556" s="31">
        <v>46269</v>
      </c>
      <c r="C1556" s="32">
        <v>0.61657407407407405</v>
      </c>
      <c r="D1556" s="33"/>
      <c r="E1556" s="34">
        <v>5216971108126</v>
      </c>
      <c r="F1556" s="33"/>
      <c r="G1556" s="33"/>
      <c r="H1556" s="35" t="s">
        <v>1503</v>
      </c>
      <c r="I1556" s="33"/>
      <c r="J1556" s="36"/>
      <c r="K1556" t="s">
        <v>30</v>
      </c>
      <c r="L1556" s="3">
        <v>5055.88</v>
      </c>
      <c r="M1556" s="3">
        <f>848+452</f>
        <v>1300</v>
      </c>
      <c r="N1556" s="3">
        <f>L1556*0.3</f>
        <v>1516.7639999999999</v>
      </c>
      <c r="O1556" s="3">
        <f>(IF(L1556&lt;4172.98,0,MIN(L1556*0.3,L1556-4172.98)))-M1556</f>
        <v>-417.09999999999945</v>
      </c>
      <c r="P1556" s="6">
        <v>46966</v>
      </c>
      <c r="Q1556" t="s">
        <v>44</v>
      </c>
      <c r="R1556" s="3">
        <v>452</v>
      </c>
      <c r="S1556" s="3" t="s">
        <v>204</v>
      </c>
      <c r="V1556" s="51">
        <v>0.6166666666666667</v>
      </c>
    </row>
    <row r="1557" spans="1:25" hidden="1">
      <c r="A1557" s="30">
        <v>24250680</v>
      </c>
      <c r="B1557" s="31">
        <v>46269</v>
      </c>
      <c r="C1557" s="32">
        <v>0.62194444444444441</v>
      </c>
      <c r="D1557" s="33"/>
      <c r="E1557" s="34">
        <v>5215572196406</v>
      </c>
      <c r="F1557" s="33"/>
      <c r="G1557" s="33" t="s">
        <v>1504</v>
      </c>
      <c r="H1557" s="35"/>
      <c r="I1557" s="33"/>
      <c r="J1557" s="36"/>
      <c r="K1557" t="s">
        <v>58</v>
      </c>
      <c r="L1557" s="3">
        <v>4035.69</v>
      </c>
      <c r="N1557" s="3">
        <f>L1557*0.3</f>
        <v>1210.7069999999999</v>
      </c>
      <c r="O1557" s="3">
        <f>(IF(L1557&lt;4172.98,0,MIN(L1557*0.3,L1557-4172.98)))-M1557</f>
        <v>0</v>
      </c>
      <c r="S1557" s="3" t="s">
        <v>204</v>
      </c>
      <c r="V1557" s="51">
        <v>0.62638888888888888</v>
      </c>
    </row>
    <row r="1558" spans="1:25" hidden="1">
      <c r="A1558" s="30">
        <v>24252068</v>
      </c>
      <c r="B1558" s="31">
        <v>46269</v>
      </c>
      <c r="C1558" s="32">
        <v>0.66642361111111115</v>
      </c>
      <c r="D1558" s="33"/>
      <c r="E1558" s="34">
        <v>5217771484928</v>
      </c>
      <c r="F1558" s="33"/>
      <c r="G1558" s="33"/>
      <c r="H1558" s="35" t="s">
        <v>1505</v>
      </c>
      <c r="I1558" s="33"/>
      <c r="J1558" s="36"/>
      <c r="K1558" t="s">
        <v>30</v>
      </c>
      <c r="L1558" s="111">
        <v>9081.52</v>
      </c>
      <c r="M1558" s="111">
        <v>2624.57</v>
      </c>
      <c r="N1558" s="3">
        <f>L1558*0.3</f>
        <v>2724.4560000000001</v>
      </c>
      <c r="O1558" s="3">
        <f>(IF(L1558&lt;4172.98,0,MIN(L1558*0.3,L1558-4172.98)))-M1558</f>
        <v>99.885999999999967</v>
      </c>
      <c r="P1558" s="6">
        <v>46569</v>
      </c>
      <c r="Q1558" t="s">
        <v>1312</v>
      </c>
      <c r="R1558" s="3">
        <v>2624.57</v>
      </c>
      <c r="S1558" s="3" t="s">
        <v>204</v>
      </c>
      <c r="V1558" s="51">
        <v>0.66666666666666663</v>
      </c>
    </row>
    <row r="1559" spans="1:25">
      <c r="A1559" s="30">
        <v>24252242</v>
      </c>
      <c r="B1559" s="31">
        <v>46269</v>
      </c>
      <c r="C1559" s="32">
        <v>0.67467592592592596</v>
      </c>
      <c r="D1559" s="33"/>
      <c r="E1559" s="34">
        <v>5216143516471</v>
      </c>
      <c r="F1559" s="33"/>
      <c r="G1559" s="33"/>
      <c r="H1559" s="35" t="s">
        <v>1506</v>
      </c>
      <c r="I1559" s="33"/>
      <c r="J1559" s="36"/>
      <c r="K1559" t="s">
        <v>54</v>
      </c>
      <c r="L1559" s="111">
        <v>7135.6</v>
      </c>
      <c r="M1559" s="111">
        <v>732.38</v>
      </c>
      <c r="N1559" s="3">
        <f>L1559*0.3</f>
        <v>2140.6799999999998</v>
      </c>
      <c r="O1559" s="3">
        <f>(IF(L1559&lt;4172.98,0,MIN(L1559*0.3,L1559-4172.98)))-M1559</f>
        <v>1408.2999999999997</v>
      </c>
      <c r="P1559" s="6">
        <v>46935</v>
      </c>
      <c r="Q1559" t="s">
        <v>43</v>
      </c>
      <c r="R1559" s="111">
        <v>732.38</v>
      </c>
      <c r="S1559" s="3" t="s">
        <v>327</v>
      </c>
      <c r="T1559" s="48">
        <v>46269</v>
      </c>
      <c r="V1559" s="51">
        <v>0.67500000000000004</v>
      </c>
      <c r="W1559" s="51">
        <v>0.67708333333333337</v>
      </c>
      <c r="X1559" s="51">
        <v>0.68541666666666667</v>
      </c>
      <c r="Y1559" s="51">
        <v>0.68888888888888888</v>
      </c>
    </row>
    <row r="1560" spans="1:25">
      <c r="A1560" s="30">
        <v>24252178</v>
      </c>
      <c r="B1560" s="31">
        <v>46269</v>
      </c>
      <c r="C1560" s="32">
        <v>0.67598379629629635</v>
      </c>
      <c r="D1560" s="33"/>
      <c r="E1560" s="34">
        <v>5214492135797</v>
      </c>
      <c r="F1560" s="33"/>
      <c r="G1560" s="33" t="s">
        <v>1507</v>
      </c>
      <c r="H1560" s="35">
        <v>51806002369</v>
      </c>
      <c r="I1560" s="33"/>
      <c r="J1560" s="36"/>
      <c r="K1560" t="s">
        <v>54</v>
      </c>
      <c r="L1560" s="3">
        <v>5617.63</v>
      </c>
      <c r="N1560" s="3">
        <f>L1560*0.3</f>
        <v>1685.289</v>
      </c>
      <c r="O1560" s="3">
        <f>(IF(L1560&lt;4172.98,0,MIN(L1560*0.3,L1560-4172.98)))-M1560</f>
        <v>1444.6500000000005</v>
      </c>
      <c r="S1560" s="3" t="s">
        <v>358</v>
      </c>
      <c r="T1560" s="48">
        <v>46269</v>
      </c>
      <c r="V1560" s="51">
        <v>0.68055555555555558</v>
      </c>
      <c r="W1560" s="51">
        <v>0.68958333333333333</v>
      </c>
      <c r="X1560" s="51">
        <v>0.69305555555555554</v>
      </c>
      <c r="Y1560" s="51">
        <v>0.69374999999999998</v>
      </c>
    </row>
    <row r="1561" spans="1:25">
      <c r="A1561" s="30">
        <v>24252674</v>
      </c>
      <c r="B1561" s="31">
        <v>46269</v>
      </c>
      <c r="C1561" s="32">
        <v>0.68668981481481484</v>
      </c>
      <c r="D1561" s="33"/>
      <c r="E1561" s="34">
        <v>5214611354941</v>
      </c>
      <c r="F1561" s="33"/>
      <c r="G1561" s="33" t="s">
        <v>1508</v>
      </c>
      <c r="H1561" s="35"/>
      <c r="I1561" s="33"/>
      <c r="J1561" s="36"/>
      <c r="K1561" t="s">
        <v>54</v>
      </c>
      <c r="L1561" s="3">
        <v>25665.59</v>
      </c>
      <c r="N1561" s="3">
        <f>L1561*0.3</f>
        <v>7699.6769999999997</v>
      </c>
      <c r="O1561" s="3">
        <f>(IF(L1561&lt;4172.98,0,MIN(L1561*0.3,L1561-4172.98)))-M1561</f>
        <v>7699.6769999999997</v>
      </c>
      <c r="S1561" s="3" t="s">
        <v>35</v>
      </c>
      <c r="T1561" s="48">
        <v>46269</v>
      </c>
      <c r="V1561" s="51">
        <v>0.68680555555555556</v>
      </c>
      <c r="W1561" s="51">
        <v>0.68958333333333333</v>
      </c>
      <c r="X1561" s="51">
        <v>0.69097222222222221</v>
      </c>
      <c r="Y1561" s="51">
        <v>0.6958333333333333</v>
      </c>
    </row>
    <row r="1562" spans="1:25" hidden="1">
      <c r="A1562" s="30">
        <v>24252812</v>
      </c>
      <c r="B1562" s="31">
        <v>46269</v>
      </c>
      <c r="C1562" s="32">
        <v>0.69354166666666661</v>
      </c>
      <c r="D1562" s="33"/>
      <c r="E1562" s="34">
        <v>5216645541359</v>
      </c>
      <c r="F1562" s="33"/>
      <c r="G1562" s="33" t="s">
        <v>1509</v>
      </c>
      <c r="H1562" s="35"/>
      <c r="I1562" s="33"/>
      <c r="J1562" s="36"/>
      <c r="K1562" t="s">
        <v>30</v>
      </c>
      <c r="L1562" s="111">
        <v>9760.32</v>
      </c>
      <c r="M1562" s="111">
        <v>2823.89</v>
      </c>
      <c r="N1562" s="3">
        <f>L1562*0.3</f>
        <v>2928.096</v>
      </c>
      <c r="O1562" s="3">
        <f>(IF(L1562&lt;4172.98,0,MIN(L1562*0.3,L1562-4172.98)))-M1562</f>
        <v>104.20600000000013</v>
      </c>
      <c r="P1562" s="6">
        <v>46753</v>
      </c>
      <c r="Q1562" t="s">
        <v>43</v>
      </c>
      <c r="R1562" s="3">
        <v>2823.89</v>
      </c>
      <c r="S1562" s="3" t="s">
        <v>204</v>
      </c>
      <c r="V1562" s="51">
        <v>0.69444444444444442</v>
      </c>
    </row>
    <row r="1563" spans="1:25" hidden="1">
      <c r="A1563" s="30">
        <v>24253072</v>
      </c>
      <c r="B1563" s="31">
        <v>46269</v>
      </c>
      <c r="C1563" s="32">
        <v>0.69982638888888893</v>
      </c>
      <c r="D1563" s="33"/>
      <c r="E1563" s="34">
        <v>5214623099990</v>
      </c>
      <c r="F1563" s="33"/>
      <c r="G1563" s="33"/>
      <c r="H1563" s="35" t="s">
        <v>1510</v>
      </c>
      <c r="I1563" s="33"/>
      <c r="J1563" s="36"/>
      <c r="K1563" t="s">
        <v>58</v>
      </c>
      <c r="L1563" s="111">
        <v>3632.17</v>
      </c>
      <c r="M1563" s="111">
        <v>879</v>
      </c>
      <c r="N1563" s="3">
        <f>L1563*0.3</f>
        <v>1089.6510000000001</v>
      </c>
      <c r="O1563" s="3">
        <f>(IF(L1563&lt;4172.98,0,MIN(L1563*0.3,L1563-4172.98)))-M1563</f>
        <v>-879</v>
      </c>
      <c r="S1563" s="3" t="s">
        <v>204</v>
      </c>
      <c r="V1563" s="51">
        <v>0.7</v>
      </c>
    </row>
    <row r="1564" spans="1:25" hidden="1">
      <c r="A1564" s="30">
        <v>24253330</v>
      </c>
      <c r="B1564" s="31">
        <v>46269</v>
      </c>
      <c r="C1564" s="32">
        <v>0.70924768518518522</v>
      </c>
      <c r="D1564" s="33"/>
      <c r="E1564" s="34">
        <v>5212222177947</v>
      </c>
      <c r="F1564" s="33"/>
      <c r="G1564" s="33"/>
      <c r="H1564" s="35">
        <v>67826371881</v>
      </c>
      <c r="I1564" s="33"/>
      <c r="J1564" s="36"/>
      <c r="K1564" t="s">
        <v>30</v>
      </c>
      <c r="L1564" s="111">
        <v>7920.53</v>
      </c>
      <c r="M1564" s="111">
        <v>2291.48</v>
      </c>
      <c r="N1564" s="3">
        <f>L1564*0.3</f>
        <v>2376.1589999999997</v>
      </c>
      <c r="O1564" s="3">
        <f>(IF(L1564&lt;4172.98,0,MIN(L1564*0.3,L1564-4172.98)))-M1564</f>
        <v>84.678999999999633</v>
      </c>
      <c r="P1564" s="6">
        <v>46692</v>
      </c>
      <c r="Q1564" t="s">
        <v>44</v>
      </c>
      <c r="R1564" s="3">
        <v>2097.29</v>
      </c>
      <c r="S1564" s="3" t="s">
        <v>204</v>
      </c>
      <c r="V1564" s="51">
        <v>0.70972222222222225</v>
      </c>
    </row>
    <row r="1565" spans="1:25" hidden="1">
      <c r="A1565" s="30">
        <v>24253406</v>
      </c>
      <c r="B1565" s="31">
        <v>46269</v>
      </c>
      <c r="C1565" s="32">
        <v>0.71725694444444443</v>
      </c>
      <c r="D1565" s="33"/>
      <c r="E1565" s="34">
        <v>5214492797036</v>
      </c>
      <c r="F1565" s="33"/>
      <c r="G1565" s="33" t="s">
        <v>1511</v>
      </c>
      <c r="H1565" s="35"/>
      <c r="I1565" s="33"/>
      <c r="J1565" s="36"/>
      <c r="K1565" t="s">
        <v>32</v>
      </c>
      <c r="N1565" s="3">
        <f>L1565*0.3</f>
        <v>0</v>
      </c>
      <c r="O1565" s="3">
        <f>(IF(L1565&lt;4172.98,0,MIN(L1565*0.3,L1565-4172.98)))-M1565</f>
        <v>0</v>
      </c>
      <c r="S1565" s="3" t="s">
        <v>204</v>
      </c>
      <c r="V1565" s="51">
        <v>0.72083333333333333</v>
      </c>
    </row>
    <row r="1566" spans="1:25">
      <c r="A1566" s="30">
        <v>24254140</v>
      </c>
      <c r="B1566" s="31">
        <v>46269</v>
      </c>
      <c r="C1566" s="32">
        <v>0.734837962962963</v>
      </c>
      <c r="D1566" s="33"/>
      <c r="E1566" s="34">
        <v>5219992454203</v>
      </c>
      <c r="F1566" s="33"/>
      <c r="G1566" s="33"/>
      <c r="H1566" s="35" t="s">
        <v>1512</v>
      </c>
      <c r="I1566" s="33"/>
      <c r="J1566" s="36"/>
      <c r="K1566" t="s">
        <v>54</v>
      </c>
      <c r="L1566" s="3">
        <v>10636.54</v>
      </c>
      <c r="N1566" s="3">
        <f>L1566*0.3</f>
        <v>3190.962</v>
      </c>
      <c r="O1566" s="3">
        <f>(IF(L1566&lt;4172.98,0,MIN(L1566*0.3,L1566-4172.98)))-M1566</f>
        <v>3190.962</v>
      </c>
      <c r="S1566" s="3" t="s">
        <v>35</v>
      </c>
      <c r="T1566" s="48">
        <v>46269</v>
      </c>
      <c r="U1566" s="85"/>
      <c r="V1566" s="51">
        <v>0.73541666666666672</v>
      </c>
      <c r="W1566" s="51">
        <v>0.74930555555555556</v>
      </c>
      <c r="X1566" s="51">
        <v>0.7631944444444444</v>
      </c>
      <c r="Y1566" s="51">
        <v>0.76736111111111116</v>
      </c>
    </row>
    <row r="1567" spans="1:25">
      <c r="A1567" s="12">
        <v>24254602</v>
      </c>
      <c r="B1567" s="13">
        <v>46269</v>
      </c>
      <c r="C1567" s="14">
        <v>0.75618055555555552</v>
      </c>
      <c r="D1567" s="15"/>
      <c r="E1567" s="16">
        <v>5213123046161</v>
      </c>
      <c r="F1567" s="15"/>
      <c r="G1567" s="15"/>
      <c r="H1567" s="17">
        <v>54845843512</v>
      </c>
      <c r="I1567" s="15"/>
      <c r="J1567" s="18"/>
      <c r="K1567" t="s">
        <v>34</v>
      </c>
      <c r="L1567" s="125">
        <v>32952.33</v>
      </c>
      <c r="M1567" s="125">
        <v>9884.7000000000007</v>
      </c>
      <c r="N1567" s="3">
        <f>L1567*0.3</f>
        <v>9885.6990000000005</v>
      </c>
      <c r="O1567" s="3">
        <f>(IF(L1567&lt;4172.98,0,MIN(L1567*0.3,L1567-4172.98)))-M1567</f>
        <v>0.99899999999979627</v>
      </c>
      <c r="P1567" s="6">
        <v>46266</v>
      </c>
      <c r="Q1567" t="s">
        <v>43</v>
      </c>
      <c r="R1567" s="3">
        <v>9148.7000000000007</v>
      </c>
      <c r="S1567" s="3" t="s">
        <v>35</v>
      </c>
      <c r="T1567" s="48">
        <v>46270</v>
      </c>
      <c r="V1567" s="51">
        <v>0.37777777777777777</v>
      </c>
      <c r="W1567" s="51">
        <v>0.4513888888888889</v>
      </c>
      <c r="X1567" s="51">
        <v>0.46666666666666667</v>
      </c>
      <c r="Y1567" s="51">
        <v>0.46944444444444444</v>
      </c>
    </row>
    <row r="1568" spans="1:25">
      <c r="A1568" s="12">
        <v>24254618</v>
      </c>
      <c r="B1568" s="13">
        <v>46269</v>
      </c>
      <c r="C1568" s="14">
        <v>0.75813657407407409</v>
      </c>
      <c r="D1568" s="15"/>
      <c r="E1568" s="16"/>
      <c r="F1568" s="15"/>
      <c r="G1568" s="15"/>
      <c r="H1568" s="17" t="s">
        <v>1513</v>
      </c>
      <c r="I1568" s="15"/>
      <c r="J1568" s="18"/>
      <c r="K1568" t="s">
        <v>54</v>
      </c>
      <c r="L1568" s="3">
        <v>6405.06</v>
      </c>
      <c r="N1568" s="3">
        <f>L1568*0.3</f>
        <v>1921.518</v>
      </c>
      <c r="O1568" s="3">
        <f>(IF(L1568&lt;4172.98,0,MIN(L1568*0.3,L1568-4172.98)))-M1568</f>
        <v>1921.518</v>
      </c>
      <c r="S1568" s="3" t="s">
        <v>548</v>
      </c>
      <c r="U1568" t="s">
        <v>368</v>
      </c>
      <c r="V1568" s="51">
        <v>0.37777777777777777</v>
      </c>
      <c r="W1568" s="51">
        <v>0.39861111111111114</v>
      </c>
    </row>
    <row r="1569" spans="1:25" hidden="1">
      <c r="A1569" s="12">
        <v>24255846</v>
      </c>
      <c r="B1569" s="13">
        <v>46269</v>
      </c>
      <c r="C1569" s="14">
        <v>0.81100694444444443</v>
      </c>
      <c r="D1569" s="15" t="s">
        <v>1514</v>
      </c>
      <c r="E1569" s="16">
        <v>5214793668775</v>
      </c>
      <c r="F1569" s="15"/>
      <c r="G1569" s="15" t="s">
        <v>1515</v>
      </c>
      <c r="H1569" s="17"/>
      <c r="I1569" s="15"/>
      <c r="J1569" s="18"/>
      <c r="K1569" t="s">
        <v>32</v>
      </c>
      <c r="L1569" s="125"/>
      <c r="M1569" s="125"/>
      <c r="N1569" s="3">
        <f>L1569*0.3</f>
        <v>0</v>
      </c>
      <c r="O1569" s="3">
        <f>(IF(L1569&lt;4172.98,0,MIN(L1569*0.3,L1569-4172.98)))-M1569</f>
        <v>0</v>
      </c>
      <c r="P1569" s="6"/>
      <c r="S1569" s="3" t="s">
        <v>204</v>
      </c>
      <c r="V1569" s="51">
        <v>0.37777777777777777</v>
      </c>
    </row>
    <row r="1570" spans="1:25" hidden="1">
      <c r="A1570" s="12">
        <v>24256694</v>
      </c>
      <c r="B1570" s="13">
        <v>46269</v>
      </c>
      <c r="C1570" s="14">
        <v>0.85119212962962965</v>
      </c>
      <c r="D1570" s="15" t="s">
        <v>1516</v>
      </c>
      <c r="E1570" s="16">
        <v>5212462019055</v>
      </c>
      <c r="F1570" s="15"/>
      <c r="G1570" s="15"/>
      <c r="H1570" s="17">
        <v>61826409320</v>
      </c>
      <c r="I1570" s="15"/>
      <c r="J1570" s="18"/>
      <c r="K1570" t="s">
        <v>30</v>
      </c>
      <c r="L1570" s="125">
        <v>9081.52</v>
      </c>
      <c r="M1570" s="125">
        <v>2521.35</v>
      </c>
      <c r="N1570" s="3">
        <f>L1570*0.3</f>
        <v>2724.4560000000001</v>
      </c>
      <c r="O1570" s="3">
        <f>(IF(L1570&lt;4172.98,0,MIN(L1570*0.3,L1570-4172.98)))-M1570</f>
        <v>203.10600000000022</v>
      </c>
      <c r="P1570" s="6">
        <v>46357</v>
      </c>
      <c r="Q1570" t="s">
        <v>44</v>
      </c>
      <c r="R1570" s="3">
        <v>2521.35</v>
      </c>
      <c r="S1570" s="3" t="s">
        <v>204</v>
      </c>
      <c r="V1570" s="51">
        <v>0.37777777777777777</v>
      </c>
    </row>
    <row r="1571" spans="1:25" hidden="1">
      <c r="A1571" s="12">
        <v>24256830</v>
      </c>
      <c r="B1571" s="13">
        <v>46269</v>
      </c>
      <c r="C1571" s="14">
        <v>0.85240740740740739</v>
      </c>
      <c r="D1571" s="15"/>
      <c r="E1571" s="16">
        <v>5215519819724</v>
      </c>
      <c r="F1571" s="15"/>
      <c r="G1571" s="15" t="s">
        <v>1517</v>
      </c>
      <c r="H1571" s="17">
        <v>11896513733</v>
      </c>
      <c r="I1571" s="15"/>
      <c r="J1571" s="18"/>
      <c r="K1571" t="s">
        <v>30</v>
      </c>
      <c r="L1571" s="125">
        <v>11917.67</v>
      </c>
      <c r="M1571" s="125">
        <v>3445.37</v>
      </c>
      <c r="N1571" s="3">
        <f>L1571*0.3</f>
        <v>3575.3009999999999</v>
      </c>
      <c r="O1571" s="3">
        <f>(IF(L1571&lt;4172.98,0,MIN(L1571*0.3,L1571-4172.98)))-M1571</f>
        <v>129.93100000000004</v>
      </c>
      <c r="P1571" s="6">
        <v>46600</v>
      </c>
      <c r="Q1571" t="s">
        <v>75</v>
      </c>
      <c r="R1571" s="3">
        <v>3445.37</v>
      </c>
      <c r="S1571" s="3" t="s">
        <v>204</v>
      </c>
      <c r="V1571" s="51">
        <v>0.37777777777777777</v>
      </c>
    </row>
    <row r="1572" spans="1:25" hidden="1">
      <c r="A1572" s="12">
        <v>24256886</v>
      </c>
      <c r="B1572" s="13">
        <v>46269</v>
      </c>
      <c r="C1572" s="14">
        <v>0.85364583333333333</v>
      </c>
      <c r="D1572" s="15"/>
      <c r="E1572" s="16">
        <v>5216131133843</v>
      </c>
      <c r="F1572" s="15"/>
      <c r="G1572" s="15"/>
      <c r="H1572" s="17">
        <v>22906500396</v>
      </c>
      <c r="I1572" s="15"/>
      <c r="J1572" s="18"/>
      <c r="K1572" t="s">
        <v>32</v>
      </c>
      <c r="N1572" s="3">
        <f>L1572*0.3</f>
        <v>0</v>
      </c>
      <c r="O1572" s="3">
        <f>(IF(L1572&lt;4172.98,0,MIN(L1572*0.3,L1572-4172.98)))-M1572</f>
        <v>0</v>
      </c>
      <c r="S1572" s="3" t="s">
        <v>204</v>
      </c>
      <c r="V1572" s="51">
        <v>0.37777777777777777</v>
      </c>
    </row>
    <row r="1573" spans="1:25">
      <c r="A1573" s="12">
        <v>24256640</v>
      </c>
      <c r="B1573" s="13">
        <v>46269</v>
      </c>
      <c r="C1573" s="14">
        <v>0.85608796296296297</v>
      </c>
      <c r="D1573" s="15" t="s">
        <v>1518</v>
      </c>
      <c r="E1573" s="16">
        <v>5214423424279</v>
      </c>
      <c r="F1573" s="15"/>
      <c r="G1573" s="15" t="s">
        <v>1519</v>
      </c>
      <c r="H1573" s="17" t="s">
        <v>1520</v>
      </c>
      <c r="I1573" s="15"/>
      <c r="J1573" s="18"/>
      <c r="K1573" t="s">
        <v>54</v>
      </c>
      <c r="L1573" s="3">
        <v>6239.68</v>
      </c>
      <c r="N1573" s="3">
        <f>L1573*0.3</f>
        <v>1871.904</v>
      </c>
      <c r="O1573" s="3">
        <f>(IF(L1573&lt;4172.98,0,MIN(L1573*0.3,L1573-4172.98)))-M1573</f>
        <v>1871.904</v>
      </c>
      <c r="S1573" s="3" t="s">
        <v>358</v>
      </c>
      <c r="T1573" s="48">
        <v>46270</v>
      </c>
      <c r="V1573" s="51">
        <v>0.37777777777777777</v>
      </c>
      <c r="W1573" s="51">
        <v>0.4</v>
      </c>
      <c r="X1573" s="51">
        <v>0.43611111111111112</v>
      </c>
      <c r="Y1573" s="51">
        <v>0.4375</v>
      </c>
    </row>
    <row r="1574" spans="1:25" hidden="1">
      <c r="A1574" s="12">
        <v>24256996</v>
      </c>
      <c r="B1574" s="13">
        <v>46269</v>
      </c>
      <c r="C1574" s="14">
        <v>0.86421296296296302</v>
      </c>
      <c r="D1574" s="15"/>
      <c r="E1574" s="16">
        <v>5214892100999</v>
      </c>
      <c r="F1574" s="15"/>
      <c r="G1574" s="15"/>
      <c r="H1574" s="17">
        <v>43765630678</v>
      </c>
      <c r="I1574" s="15"/>
      <c r="J1574" s="18"/>
      <c r="K1574" t="s">
        <v>30</v>
      </c>
      <c r="L1574" s="125">
        <v>8028.8</v>
      </c>
      <c r="M1574" s="125">
        <v>2322.91</v>
      </c>
      <c r="N1574" s="3">
        <f>L1574*0.3</f>
        <v>2408.64</v>
      </c>
      <c r="O1574" s="3">
        <f>(IF(L1574&lt;4172.98,0,MIN(L1574*0.3,L1574-4172.98)))-M1574</f>
        <v>85.730000000000018</v>
      </c>
      <c r="P1574" s="6">
        <v>46296</v>
      </c>
      <c r="Q1574" t="s">
        <v>44</v>
      </c>
      <c r="R1574" s="3">
        <v>1451.08</v>
      </c>
      <c r="S1574" s="3" t="s">
        <v>204</v>
      </c>
      <c r="V1574" s="51">
        <v>0.37777777777777777</v>
      </c>
    </row>
    <row r="1575" spans="1:25" hidden="1">
      <c r="A1575" s="12">
        <v>24257226</v>
      </c>
      <c r="B1575" s="13">
        <v>46269</v>
      </c>
      <c r="C1575" s="14">
        <v>0.87708333333333333</v>
      </c>
      <c r="D1575" s="15" t="s">
        <v>1521</v>
      </c>
      <c r="E1575" s="16">
        <v>5216392330494</v>
      </c>
      <c r="F1575" s="15"/>
      <c r="G1575" s="15" t="s">
        <v>1522</v>
      </c>
      <c r="H1575" s="17"/>
      <c r="I1575" s="15"/>
      <c r="J1575" s="18"/>
      <c r="K1575" t="s">
        <v>32</v>
      </c>
      <c r="N1575" s="3">
        <f>L1575*0.3</f>
        <v>0</v>
      </c>
      <c r="O1575" s="3">
        <f>(IF(L1575&lt;4172.98,0,MIN(L1575*0.3,L1575-4172.98)))-M1575</f>
        <v>0</v>
      </c>
      <c r="S1575" s="3" t="s">
        <v>204</v>
      </c>
      <c r="V1575" s="51">
        <v>0.37777777777777777</v>
      </c>
    </row>
    <row r="1576" spans="1:25">
      <c r="A1576" s="12">
        <v>24257216</v>
      </c>
      <c r="B1576" s="13">
        <v>46269</v>
      </c>
      <c r="C1576" s="14">
        <v>0.87747685185185187</v>
      </c>
      <c r="D1576" s="15"/>
      <c r="E1576" s="16">
        <v>5216143395520</v>
      </c>
      <c r="F1576" s="15"/>
      <c r="G1576" s="15"/>
      <c r="H1576" s="17">
        <v>33816488010</v>
      </c>
      <c r="I1576" s="15"/>
      <c r="J1576" s="18"/>
      <c r="K1576" t="s">
        <v>54</v>
      </c>
      <c r="L1576" s="3">
        <v>5465.89</v>
      </c>
      <c r="N1576" s="3">
        <f>L1576*0.3</f>
        <v>1639.7670000000001</v>
      </c>
      <c r="O1576" s="3">
        <f>(IF(L1576&lt;4172.98,0,MIN(L1576*0.3,L1576-4172.98)))-M1576</f>
        <v>1292.9100000000008</v>
      </c>
      <c r="S1576" s="3" t="s">
        <v>358</v>
      </c>
      <c r="T1576" s="48">
        <v>46270</v>
      </c>
      <c r="V1576" s="51">
        <v>0.37777777777777777</v>
      </c>
      <c r="W1576" s="51">
        <v>0.40138888888888891</v>
      </c>
      <c r="X1576" s="51">
        <v>0.43541666666666667</v>
      </c>
      <c r="Y1576" s="51">
        <v>0.43611111111111112</v>
      </c>
    </row>
    <row r="1577" spans="1:25" hidden="1">
      <c r="A1577" s="30">
        <v>24257294</v>
      </c>
      <c r="B1577" s="31">
        <v>46269</v>
      </c>
      <c r="C1577" s="32">
        <v>0.8793981481481481</v>
      </c>
      <c r="D1577" s="33"/>
      <c r="E1577" s="34">
        <v>5218711683661</v>
      </c>
      <c r="F1577" s="33"/>
      <c r="G1577" s="33"/>
      <c r="H1577" s="35">
        <v>32917309356</v>
      </c>
      <c r="I1577" s="33"/>
      <c r="J1577" s="36"/>
      <c r="K1577" t="s">
        <v>30</v>
      </c>
      <c r="L1577" s="125">
        <v>17831.330000000002</v>
      </c>
      <c r="M1577" s="125">
        <v>5156.74</v>
      </c>
      <c r="N1577" s="3">
        <f>L1577*0.3</f>
        <v>5349.3990000000003</v>
      </c>
      <c r="O1577" s="3">
        <f>(IF(L1577&lt;4172.98,0,MIN(L1577*0.3,L1577-4172.98)))-M1577</f>
        <v>192.65900000000056</v>
      </c>
      <c r="P1577" s="6">
        <v>46692</v>
      </c>
      <c r="Q1577" t="s">
        <v>73</v>
      </c>
      <c r="R1577" s="3">
        <v>5156.74</v>
      </c>
      <c r="S1577" s="3" t="s">
        <v>204</v>
      </c>
      <c r="V1577" s="51">
        <v>0.37777777777777777</v>
      </c>
    </row>
    <row r="1578" spans="1:25" hidden="1">
      <c r="A1578" s="12">
        <v>24257118</v>
      </c>
      <c r="B1578" s="13">
        <v>46269</v>
      </c>
      <c r="C1578" s="14">
        <v>0.88468749999999996</v>
      </c>
      <c r="D1578" s="15"/>
      <c r="E1578" s="16">
        <v>5215537224001</v>
      </c>
      <c r="F1578" s="15"/>
      <c r="G1578" s="15" t="s">
        <v>1523</v>
      </c>
      <c r="H1578" s="17" t="s">
        <v>1524</v>
      </c>
      <c r="I1578" s="15"/>
      <c r="J1578" s="18"/>
      <c r="K1578" t="s">
        <v>32</v>
      </c>
      <c r="N1578" s="3">
        <f>L1578*0.3</f>
        <v>0</v>
      </c>
      <c r="O1578" s="3">
        <f>(IF(L1578&lt;4172.98,0,MIN(L1578*0.3,L1578-4172.98)))-M1578</f>
        <v>0</v>
      </c>
      <c r="S1578" s="3" t="s">
        <v>204</v>
      </c>
      <c r="V1578" s="51">
        <v>0.37916666666666665</v>
      </c>
    </row>
    <row r="1579" spans="1:25" hidden="1">
      <c r="A1579" s="12">
        <v>24257486</v>
      </c>
      <c r="B1579" s="13">
        <v>46269</v>
      </c>
      <c r="C1579" s="14">
        <v>0.90037037037037038</v>
      </c>
      <c r="D1579" s="15"/>
      <c r="E1579" s="16">
        <v>5218661015315</v>
      </c>
      <c r="F1579" s="15"/>
      <c r="G1579" s="15"/>
      <c r="H1579" s="17">
        <v>32856736478</v>
      </c>
      <c r="I1579" s="15"/>
      <c r="J1579" s="18"/>
      <c r="K1579" t="s">
        <v>32</v>
      </c>
      <c r="N1579" s="3">
        <f>L1579*0.3</f>
        <v>0</v>
      </c>
      <c r="O1579" s="3">
        <f>(IF(L1579&lt;4172.98,0,MIN(L1579*0.3,L1579-4172.98)))-M1579</f>
        <v>0</v>
      </c>
      <c r="S1579" s="3" t="s">
        <v>204</v>
      </c>
      <c r="V1579" s="51">
        <v>0.37916666666666665</v>
      </c>
    </row>
    <row r="1580" spans="1:25" hidden="1">
      <c r="A1580" s="12">
        <v>24258016</v>
      </c>
      <c r="B1580" s="13">
        <v>46269</v>
      </c>
      <c r="C1580" s="14">
        <v>0.95724537037037039</v>
      </c>
      <c r="D1580" s="15"/>
      <c r="E1580" s="16">
        <v>5218120732336</v>
      </c>
      <c r="F1580" s="15"/>
      <c r="G1580" s="15"/>
      <c r="H1580" s="17" t="s">
        <v>1525</v>
      </c>
      <c r="I1580" s="15"/>
      <c r="J1580" s="18"/>
      <c r="K1580" t="s">
        <v>30</v>
      </c>
      <c r="L1580" s="125">
        <v>5814.14</v>
      </c>
      <c r="M1580" s="125">
        <v>1742.75</v>
      </c>
      <c r="N1580" s="3">
        <f>L1580*0.3</f>
        <v>1744.242</v>
      </c>
      <c r="O1580" s="3">
        <f>(IF(L1580&lt;4172.98,0,MIN(L1580*0.3,L1580-4172.98)))-M1580</f>
        <v>-101.58999999999924</v>
      </c>
      <c r="P1580" s="6">
        <v>46874</v>
      </c>
      <c r="Q1580" t="s">
        <v>75</v>
      </c>
      <c r="R1580" s="3">
        <v>894.75</v>
      </c>
      <c r="S1580" s="3" t="s">
        <v>204</v>
      </c>
      <c r="V1580" s="51">
        <v>0.37916666666666665</v>
      </c>
    </row>
    <row r="1581" spans="1:25" hidden="1">
      <c r="A1581" s="12">
        <v>24258064</v>
      </c>
      <c r="B1581" s="13">
        <v>46269</v>
      </c>
      <c r="C1581" s="14">
        <v>0.9709606481481482</v>
      </c>
      <c r="D1581" s="15" t="s">
        <v>1526</v>
      </c>
      <c r="E1581" s="16">
        <v>5216361372590</v>
      </c>
      <c r="F1581" s="15"/>
      <c r="G1581" s="15" t="s">
        <v>1527</v>
      </c>
      <c r="H1581" s="17">
        <v>33946316974</v>
      </c>
      <c r="I1581" s="15"/>
      <c r="J1581" s="18"/>
      <c r="K1581" t="s">
        <v>58</v>
      </c>
      <c r="L1581" s="3">
        <v>3479.63</v>
      </c>
      <c r="N1581" s="3">
        <f>L1581*0.3</f>
        <v>1043.8889999999999</v>
      </c>
      <c r="O1581" s="3">
        <f>(IF(L1581&lt;4172.98,0,MIN(L1581*0.3,L1581-4172.98)))-M1581</f>
        <v>0</v>
      </c>
      <c r="S1581" s="3" t="s">
        <v>204</v>
      </c>
      <c r="V1581" s="51">
        <v>0.37916666666666665</v>
      </c>
    </row>
    <row r="1582" spans="1:25">
      <c r="A1582" s="12">
        <v>24258116</v>
      </c>
      <c r="B1582" s="13">
        <v>46269</v>
      </c>
      <c r="C1582" s="14">
        <v>0.97355324074074079</v>
      </c>
      <c r="D1582" s="15"/>
      <c r="E1582" s="16">
        <v>5216621027546</v>
      </c>
      <c r="F1582" s="15"/>
      <c r="G1582" s="15"/>
      <c r="H1582" s="17">
        <v>24735709156</v>
      </c>
      <c r="I1582" s="15"/>
      <c r="J1582" s="18"/>
      <c r="K1582" t="s">
        <v>54</v>
      </c>
      <c r="L1582" s="125">
        <v>29639.040000000001</v>
      </c>
      <c r="M1582" s="125">
        <v>2423.7600000000002</v>
      </c>
      <c r="N1582" s="3">
        <f>L1582*0.3</f>
        <v>8891.7119999999995</v>
      </c>
      <c r="O1582" s="3">
        <f>(IF(L1582&lt;4172.98,0,MIN(L1582*0.3,L1582-4172.98)))-M1582</f>
        <v>6467.9519999999993</v>
      </c>
      <c r="P1582" s="6">
        <v>46935</v>
      </c>
      <c r="Q1582" t="s">
        <v>75</v>
      </c>
      <c r="R1582" s="3">
        <v>2423.7600000000002</v>
      </c>
      <c r="S1582" s="3" t="s">
        <v>879</v>
      </c>
      <c r="T1582" s="48">
        <v>46270</v>
      </c>
      <c r="V1582" s="51">
        <v>0.37916666666666665</v>
      </c>
      <c r="W1582" s="51">
        <v>0.41458333333333336</v>
      </c>
      <c r="X1582" s="51">
        <v>0.42916666666666664</v>
      </c>
      <c r="Y1582" s="51">
        <v>0.43333333333333335</v>
      </c>
    </row>
    <row r="1583" spans="1:25" hidden="1">
      <c r="A1583" s="12">
        <v>24258232</v>
      </c>
      <c r="B1583" s="13">
        <v>46269</v>
      </c>
      <c r="C1583" s="14">
        <v>0.98810185185185184</v>
      </c>
      <c r="D1583" s="15"/>
      <c r="E1583" s="16">
        <v>5217298412389</v>
      </c>
      <c r="F1583" s="15"/>
      <c r="G1583" s="15" t="s">
        <v>1528</v>
      </c>
      <c r="H1583" s="17">
        <v>64806112484</v>
      </c>
      <c r="I1583" s="15"/>
      <c r="J1583" s="18"/>
      <c r="K1583" t="s">
        <v>189</v>
      </c>
      <c r="N1583" s="3">
        <f>L1583*0.3</f>
        <v>0</v>
      </c>
      <c r="O1583" s="3">
        <f>(IF(L1583&lt;4172.98,0,MIN(L1583*0.3,L1583-4172.98)))-M1583</f>
        <v>0</v>
      </c>
      <c r="S1583" s="3" t="s">
        <v>204</v>
      </c>
      <c r="V1583" s="51">
        <v>0.37916666666666665</v>
      </c>
    </row>
    <row r="1584" spans="1:25" hidden="1">
      <c r="A1584" s="12">
        <v>24258214</v>
      </c>
      <c r="B1584" s="13">
        <v>46269</v>
      </c>
      <c r="C1584" s="14">
        <v>0.98849537037037039</v>
      </c>
      <c r="D1584" s="15"/>
      <c r="E1584" s="16">
        <v>5218115198133</v>
      </c>
      <c r="F1584" s="15"/>
      <c r="G1584" s="15"/>
      <c r="H1584" s="17">
        <v>32917130000</v>
      </c>
      <c r="I1584" s="15"/>
      <c r="J1584" s="18"/>
      <c r="K1584" t="s">
        <v>30</v>
      </c>
      <c r="L1584" s="125">
        <v>8793.09</v>
      </c>
      <c r="M1584" s="125">
        <v>2523.9</v>
      </c>
      <c r="N1584" s="3">
        <f>L1584*0.3</f>
        <v>2637.9270000000001</v>
      </c>
      <c r="O1584" s="3">
        <f>(IF(L1584&lt;4172.98,0,MIN(L1584*0.3,L1584-4172.98)))-M1584</f>
        <v>114.02700000000004</v>
      </c>
      <c r="P1584" s="6">
        <v>46569</v>
      </c>
      <c r="Q1584" t="s">
        <v>44</v>
      </c>
      <c r="R1584" s="3">
        <v>1482.28</v>
      </c>
      <c r="S1584" s="3" t="s">
        <v>204</v>
      </c>
      <c r="V1584" s="51">
        <v>0.37916666666666665</v>
      </c>
    </row>
    <row r="1585" spans="1:25">
      <c r="A1585" s="30">
        <v>24258262</v>
      </c>
      <c r="B1585" s="31">
        <v>46269</v>
      </c>
      <c r="C1585" s="32">
        <v>0.99534722222222227</v>
      </c>
      <c r="D1585" s="33"/>
      <c r="E1585" s="34">
        <v>5214775748416</v>
      </c>
      <c r="F1585" s="33"/>
      <c r="G1585" s="33" t="s">
        <v>1529</v>
      </c>
      <c r="H1585" s="35"/>
      <c r="I1585" s="33"/>
      <c r="J1585" s="36"/>
      <c r="K1585" t="s">
        <v>38</v>
      </c>
      <c r="L1585" s="125">
        <v>9760.32</v>
      </c>
      <c r="M1585" s="125">
        <v>1770.78</v>
      </c>
      <c r="N1585" s="3">
        <f>L1585*0.3</f>
        <v>2928.096</v>
      </c>
      <c r="O1585" s="3">
        <f>(IF(L1585&lt;4172.98,0,MIN(L1585*0.3,L1585-4172.98)))-M1585</f>
        <v>1157.316</v>
      </c>
      <c r="P1585" s="6">
        <v>46935</v>
      </c>
      <c r="Q1585" t="s">
        <v>59</v>
      </c>
      <c r="R1585" s="3">
        <v>1770.78</v>
      </c>
      <c r="S1585" s="3" t="s">
        <v>39</v>
      </c>
      <c r="T1585" s="48">
        <v>46270</v>
      </c>
      <c r="V1585" s="51">
        <v>0.37916666666666665</v>
      </c>
      <c r="W1585" s="51">
        <v>0.41805555555555557</v>
      </c>
      <c r="X1585" s="51">
        <v>0.43263888888888891</v>
      </c>
      <c r="Y1585" s="51">
        <v>0.43472222222222223</v>
      </c>
    </row>
    <row r="1586" spans="1:25" hidden="1">
      <c r="A1586" s="12">
        <v>24258266</v>
      </c>
      <c r="B1586" s="13">
        <v>46269</v>
      </c>
      <c r="C1586" s="14">
        <v>0.99950231481481477</v>
      </c>
      <c r="D1586" s="15"/>
      <c r="E1586" s="16">
        <v>14243949684</v>
      </c>
      <c r="F1586" s="15"/>
      <c r="G1586" s="15" t="s">
        <v>1530</v>
      </c>
      <c r="H1586" s="17"/>
      <c r="I1586" s="15"/>
      <c r="J1586" s="18"/>
      <c r="K1586" t="s">
        <v>32</v>
      </c>
      <c r="N1586" s="3">
        <f>L1586*0.3</f>
        <v>0</v>
      </c>
      <c r="O1586" s="3">
        <f>(IF(L1586&lt;4172.98,0,MIN(L1586*0.3,L1586-4172.98)))-M1586</f>
        <v>0</v>
      </c>
      <c r="S1586" s="3" t="s">
        <v>204</v>
      </c>
      <c r="V1586" s="51">
        <v>0.38055555555555554</v>
      </c>
    </row>
    <row r="1587" spans="1:25" hidden="1">
      <c r="A1587" s="12">
        <v>24258396</v>
      </c>
      <c r="B1587" s="13">
        <v>46270</v>
      </c>
      <c r="C1587" s="14">
        <v>2.9594907407407407E-2</v>
      </c>
      <c r="D1587" s="15"/>
      <c r="E1587" s="16">
        <v>5217223584685</v>
      </c>
      <c r="F1587" s="15"/>
      <c r="G1587" s="15" t="s">
        <v>1531</v>
      </c>
      <c r="H1587" s="17"/>
      <c r="I1587" s="15"/>
      <c r="J1587" s="18"/>
      <c r="K1587" t="s">
        <v>58</v>
      </c>
      <c r="L1587" s="3">
        <v>3485.91</v>
      </c>
      <c r="N1587" s="3">
        <f>L1587*0.3</f>
        <v>1045.7729999999999</v>
      </c>
      <c r="O1587" s="3">
        <f>(IF(L1587&lt;4172.98,0,MIN(L1587*0.3,L1587-4172.98)))-M1587</f>
        <v>0</v>
      </c>
      <c r="S1587" s="3" t="s">
        <v>204</v>
      </c>
      <c r="V1587" s="51">
        <v>0.38055555555555554</v>
      </c>
    </row>
    <row r="1588" spans="1:25">
      <c r="A1588" s="12">
        <v>24258602</v>
      </c>
      <c r="B1588" s="13">
        <v>46270</v>
      </c>
      <c r="C1588" s="14">
        <v>0.11625000000000001</v>
      </c>
      <c r="D1588" s="15"/>
      <c r="E1588" s="16">
        <v>5215620235655</v>
      </c>
      <c r="F1588" s="15"/>
      <c r="G1588" s="15"/>
      <c r="H1588" s="17" t="s">
        <v>1532</v>
      </c>
      <c r="I1588" s="15"/>
      <c r="J1588" s="18"/>
      <c r="K1588" t="s">
        <v>54</v>
      </c>
      <c r="L1588" s="3">
        <v>9081.52</v>
      </c>
      <c r="N1588" s="3">
        <f>L1588*0.3</f>
        <v>2724.4560000000001</v>
      </c>
      <c r="O1588" s="3">
        <f>(IF(L1588&lt;4172.98,0,MIN(L1588*0.3,L1588-4172.98)))-M1588</f>
        <v>2724.4560000000001</v>
      </c>
      <c r="S1588" s="3" t="s">
        <v>1091</v>
      </c>
      <c r="T1588" s="48">
        <v>46270</v>
      </c>
      <c r="V1588" s="51">
        <v>0.38055555555555554</v>
      </c>
      <c r="W1588" s="51">
        <v>0.4201388888888889</v>
      </c>
      <c r="X1588" s="51">
        <v>0.43819444444444444</v>
      </c>
      <c r="Y1588" s="51">
        <v>0.43958333333333333</v>
      </c>
    </row>
    <row r="1589" spans="1:25" hidden="1">
      <c r="A1589" s="30">
        <v>24259074</v>
      </c>
      <c r="B1589" s="31">
        <v>46270</v>
      </c>
      <c r="C1589" s="32">
        <v>0.18504629629629629</v>
      </c>
      <c r="D1589" s="33"/>
      <c r="E1589" s="34">
        <v>5218714598723</v>
      </c>
      <c r="F1589" s="33"/>
      <c r="G1589" s="33"/>
      <c r="H1589" s="35" t="s">
        <v>1533</v>
      </c>
      <c r="I1589" s="33"/>
      <c r="J1589" s="36"/>
      <c r="K1589" t="s">
        <v>30</v>
      </c>
      <c r="L1589" s="125">
        <v>7116.73</v>
      </c>
      <c r="M1589" s="125">
        <v>2135.02</v>
      </c>
      <c r="N1589" s="3">
        <f>L1589*0.3</f>
        <v>2135.0189999999998</v>
      </c>
      <c r="O1589" s="3">
        <f>(IF(L1589&lt;4172.98,0,MIN(L1589*0.3,L1589-4172.98)))-M1589</f>
        <v>-1.0000000002037268E-3</v>
      </c>
      <c r="P1589" s="6">
        <v>46357</v>
      </c>
      <c r="Q1589" t="s">
        <v>141</v>
      </c>
      <c r="R1589" s="3">
        <v>1826.3</v>
      </c>
      <c r="S1589" s="3" t="s">
        <v>204</v>
      </c>
      <c r="V1589" s="51">
        <v>0.38055555555555554</v>
      </c>
    </row>
    <row r="1590" spans="1:25">
      <c r="A1590" s="12">
        <v>24259300</v>
      </c>
      <c r="B1590" s="13">
        <v>46270</v>
      </c>
      <c r="C1590" s="14">
        <v>0.20899305555555556</v>
      </c>
      <c r="D1590" s="15"/>
      <c r="E1590" s="16">
        <v>5219991924776</v>
      </c>
      <c r="F1590" s="15"/>
      <c r="G1590" s="15"/>
      <c r="H1590" s="17" t="s">
        <v>1534</v>
      </c>
      <c r="I1590" s="15"/>
      <c r="J1590" s="18"/>
      <c r="K1590" t="s">
        <v>27</v>
      </c>
      <c r="L1590" s="125">
        <v>37148.46</v>
      </c>
      <c r="M1590" s="125">
        <v>11142.19</v>
      </c>
      <c r="N1590" s="3">
        <f>L1590*0.3</f>
        <v>11144.537999999999</v>
      </c>
      <c r="O1590" s="3">
        <f>(IF(L1590&lt;4172.98,0,MIN(L1590*0.3,L1590-4172.98)))-M1590</f>
        <v>2.3479999999981374</v>
      </c>
      <c r="P1590" s="6">
        <v>46113</v>
      </c>
      <c r="Q1590" t="s">
        <v>334</v>
      </c>
      <c r="R1590" s="3">
        <v>3003.08</v>
      </c>
      <c r="S1590" s="3" t="s">
        <v>98</v>
      </c>
      <c r="T1590" s="48">
        <v>46270</v>
      </c>
      <c r="V1590" s="51">
        <v>0.38194444444444442</v>
      </c>
      <c r="W1590" s="51">
        <v>0.46527777777777779</v>
      </c>
      <c r="X1590" s="51">
        <v>0.46875</v>
      </c>
      <c r="Y1590" s="51">
        <v>0.47013888888888888</v>
      </c>
    </row>
    <row r="1591" spans="1:25" hidden="1">
      <c r="A1591" s="12">
        <v>24260116</v>
      </c>
      <c r="B1591" s="13">
        <v>46270</v>
      </c>
      <c r="C1591" s="14">
        <v>0.26253472222222224</v>
      </c>
      <c r="D1591" s="15"/>
      <c r="E1591" s="16">
        <v>5213311296849</v>
      </c>
      <c r="F1591" s="15"/>
      <c r="G1591" s="15"/>
      <c r="H1591" s="17" t="s">
        <v>1535</v>
      </c>
      <c r="I1591" s="15"/>
      <c r="J1591" s="18"/>
      <c r="K1591" t="s">
        <v>30</v>
      </c>
      <c r="L1591" s="125">
        <v>9081.52</v>
      </c>
      <c r="M1591" s="125">
        <v>2716.32</v>
      </c>
      <c r="N1591" s="3">
        <f>L1591*0.3</f>
        <v>2724.4560000000001</v>
      </c>
      <c r="O1591" s="3">
        <f>(IF(L1591&lt;4172.98,0,MIN(L1591*0.3,L1591-4172.98)))-M1591</f>
        <v>8.1359999999999673</v>
      </c>
      <c r="P1591" s="6">
        <v>46600</v>
      </c>
      <c r="Q1591" t="s">
        <v>57</v>
      </c>
      <c r="R1591" s="3">
        <v>376.24</v>
      </c>
      <c r="S1591" s="3" t="s">
        <v>204</v>
      </c>
      <c r="V1591" s="51">
        <v>0.38194444444444442</v>
      </c>
    </row>
    <row r="1592" spans="1:25">
      <c r="A1592" s="12">
        <v>24260666</v>
      </c>
      <c r="B1592" s="13">
        <v>46270</v>
      </c>
      <c r="C1592" s="14">
        <v>0.28905092592592591</v>
      </c>
      <c r="D1592" s="15"/>
      <c r="E1592" s="16">
        <v>5218119112863</v>
      </c>
      <c r="F1592" s="15"/>
      <c r="G1592" s="15"/>
      <c r="H1592" s="17">
        <v>43796318681</v>
      </c>
      <c r="I1592" s="15"/>
      <c r="J1592" s="18"/>
      <c r="K1592" t="s">
        <v>54</v>
      </c>
      <c r="L1592" s="125">
        <v>36400.269999999997</v>
      </c>
      <c r="M1592" s="125">
        <v>4903.18</v>
      </c>
      <c r="N1592" s="3">
        <f>L1592*0.3</f>
        <v>10920.080999999998</v>
      </c>
      <c r="O1592" s="3">
        <f>(IF(L1592&lt;4172.98,0,MIN(L1592*0.3,L1592-4172.98)))-M1592</f>
        <v>6016.900999999998</v>
      </c>
      <c r="P1592" s="6">
        <v>46935</v>
      </c>
      <c r="Q1592" t="s">
        <v>44</v>
      </c>
      <c r="R1592" s="3">
        <v>2196.36</v>
      </c>
      <c r="S1592" s="3" t="s">
        <v>35</v>
      </c>
      <c r="T1592" s="48">
        <v>46270</v>
      </c>
      <c r="V1592" s="51">
        <v>0.38194444444444442</v>
      </c>
      <c r="W1592" s="51">
        <v>0.43680555555555556</v>
      </c>
      <c r="X1592" s="51">
        <v>0.44097222222222221</v>
      </c>
      <c r="Y1592" s="51">
        <v>0.44166666666666665</v>
      </c>
    </row>
    <row r="1593" spans="1:25">
      <c r="A1593" s="12">
        <v>24261294</v>
      </c>
      <c r="B1593" s="13">
        <v>46270</v>
      </c>
      <c r="C1593" s="14">
        <v>0.3125</v>
      </c>
      <c r="D1593" s="15"/>
      <c r="E1593" s="16">
        <v>5215530771632</v>
      </c>
      <c r="F1593" s="15"/>
      <c r="G1593" s="15" t="s">
        <v>1536</v>
      </c>
      <c r="H1593" s="17"/>
      <c r="I1593" s="15"/>
      <c r="J1593" s="18"/>
      <c r="K1593" t="s">
        <v>54</v>
      </c>
      <c r="L1593" s="3">
        <f>53661.84-44079.37</f>
        <v>9582.4699999999939</v>
      </c>
      <c r="N1593" s="3">
        <f>L1593*0.3</f>
        <v>2874.7409999999982</v>
      </c>
      <c r="O1593" s="3">
        <f>(IF(L1593&lt;4172.98,0,MIN(L1593*0.3,L1593-4172.98)))-M1593</f>
        <v>2874.7409999999982</v>
      </c>
      <c r="S1593" s="3" t="s">
        <v>1091</v>
      </c>
      <c r="T1593" s="48">
        <v>46270</v>
      </c>
      <c r="V1593" s="51">
        <v>0.38194444444444442</v>
      </c>
      <c r="W1593" s="51">
        <v>0.43819444444444444</v>
      </c>
      <c r="X1593" s="51">
        <v>0.44722222222222224</v>
      </c>
      <c r="Y1593" s="51">
        <v>0.45</v>
      </c>
    </row>
    <row r="1594" spans="1:25" hidden="1">
      <c r="A1594" s="30">
        <v>24262522</v>
      </c>
      <c r="B1594" s="31">
        <v>46270</v>
      </c>
      <c r="C1594" s="32">
        <v>0.35774305555555558</v>
      </c>
      <c r="D1594" s="33"/>
      <c r="E1594" s="34">
        <v>5215539480630</v>
      </c>
      <c r="F1594" s="33"/>
      <c r="G1594" s="33"/>
      <c r="H1594" s="35">
        <v>89866510038</v>
      </c>
      <c r="I1594" s="33"/>
      <c r="J1594" s="36"/>
      <c r="K1594" t="s">
        <v>30</v>
      </c>
      <c r="L1594" s="125">
        <v>9760.32</v>
      </c>
      <c r="M1594" s="125">
        <v>2926.49</v>
      </c>
      <c r="N1594" s="3">
        <f>L1594*0.3</f>
        <v>2928.096</v>
      </c>
      <c r="O1594" s="3">
        <f>(IF(L1594&lt;4172.98,0,MIN(L1594*0.3,L1594-4172.98)))-M1594</f>
        <v>1.6060000000002219</v>
      </c>
      <c r="P1594" s="6">
        <v>46966</v>
      </c>
      <c r="Q1594" t="s">
        <v>43</v>
      </c>
      <c r="R1594" s="125">
        <v>2926.49</v>
      </c>
      <c r="S1594" s="3" t="s">
        <v>204</v>
      </c>
      <c r="V1594" s="51">
        <v>0.38194444444444442</v>
      </c>
    </row>
    <row r="1595" spans="1:25" hidden="1">
      <c r="A1595" s="30">
        <v>24262842</v>
      </c>
      <c r="B1595" s="31">
        <v>46270</v>
      </c>
      <c r="C1595" s="32">
        <v>0.37457175925925928</v>
      </c>
      <c r="D1595" s="33"/>
      <c r="E1595" s="34">
        <v>5219981497530</v>
      </c>
      <c r="F1595" s="33"/>
      <c r="G1595" s="33" t="s">
        <v>1537</v>
      </c>
      <c r="H1595" s="35" t="s">
        <v>1538</v>
      </c>
      <c r="I1595" s="33"/>
      <c r="J1595" s="36"/>
      <c r="K1595" t="s">
        <v>189</v>
      </c>
      <c r="N1595" s="3">
        <f>L1595*0.3</f>
        <v>0</v>
      </c>
      <c r="O1595" s="3">
        <f>(IF(L1595&lt;4172.98,0,MIN(L1595*0.3,L1595-4172.98)))-M1595</f>
        <v>0</v>
      </c>
      <c r="S1595" s="3" t="s">
        <v>204</v>
      </c>
      <c r="V1595" s="51">
        <v>0.38333333333333336</v>
      </c>
    </row>
    <row r="1596" spans="1:25">
      <c r="A1596" s="30">
        <v>24262890</v>
      </c>
      <c r="B1596" s="31">
        <v>46270</v>
      </c>
      <c r="C1596" s="32">
        <v>0.3835763888888889</v>
      </c>
      <c r="D1596" s="33"/>
      <c r="E1596" s="34">
        <v>5216142190738</v>
      </c>
      <c r="F1596" s="33"/>
      <c r="G1596" s="33"/>
      <c r="H1596" s="35" t="s">
        <v>1539</v>
      </c>
      <c r="I1596" s="33"/>
      <c r="J1596" s="36"/>
      <c r="K1596" t="s">
        <v>38</v>
      </c>
      <c r="L1596" s="125">
        <v>8173.37</v>
      </c>
      <c r="M1596" s="125">
        <v>1717</v>
      </c>
      <c r="N1596" s="3">
        <f>L1596*0.3</f>
        <v>2452.011</v>
      </c>
      <c r="O1596" s="3">
        <f>(IF(L1596&lt;4172.98,0,MIN(L1596*0.3,L1596-4172.98)))-M1596</f>
        <v>735.01099999999997</v>
      </c>
      <c r="P1596" s="6">
        <v>46935</v>
      </c>
      <c r="Q1596" t="s">
        <v>43</v>
      </c>
      <c r="R1596" s="3">
        <v>801.52</v>
      </c>
      <c r="S1596" s="3" t="s">
        <v>39</v>
      </c>
      <c r="T1596" s="48">
        <v>46270</v>
      </c>
      <c r="V1596" s="51">
        <v>0.3840277777777778</v>
      </c>
      <c r="W1596" s="51">
        <v>0.44236111111111109</v>
      </c>
      <c r="X1596" s="51">
        <v>0.45208333333333334</v>
      </c>
      <c r="Y1596" s="51">
        <v>0.45347222222222222</v>
      </c>
    </row>
    <row r="1597" spans="1:25" hidden="1">
      <c r="A1597" s="30">
        <v>24263064</v>
      </c>
      <c r="B1597" s="31">
        <v>46270</v>
      </c>
      <c r="C1597" s="32">
        <v>0.38521990740740741</v>
      </c>
      <c r="D1597" s="33"/>
      <c r="E1597" s="34">
        <v>5217411207435</v>
      </c>
      <c r="F1597" s="33"/>
      <c r="G1597" s="33" t="s">
        <v>1540</v>
      </c>
      <c r="H1597" s="35"/>
      <c r="I1597" s="33"/>
      <c r="J1597" s="36"/>
      <c r="K1597" t="s">
        <v>30</v>
      </c>
      <c r="L1597" s="125">
        <v>6262.86</v>
      </c>
      <c r="M1597" s="125">
        <v>1810.88</v>
      </c>
      <c r="N1597" s="3">
        <f>L1597*0.3</f>
        <v>1878.8579999999997</v>
      </c>
      <c r="O1597" s="3">
        <f>(IF(L1597&lt;4172.98,0,MIN(L1597*0.3,L1597-4172.98)))-M1597</f>
        <v>67.977999999999611</v>
      </c>
      <c r="P1597" s="6">
        <v>46661</v>
      </c>
      <c r="Q1597" t="s">
        <v>80</v>
      </c>
      <c r="R1597" s="3">
        <v>1810.88</v>
      </c>
      <c r="S1597" s="3" t="s">
        <v>204</v>
      </c>
      <c r="V1597" s="51">
        <v>0.38541666666666669</v>
      </c>
    </row>
    <row r="1598" spans="1:25">
      <c r="A1598" s="30">
        <v>24263250</v>
      </c>
      <c r="B1598" s="31">
        <v>46270</v>
      </c>
      <c r="C1598" s="32">
        <v>0.39151620370370371</v>
      </c>
      <c r="D1598" s="33"/>
      <c r="E1598" s="34">
        <v>5215566742463</v>
      </c>
      <c r="F1598" s="33"/>
      <c r="G1598" s="33"/>
      <c r="H1598" s="35">
        <v>28907304183</v>
      </c>
      <c r="I1598" s="33"/>
      <c r="J1598" s="36"/>
      <c r="K1598" t="s">
        <v>54</v>
      </c>
      <c r="L1598" s="3">
        <f>7302.55+879</f>
        <v>8181.55</v>
      </c>
      <c r="M1598" s="3">
        <v>879</v>
      </c>
      <c r="N1598" s="3">
        <f>L1598*0.3</f>
        <v>2454.4650000000001</v>
      </c>
      <c r="O1598" s="3">
        <f>(IF(L1598&lt;4172.98,0,MIN(L1598*0.3,L1598-4172.98)))-M1598</f>
        <v>1575.4650000000001</v>
      </c>
      <c r="S1598" s="3" t="s">
        <v>1080</v>
      </c>
      <c r="T1598" s="48">
        <v>46270</v>
      </c>
      <c r="V1598" s="51">
        <v>0.39166666666666666</v>
      </c>
      <c r="W1598" s="51">
        <v>0.47499999999999998</v>
      </c>
      <c r="X1598" s="51">
        <v>0.47916666666666669</v>
      </c>
      <c r="Y1598" s="51">
        <v>0.48055555555555557</v>
      </c>
    </row>
    <row r="1599" spans="1:25" hidden="1">
      <c r="A1599" s="30">
        <v>24263376</v>
      </c>
      <c r="B1599" s="31">
        <v>46270</v>
      </c>
      <c r="C1599" s="32">
        <v>0.39635416666666667</v>
      </c>
      <c r="D1599" s="33"/>
      <c r="E1599" s="34">
        <v>5216181030375</v>
      </c>
      <c r="F1599" s="33"/>
      <c r="G1599" s="33" t="s">
        <v>1541</v>
      </c>
      <c r="H1599" s="35"/>
      <c r="I1599" s="33"/>
      <c r="J1599" s="36"/>
      <c r="K1599" t="s">
        <v>30</v>
      </c>
      <c r="L1599" s="111">
        <v>6262.86</v>
      </c>
      <c r="M1599" s="111">
        <v>1811.99</v>
      </c>
      <c r="N1599" s="3">
        <f>L1599*0.3</f>
        <v>1878.8579999999997</v>
      </c>
      <c r="O1599" s="3">
        <f>(IF(L1599&lt;4172.98,0,MIN(L1599*0.3,L1599-4172.98)))-M1599</f>
        <v>66.867999999999711</v>
      </c>
      <c r="P1599" s="6">
        <v>46722</v>
      </c>
      <c r="Q1599" t="s">
        <v>44</v>
      </c>
      <c r="R1599" s="3">
        <v>963.99</v>
      </c>
      <c r="S1599" s="3" t="s">
        <v>204</v>
      </c>
      <c r="V1599" s="51">
        <v>0.3972222222222222</v>
      </c>
    </row>
    <row r="1600" spans="1:25" hidden="1">
      <c r="A1600" s="30">
        <v>24264536</v>
      </c>
      <c r="B1600" s="31">
        <v>46270</v>
      </c>
      <c r="C1600" s="32">
        <v>0.44439814814814815</v>
      </c>
      <c r="D1600" s="33"/>
      <c r="E1600" s="34">
        <v>5212281107484</v>
      </c>
      <c r="F1600" s="33"/>
      <c r="G1600" s="33"/>
      <c r="H1600" s="35">
        <v>65876418255</v>
      </c>
      <c r="I1600" s="33"/>
      <c r="J1600" s="36"/>
      <c r="K1600" t="s">
        <v>30</v>
      </c>
      <c r="L1600" s="111">
        <v>9081.52</v>
      </c>
      <c r="M1600" s="111">
        <v>2627.5</v>
      </c>
      <c r="N1600" s="3">
        <f>L1600*0.3</f>
        <v>2724.4560000000001</v>
      </c>
      <c r="O1600" s="3">
        <f>(IF(L1600&lt;4172.98,0,MIN(L1600*0.3,L1600-4172.98)))-M1600</f>
        <v>96.956000000000131</v>
      </c>
      <c r="P1600" s="6">
        <v>46419</v>
      </c>
      <c r="Q1600" t="s">
        <v>75</v>
      </c>
      <c r="R1600" s="3">
        <v>2047.45</v>
      </c>
      <c r="S1600" s="3" t="s">
        <v>204</v>
      </c>
      <c r="V1600" s="51">
        <v>0.4465277777777778</v>
      </c>
    </row>
    <row r="1601" spans="1:25" hidden="1">
      <c r="A1601" s="30">
        <v>24264956</v>
      </c>
      <c r="B1601" s="31">
        <v>46270</v>
      </c>
      <c r="C1601" s="32">
        <v>0.45603009259259258</v>
      </c>
      <c r="D1601" s="33"/>
      <c r="E1601" s="34">
        <v>5218711217615</v>
      </c>
      <c r="F1601" s="33"/>
      <c r="G1601" s="33"/>
      <c r="H1601" s="35">
        <v>32978106717</v>
      </c>
      <c r="I1601" s="33"/>
      <c r="J1601" s="36"/>
      <c r="K1601" t="s">
        <v>189</v>
      </c>
      <c r="N1601" s="3">
        <f>L1601*0.3</f>
        <v>0</v>
      </c>
      <c r="O1601" s="3">
        <f>(IF(L1601&lt;4172.98,0,MIN(L1601*0.3,L1601-4172.98)))-M1601</f>
        <v>0</v>
      </c>
      <c r="S1601" s="3" t="s">
        <v>204</v>
      </c>
      <c r="V1601" s="51">
        <v>0.45624999999999999</v>
      </c>
    </row>
    <row r="1602" spans="1:25">
      <c r="A1602" s="30">
        <v>24264788</v>
      </c>
      <c r="B1602" s="31">
        <v>46270</v>
      </c>
      <c r="C1602" s="32">
        <v>0.46119212962962963</v>
      </c>
      <c r="D1602" s="33"/>
      <c r="E1602" s="34">
        <v>5218445639916</v>
      </c>
      <c r="F1602" s="33"/>
      <c r="G1602" s="33"/>
      <c r="H1602" s="35" t="s">
        <v>1542</v>
      </c>
      <c r="I1602" s="33"/>
      <c r="J1602" s="36"/>
      <c r="K1602" t="s">
        <v>54</v>
      </c>
      <c r="L1602" s="3">
        <v>9572.89</v>
      </c>
      <c r="N1602" s="3">
        <f>L1602*0.3</f>
        <v>2871.8669999999997</v>
      </c>
      <c r="O1602" s="3">
        <f>(IF(L1602&lt;4172.98,0,MIN(L1602*0.3,L1602-4172.98)))-M1602</f>
        <v>2871.8669999999997</v>
      </c>
      <c r="S1602" s="3" t="s">
        <v>35</v>
      </c>
      <c r="T1602" s="48">
        <v>46270</v>
      </c>
      <c r="V1602" s="51">
        <v>0.46180555555555558</v>
      </c>
      <c r="W1602" s="51">
        <v>0.4826388888888889</v>
      </c>
      <c r="X1602" s="51">
        <v>0.49791666666666667</v>
      </c>
      <c r="Y1602" s="51">
        <v>0.50624999999999998</v>
      </c>
    </row>
    <row r="1603" spans="1:25" hidden="1">
      <c r="A1603" s="30">
        <v>24265634</v>
      </c>
      <c r="B1603" s="31">
        <v>46270</v>
      </c>
      <c r="C1603" s="32">
        <v>0.4886226851851852</v>
      </c>
      <c r="D1603" s="33"/>
      <c r="E1603" s="34">
        <v>5218131067501</v>
      </c>
      <c r="F1603" s="33"/>
      <c r="G1603" s="33"/>
      <c r="H1603" s="35" t="s">
        <v>1543</v>
      </c>
      <c r="I1603" s="33"/>
      <c r="J1603" s="36"/>
      <c r="K1603" t="s">
        <v>30</v>
      </c>
      <c r="L1603" s="111">
        <v>7150.55</v>
      </c>
      <c r="M1603" s="111">
        <v>1983.09</v>
      </c>
      <c r="N1603" s="3">
        <f>L1603*0.3</f>
        <v>2145.165</v>
      </c>
      <c r="O1603" s="3">
        <f>(IF(L1603&lt;4172.98,0,MIN(L1603*0.3,L1603-4172.98)))-M1603</f>
        <v>162.07500000000005</v>
      </c>
      <c r="P1603" s="6">
        <v>46296</v>
      </c>
      <c r="Q1603" t="s">
        <v>59</v>
      </c>
      <c r="R1603" s="3">
        <v>1983.09</v>
      </c>
      <c r="S1603" s="3" t="s">
        <v>204</v>
      </c>
      <c r="V1603" s="51">
        <v>0.48958333333333331</v>
      </c>
    </row>
    <row r="1604" spans="1:25" hidden="1">
      <c r="A1604" s="12">
        <v>24265776</v>
      </c>
      <c r="B1604" s="13">
        <v>46270</v>
      </c>
      <c r="C1604" s="14">
        <v>0.48974537037037036</v>
      </c>
      <c r="D1604" s="15"/>
      <c r="E1604" s="16">
        <v>5213171115977</v>
      </c>
      <c r="F1604" s="15"/>
      <c r="G1604" s="15"/>
      <c r="H1604" s="17" t="s">
        <v>1544</v>
      </c>
      <c r="I1604" s="15"/>
      <c r="J1604" s="18"/>
      <c r="K1604" t="s">
        <v>30</v>
      </c>
      <c r="L1604" s="111">
        <v>8829.99</v>
      </c>
      <c r="M1604" s="111">
        <v>2553.56</v>
      </c>
      <c r="N1604" s="3">
        <f t="shared" ref="N1604:N1606" si="172">L1604*0.3</f>
        <v>2648.9969999999998</v>
      </c>
      <c r="O1604" s="3">
        <f t="shared" ref="O1604:O1606" si="173">(IF(L1604&lt;4172.98,0,MIN(L1604*0.3,L1604-4172.98)))-M1604</f>
        <v>95.436999999999898</v>
      </c>
      <c r="P1604" s="6">
        <v>46388</v>
      </c>
      <c r="Q1604" t="s">
        <v>44</v>
      </c>
      <c r="R1604" s="3">
        <v>2083</v>
      </c>
      <c r="S1604" s="3" t="s">
        <v>204</v>
      </c>
      <c r="V1604" s="51">
        <v>0.49166666666666664</v>
      </c>
    </row>
    <row r="1605" spans="1:25" hidden="1">
      <c r="A1605" s="12">
        <v>24265732</v>
      </c>
      <c r="B1605" s="13">
        <v>46270</v>
      </c>
      <c r="C1605" s="14">
        <v>0.48984953703703704</v>
      </c>
      <c r="D1605" s="15"/>
      <c r="E1605" s="16">
        <v>5212881189759</v>
      </c>
      <c r="F1605" s="15"/>
      <c r="G1605" s="15" t="s">
        <v>1545</v>
      </c>
      <c r="H1605" s="17"/>
      <c r="I1605" s="15"/>
      <c r="J1605" s="18"/>
      <c r="K1605" t="s">
        <v>32</v>
      </c>
      <c r="N1605" s="3">
        <f t="shared" si="172"/>
        <v>0</v>
      </c>
      <c r="O1605" s="3">
        <f t="shared" si="173"/>
        <v>0</v>
      </c>
      <c r="S1605" s="3" t="s">
        <v>204</v>
      </c>
      <c r="V1605" s="51">
        <v>0.49166666666666664</v>
      </c>
    </row>
    <row r="1606" spans="1:25">
      <c r="A1606" s="30">
        <v>24265796</v>
      </c>
      <c r="B1606" s="31">
        <v>46270</v>
      </c>
      <c r="C1606" s="32">
        <v>0.4931712962962963</v>
      </c>
      <c r="D1606" s="33"/>
      <c r="E1606" s="34">
        <v>5216679631198</v>
      </c>
      <c r="F1606" s="33"/>
      <c r="G1606" s="33" t="s">
        <v>1546</v>
      </c>
      <c r="H1606" s="35">
        <v>24826257073</v>
      </c>
      <c r="I1606" s="33"/>
      <c r="J1606" s="36"/>
      <c r="K1606" t="s">
        <v>27</v>
      </c>
      <c r="L1606" s="111">
        <v>7101.73</v>
      </c>
      <c r="M1606" s="111">
        <v>1887.32</v>
      </c>
      <c r="N1606" s="3">
        <f t="shared" si="172"/>
        <v>2130.5189999999998</v>
      </c>
      <c r="O1606" s="3">
        <f t="shared" si="173"/>
        <v>243.19899999999984</v>
      </c>
      <c r="P1606" s="6">
        <v>45717</v>
      </c>
      <c r="Q1606" t="s">
        <v>818</v>
      </c>
      <c r="R1606" s="3">
        <v>1887.32</v>
      </c>
      <c r="S1606" s="3" t="s">
        <v>98</v>
      </c>
      <c r="T1606" s="48">
        <v>46270</v>
      </c>
      <c r="V1606" s="51">
        <v>0.49444444444444446</v>
      </c>
      <c r="W1606" s="51">
        <v>0.5180555555555556</v>
      </c>
      <c r="X1606" s="51">
        <v>0.52569444444444446</v>
      </c>
      <c r="Y1606" s="51">
        <v>0.52847222222222223</v>
      </c>
    </row>
    <row r="1607" spans="1:25" hidden="1">
      <c r="A1607" s="30">
        <v>24265830</v>
      </c>
      <c r="B1607" s="31">
        <v>46270</v>
      </c>
      <c r="C1607" s="32">
        <v>0.4992361111111111</v>
      </c>
      <c r="D1607" s="33" t="s">
        <v>1547</v>
      </c>
      <c r="E1607" s="34">
        <v>5218145809096</v>
      </c>
      <c r="F1607" s="33"/>
      <c r="G1607" s="33"/>
      <c r="H1607" s="35">
        <v>34775990052</v>
      </c>
      <c r="I1607" s="33"/>
      <c r="J1607" s="36"/>
      <c r="K1607" t="s">
        <v>32</v>
      </c>
      <c r="L1607" s="111"/>
      <c r="M1607" s="111"/>
      <c r="N1607" s="3">
        <f>L1607*0.3</f>
        <v>0</v>
      </c>
      <c r="O1607" s="3">
        <f>(IF(L1607&lt;4172.98,0,MIN(L1607*0.3,L1607-4172.98)))-M1607</f>
        <v>0</v>
      </c>
      <c r="S1607" s="3" t="s">
        <v>204</v>
      </c>
      <c r="V1607" s="51">
        <v>0.50069444444444444</v>
      </c>
    </row>
    <row r="1608" spans="1:25">
      <c r="A1608" s="30">
        <v>24266146</v>
      </c>
      <c r="B1608" s="31">
        <v>46270</v>
      </c>
      <c r="C1608" s="32">
        <v>0.51059027777777777</v>
      </c>
      <c r="D1608" s="33"/>
      <c r="E1608" s="34">
        <v>5218441032253</v>
      </c>
      <c r="F1608" s="33"/>
      <c r="G1608" s="33" t="s">
        <v>1548</v>
      </c>
      <c r="H1608" s="35">
        <v>13815506285</v>
      </c>
      <c r="I1608" s="33"/>
      <c r="J1608" s="36"/>
      <c r="K1608" t="s">
        <v>34</v>
      </c>
      <c r="L1608" s="111">
        <v>5639.15</v>
      </c>
      <c r="M1608" s="111">
        <v>1350.94</v>
      </c>
      <c r="N1608" s="3">
        <f>L1608*0.3</f>
        <v>1691.7449999999999</v>
      </c>
      <c r="O1608" s="3">
        <f>(IF(L1608&lt;4172.98,0,MIN(L1608*0.3,L1608-4172.98)))-M1608</f>
        <v>115.23000000000002</v>
      </c>
      <c r="P1608" s="6">
        <v>46113</v>
      </c>
      <c r="Q1608" t="s">
        <v>141</v>
      </c>
      <c r="R1608" s="3">
        <v>1350.94</v>
      </c>
      <c r="S1608" s="3" t="s">
        <v>35</v>
      </c>
      <c r="T1608" s="48">
        <v>46270</v>
      </c>
      <c r="V1608" s="51">
        <v>0.51111111111111107</v>
      </c>
      <c r="W1608" s="51">
        <v>0.51944444444444449</v>
      </c>
      <c r="X1608" s="51">
        <v>0.5229166666666667</v>
      </c>
      <c r="Y1608" s="51">
        <v>0.52569444444444446</v>
      </c>
    </row>
    <row r="1609" spans="1:25">
      <c r="A1609" s="30">
        <v>24266054</v>
      </c>
      <c r="B1609" s="31">
        <v>46270</v>
      </c>
      <c r="C1609" s="32">
        <v>0.51165509259259256</v>
      </c>
      <c r="D1609" s="33"/>
      <c r="E1609" s="34">
        <v>5212971008931</v>
      </c>
      <c r="F1609" s="33"/>
      <c r="G1609" s="33" t="s">
        <v>1549</v>
      </c>
      <c r="H1609" s="35" t="s">
        <v>1550</v>
      </c>
      <c r="I1609" s="33"/>
      <c r="J1609" s="36"/>
      <c r="K1609" t="s">
        <v>54</v>
      </c>
      <c r="L1609" s="3">
        <v>11029.03</v>
      </c>
      <c r="N1609" s="3">
        <f>L1609*0.3</f>
        <v>3308.7090000000003</v>
      </c>
      <c r="O1609" s="3">
        <f>(IF(L1609&lt;4172.98,0,MIN(L1609*0.3,L1609-4172.98)))-M1609</f>
        <v>3308.7090000000003</v>
      </c>
      <c r="S1609" s="3" t="s">
        <v>879</v>
      </c>
      <c r="T1609" s="48">
        <v>46270</v>
      </c>
      <c r="V1609" s="51">
        <v>0.51388888888888884</v>
      </c>
      <c r="W1609" s="51">
        <v>0.52013888888888893</v>
      </c>
      <c r="X1609" s="51">
        <v>0.52361111111111114</v>
      </c>
      <c r="Y1609" s="51">
        <v>0.53680555555555554</v>
      </c>
    </row>
    <row r="1610" spans="1:25" hidden="1">
      <c r="A1610" s="30">
        <v>24266396</v>
      </c>
      <c r="B1610" s="31">
        <v>46270</v>
      </c>
      <c r="C1610" s="32">
        <v>0.51971064814814816</v>
      </c>
      <c r="D1610" s="33"/>
      <c r="E1610" s="34">
        <v>5218661512300</v>
      </c>
      <c r="F1610" s="33"/>
      <c r="G1610" s="33"/>
      <c r="H1610" s="35">
        <v>32846621616</v>
      </c>
      <c r="I1610" s="33"/>
      <c r="J1610" s="36"/>
      <c r="K1610" t="s">
        <v>30</v>
      </c>
      <c r="L1610" s="111">
        <v>36666.29</v>
      </c>
      <c r="M1610" s="111">
        <v>10991.56</v>
      </c>
      <c r="N1610" s="3">
        <f>L1610*0.3</f>
        <v>10999.887000000001</v>
      </c>
      <c r="O1610" s="3">
        <f>(IF(L1610&lt;4172.98,0,MIN(L1610*0.3,L1610-4172.98)))-M1610</f>
        <v>8.327000000001135</v>
      </c>
      <c r="P1610" s="6">
        <v>46419</v>
      </c>
      <c r="Q1610" t="s">
        <v>57</v>
      </c>
      <c r="R1610" s="3">
        <v>387</v>
      </c>
      <c r="S1610" s="3" t="s">
        <v>204</v>
      </c>
      <c r="V1610" s="51">
        <v>0.52013888888888893</v>
      </c>
    </row>
    <row r="1611" spans="1:25" hidden="1">
      <c r="A1611" s="30">
        <v>24266464</v>
      </c>
      <c r="B1611" s="31">
        <v>46270</v>
      </c>
      <c r="C1611" s="32">
        <v>0.52166666666666661</v>
      </c>
      <c r="D1611" s="33"/>
      <c r="E1611" s="34">
        <v>5219996455028</v>
      </c>
      <c r="F1611" s="33"/>
      <c r="G1611" s="33" t="s">
        <v>1551</v>
      </c>
      <c r="H1611" s="35"/>
      <c r="I1611" s="33"/>
      <c r="J1611" s="36"/>
      <c r="K1611" t="s">
        <v>32</v>
      </c>
      <c r="N1611" s="3">
        <f>L1611*0.3</f>
        <v>0</v>
      </c>
      <c r="O1611" s="3">
        <f>(IF(L1611&lt;4172.98,0,MIN(L1611*0.3,L1611-4172.98)))-M1611</f>
        <v>0</v>
      </c>
      <c r="S1611" s="3" t="s">
        <v>204</v>
      </c>
      <c r="V1611" s="51">
        <v>0.52152777777777781</v>
      </c>
    </row>
    <row r="1612" spans="1:25" hidden="1">
      <c r="A1612" s="12">
        <v>24266554</v>
      </c>
      <c r="B1612" s="13">
        <v>46270</v>
      </c>
      <c r="C1612" s="14">
        <v>0.52375000000000005</v>
      </c>
      <c r="D1612" s="15"/>
      <c r="E1612" s="16">
        <v>5215561529052</v>
      </c>
      <c r="F1612" s="15"/>
      <c r="G1612" s="15" t="s">
        <v>1552</v>
      </c>
      <c r="H1612" s="17"/>
      <c r="I1612" s="15"/>
      <c r="J1612" s="18"/>
      <c r="K1612" t="s">
        <v>30</v>
      </c>
      <c r="L1612" s="111">
        <v>10636.54</v>
      </c>
      <c r="M1612" s="111">
        <v>3189.94</v>
      </c>
      <c r="N1612" s="3">
        <f t="shared" ref="N1612:N1613" si="174">L1612*0.3</f>
        <v>3190.962</v>
      </c>
      <c r="O1612" s="3">
        <f t="shared" ref="O1612:O1613" si="175">(IF(L1612&lt;4172.98,0,MIN(L1612*0.3,L1612-4172.98)))-M1612</f>
        <v>1.0219999999999345</v>
      </c>
      <c r="P1612" s="6">
        <v>46935</v>
      </c>
      <c r="Q1612" t="s">
        <v>184</v>
      </c>
      <c r="R1612" s="111">
        <v>3189.94</v>
      </c>
      <c r="S1612" s="3" t="s">
        <v>204</v>
      </c>
      <c r="V1612" s="51">
        <v>0.52500000000000002</v>
      </c>
    </row>
    <row r="1613" spans="1:25" hidden="1">
      <c r="A1613" s="30">
        <v>24266502</v>
      </c>
      <c r="B1613" s="31">
        <v>46270</v>
      </c>
      <c r="C1613" s="32">
        <v>0.52476851851851847</v>
      </c>
      <c r="D1613" s="33"/>
      <c r="E1613" s="34">
        <v>5214442883541</v>
      </c>
      <c r="F1613" s="33"/>
      <c r="G1613" s="33" t="s">
        <v>1553</v>
      </c>
      <c r="H1613" s="35">
        <v>41876517404</v>
      </c>
      <c r="I1613" s="33"/>
      <c r="J1613" s="36"/>
      <c r="K1613" t="s">
        <v>30</v>
      </c>
      <c r="L1613" s="111">
        <v>9760.32</v>
      </c>
      <c r="M1613" s="111">
        <v>2899.52</v>
      </c>
      <c r="N1613" s="3">
        <f t="shared" si="174"/>
        <v>2928.096</v>
      </c>
      <c r="O1613" s="3">
        <f t="shared" si="175"/>
        <v>28.576000000000022</v>
      </c>
      <c r="P1613" s="6">
        <v>46905</v>
      </c>
      <c r="Q1613" t="s">
        <v>44</v>
      </c>
      <c r="R1613" s="111">
        <v>2899.52</v>
      </c>
      <c r="S1613" s="3" t="s">
        <v>204</v>
      </c>
      <c r="V1613" s="51">
        <v>0.52500000000000002</v>
      </c>
    </row>
    <row r="1614" spans="1:25" hidden="1">
      <c r="A1614" s="30">
        <v>24246160</v>
      </c>
      <c r="B1614" s="31">
        <v>46270</v>
      </c>
      <c r="C1614" s="32">
        <v>0.53092592592592591</v>
      </c>
      <c r="D1614" s="33"/>
      <c r="E1614" s="34"/>
      <c r="F1614" s="33"/>
      <c r="G1614" s="33"/>
      <c r="H1614" s="35">
        <v>21755818313</v>
      </c>
      <c r="I1614" s="33"/>
      <c r="J1614" s="36"/>
      <c r="K1614" t="s">
        <v>30</v>
      </c>
      <c r="L1614" s="111">
        <v>7920.51</v>
      </c>
      <c r="M1614" s="111">
        <v>2374.7600000000002</v>
      </c>
      <c r="N1614" s="3">
        <f>L1614*0.3</f>
        <v>2376.1529999999998</v>
      </c>
      <c r="O1614" s="3">
        <f>(IF(L1614&lt;4172.98,0,MIN(L1614*0.3,L1614-4172.98)))-M1614</f>
        <v>1.3929999999995744</v>
      </c>
      <c r="P1614" s="6">
        <v>46874</v>
      </c>
      <c r="Q1614" t="s">
        <v>43</v>
      </c>
      <c r="R1614" s="111">
        <v>2374.7600000000002</v>
      </c>
      <c r="S1614" s="3" t="s">
        <v>204</v>
      </c>
      <c r="V1614" s="51">
        <v>0.53125</v>
      </c>
    </row>
    <row r="1615" spans="1:25" hidden="1">
      <c r="A1615" s="12">
        <v>24266838</v>
      </c>
      <c r="B1615" s="13">
        <v>46270</v>
      </c>
      <c r="C1615" s="14">
        <v>0.53265046296296292</v>
      </c>
      <c r="D1615" s="15" t="s">
        <v>1554</v>
      </c>
      <c r="E1615" s="16"/>
      <c r="F1615" s="15"/>
      <c r="G1615" s="15" t="s">
        <v>1555</v>
      </c>
      <c r="H1615" s="17">
        <v>55795001308</v>
      </c>
      <c r="I1615" s="15"/>
      <c r="J1615" s="18"/>
      <c r="K1615" t="s">
        <v>58</v>
      </c>
      <c r="L1615" s="3">
        <f>3792.65+848</f>
        <v>4640.6499999999996</v>
      </c>
      <c r="M1615" s="3">
        <v>848</v>
      </c>
      <c r="N1615" s="3">
        <f t="shared" ref="N1615:N1616" si="176">L1615*0.3</f>
        <v>1392.1949999999999</v>
      </c>
      <c r="O1615" s="3">
        <f t="shared" ref="O1615:O1616" si="177">(IF(L1615&lt;4172.98,0,MIN(L1615*0.3,L1615-4172.98)))-M1615</f>
        <v>-380.32999999999993</v>
      </c>
      <c r="S1615" s="3" t="s">
        <v>204</v>
      </c>
      <c r="V1615" s="51">
        <v>0.53472222222222221</v>
      </c>
    </row>
    <row r="1616" spans="1:25" hidden="1">
      <c r="A1616" s="30">
        <v>24266630</v>
      </c>
      <c r="B1616" s="31">
        <v>46270</v>
      </c>
      <c r="C1616" s="32">
        <v>0.53339120370370374</v>
      </c>
      <c r="D1616" s="33"/>
      <c r="E1616" s="34">
        <v>5218661545795</v>
      </c>
      <c r="F1616" s="33"/>
      <c r="G1616" s="33"/>
      <c r="H1616" s="35" t="s">
        <v>1556</v>
      </c>
      <c r="I1616" s="33"/>
      <c r="J1616" s="36"/>
      <c r="K1616" t="s">
        <v>30</v>
      </c>
      <c r="L1616" s="111">
        <v>8793.09</v>
      </c>
      <c r="M1616" s="111">
        <v>2534.12</v>
      </c>
      <c r="N1616" s="3">
        <f t="shared" si="176"/>
        <v>2637.9270000000001</v>
      </c>
      <c r="O1616" s="3">
        <f t="shared" si="177"/>
        <v>103.80700000000024</v>
      </c>
      <c r="P1616" s="6">
        <v>46753</v>
      </c>
      <c r="Q1616" t="s">
        <v>141</v>
      </c>
      <c r="R1616" s="111">
        <v>2534.12</v>
      </c>
      <c r="S1616" s="3" t="s">
        <v>204</v>
      </c>
      <c r="V1616" s="51">
        <v>0.53472222222222221</v>
      </c>
    </row>
    <row r="1617" spans="1:25" hidden="1">
      <c r="A1617" s="30">
        <v>24266820</v>
      </c>
      <c r="B1617" s="31">
        <v>46270</v>
      </c>
      <c r="C1617" s="32">
        <v>0.53736111111111107</v>
      </c>
      <c r="D1617" s="33" t="s">
        <v>1557</v>
      </c>
      <c r="E1617" s="34">
        <v>5219624730732</v>
      </c>
      <c r="F1617" s="33"/>
      <c r="G1617" s="33"/>
      <c r="H1617" s="35" t="s">
        <v>1558</v>
      </c>
      <c r="I1617" s="33"/>
      <c r="J1617" s="36"/>
      <c r="K1617" t="s">
        <v>30</v>
      </c>
      <c r="L1617" s="111">
        <v>17205.91</v>
      </c>
      <c r="M1617" s="111">
        <v>5160.76</v>
      </c>
      <c r="N1617" s="3">
        <f>L1617*0.3</f>
        <v>5161.7730000000001</v>
      </c>
      <c r="O1617" s="3">
        <f>(IF(L1617&lt;4172.98,0,MIN(L1617*0.3,L1617-4172.98)))-M1617</f>
        <v>1.01299999999992</v>
      </c>
      <c r="P1617" s="6">
        <v>46569</v>
      </c>
      <c r="Q1617" t="s">
        <v>59</v>
      </c>
      <c r="R1617" s="3">
        <v>3718</v>
      </c>
      <c r="S1617" s="3" t="s">
        <v>204</v>
      </c>
      <c r="V1617" s="51">
        <v>0.53819444444444442</v>
      </c>
    </row>
    <row r="1618" spans="1:25" hidden="1">
      <c r="A1618" s="30">
        <v>24266994</v>
      </c>
      <c r="B1618" s="31">
        <v>46270</v>
      </c>
      <c r="C1618" s="32">
        <v>0.54254629629629625</v>
      </c>
      <c r="D1618" s="33"/>
      <c r="E1618" s="34">
        <v>5216624032066</v>
      </c>
      <c r="F1618" s="33"/>
      <c r="G1618" s="33"/>
      <c r="H1618" s="35">
        <v>24806404182</v>
      </c>
      <c r="I1618" s="33"/>
      <c r="J1618" s="36"/>
      <c r="K1618" t="s">
        <v>30</v>
      </c>
      <c r="L1618" s="111">
        <v>9760.32</v>
      </c>
      <c r="M1618" s="111">
        <v>2815.64</v>
      </c>
      <c r="N1618" s="3">
        <f>L1618*0.3</f>
        <v>2928.096</v>
      </c>
      <c r="O1618" s="3">
        <f>(IF(L1618&lt;4172.98,0,MIN(L1618*0.3,L1618-4172.98)))-M1618</f>
        <v>112.45600000000013</v>
      </c>
      <c r="P1618" s="6">
        <v>46600</v>
      </c>
      <c r="Q1618" t="s">
        <v>75</v>
      </c>
      <c r="R1618" s="3">
        <v>2815.64</v>
      </c>
      <c r="S1618" s="3" t="s">
        <v>204</v>
      </c>
      <c r="V1618" s="51">
        <v>0.54305555555555551</v>
      </c>
    </row>
    <row r="1619" spans="1:25" hidden="1">
      <c r="A1619" s="30">
        <v>24266888</v>
      </c>
      <c r="B1619" s="31">
        <v>46270</v>
      </c>
      <c r="C1619" s="32">
        <v>0.54984953703703698</v>
      </c>
      <c r="D1619" s="33"/>
      <c r="E1619" s="34">
        <v>5219982390979</v>
      </c>
      <c r="F1619" s="33"/>
      <c r="G1619" s="33"/>
      <c r="H1619" s="35">
        <v>21028585756</v>
      </c>
      <c r="I1619" s="33"/>
      <c r="J1619" s="36"/>
      <c r="K1619" t="s">
        <v>51</v>
      </c>
      <c r="L1619" s="184"/>
      <c r="M1619" s="184"/>
      <c r="N1619" s="3">
        <f>L1619*0.3</f>
        <v>0</v>
      </c>
      <c r="O1619" s="3">
        <f>(IF(L1619&lt;4172.98,0,MIN(L1619*0.3,L1619-4172.98)))-M1619</f>
        <v>0</v>
      </c>
      <c r="P1619" s="6"/>
      <c r="S1619" s="3" t="s">
        <v>204</v>
      </c>
      <c r="V1619" s="51">
        <v>0.55138888888888893</v>
      </c>
    </row>
    <row r="1620" spans="1:25" hidden="1">
      <c r="A1620" s="30">
        <v>24267124</v>
      </c>
      <c r="B1620" s="31">
        <v>46270</v>
      </c>
      <c r="C1620" s="32">
        <v>0.55487268518518518</v>
      </c>
      <c r="D1620" s="33"/>
      <c r="E1620" s="34">
        <v>5219811759882</v>
      </c>
      <c r="F1620" s="33"/>
      <c r="G1620" s="33" t="s">
        <v>1559</v>
      </c>
      <c r="H1620" s="35"/>
      <c r="I1620" s="33"/>
      <c r="J1620" s="36"/>
      <c r="K1620" t="s">
        <v>51</v>
      </c>
      <c r="L1620" s="111"/>
      <c r="M1620" s="111"/>
      <c r="N1620" s="3">
        <f>L1620*0.3</f>
        <v>0</v>
      </c>
      <c r="O1620" s="3">
        <f>(IF(L1620&lt;4172.98,0,MIN(L1620*0.3,L1620-4172.98)))-M1620</f>
        <v>0</v>
      </c>
      <c r="S1620" s="3" t="s">
        <v>204</v>
      </c>
      <c r="V1620" s="51">
        <v>0.55625000000000002</v>
      </c>
    </row>
    <row r="1621" spans="1:25" hidden="1">
      <c r="A1621" s="30">
        <v>24267248</v>
      </c>
      <c r="B1621" s="31">
        <v>46270</v>
      </c>
      <c r="C1621" s="32">
        <v>0.55680555555555555</v>
      </c>
      <c r="D1621" s="33"/>
      <c r="E1621" s="34">
        <v>5216631223410</v>
      </c>
      <c r="F1621" s="33"/>
      <c r="G1621" s="33" t="s">
        <v>1560</v>
      </c>
      <c r="H1621" s="35"/>
      <c r="I1621" s="33"/>
      <c r="J1621" s="36"/>
      <c r="K1621" t="s">
        <v>30</v>
      </c>
      <c r="L1621" s="111">
        <v>7920.51</v>
      </c>
      <c r="M1621" s="111">
        <v>2276.23</v>
      </c>
      <c r="N1621" s="3">
        <f>L1621*0.3</f>
        <v>2376.1529999999998</v>
      </c>
      <c r="O1621" s="3">
        <f>(IF(L1621&lt;4172.98,0,MIN(L1621*0.3,L1621-4172.98)))-M1621</f>
        <v>99.922999999999774</v>
      </c>
      <c r="P1621" s="6">
        <v>46600</v>
      </c>
      <c r="Q1621" t="s">
        <v>57</v>
      </c>
      <c r="R1621" s="3">
        <v>2276.23</v>
      </c>
      <c r="S1621" s="3" t="s">
        <v>204</v>
      </c>
      <c r="V1621" s="51">
        <v>0.56041666666666667</v>
      </c>
    </row>
    <row r="1622" spans="1:25" hidden="1">
      <c r="A1622" s="30">
        <v>24267352</v>
      </c>
      <c r="B1622" s="31">
        <v>46270</v>
      </c>
      <c r="C1622" s="32">
        <v>0.5637847222222222</v>
      </c>
      <c r="D1622" s="33"/>
      <c r="E1622" s="34">
        <v>5215561009641</v>
      </c>
      <c r="F1622" s="33"/>
      <c r="G1622" s="33" t="s">
        <v>1561</v>
      </c>
      <c r="H1622" s="35"/>
      <c r="I1622" s="33"/>
      <c r="J1622" s="36"/>
      <c r="K1622" t="s">
        <v>30</v>
      </c>
      <c r="L1622" s="111">
        <v>18272.75</v>
      </c>
      <c r="M1622" s="111">
        <v>5284.32</v>
      </c>
      <c r="N1622" s="3">
        <f>L1622*0.3</f>
        <v>5481.8249999999998</v>
      </c>
      <c r="O1622" s="3">
        <f>(IF(L1622&lt;4172.98,0,MIN(L1622*0.3,L1622-4172.98)))-M1622</f>
        <v>197.50500000000011</v>
      </c>
      <c r="P1622" s="6">
        <v>46357</v>
      </c>
      <c r="Q1622" t="s">
        <v>59</v>
      </c>
      <c r="R1622" s="3">
        <v>4025.19</v>
      </c>
      <c r="S1622" s="3" t="s">
        <v>204</v>
      </c>
      <c r="V1622" s="51">
        <v>0.56736111111111109</v>
      </c>
    </row>
    <row r="1623" spans="1:25" hidden="1">
      <c r="A1623" s="30">
        <v>24267620</v>
      </c>
      <c r="B1623" s="31">
        <v>46270</v>
      </c>
      <c r="C1623" s="32">
        <v>0.57510416666666664</v>
      </c>
      <c r="D1623" s="33"/>
      <c r="E1623" s="34">
        <v>5219992237051</v>
      </c>
      <c r="F1623" s="33"/>
      <c r="G1623" s="33"/>
      <c r="H1623" s="35">
        <v>81965900022</v>
      </c>
      <c r="I1623" s="33"/>
      <c r="J1623" s="36"/>
      <c r="K1623" t="s">
        <v>51</v>
      </c>
      <c r="N1623" s="3">
        <f>L1623*0.3</f>
        <v>0</v>
      </c>
      <c r="O1623" s="3">
        <f>(IF(L1623&lt;4172.98,0,MIN(L1623*0.3,L1623-4172.98)))-M1623</f>
        <v>0</v>
      </c>
      <c r="S1623" s="3" t="s">
        <v>204</v>
      </c>
      <c r="V1623" s="51">
        <v>0.57499999999999996</v>
      </c>
    </row>
    <row r="1624" spans="1:25" hidden="1">
      <c r="A1624" s="30">
        <v>24267482</v>
      </c>
      <c r="B1624" s="31">
        <v>46270</v>
      </c>
      <c r="C1624" s="32">
        <v>0.57819444444444446</v>
      </c>
      <c r="D1624" s="33" t="s">
        <v>1562</v>
      </c>
      <c r="E1624" s="34">
        <v>5219931694926</v>
      </c>
      <c r="F1624" s="33"/>
      <c r="G1624" s="33" t="s">
        <v>1563</v>
      </c>
      <c r="H1624" s="35"/>
      <c r="I1624" s="33"/>
      <c r="J1624" s="36"/>
      <c r="K1624" t="s">
        <v>32</v>
      </c>
      <c r="N1624" s="3">
        <f>L1624*0.3</f>
        <v>0</v>
      </c>
      <c r="O1624" s="3">
        <f>(IF(L1624&lt;4172.98,0,MIN(L1624*0.3,L1624-4172.98)))-M1624</f>
        <v>0</v>
      </c>
      <c r="S1624" s="3" t="s">
        <v>204</v>
      </c>
      <c r="T1624" s="50"/>
      <c r="V1624" s="51">
        <v>0.57777777777777772</v>
      </c>
    </row>
    <row r="1625" spans="1:25">
      <c r="A1625" s="30">
        <v>24267950</v>
      </c>
      <c r="B1625" s="31">
        <v>46270</v>
      </c>
      <c r="C1625" s="32">
        <v>0.59340277777777772</v>
      </c>
      <c r="D1625" s="33"/>
      <c r="E1625" s="34">
        <v>5213318354789</v>
      </c>
      <c r="F1625" s="33"/>
      <c r="G1625" s="33"/>
      <c r="H1625" s="35" t="s">
        <v>1564</v>
      </c>
      <c r="I1625" s="33"/>
      <c r="J1625" s="86"/>
      <c r="K1625" t="s">
        <v>54</v>
      </c>
      <c r="L1625" s="3">
        <v>10636.54</v>
      </c>
      <c r="N1625" s="3">
        <f>L1625*0.3</f>
        <v>3190.962</v>
      </c>
      <c r="O1625" s="3">
        <f>(IF(L1625&lt;4172.98,0,MIN(L1625*0.3,L1625-4172.98)))-M1625</f>
        <v>3190.962</v>
      </c>
      <c r="S1625" s="3" t="s">
        <v>35</v>
      </c>
      <c r="T1625" s="48">
        <v>46272</v>
      </c>
      <c r="V1625" s="51">
        <v>0.60069444444444442</v>
      </c>
      <c r="W1625" s="51">
        <v>0.37222222222222223</v>
      </c>
      <c r="X1625" s="51">
        <v>0.48819444444444443</v>
      </c>
      <c r="Y1625" s="51">
        <v>0.48958333333333331</v>
      </c>
    </row>
    <row r="1626" spans="1:25">
      <c r="A1626" s="12">
        <v>24268036</v>
      </c>
      <c r="B1626" s="13">
        <v>46270</v>
      </c>
      <c r="C1626" s="14">
        <v>0.59765046296296298</v>
      </c>
      <c r="D1626" s="15"/>
      <c r="E1626" s="16">
        <v>5215619160957</v>
      </c>
      <c r="F1626" s="15"/>
      <c r="G1626" s="15"/>
      <c r="H1626" s="17">
        <v>45897109794</v>
      </c>
      <c r="I1626" s="15"/>
      <c r="J1626" s="18"/>
      <c r="K1626" t="s">
        <v>27</v>
      </c>
      <c r="L1626" s="111">
        <v>12275.37</v>
      </c>
      <c r="M1626" s="111">
        <v>3403.6</v>
      </c>
      <c r="N1626" s="3">
        <f t="shared" ref="N1626:N1627" si="178">L1626*0.3</f>
        <v>3682.6110000000003</v>
      </c>
      <c r="O1626" s="3">
        <f t="shared" ref="O1626:O1627" si="179">(IF(L1626&lt;4172.98,0,MIN(L1626*0.3,L1626-4172.98)))-M1626</f>
        <v>279.01100000000042</v>
      </c>
      <c r="P1626" s="6">
        <v>46266</v>
      </c>
      <c r="Q1626" t="s">
        <v>80</v>
      </c>
      <c r="R1626" s="111">
        <v>3403.6</v>
      </c>
      <c r="S1626" s="3" t="s">
        <v>879</v>
      </c>
      <c r="T1626" s="48">
        <v>46272</v>
      </c>
      <c r="V1626" s="51">
        <v>0.60069444444444442</v>
      </c>
      <c r="W1626" s="51">
        <v>0.48888888888888887</v>
      </c>
      <c r="X1626" s="51">
        <v>0.60138888888888886</v>
      </c>
      <c r="Y1626" s="51">
        <v>0.60763888888888884</v>
      </c>
    </row>
    <row r="1627" spans="1:25" hidden="1">
      <c r="A1627" s="30">
        <v>24268154</v>
      </c>
      <c r="B1627" s="31">
        <v>46270</v>
      </c>
      <c r="C1627" s="32">
        <v>0.60025462962962961</v>
      </c>
      <c r="D1627" s="33"/>
      <c r="E1627" s="34">
        <v>5215551873122</v>
      </c>
      <c r="F1627" s="33"/>
      <c r="G1627" s="33" t="s">
        <v>1565</v>
      </c>
      <c r="H1627" s="35"/>
      <c r="I1627" s="33"/>
      <c r="J1627" s="36"/>
      <c r="K1627" t="s">
        <v>51</v>
      </c>
      <c r="N1627" s="3">
        <f t="shared" si="178"/>
        <v>0</v>
      </c>
      <c r="O1627" s="3">
        <f t="shared" si="179"/>
        <v>0</v>
      </c>
      <c r="S1627" s="3" t="s">
        <v>204</v>
      </c>
      <c r="V1627" s="51">
        <v>0.60069444444444442</v>
      </c>
    </row>
    <row r="1628" spans="1:25" hidden="1">
      <c r="A1628" s="12">
        <v>24268210</v>
      </c>
      <c r="B1628" s="13">
        <v>46270</v>
      </c>
      <c r="C1628" s="14">
        <v>0.61907407407407411</v>
      </c>
      <c r="D1628" s="15"/>
      <c r="E1628" s="16">
        <v>5219991791986</v>
      </c>
      <c r="F1628" s="15">
        <v>1</v>
      </c>
      <c r="G1628" s="15" t="s">
        <v>1566</v>
      </c>
      <c r="H1628" s="17"/>
      <c r="I1628" s="15"/>
      <c r="J1628" s="18"/>
      <c r="K1628" t="s">
        <v>32</v>
      </c>
      <c r="N1628" s="3">
        <f t="shared" ref="N1628:N1659" si="180">L1628*0.3</f>
        <v>0</v>
      </c>
      <c r="O1628" s="3">
        <f t="shared" ref="O1628:O1659" si="181">(IF(L1628&lt;4172.98,0,MIN(L1628*0.3,L1628-4172.98)))-M1628</f>
        <v>0</v>
      </c>
      <c r="S1628" s="3" t="s">
        <v>204</v>
      </c>
      <c r="V1628" s="51">
        <v>0.38541666666666669</v>
      </c>
    </row>
    <row r="1629" spans="1:25" hidden="1">
      <c r="A1629" s="12">
        <v>24268648</v>
      </c>
      <c r="B1629" s="13">
        <v>46270</v>
      </c>
      <c r="C1629" s="14">
        <v>0.62737268518518519</v>
      </c>
      <c r="D1629" s="15"/>
      <c r="E1629" s="16">
        <v>5218134843588</v>
      </c>
      <c r="F1629" s="15">
        <v>1</v>
      </c>
      <c r="G1629" s="15" t="s">
        <v>1567</v>
      </c>
      <c r="H1629" s="17"/>
      <c r="I1629" s="15"/>
      <c r="J1629" s="18"/>
      <c r="K1629" t="s">
        <v>30</v>
      </c>
      <c r="L1629" s="111">
        <v>24071.23</v>
      </c>
      <c r="M1629" s="111">
        <v>6993.31</v>
      </c>
      <c r="N1629" s="3">
        <f t="shared" si="180"/>
        <v>7221.3689999999997</v>
      </c>
      <c r="O1629" s="3">
        <f t="shared" si="181"/>
        <v>228.05899999999929</v>
      </c>
      <c r="P1629" s="6">
        <v>46631</v>
      </c>
      <c r="Q1629" t="s">
        <v>59</v>
      </c>
      <c r="R1629" s="111">
        <v>6993.31</v>
      </c>
      <c r="S1629" s="3" t="s">
        <v>204</v>
      </c>
      <c r="V1629" s="51">
        <v>0.38541666666666669</v>
      </c>
    </row>
    <row r="1630" spans="1:25">
      <c r="A1630" s="12">
        <v>24268952</v>
      </c>
      <c r="B1630" s="13">
        <v>46270</v>
      </c>
      <c r="C1630" s="14">
        <v>0.64218750000000002</v>
      </c>
      <c r="D1630" s="15"/>
      <c r="E1630" s="16">
        <v>5216863247203</v>
      </c>
      <c r="F1630" s="15">
        <v>1</v>
      </c>
      <c r="G1630" s="15" t="s">
        <v>1568</v>
      </c>
      <c r="H1630" s="17"/>
      <c r="I1630" s="15"/>
      <c r="J1630" s="18"/>
      <c r="K1630" t="s">
        <v>54</v>
      </c>
      <c r="L1630" s="3">
        <v>7597.46</v>
      </c>
      <c r="N1630" s="3">
        <f t="shared" si="180"/>
        <v>2279.2379999999998</v>
      </c>
      <c r="O1630" s="3">
        <f t="shared" si="181"/>
        <v>2279.2379999999998</v>
      </c>
      <c r="S1630" s="3" t="s">
        <v>1080</v>
      </c>
      <c r="T1630" s="48">
        <v>46272</v>
      </c>
      <c r="V1630" s="51">
        <v>0.38541666666666669</v>
      </c>
      <c r="W1630" s="51">
        <v>0.42708333333333331</v>
      </c>
      <c r="X1630" s="51">
        <v>0.46041666666666664</v>
      </c>
      <c r="Y1630" s="51">
        <v>0.46180555555555558</v>
      </c>
    </row>
    <row r="1631" spans="1:25">
      <c r="A1631" s="12">
        <v>24269062</v>
      </c>
      <c r="B1631" s="13">
        <v>46270</v>
      </c>
      <c r="C1631" s="14">
        <v>0.64599537037037036</v>
      </c>
      <c r="D1631" s="15"/>
      <c r="E1631" s="16">
        <v>5215538661036</v>
      </c>
      <c r="F1631" s="15">
        <v>1</v>
      </c>
      <c r="G1631" s="15" t="s">
        <v>1569</v>
      </c>
      <c r="H1631" s="17"/>
      <c r="I1631" s="15"/>
      <c r="J1631" s="18"/>
      <c r="K1631" t="s">
        <v>54</v>
      </c>
      <c r="L1631" s="3">
        <f>23742.23+367.77+735.55</f>
        <v>24845.55</v>
      </c>
      <c r="M1631" s="3">
        <f>367.77+735.55</f>
        <v>1103.32</v>
      </c>
      <c r="N1631" s="3">
        <f t="shared" si="180"/>
        <v>7453.6649999999991</v>
      </c>
      <c r="O1631" s="3">
        <f t="shared" si="181"/>
        <v>6350.3449999999993</v>
      </c>
      <c r="S1631" s="3" t="s">
        <v>35</v>
      </c>
      <c r="T1631" s="48">
        <v>46272</v>
      </c>
      <c r="V1631" s="51">
        <v>0.38541666666666669</v>
      </c>
      <c r="W1631" s="51">
        <v>0.48749999999999999</v>
      </c>
      <c r="X1631" s="51">
        <v>0.49027777777777776</v>
      </c>
      <c r="Y1631" s="51">
        <v>0.49722222222222223</v>
      </c>
    </row>
    <row r="1632" spans="1:25" hidden="1">
      <c r="A1632" s="12">
        <v>24269100</v>
      </c>
      <c r="B1632" s="13">
        <v>46270</v>
      </c>
      <c r="C1632" s="14">
        <v>0.64856481481481476</v>
      </c>
      <c r="D1632" s="15"/>
      <c r="E1632" s="16">
        <v>5214447168212</v>
      </c>
      <c r="F1632" s="15">
        <v>1</v>
      </c>
      <c r="G1632" s="15"/>
      <c r="H1632" s="17" t="s">
        <v>1570</v>
      </c>
      <c r="I1632" s="15"/>
      <c r="J1632" s="18"/>
      <c r="K1632" t="s">
        <v>30</v>
      </c>
      <c r="L1632" s="3">
        <f>6833.32+2048+879</f>
        <v>9760.32</v>
      </c>
      <c r="M1632" s="3">
        <f>849+2048</f>
        <v>2897</v>
      </c>
      <c r="N1632" s="3">
        <f t="shared" si="180"/>
        <v>2928.096</v>
      </c>
      <c r="O1632" s="3">
        <f t="shared" si="181"/>
        <v>31.096000000000004</v>
      </c>
      <c r="P1632" s="6">
        <v>46874</v>
      </c>
      <c r="Q1632" t="s">
        <v>80</v>
      </c>
      <c r="R1632" s="3">
        <v>2048</v>
      </c>
      <c r="S1632" s="3" t="s">
        <v>204</v>
      </c>
      <c r="V1632" s="51">
        <v>0.38541666666666669</v>
      </c>
    </row>
    <row r="1633" spans="1:25">
      <c r="A1633" s="12">
        <v>24269122</v>
      </c>
      <c r="B1633" s="13">
        <v>46270</v>
      </c>
      <c r="C1633" s="14">
        <v>0.65266203703703707</v>
      </c>
      <c r="D1633" s="15"/>
      <c r="E1633" s="16">
        <v>5216441972229</v>
      </c>
      <c r="F1633" s="15">
        <v>1</v>
      </c>
      <c r="G1633" s="15"/>
      <c r="H1633" s="17" t="s">
        <v>1571</v>
      </c>
      <c r="I1633" s="15"/>
      <c r="J1633" s="18"/>
      <c r="K1633" t="s">
        <v>38</v>
      </c>
      <c r="L1633" s="111">
        <v>23776.66</v>
      </c>
      <c r="M1633" s="111">
        <v>6029.44</v>
      </c>
      <c r="N1633" s="3">
        <f t="shared" si="180"/>
        <v>7132.9979999999996</v>
      </c>
      <c r="O1633" s="3">
        <f t="shared" si="181"/>
        <v>1103.558</v>
      </c>
      <c r="P1633" s="6">
        <v>46539</v>
      </c>
      <c r="Q1633" t="s">
        <v>77</v>
      </c>
      <c r="R1633" s="111">
        <v>6029.44</v>
      </c>
      <c r="S1633" s="3" t="s">
        <v>266</v>
      </c>
      <c r="T1633" s="48">
        <v>46272</v>
      </c>
      <c r="V1633" s="51">
        <v>0.38541666666666669</v>
      </c>
      <c r="W1633" s="51">
        <v>0.49236111111111114</v>
      </c>
      <c r="X1633" s="51">
        <v>0.5180555555555556</v>
      </c>
      <c r="Y1633" s="51">
        <v>0.51944444444444449</v>
      </c>
    </row>
    <row r="1634" spans="1:25">
      <c r="A1634" s="12">
        <v>24269246</v>
      </c>
      <c r="B1634" s="13">
        <v>46270</v>
      </c>
      <c r="C1634" s="14">
        <v>0.65968749999999998</v>
      </c>
      <c r="D1634" s="15"/>
      <c r="E1634" s="16">
        <v>5214611228376</v>
      </c>
      <c r="F1634" s="15">
        <v>1</v>
      </c>
      <c r="G1634" s="15"/>
      <c r="H1634" s="17" t="s">
        <v>1572</v>
      </c>
      <c r="I1634" s="15"/>
      <c r="J1634" s="18"/>
      <c r="K1634" t="s">
        <v>54</v>
      </c>
      <c r="L1634" s="3">
        <v>9760.32</v>
      </c>
      <c r="N1634" s="3">
        <f t="shared" si="180"/>
        <v>2928.096</v>
      </c>
      <c r="O1634" s="3">
        <f t="shared" si="181"/>
        <v>2928.096</v>
      </c>
      <c r="S1634" s="3" t="s">
        <v>1091</v>
      </c>
      <c r="T1634" s="48">
        <v>46272</v>
      </c>
      <c r="V1634" s="51">
        <v>0.38541666666666669</v>
      </c>
      <c r="W1634" s="51">
        <v>0.43194444444444446</v>
      </c>
      <c r="X1634" s="51">
        <v>0.49236111111111114</v>
      </c>
      <c r="Y1634" s="51">
        <v>0.49305555555555558</v>
      </c>
    </row>
    <row r="1635" spans="1:25" hidden="1">
      <c r="A1635" s="12">
        <v>24269594</v>
      </c>
      <c r="B1635" s="13">
        <v>46270</v>
      </c>
      <c r="C1635" s="14">
        <v>0.67710648148148145</v>
      </c>
      <c r="D1635" s="15"/>
      <c r="E1635" s="16">
        <v>5216563076839</v>
      </c>
      <c r="F1635" s="15">
        <v>1</v>
      </c>
      <c r="G1635" s="15"/>
      <c r="H1635" s="17" t="s">
        <v>1573</v>
      </c>
      <c r="I1635" s="15"/>
      <c r="J1635" s="18"/>
      <c r="K1635" t="s">
        <v>51</v>
      </c>
      <c r="N1635" s="3">
        <f t="shared" si="180"/>
        <v>0</v>
      </c>
      <c r="O1635" s="3">
        <f t="shared" si="181"/>
        <v>0</v>
      </c>
      <c r="S1635" s="3" t="s">
        <v>204</v>
      </c>
      <c r="V1635" s="51">
        <v>0.38541666666666669</v>
      </c>
    </row>
    <row r="1636" spans="1:25" hidden="1">
      <c r="A1636" s="12">
        <v>24269772</v>
      </c>
      <c r="B1636" s="13">
        <v>46270</v>
      </c>
      <c r="C1636" s="14">
        <v>0.68347222222222226</v>
      </c>
      <c r="D1636" s="15"/>
      <c r="E1636" s="16">
        <v>5218996240317</v>
      </c>
      <c r="F1636" s="15">
        <v>1</v>
      </c>
      <c r="G1636" s="15" t="s">
        <v>1574</v>
      </c>
      <c r="H1636" s="17" t="s">
        <v>1575</v>
      </c>
      <c r="I1636" s="15"/>
      <c r="J1636" s="18"/>
      <c r="K1636" t="s">
        <v>30</v>
      </c>
      <c r="L1636" s="111">
        <v>6411.47</v>
      </c>
      <c r="M1636" s="111">
        <v>1854.99</v>
      </c>
      <c r="N1636" s="3">
        <f t="shared" si="180"/>
        <v>1923.441</v>
      </c>
      <c r="O1636" s="3">
        <f t="shared" si="181"/>
        <v>68.451000000000022</v>
      </c>
      <c r="P1636" s="6">
        <v>46478</v>
      </c>
      <c r="Q1636" t="s">
        <v>75</v>
      </c>
      <c r="R1636" s="111">
        <v>1854.99</v>
      </c>
      <c r="S1636" s="3" t="s">
        <v>204</v>
      </c>
      <c r="V1636" s="51">
        <v>0.38541666666666669</v>
      </c>
    </row>
    <row r="1637" spans="1:25" hidden="1">
      <c r="A1637" s="12">
        <v>24269742</v>
      </c>
      <c r="B1637" s="13">
        <v>46270</v>
      </c>
      <c r="C1637" s="14">
        <v>0.6830208333333333</v>
      </c>
      <c r="D1637" s="15"/>
      <c r="E1637" s="16">
        <v>5218446752398</v>
      </c>
      <c r="F1637" s="15">
        <v>1</v>
      </c>
      <c r="G1637" s="15"/>
      <c r="H1637" s="17" t="s">
        <v>1576</v>
      </c>
      <c r="I1637" s="15"/>
      <c r="J1637" s="18"/>
      <c r="K1637" t="s">
        <v>30</v>
      </c>
      <c r="L1637" s="111">
        <v>9081.52</v>
      </c>
      <c r="M1637" s="111">
        <v>2627.5</v>
      </c>
      <c r="N1637" s="3">
        <f t="shared" si="180"/>
        <v>2724.4560000000001</v>
      </c>
      <c r="O1637" s="3">
        <f t="shared" si="181"/>
        <v>96.956000000000131</v>
      </c>
      <c r="P1637" s="6">
        <v>46419</v>
      </c>
      <c r="Q1637" t="s">
        <v>75</v>
      </c>
      <c r="R1637" s="111">
        <v>2627.5</v>
      </c>
      <c r="S1637" s="3" t="s">
        <v>204</v>
      </c>
      <c r="V1637" s="51">
        <v>0.38541666666666669</v>
      </c>
    </row>
    <row r="1638" spans="1:25" hidden="1">
      <c r="A1638" s="12">
        <v>24270142</v>
      </c>
      <c r="B1638" s="13">
        <v>46270</v>
      </c>
      <c r="C1638" s="14">
        <v>0.70663194444444444</v>
      </c>
      <c r="D1638" s="15"/>
      <c r="E1638" s="16">
        <v>5213351055245</v>
      </c>
      <c r="F1638" s="15">
        <v>1</v>
      </c>
      <c r="G1638" s="15"/>
      <c r="H1638" s="17" t="s">
        <v>1577</v>
      </c>
      <c r="I1638" s="15"/>
      <c r="J1638" s="18"/>
      <c r="K1638" t="s">
        <v>32</v>
      </c>
      <c r="N1638" s="3">
        <f t="shared" si="180"/>
        <v>0</v>
      </c>
      <c r="O1638" s="3">
        <f t="shared" si="181"/>
        <v>0</v>
      </c>
      <c r="S1638" s="3" t="s">
        <v>204</v>
      </c>
      <c r="V1638" s="51">
        <v>0.38541666666666669</v>
      </c>
    </row>
    <row r="1639" spans="1:25">
      <c r="A1639" s="12">
        <v>24271060</v>
      </c>
      <c r="B1639" s="13">
        <v>46270</v>
      </c>
      <c r="C1639" s="14">
        <v>0.75805555555555559</v>
      </c>
      <c r="D1639" s="15"/>
      <c r="E1639" s="16">
        <v>5215530243407</v>
      </c>
      <c r="F1639" s="15">
        <v>1</v>
      </c>
      <c r="G1639" s="15"/>
      <c r="H1639" s="17" t="s">
        <v>1578</v>
      </c>
      <c r="I1639" s="15"/>
      <c r="J1639" s="18"/>
      <c r="K1639" t="s">
        <v>34</v>
      </c>
      <c r="L1639" s="111">
        <v>42778.79</v>
      </c>
      <c r="M1639" s="111">
        <v>12342.89</v>
      </c>
      <c r="N1639" s="3">
        <f t="shared" si="180"/>
        <v>12833.637000000001</v>
      </c>
      <c r="O1639" s="3">
        <f t="shared" si="181"/>
        <v>490.74700000000121</v>
      </c>
      <c r="P1639" s="6">
        <v>46174</v>
      </c>
      <c r="Q1639" t="s">
        <v>73</v>
      </c>
      <c r="R1639" s="3">
        <v>4631.09</v>
      </c>
      <c r="S1639" s="3" t="s">
        <v>271</v>
      </c>
      <c r="T1639" s="48">
        <v>46272</v>
      </c>
      <c r="V1639" s="51">
        <v>0.38541666666666669</v>
      </c>
      <c r="W1639" s="51">
        <v>0.49791666666666667</v>
      </c>
      <c r="X1639" s="51">
        <v>0.51527777777777772</v>
      </c>
      <c r="Y1639" s="51">
        <v>0.55069444444444449</v>
      </c>
    </row>
    <row r="1640" spans="1:25" hidden="1">
      <c r="A1640" s="12">
        <v>24271188</v>
      </c>
      <c r="B1640" s="13">
        <v>46270</v>
      </c>
      <c r="C1640" s="14">
        <v>0.76888888888888884</v>
      </c>
      <c r="D1640" s="15" t="s">
        <v>1579</v>
      </c>
      <c r="E1640" s="16">
        <v>5218995019893</v>
      </c>
      <c r="F1640" s="15">
        <v>1</v>
      </c>
      <c r="G1640" s="15" t="s">
        <v>1580</v>
      </c>
      <c r="H1640" s="17" t="s">
        <v>1581</v>
      </c>
      <c r="I1640" s="15"/>
      <c r="J1640" s="18"/>
      <c r="K1640" t="s">
        <v>32</v>
      </c>
      <c r="N1640" s="3">
        <f t="shared" si="180"/>
        <v>0</v>
      </c>
      <c r="O1640" s="3">
        <f t="shared" si="181"/>
        <v>0</v>
      </c>
      <c r="S1640" s="3" t="s">
        <v>204</v>
      </c>
      <c r="V1640" s="51">
        <v>0.38541666666666669</v>
      </c>
    </row>
    <row r="1641" spans="1:25">
      <c r="A1641" s="12">
        <v>24272188</v>
      </c>
      <c r="B1641" s="13">
        <v>46270</v>
      </c>
      <c r="C1641" s="14">
        <v>0.80724537037037036</v>
      </c>
      <c r="D1641" s="15"/>
      <c r="E1641" s="16">
        <v>5214612731581</v>
      </c>
      <c r="F1641" s="15">
        <v>1</v>
      </c>
      <c r="G1641" s="15"/>
      <c r="H1641" s="17" t="s">
        <v>1582</v>
      </c>
      <c r="I1641" s="15"/>
      <c r="J1641" s="18"/>
      <c r="K1641" t="s">
        <v>54</v>
      </c>
      <c r="L1641" s="3">
        <v>16278.07</v>
      </c>
      <c r="N1641" s="3">
        <f t="shared" si="180"/>
        <v>4883.4209999999994</v>
      </c>
      <c r="O1641" s="3">
        <f t="shared" si="181"/>
        <v>4883.4209999999994</v>
      </c>
      <c r="S1641" s="3" t="s">
        <v>879</v>
      </c>
      <c r="T1641" s="48">
        <v>46272</v>
      </c>
      <c r="V1641" s="51">
        <v>0.38541666666666669</v>
      </c>
      <c r="W1641" s="51">
        <v>0.42777777777777776</v>
      </c>
      <c r="X1641" s="51">
        <v>0.49861111111111112</v>
      </c>
      <c r="Y1641" s="51">
        <v>0.50486111111111109</v>
      </c>
    </row>
    <row r="1642" spans="1:25">
      <c r="A1642" s="12">
        <v>24272308</v>
      </c>
      <c r="B1642" s="13">
        <v>46270</v>
      </c>
      <c r="C1642" s="14">
        <v>0.82408564814814811</v>
      </c>
      <c r="D1642" s="15"/>
      <c r="E1642" s="16">
        <v>5218713966112</v>
      </c>
      <c r="F1642" s="15">
        <v>1</v>
      </c>
      <c r="G1642" s="15"/>
      <c r="H1642" s="17" t="s">
        <v>1583</v>
      </c>
      <c r="I1642" s="15"/>
      <c r="J1642" s="18"/>
      <c r="K1642" t="s">
        <v>54</v>
      </c>
      <c r="L1642" s="3">
        <v>8173.35</v>
      </c>
      <c r="N1642" s="3">
        <f t="shared" si="180"/>
        <v>2452.0050000000001</v>
      </c>
      <c r="O1642" s="3">
        <f t="shared" si="181"/>
        <v>2452.0050000000001</v>
      </c>
      <c r="S1642" s="3" t="s">
        <v>348</v>
      </c>
      <c r="T1642" s="48">
        <v>46272</v>
      </c>
      <c r="V1642" s="51">
        <v>0.38541666666666669</v>
      </c>
      <c r="W1642" s="51">
        <v>0.49930555555555556</v>
      </c>
      <c r="X1642" s="51">
        <v>0.52986111111111112</v>
      </c>
      <c r="Y1642" s="51">
        <v>0.53125</v>
      </c>
    </row>
    <row r="1643" spans="1:25" hidden="1">
      <c r="A1643" s="12">
        <v>24272706</v>
      </c>
      <c r="B1643" s="13">
        <v>46270</v>
      </c>
      <c r="C1643" s="14">
        <v>0.8462615740740741</v>
      </c>
      <c r="D1643" s="15"/>
      <c r="E1643" s="16">
        <v>5212871214711</v>
      </c>
      <c r="F1643" s="15">
        <v>1</v>
      </c>
      <c r="G1643" s="15" t="s">
        <v>1584</v>
      </c>
      <c r="H1643" s="17"/>
      <c r="I1643" s="15"/>
      <c r="J1643" s="18"/>
      <c r="K1643" t="s">
        <v>32</v>
      </c>
      <c r="N1643" s="3">
        <f t="shared" si="180"/>
        <v>0</v>
      </c>
      <c r="O1643" s="3">
        <f t="shared" si="181"/>
        <v>0</v>
      </c>
      <c r="S1643" s="3" t="s">
        <v>204</v>
      </c>
      <c r="V1643" s="51">
        <v>0.38541666666666669</v>
      </c>
    </row>
    <row r="1644" spans="1:25">
      <c r="A1644" s="12">
        <v>24272950</v>
      </c>
      <c r="B1644" s="13">
        <v>46270</v>
      </c>
      <c r="C1644" s="14">
        <v>0.86546296296296299</v>
      </c>
      <c r="D1644" s="15"/>
      <c r="E1644" s="16">
        <v>5214773705152</v>
      </c>
      <c r="F1644" s="15">
        <v>1</v>
      </c>
      <c r="G1644" s="15"/>
      <c r="H1644" s="17" t="s">
        <v>1585</v>
      </c>
      <c r="I1644" s="15"/>
      <c r="J1644" s="18"/>
      <c r="K1644" t="s">
        <v>54</v>
      </c>
      <c r="L1644" s="3">
        <v>5617.63</v>
      </c>
      <c r="N1644" s="3">
        <f t="shared" si="180"/>
        <v>1685.289</v>
      </c>
      <c r="O1644" s="3">
        <f t="shared" si="181"/>
        <v>1444.6500000000005</v>
      </c>
      <c r="S1644" s="3" t="s">
        <v>358</v>
      </c>
      <c r="T1644" s="48">
        <v>46272</v>
      </c>
      <c r="V1644" s="51">
        <v>0.38541666666666669</v>
      </c>
      <c r="W1644" s="51">
        <v>0.5</v>
      </c>
      <c r="X1644" s="51">
        <v>0.5131944444444444</v>
      </c>
      <c r="Y1644" s="51">
        <v>0.52013888888888893</v>
      </c>
    </row>
    <row r="1645" spans="1:25" hidden="1">
      <c r="A1645" s="12">
        <v>24272980</v>
      </c>
      <c r="B1645" s="13">
        <v>46270</v>
      </c>
      <c r="C1645" s="14">
        <v>0.86811342592592589</v>
      </c>
      <c r="D1645" s="15"/>
      <c r="E1645" s="16">
        <v>5217441055708</v>
      </c>
      <c r="F1645" s="15">
        <v>1</v>
      </c>
      <c r="G1645" s="15"/>
      <c r="H1645" s="17" t="s">
        <v>1586</v>
      </c>
      <c r="I1645" s="15"/>
      <c r="J1645" s="18"/>
      <c r="K1645" t="s">
        <v>30</v>
      </c>
      <c r="L1645" s="111">
        <v>17054.509999999998</v>
      </c>
      <c r="M1645" s="111">
        <v>5060.37</v>
      </c>
      <c r="N1645" s="3">
        <f t="shared" si="180"/>
        <v>5116.3529999999992</v>
      </c>
      <c r="O1645" s="3">
        <f t="shared" si="181"/>
        <v>55.982999999999265</v>
      </c>
      <c r="P1645" s="6">
        <v>46296</v>
      </c>
      <c r="Q1645" t="s">
        <v>73</v>
      </c>
      <c r="R1645" s="3">
        <v>2549.56</v>
      </c>
      <c r="S1645" s="3" t="s">
        <v>204</v>
      </c>
      <c r="V1645" s="51">
        <v>0.38541666666666669</v>
      </c>
    </row>
    <row r="1646" spans="1:25" hidden="1">
      <c r="A1646" s="12">
        <v>24273024</v>
      </c>
      <c r="B1646" s="13">
        <v>46270</v>
      </c>
      <c r="C1646" s="14">
        <v>0.86815972222222226</v>
      </c>
      <c r="D1646" s="15"/>
      <c r="E1646" s="16">
        <v>5215540811966</v>
      </c>
      <c r="F1646" s="15">
        <v>1</v>
      </c>
      <c r="G1646" s="15" t="s">
        <v>1587</v>
      </c>
      <c r="H1646" s="17"/>
      <c r="I1646" s="15"/>
      <c r="J1646" s="18"/>
      <c r="K1646" t="s">
        <v>32</v>
      </c>
      <c r="N1646" s="3">
        <f t="shared" si="180"/>
        <v>0</v>
      </c>
      <c r="O1646" s="3">
        <f t="shared" si="181"/>
        <v>0</v>
      </c>
      <c r="S1646" s="3" t="s">
        <v>204</v>
      </c>
      <c r="V1646" s="51">
        <v>0.38541666666666669</v>
      </c>
    </row>
    <row r="1647" spans="1:25" hidden="1">
      <c r="A1647" s="12">
        <v>24273068</v>
      </c>
      <c r="B1647" s="13">
        <v>46270</v>
      </c>
      <c r="C1647" s="14">
        <v>0.87270833333333331</v>
      </c>
      <c r="D1647" s="15"/>
      <c r="E1647" s="16">
        <v>573107696607</v>
      </c>
      <c r="F1647" s="15">
        <v>1</v>
      </c>
      <c r="G1647" s="15" t="s">
        <v>1588</v>
      </c>
      <c r="H1647" s="17"/>
      <c r="I1647" s="15"/>
      <c r="J1647" s="18"/>
      <c r="K1647" t="s">
        <v>32</v>
      </c>
      <c r="N1647" s="3">
        <f t="shared" si="180"/>
        <v>0</v>
      </c>
      <c r="O1647" s="3">
        <f t="shared" si="181"/>
        <v>0</v>
      </c>
      <c r="S1647" s="3" t="s">
        <v>204</v>
      </c>
      <c r="V1647" s="51">
        <v>0.38541666666666669</v>
      </c>
    </row>
    <row r="1648" spans="1:25" hidden="1">
      <c r="A1648" s="12">
        <v>24273518</v>
      </c>
      <c r="B1648" s="13">
        <v>46270</v>
      </c>
      <c r="C1648" s="14">
        <v>0.88224537037037032</v>
      </c>
      <c r="D1648" s="15"/>
      <c r="E1648" s="16">
        <v>5218701462164</v>
      </c>
      <c r="F1648" s="15">
        <v>1</v>
      </c>
      <c r="G1648" s="15"/>
      <c r="H1648" s="17" t="s">
        <v>1589</v>
      </c>
      <c r="I1648" s="15"/>
      <c r="J1648" s="18"/>
      <c r="K1648" t="s">
        <v>30</v>
      </c>
      <c r="L1648" s="3">
        <f>7161.96+2915.5</f>
        <v>10077.459999999999</v>
      </c>
      <c r="M1648" s="3">
        <v>2915.5</v>
      </c>
      <c r="N1648" s="3">
        <f t="shared" si="180"/>
        <v>3023.2379999999998</v>
      </c>
      <c r="O1648" s="3">
        <f t="shared" si="181"/>
        <v>107.73799999999983</v>
      </c>
      <c r="P1648" s="6">
        <v>46569</v>
      </c>
      <c r="Q1648" t="s">
        <v>75</v>
      </c>
      <c r="R1648" s="3">
        <v>2915.5</v>
      </c>
      <c r="S1648" s="3" t="s">
        <v>204</v>
      </c>
      <c r="V1648" s="51">
        <v>0.38541666666666669</v>
      </c>
    </row>
    <row r="1649" spans="1:25">
      <c r="A1649" s="12">
        <v>24274016</v>
      </c>
      <c r="B1649" s="13">
        <v>46270</v>
      </c>
      <c r="C1649" s="14">
        <v>0.90167824074074077</v>
      </c>
      <c r="D1649" s="15"/>
      <c r="E1649" s="16">
        <v>5215615332820</v>
      </c>
      <c r="F1649" s="15">
        <v>1</v>
      </c>
      <c r="G1649" s="15" t="s">
        <v>1590</v>
      </c>
      <c r="H1649" s="17"/>
      <c r="I1649" s="15"/>
      <c r="J1649" s="18"/>
      <c r="K1649" t="s">
        <v>54</v>
      </c>
      <c r="L1649" s="3">
        <f>8233.52+848</f>
        <v>9081.52</v>
      </c>
      <c r="M1649" s="3">
        <v>848</v>
      </c>
      <c r="N1649" s="3">
        <f t="shared" si="180"/>
        <v>2724.4560000000001</v>
      </c>
      <c r="O1649" s="3">
        <f t="shared" si="181"/>
        <v>1876.4560000000001</v>
      </c>
      <c r="S1649" s="3" t="s">
        <v>358</v>
      </c>
      <c r="T1649" s="48">
        <v>46272</v>
      </c>
      <c r="V1649" s="51">
        <v>0.38541666666666669</v>
      </c>
      <c r="W1649" s="51">
        <v>0.45</v>
      </c>
      <c r="X1649" s="51">
        <v>0.46666666666666667</v>
      </c>
      <c r="Y1649" s="51">
        <v>0.46805555555555556</v>
      </c>
    </row>
    <row r="1650" spans="1:25" hidden="1">
      <c r="A1650" s="12">
        <v>24274110</v>
      </c>
      <c r="B1650" s="13">
        <v>46270</v>
      </c>
      <c r="C1650" s="14">
        <v>0.90608796296296301</v>
      </c>
      <c r="D1650" s="15"/>
      <c r="E1650" s="16">
        <v>5216623492032</v>
      </c>
      <c r="F1650" s="15">
        <v>1</v>
      </c>
      <c r="G1650" s="15"/>
      <c r="H1650" s="17" t="s">
        <v>1591</v>
      </c>
      <c r="I1650" s="15"/>
      <c r="J1650" s="18"/>
      <c r="K1650" t="s">
        <v>30</v>
      </c>
      <c r="L1650" s="3">
        <f>6457.03+1776.49+848</f>
        <v>9081.52</v>
      </c>
      <c r="M1650" s="3">
        <f>848+1776.49</f>
        <v>2624.49</v>
      </c>
      <c r="N1650" s="3">
        <f t="shared" si="180"/>
        <v>2724.4560000000001</v>
      </c>
      <c r="O1650" s="3">
        <f t="shared" si="181"/>
        <v>99.966000000000349</v>
      </c>
      <c r="P1650" s="6">
        <v>46722</v>
      </c>
      <c r="Q1650" t="s">
        <v>44</v>
      </c>
      <c r="R1650" s="3">
        <v>1776.49</v>
      </c>
      <c r="S1650" s="3" t="s">
        <v>204</v>
      </c>
      <c r="V1650" s="51">
        <v>0.38541666666666669</v>
      </c>
    </row>
    <row r="1651" spans="1:25" hidden="1">
      <c r="A1651" s="12">
        <v>24274164</v>
      </c>
      <c r="B1651" s="13">
        <v>46270</v>
      </c>
      <c r="C1651" s="14">
        <v>0.91270833333333334</v>
      </c>
      <c r="D1651" s="15"/>
      <c r="E1651" s="16">
        <v>5214461103635</v>
      </c>
      <c r="F1651" s="15">
        <v>1</v>
      </c>
      <c r="G1651" s="15" t="s">
        <v>1592</v>
      </c>
      <c r="H1651" s="17"/>
      <c r="I1651" s="15"/>
      <c r="J1651" s="18"/>
      <c r="K1651" t="s">
        <v>30</v>
      </c>
      <c r="L1651" s="3">
        <f>9261.61+3770.5</f>
        <v>13032.11</v>
      </c>
      <c r="M1651" s="3">
        <f>3770.5</f>
        <v>3770.5</v>
      </c>
      <c r="N1651" s="3">
        <f t="shared" si="180"/>
        <v>3909.6329999999998</v>
      </c>
      <c r="O1651" s="3">
        <f t="shared" si="181"/>
        <v>139.13299999999981</v>
      </c>
      <c r="P1651" s="6">
        <v>46539</v>
      </c>
      <c r="Q1651" t="s">
        <v>77</v>
      </c>
      <c r="R1651" s="3">
        <v>3770.5</v>
      </c>
      <c r="S1651" s="3" t="s">
        <v>204</v>
      </c>
      <c r="V1651" s="51">
        <v>0.38541666666666669</v>
      </c>
    </row>
    <row r="1652" spans="1:25" hidden="1">
      <c r="A1652" s="12">
        <v>24274502</v>
      </c>
      <c r="B1652" s="13">
        <v>46270</v>
      </c>
      <c r="C1652" s="14">
        <v>0.96333333333333337</v>
      </c>
      <c r="D1652" s="15"/>
      <c r="E1652" s="16">
        <v>5219988595186</v>
      </c>
      <c r="F1652" s="15">
        <v>1</v>
      </c>
      <c r="G1652" s="15" t="s">
        <v>1593</v>
      </c>
      <c r="H1652" s="17"/>
      <c r="I1652" s="15"/>
      <c r="J1652" s="18"/>
      <c r="K1652" t="s">
        <v>30</v>
      </c>
      <c r="L1652" s="3">
        <f>5544.88+2375.63</f>
        <v>7920.51</v>
      </c>
      <c r="M1652" s="3">
        <v>2375.63</v>
      </c>
      <c r="N1652" s="3">
        <f t="shared" si="180"/>
        <v>2376.1529999999998</v>
      </c>
      <c r="O1652" s="3">
        <f t="shared" si="181"/>
        <v>0.5229999999996835</v>
      </c>
      <c r="P1652" s="6">
        <v>46784</v>
      </c>
      <c r="Q1652" t="s">
        <v>57</v>
      </c>
      <c r="R1652" s="3">
        <v>2375.63</v>
      </c>
      <c r="S1652" s="3" t="s">
        <v>204</v>
      </c>
      <c r="V1652" s="51">
        <v>0.38541666666666669</v>
      </c>
    </row>
    <row r="1653" spans="1:25" hidden="1">
      <c r="A1653" s="12">
        <v>24274774</v>
      </c>
      <c r="B1653" s="13">
        <v>46271</v>
      </c>
      <c r="C1653" s="14">
        <v>6.3888888888888893E-3</v>
      </c>
      <c r="D1653" s="15"/>
      <c r="E1653" s="16">
        <v>5213334723741</v>
      </c>
      <c r="F1653" s="15">
        <v>1</v>
      </c>
      <c r="G1653" s="15" t="s">
        <v>1594</v>
      </c>
      <c r="H1653" s="17" t="s">
        <v>1595</v>
      </c>
      <c r="I1653" s="15"/>
      <c r="J1653" s="18"/>
      <c r="K1653" t="s">
        <v>30</v>
      </c>
      <c r="L1653" s="3">
        <f>5631.26+2289.25</f>
        <v>7920.51</v>
      </c>
      <c r="M1653" s="3">
        <v>2289.25</v>
      </c>
      <c r="N1653" s="3">
        <f t="shared" si="180"/>
        <v>2376.1529999999998</v>
      </c>
      <c r="O1653" s="3">
        <f t="shared" si="181"/>
        <v>86.902999999999793</v>
      </c>
      <c r="P1653" s="6">
        <v>46722</v>
      </c>
      <c r="Q1653" t="s">
        <v>75</v>
      </c>
      <c r="R1653" s="3">
        <v>2289.25</v>
      </c>
      <c r="S1653" s="3" t="s">
        <v>204</v>
      </c>
      <c r="V1653" s="51">
        <v>0.38541666666666669</v>
      </c>
    </row>
    <row r="1654" spans="1:25" hidden="1">
      <c r="A1654" s="12">
        <v>24275450</v>
      </c>
      <c r="B1654" s="13">
        <v>46271</v>
      </c>
      <c r="C1654" s="14">
        <v>7.5810185185185189E-2</v>
      </c>
      <c r="D1654" s="15"/>
      <c r="E1654" s="16">
        <v>5214463027620</v>
      </c>
      <c r="F1654" s="15"/>
      <c r="G1654" s="15" t="s">
        <v>1596</v>
      </c>
      <c r="H1654" s="17"/>
      <c r="I1654" s="15"/>
      <c r="J1654" s="18"/>
      <c r="K1654" t="s">
        <v>32</v>
      </c>
      <c r="N1654" s="3">
        <f t="shared" si="180"/>
        <v>0</v>
      </c>
      <c r="O1654" s="3">
        <f t="shared" si="181"/>
        <v>0</v>
      </c>
      <c r="S1654" s="3" t="s">
        <v>204</v>
      </c>
      <c r="V1654" s="51">
        <v>0.38541666666666669</v>
      </c>
    </row>
    <row r="1655" spans="1:25" hidden="1">
      <c r="A1655" s="12">
        <v>24275516</v>
      </c>
      <c r="B1655" s="13">
        <v>46271</v>
      </c>
      <c r="C1655" s="14">
        <v>9.6527777777777782E-2</v>
      </c>
      <c r="D1655" s="15"/>
      <c r="E1655" s="16">
        <v>8128869653</v>
      </c>
      <c r="F1655" s="15"/>
      <c r="G1655" s="15" t="s">
        <v>1597</v>
      </c>
      <c r="H1655" s="17" t="s">
        <v>1598</v>
      </c>
      <c r="I1655" s="15"/>
      <c r="J1655" s="18"/>
      <c r="K1655" t="s">
        <v>30</v>
      </c>
      <c r="L1655" s="3">
        <f>6844.15+2916.17</f>
        <v>9760.32</v>
      </c>
      <c r="M1655" s="3">
        <v>2916.17</v>
      </c>
      <c r="N1655" s="3">
        <f t="shared" si="180"/>
        <v>2928.096</v>
      </c>
      <c r="O1655" s="3">
        <f t="shared" si="181"/>
        <v>11.925999999999931</v>
      </c>
      <c r="P1655" s="6">
        <v>46905</v>
      </c>
      <c r="Q1655" t="s">
        <v>73</v>
      </c>
      <c r="R1655" s="3">
        <v>2916.17</v>
      </c>
      <c r="S1655" s="3" t="s">
        <v>204</v>
      </c>
      <c r="V1655" s="51">
        <v>0.38541666666666669</v>
      </c>
    </row>
    <row r="1656" spans="1:25" hidden="1">
      <c r="A1656" s="12">
        <v>24275750</v>
      </c>
      <c r="B1656" s="13">
        <v>46271</v>
      </c>
      <c r="C1656" s="14">
        <v>0.17856481481481482</v>
      </c>
      <c r="D1656" s="15"/>
      <c r="E1656" s="16">
        <v>5218146472875</v>
      </c>
      <c r="F1656" s="15"/>
      <c r="G1656" s="15" t="s">
        <v>1599</v>
      </c>
      <c r="H1656" s="17"/>
      <c r="I1656" s="15"/>
      <c r="J1656" s="18"/>
      <c r="K1656" t="s">
        <v>32</v>
      </c>
      <c r="N1656" s="3">
        <f t="shared" si="180"/>
        <v>0</v>
      </c>
      <c r="O1656" s="3">
        <f t="shared" si="181"/>
        <v>0</v>
      </c>
      <c r="S1656" s="3" t="s">
        <v>204</v>
      </c>
      <c r="V1656" s="51">
        <v>0.38541666666666669</v>
      </c>
    </row>
    <row r="1657" spans="1:25">
      <c r="A1657" s="12">
        <v>24275844</v>
      </c>
      <c r="B1657" s="13">
        <v>46271</v>
      </c>
      <c r="C1657" s="14">
        <v>0.19011574074074075</v>
      </c>
      <c r="D1657" s="15"/>
      <c r="E1657" s="16">
        <v>5218711232810</v>
      </c>
      <c r="F1657" s="15"/>
      <c r="G1657" s="15"/>
      <c r="H1657" s="17" t="s">
        <v>1600</v>
      </c>
      <c r="I1657" s="15"/>
      <c r="J1657" s="18"/>
      <c r="K1657" t="s">
        <v>54</v>
      </c>
      <c r="L1657" s="3">
        <f>21184.54-10548</f>
        <v>10636.54</v>
      </c>
      <c r="M1657" s="3">
        <v>879</v>
      </c>
      <c r="N1657" s="3">
        <f t="shared" si="180"/>
        <v>3190.962</v>
      </c>
      <c r="O1657" s="3">
        <f t="shared" si="181"/>
        <v>2311.962</v>
      </c>
      <c r="S1657" s="3" t="s">
        <v>1080</v>
      </c>
      <c r="T1657" s="48">
        <v>46272</v>
      </c>
      <c r="V1657" s="51">
        <v>0.38541666666666669</v>
      </c>
      <c r="W1657" s="51">
        <v>0.43611111111111112</v>
      </c>
      <c r="X1657" s="51">
        <v>0.46111111111111114</v>
      </c>
      <c r="Y1657" s="51">
        <v>0.46180555555555558</v>
      </c>
    </row>
    <row r="1658" spans="1:25">
      <c r="A1658" s="12">
        <v>24277158</v>
      </c>
      <c r="B1658" s="13">
        <v>46271</v>
      </c>
      <c r="C1658" s="14">
        <v>0.30321759259259257</v>
      </c>
      <c r="D1658" s="15" t="s">
        <v>1601</v>
      </c>
      <c r="E1658" s="16">
        <v>518111318212</v>
      </c>
      <c r="F1658" s="15"/>
      <c r="G1658" s="15"/>
      <c r="H1658" s="17" t="s">
        <v>1602</v>
      </c>
      <c r="I1658" s="15"/>
      <c r="J1658" s="18"/>
      <c r="K1658" t="s">
        <v>107</v>
      </c>
      <c r="L1658" s="3">
        <f>6350.53+553.74+183.91+112+1652.99+192.16</f>
        <v>9045.33</v>
      </c>
      <c r="M1658" s="3">
        <f>553.74+183.91+112+1652.99+192.16</f>
        <v>2694.7999999999997</v>
      </c>
      <c r="N1658" s="3">
        <f t="shared" si="180"/>
        <v>2713.5989999999997</v>
      </c>
      <c r="O1658" s="3">
        <f t="shared" si="181"/>
        <v>18.798999999999978</v>
      </c>
      <c r="P1658" s="6">
        <v>45658</v>
      </c>
      <c r="Q1658" t="s">
        <v>184</v>
      </c>
      <c r="R1658" s="3">
        <v>553.74</v>
      </c>
      <c r="S1658" s="3" t="s">
        <v>39</v>
      </c>
      <c r="T1658" s="48">
        <v>46272</v>
      </c>
      <c r="V1658" s="51">
        <v>0.38541666666666669</v>
      </c>
      <c r="W1658" s="51">
        <v>0.46041666666666664</v>
      </c>
      <c r="X1658" s="51">
        <v>0.55694444444444446</v>
      </c>
      <c r="Y1658" s="51">
        <v>0.55763888888888891</v>
      </c>
    </row>
    <row r="1659" spans="1:25">
      <c r="A1659" s="12">
        <v>24277636</v>
      </c>
      <c r="B1659" s="13">
        <v>46271</v>
      </c>
      <c r="C1659" s="14">
        <v>0.34025462962962966</v>
      </c>
      <c r="D1659" s="15"/>
      <c r="E1659" s="16">
        <v>5218115990290</v>
      </c>
      <c r="F1659" s="15"/>
      <c r="G1659" s="15"/>
      <c r="H1659" s="17" t="s">
        <v>1603</v>
      </c>
      <c r="I1659" s="15"/>
      <c r="J1659" s="18"/>
      <c r="K1659" t="s">
        <v>54</v>
      </c>
      <c r="L1659" s="3">
        <v>22230.63</v>
      </c>
      <c r="N1659" s="3">
        <f t="shared" si="180"/>
        <v>6669.1890000000003</v>
      </c>
      <c r="O1659" s="3">
        <f t="shared" si="181"/>
        <v>6669.1890000000003</v>
      </c>
      <c r="S1659" s="3" t="s">
        <v>55</v>
      </c>
      <c r="T1659" s="48">
        <v>46272</v>
      </c>
      <c r="V1659" s="51">
        <v>0.38541666666666669</v>
      </c>
      <c r="W1659" s="51">
        <v>0.46111111111111114</v>
      </c>
      <c r="X1659" s="51">
        <v>0.48055555555555557</v>
      </c>
      <c r="Y1659" s="51">
        <v>0.50763888888888886</v>
      </c>
    </row>
    <row r="1660" spans="1:25">
      <c r="A1660" s="12">
        <v>24278232</v>
      </c>
      <c r="B1660" s="13">
        <v>46271</v>
      </c>
      <c r="C1660" s="14">
        <v>0.36422453703703705</v>
      </c>
      <c r="D1660" s="15"/>
      <c r="E1660" s="16">
        <v>5218118543534</v>
      </c>
      <c r="F1660" s="15"/>
      <c r="G1660" s="15"/>
      <c r="H1660" s="17" t="s">
        <v>1604</v>
      </c>
      <c r="I1660" s="15"/>
      <c r="J1660" s="18"/>
      <c r="K1660" t="s">
        <v>27</v>
      </c>
      <c r="L1660" s="111">
        <v>9081.52</v>
      </c>
      <c r="M1660" s="111">
        <v>2626.77</v>
      </c>
      <c r="N1660" s="3">
        <f t="shared" ref="N1660:N1691" si="182">L1660*0.3</f>
        <v>2724.4560000000001</v>
      </c>
      <c r="O1660" s="3">
        <f t="shared" ref="O1660:O1691" si="183">(IF(L1660&lt;4172.98,0,MIN(L1660*0.3,L1660-4172.98)))-M1660</f>
        <v>97.686000000000149</v>
      </c>
      <c r="P1660" s="6">
        <v>46174</v>
      </c>
      <c r="Q1660" t="s">
        <v>75</v>
      </c>
      <c r="R1660" s="3">
        <v>1993.77</v>
      </c>
      <c r="S1660" s="3" t="s">
        <v>98</v>
      </c>
      <c r="T1660" s="48">
        <v>46272</v>
      </c>
      <c r="V1660" s="51">
        <v>0.38541666666666669</v>
      </c>
      <c r="W1660" s="51">
        <v>0.48125000000000001</v>
      </c>
      <c r="X1660" s="51">
        <v>0.53402777777777777</v>
      </c>
      <c r="Y1660" s="51">
        <v>0.53749999999999998</v>
      </c>
    </row>
    <row r="1661" spans="1:25">
      <c r="A1661" s="12">
        <v>24278724</v>
      </c>
      <c r="B1661" s="13">
        <v>46271</v>
      </c>
      <c r="C1661" s="14">
        <v>0.39653935185185185</v>
      </c>
      <c r="D1661" s="15"/>
      <c r="E1661" s="16">
        <v>5218261612088</v>
      </c>
      <c r="F1661" s="15"/>
      <c r="G1661" s="15"/>
      <c r="H1661" s="17" t="s">
        <v>1605</v>
      </c>
      <c r="I1661" s="15"/>
      <c r="J1661" s="18"/>
      <c r="K1661" t="s">
        <v>38</v>
      </c>
      <c r="L1661" s="3">
        <v>4890.79</v>
      </c>
      <c r="N1661" s="3">
        <f t="shared" si="182"/>
        <v>1467.2369999999999</v>
      </c>
      <c r="O1661" s="3">
        <f t="shared" si="183"/>
        <v>717.8100000000004</v>
      </c>
      <c r="S1661" s="3" t="s">
        <v>39</v>
      </c>
      <c r="T1661" s="48">
        <v>46272</v>
      </c>
      <c r="V1661" s="51">
        <v>0.38541666666666669</v>
      </c>
      <c r="W1661" s="51">
        <v>0.4375</v>
      </c>
      <c r="X1661" s="51">
        <v>0.58750000000000002</v>
      </c>
      <c r="Y1661" s="51">
        <v>0.58888888888888891</v>
      </c>
    </row>
    <row r="1662" spans="1:25" hidden="1">
      <c r="A1662" s="12">
        <v>24278902</v>
      </c>
      <c r="B1662" s="13">
        <v>46271</v>
      </c>
      <c r="C1662" s="14">
        <v>0.40395833333333331</v>
      </c>
      <c r="D1662" s="15"/>
      <c r="E1662" s="16">
        <v>5218999489006</v>
      </c>
      <c r="F1662" s="15"/>
      <c r="G1662" s="15" t="s">
        <v>1606</v>
      </c>
      <c r="H1662" s="17"/>
      <c r="I1662" s="15"/>
      <c r="J1662" s="18"/>
      <c r="K1662" t="s">
        <v>32</v>
      </c>
      <c r="N1662" s="3">
        <f t="shared" si="182"/>
        <v>0</v>
      </c>
      <c r="O1662" s="3">
        <f t="shared" si="183"/>
        <v>0</v>
      </c>
      <c r="S1662" s="3" t="s">
        <v>204</v>
      </c>
      <c r="V1662" s="51">
        <v>0.38541666666666669</v>
      </c>
    </row>
    <row r="1663" spans="1:25" hidden="1">
      <c r="A1663" s="12">
        <v>24279466</v>
      </c>
      <c r="B1663" s="13">
        <v>46271</v>
      </c>
      <c r="C1663" s="14">
        <v>0.43210648148148151</v>
      </c>
      <c r="D1663" s="15"/>
      <c r="E1663" s="16">
        <v>5213332224590</v>
      </c>
      <c r="F1663" s="15"/>
      <c r="G1663" s="15"/>
      <c r="H1663" s="17" t="s">
        <v>1607</v>
      </c>
      <c r="I1663" s="15"/>
      <c r="J1663" s="18"/>
      <c r="K1663" t="s">
        <v>51</v>
      </c>
      <c r="N1663" s="3">
        <f t="shared" si="182"/>
        <v>0</v>
      </c>
      <c r="O1663" s="3">
        <f t="shared" si="183"/>
        <v>0</v>
      </c>
      <c r="S1663" s="3" t="s">
        <v>204</v>
      </c>
      <c r="V1663" s="51">
        <v>0.38541666666666669</v>
      </c>
    </row>
    <row r="1664" spans="1:25" hidden="1">
      <c r="A1664" s="12">
        <v>24279356</v>
      </c>
      <c r="B1664" s="13">
        <v>46271</v>
      </c>
      <c r="C1664" s="14">
        <v>0.43767361111111114</v>
      </c>
      <c r="D1664" s="15" t="s">
        <v>1608</v>
      </c>
      <c r="E1664" s="16">
        <v>5214498215924</v>
      </c>
      <c r="F1664" s="15"/>
      <c r="G1664" s="15" t="s">
        <v>1609</v>
      </c>
      <c r="H1664" s="17"/>
      <c r="I1664" s="15"/>
      <c r="J1664" s="18"/>
      <c r="K1664" t="s">
        <v>32</v>
      </c>
      <c r="N1664" s="3">
        <f t="shared" si="182"/>
        <v>0</v>
      </c>
      <c r="O1664" s="3">
        <f t="shared" si="183"/>
        <v>0</v>
      </c>
      <c r="S1664" s="3" t="s">
        <v>204</v>
      </c>
      <c r="V1664" s="51">
        <v>0.38541666666666669</v>
      </c>
    </row>
    <row r="1665" spans="1:25">
      <c r="A1665" s="12">
        <v>24280638</v>
      </c>
      <c r="B1665" s="13">
        <v>46271</v>
      </c>
      <c r="C1665" s="14">
        <v>0.48458333333333331</v>
      </c>
      <c r="D1665" s="15"/>
      <c r="E1665" s="16">
        <v>5218111269252</v>
      </c>
      <c r="F1665" s="15"/>
      <c r="G1665" s="15"/>
      <c r="H1665" s="17" t="s">
        <v>1610</v>
      </c>
      <c r="I1665" s="15"/>
      <c r="J1665" s="18"/>
      <c r="K1665" t="s">
        <v>54</v>
      </c>
      <c r="L1665" s="3">
        <v>7920.63</v>
      </c>
      <c r="N1665" s="3">
        <f t="shared" si="182"/>
        <v>2376.1889999999999</v>
      </c>
      <c r="O1665" s="3">
        <f t="shared" si="183"/>
        <v>2376.1889999999999</v>
      </c>
      <c r="S1665" s="3" t="s">
        <v>1080</v>
      </c>
      <c r="T1665" s="48">
        <v>46272</v>
      </c>
      <c r="V1665" s="51">
        <v>0.38541666666666669</v>
      </c>
      <c r="W1665" s="51">
        <v>0.42499999999999999</v>
      </c>
      <c r="X1665" s="51">
        <v>0.46250000000000002</v>
      </c>
      <c r="Y1665" s="51">
        <v>0.46319444444444446</v>
      </c>
    </row>
    <row r="1666" spans="1:25" hidden="1">
      <c r="A1666" s="12">
        <v>24280946</v>
      </c>
      <c r="B1666" s="13">
        <v>46271</v>
      </c>
      <c r="C1666" s="14">
        <v>0.4942361111111111</v>
      </c>
      <c r="D1666" s="15"/>
      <c r="E1666" s="16">
        <v>5214424964500</v>
      </c>
      <c r="F1666" s="15"/>
      <c r="G1666" s="15"/>
      <c r="H1666" s="17" t="s">
        <v>1611</v>
      </c>
      <c r="I1666" s="15"/>
      <c r="J1666" s="18"/>
      <c r="K1666" t="s">
        <v>30</v>
      </c>
      <c r="L1666" s="111">
        <v>6604.85</v>
      </c>
      <c r="M1666" s="111">
        <v>1910</v>
      </c>
      <c r="N1666" s="3">
        <f t="shared" si="182"/>
        <v>1981.4549999999999</v>
      </c>
      <c r="O1666" s="3">
        <f t="shared" si="183"/>
        <v>71.454999999999927</v>
      </c>
      <c r="P1666" s="6">
        <v>46478</v>
      </c>
      <c r="Q1666" t="s">
        <v>59</v>
      </c>
      <c r="R1666" s="3">
        <v>957</v>
      </c>
      <c r="S1666" s="3" t="s">
        <v>204</v>
      </c>
      <c r="V1666" s="51">
        <v>0.38541666666666669</v>
      </c>
    </row>
    <row r="1667" spans="1:25" hidden="1">
      <c r="A1667" s="12">
        <v>24281030</v>
      </c>
      <c r="B1667" s="13">
        <v>46271</v>
      </c>
      <c r="C1667" s="14">
        <v>0.49716435185185187</v>
      </c>
      <c r="D1667" s="15"/>
      <c r="E1667" s="16">
        <v>5215637804819</v>
      </c>
      <c r="F1667" s="15"/>
      <c r="G1667" s="15"/>
      <c r="H1667" s="17" t="s">
        <v>1612</v>
      </c>
      <c r="I1667" s="15"/>
      <c r="J1667" s="18"/>
      <c r="K1667" t="s">
        <v>30</v>
      </c>
      <c r="L1667" s="111">
        <v>8181.55</v>
      </c>
      <c r="M1667" s="111">
        <v>2319.5500000000002</v>
      </c>
      <c r="N1667" s="3">
        <f t="shared" si="182"/>
        <v>2454.4650000000001</v>
      </c>
      <c r="O1667" s="3">
        <f t="shared" si="183"/>
        <v>134.91499999999996</v>
      </c>
      <c r="P1667" s="6">
        <v>46844</v>
      </c>
      <c r="Q1667" t="s">
        <v>57</v>
      </c>
      <c r="R1667" s="111">
        <v>2319.5500000000002</v>
      </c>
      <c r="S1667" s="3" t="s">
        <v>204</v>
      </c>
      <c r="V1667" s="51">
        <v>0.38541666666666669</v>
      </c>
    </row>
    <row r="1668" spans="1:25">
      <c r="A1668" s="12">
        <v>24281402</v>
      </c>
      <c r="B1668" s="13">
        <v>46271</v>
      </c>
      <c r="C1668" s="14">
        <v>0.52020833333333338</v>
      </c>
      <c r="D1668" s="15"/>
      <c r="E1668" s="16">
        <v>5216674182316</v>
      </c>
      <c r="F1668" s="15"/>
      <c r="G1668" s="15" t="s">
        <v>1613</v>
      </c>
      <c r="H1668" s="17"/>
      <c r="I1668" s="15"/>
      <c r="J1668" s="18"/>
      <c r="K1668" t="s">
        <v>27</v>
      </c>
      <c r="L1668" s="3">
        <f>6560.19+2521.33</f>
        <v>9081.52</v>
      </c>
      <c r="M1668" s="3">
        <v>2521.33</v>
      </c>
      <c r="N1668" s="3">
        <f t="shared" si="182"/>
        <v>2724.4560000000001</v>
      </c>
      <c r="O1668" s="3">
        <f t="shared" si="183"/>
        <v>203.1260000000002</v>
      </c>
      <c r="P1668" s="6">
        <v>46174</v>
      </c>
      <c r="Q1668" t="s">
        <v>44</v>
      </c>
      <c r="R1668" s="3">
        <v>2521.33</v>
      </c>
      <c r="S1668" s="3" t="s">
        <v>90</v>
      </c>
      <c r="T1668" s="48">
        <v>46272</v>
      </c>
      <c r="V1668" s="51">
        <v>0.38541666666666669</v>
      </c>
      <c r="W1668" s="51">
        <v>0.42569444444444443</v>
      </c>
      <c r="X1668" s="51">
        <v>0.55000000000000004</v>
      </c>
      <c r="Y1668" s="51">
        <v>0.55625000000000002</v>
      </c>
    </row>
    <row r="1669" spans="1:25">
      <c r="A1669" s="12">
        <v>24281532</v>
      </c>
      <c r="B1669" s="13">
        <v>46271</v>
      </c>
      <c r="C1669" s="14">
        <v>0.52532407407407411</v>
      </c>
      <c r="D1669" s="15"/>
      <c r="E1669" s="16">
        <v>5216692800741</v>
      </c>
      <c r="F1669" s="15"/>
      <c r="G1669" s="15"/>
      <c r="H1669" s="17" t="s">
        <v>1614</v>
      </c>
      <c r="I1669" s="15"/>
      <c r="J1669" s="18"/>
      <c r="K1669" t="s">
        <v>27</v>
      </c>
      <c r="L1669" s="3">
        <f>9743.48+3744.82</f>
        <v>13488.3</v>
      </c>
      <c r="M1669" s="3">
        <v>3744.82</v>
      </c>
      <c r="N1669" s="3">
        <f t="shared" si="182"/>
        <v>4046.49</v>
      </c>
      <c r="O1669" s="3">
        <f t="shared" si="183"/>
        <v>301.66999999999962</v>
      </c>
      <c r="P1669" s="6">
        <v>46266</v>
      </c>
      <c r="Q1669" t="s">
        <v>75</v>
      </c>
      <c r="R1669" s="3">
        <v>3744.82</v>
      </c>
      <c r="S1669" s="3" t="s">
        <v>90</v>
      </c>
      <c r="T1669" s="48">
        <v>46272</v>
      </c>
      <c r="V1669" s="51">
        <v>0.38541666666666669</v>
      </c>
      <c r="W1669" s="51">
        <v>0.44166666666666665</v>
      </c>
      <c r="X1669" s="51">
        <v>0.60347222222222219</v>
      </c>
      <c r="Y1669" s="51">
        <v>0.60763888888888884</v>
      </c>
    </row>
    <row r="1670" spans="1:25" hidden="1">
      <c r="A1670" s="12">
        <v>24281728</v>
      </c>
      <c r="B1670" s="13">
        <v>46271</v>
      </c>
      <c r="C1670" s="14">
        <v>0.53061342592592597</v>
      </c>
      <c r="D1670" s="15" t="s">
        <v>1615</v>
      </c>
      <c r="E1670" s="16">
        <v>5217443233033</v>
      </c>
      <c r="F1670" s="15"/>
      <c r="G1670" s="15"/>
      <c r="H1670" s="17" t="s">
        <v>1616</v>
      </c>
      <c r="I1670" s="15"/>
      <c r="J1670" s="18"/>
      <c r="K1670" t="s">
        <v>32</v>
      </c>
      <c r="N1670" s="3">
        <f t="shared" si="182"/>
        <v>0</v>
      </c>
      <c r="O1670" s="3">
        <f t="shared" si="183"/>
        <v>0</v>
      </c>
      <c r="S1670" s="3" t="s">
        <v>204</v>
      </c>
      <c r="V1670" s="51">
        <v>0.38541666666666669</v>
      </c>
    </row>
    <row r="1671" spans="1:25" hidden="1">
      <c r="A1671" s="12">
        <v>24263244</v>
      </c>
      <c r="B1671" s="13">
        <v>46271</v>
      </c>
      <c r="C1671" s="14">
        <v>0.5494444444444444</v>
      </c>
      <c r="D1671" s="15" t="s">
        <v>1617</v>
      </c>
      <c r="E1671" s="16">
        <v>3340897364</v>
      </c>
      <c r="F1671" s="15"/>
      <c r="G1671" s="15"/>
      <c r="H1671" s="17" t="s">
        <v>1618</v>
      </c>
      <c r="I1671" s="15"/>
      <c r="J1671" s="18"/>
      <c r="K1671" t="s">
        <v>58</v>
      </c>
      <c r="L1671" s="3">
        <f>34526.47-30245.07</f>
        <v>4281.4000000000015</v>
      </c>
      <c r="N1671" s="3">
        <f t="shared" si="182"/>
        <v>1284.4200000000003</v>
      </c>
      <c r="O1671" s="3">
        <f t="shared" si="183"/>
        <v>108.42000000000189</v>
      </c>
      <c r="S1671" s="3" t="s">
        <v>204</v>
      </c>
      <c r="V1671" s="51">
        <v>0.38541666666666669</v>
      </c>
    </row>
    <row r="1672" spans="1:25">
      <c r="A1672" s="12">
        <v>24282280</v>
      </c>
      <c r="B1672" s="13">
        <v>46271</v>
      </c>
      <c r="C1672" s="14">
        <v>0.56164351851851857</v>
      </c>
      <c r="D1672" s="15"/>
      <c r="E1672" s="16">
        <v>5215645337433</v>
      </c>
      <c r="F1672" s="15"/>
      <c r="G1672" s="15" t="s">
        <v>1619</v>
      </c>
      <c r="H1672" s="17"/>
      <c r="I1672" s="15"/>
      <c r="J1672" s="18"/>
      <c r="K1672" t="s">
        <v>54</v>
      </c>
      <c r="L1672" s="3">
        <v>10636.54</v>
      </c>
      <c r="N1672" s="3">
        <f t="shared" si="182"/>
        <v>3190.962</v>
      </c>
      <c r="O1672" s="3">
        <f t="shared" si="183"/>
        <v>3190.962</v>
      </c>
      <c r="S1672" s="3" t="s">
        <v>886</v>
      </c>
      <c r="T1672" s="48">
        <v>46272</v>
      </c>
      <c r="V1672" s="51">
        <v>0.38541666666666669</v>
      </c>
      <c r="W1672" s="51">
        <v>0.44374999999999998</v>
      </c>
      <c r="X1672" s="51">
        <v>0.53541666666666665</v>
      </c>
      <c r="Y1672" s="51">
        <v>0.54236111111111107</v>
      </c>
    </row>
    <row r="1673" spans="1:25" hidden="1">
      <c r="A1673" s="12">
        <v>24282266</v>
      </c>
      <c r="B1673" s="13">
        <v>46271</v>
      </c>
      <c r="C1673" s="14">
        <v>0.56236111111111109</v>
      </c>
      <c r="D1673" s="15"/>
      <c r="E1673" s="16">
        <v>5215547133728</v>
      </c>
      <c r="F1673" s="15"/>
      <c r="G1673" s="15" t="s">
        <v>1620</v>
      </c>
      <c r="H1673" s="17"/>
      <c r="I1673" s="15"/>
      <c r="J1673" s="18"/>
      <c r="K1673" t="s">
        <v>58</v>
      </c>
      <c r="L1673" s="3">
        <v>4342.43</v>
      </c>
      <c r="N1673" s="3">
        <f t="shared" si="182"/>
        <v>1302.729</v>
      </c>
      <c r="O1673" s="3">
        <f t="shared" si="183"/>
        <v>169.45000000000073</v>
      </c>
      <c r="S1673" s="3" t="s">
        <v>204</v>
      </c>
      <c r="V1673" s="51">
        <v>0.38541666666666669</v>
      </c>
    </row>
    <row r="1674" spans="1:25" hidden="1">
      <c r="A1674" s="12">
        <v>24282270</v>
      </c>
      <c r="B1674" s="13">
        <v>46271</v>
      </c>
      <c r="C1674" s="14">
        <v>0.56267361111111114</v>
      </c>
      <c r="D1674" s="15"/>
      <c r="E1674" s="16">
        <v>5213333910880</v>
      </c>
      <c r="F1674" s="15"/>
      <c r="G1674" s="15" t="s">
        <v>1621</v>
      </c>
      <c r="H1674" s="17" t="s">
        <v>1622</v>
      </c>
      <c r="I1674" s="15"/>
      <c r="J1674" s="18"/>
      <c r="K1674" t="s">
        <v>58</v>
      </c>
      <c r="L1674" s="3">
        <f>3494.43+848</f>
        <v>4342.43</v>
      </c>
      <c r="M1674" s="3">
        <v>848</v>
      </c>
      <c r="N1674" s="3">
        <f t="shared" si="182"/>
        <v>1302.729</v>
      </c>
      <c r="O1674" s="3">
        <f t="shared" si="183"/>
        <v>-678.54999999999927</v>
      </c>
      <c r="S1674" s="3" t="s">
        <v>204</v>
      </c>
      <c r="V1674" s="51">
        <v>0.38541666666666669</v>
      </c>
    </row>
    <row r="1675" spans="1:25" hidden="1">
      <c r="A1675" s="12">
        <v>24282212</v>
      </c>
      <c r="B1675" s="13">
        <v>46271</v>
      </c>
      <c r="C1675" s="14">
        <v>0.56905092592592588</v>
      </c>
      <c r="D1675" s="15"/>
      <c r="E1675" s="16">
        <v>5218681744447</v>
      </c>
      <c r="F1675" s="15"/>
      <c r="G1675" s="15"/>
      <c r="H1675" s="17" t="s">
        <v>1623</v>
      </c>
      <c r="I1675" s="15"/>
      <c r="J1675" s="18"/>
      <c r="K1675" t="s">
        <v>58</v>
      </c>
      <c r="L1675" s="3">
        <v>4072.69</v>
      </c>
      <c r="N1675" s="3">
        <f t="shared" si="182"/>
        <v>1221.807</v>
      </c>
      <c r="O1675" s="3">
        <f t="shared" si="183"/>
        <v>0</v>
      </c>
      <c r="S1675" s="3" t="s">
        <v>204</v>
      </c>
      <c r="V1675" s="51">
        <v>0.38541666666666669</v>
      </c>
    </row>
    <row r="1676" spans="1:25" hidden="1">
      <c r="A1676" s="12">
        <v>24282544</v>
      </c>
      <c r="B1676" s="13">
        <v>46271</v>
      </c>
      <c r="C1676" s="14">
        <v>0.57759259259259255</v>
      </c>
      <c r="D1676" s="15"/>
      <c r="E1676" s="16">
        <v>5216183689759</v>
      </c>
      <c r="F1676" s="15"/>
      <c r="G1676" s="15" t="s">
        <v>1624</v>
      </c>
      <c r="H1676" s="17"/>
      <c r="I1676" s="15"/>
      <c r="J1676" s="18"/>
      <c r="K1676" t="s">
        <v>32</v>
      </c>
      <c r="N1676" s="3">
        <f t="shared" si="182"/>
        <v>0</v>
      </c>
      <c r="O1676" s="3">
        <f t="shared" si="183"/>
        <v>0</v>
      </c>
      <c r="S1676" s="3" t="s">
        <v>204</v>
      </c>
      <c r="V1676" s="51">
        <v>0.38541666666666669</v>
      </c>
    </row>
    <row r="1677" spans="1:25">
      <c r="A1677" s="12">
        <v>24282324</v>
      </c>
      <c r="B1677" s="13">
        <v>46271</v>
      </c>
      <c r="C1677" s="14">
        <v>0.57788194444444441</v>
      </c>
      <c r="D1677" s="15"/>
      <c r="E1677" s="16">
        <v>5217226411737</v>
      </c>
      <c r="F1677" s="15"/>
      <c r="G1677" s="15"/>
      <c r="H1677" s="17" t="s">
        <v>1625</v>
      </c>
      <c r="I1677" s="15"/>
      <c r="J1677" s="18"/>
      <c r="K1677" t="s">
        <v>54</v>
      </c>
      <c r="L1677" s="3">
        <v>9760.32</v>
      </c>
      <c r="N1677" s="3">
        <f t="shared" si="182"/>
        <v>2928.096</v>
      </c>
      <c r="O1677" s="3">
        <f t="shared" si="183"/>
        <v>2928.096</v>
      </c>
      <c r="S1677" s="3" t="s">
        <v>886</v>
      </c>
      <c r="T1677" s="48">
        <v>46272</v>
      </c>
      <c r="V1677" s="51">
        <v>0.38541666666666669</v>
      </c>
      <c r="W1677" s="51">
        <v>0.44583333333333336</v>
      </c>
      <c r="X1677" s="51">
        <v>0.54583333333333328</v>
      </c>
      <c r="Y1677" s="51">
        <v>0.54861111111111116</v>
      </c>
    </row>
    <row r="1678" spans="1:25" hidden="1">
      <c r="A1678" s="12">
        <v>24282640</v>
      </c>
      <c r="B1678" s="13">
        <v>46271</v>
      </c>
      <c r="C1678" s="14">
        <v>0.58208333333333329</v>
      </c>
      <c r="D1678" s="15"/>
      <c r="E1678" s="16">
        <v>5215512124818</v>
      </c>
      <c r="F1678" s="15"/>
      <c r="G1678" s="15"/>
      <c r="H1678" s="17" t="s">
        <v>1626</v>
      </c>
      <c r="I1678" s="15"/>
      <c r="J1678" s="18"/>
      <c r="K1678" t="s">
        <v>30</v>
      </c>
      <c r="L1678" s="111">
        <v>7920.51</v>
      </c>
      <c r="M1678" s="111">
        <v>2372.15</v>
      </c>
      <c r="N1678" s="3">
        <f t="shared" si="182"/>
        <v>2376.1529999999998</v>
      </c>
      <c r="O1678" s="3">
        <f t="shared" si="183"/>
        <v>4.0029999999997017</v>
      </c>
      <c r="P1678" s="6">
        <v>46935</v>
      </c>
      <c r="Q1678" t="s">
        <v>57</v>
      </c>
      <c r="R1678" s="111">
        <v>2372.15</v>
      </c>
      <c r="S1678" s="3" t="s">
        <v>204</v>
      </c>
      <c r="V1678" s="51">
        <v>0.38541666666666669</v>
      </c>
    </row>
    <row r="1679" spans="1:25">
      <c r="A1679" s="12">
        <v>24282620</v>
      </c>
      <c r="B1679" s="13">
        <v>46271</v>
      </c>
      <c r="C1679" s="14">
        <v>0.5865393518518518</v>
      </c>
      <c r="D1679" s="15" t="s">
        <v>1627</v>
      </c>
      <c r="E1679" s="16">
        <v>5216641756386</v>
      </c>
      <c r="F1679" s="15"/>
      <c r="G1679" s="15" t="s">
        <v>1628</v>
      </c>
      <c r="H1679" s="17" t="s">
        <v>1629</v>
      </c>
      <c r="I1679" s="15"/>
      <c r="J1679" s="18"/>
      <c r="K1679" t="s">
        <v>34</v>
      </c>
      <c r="L1679" s="111">
        <v>6408.47</v>
      </c>
      <c r="M1679" s="111">
        <v>1685.94</v>
      </c>
      <c r="N1679" s="3">
        <f t="shared" si="182"/>
        <v>1922.5409999999999</v>
      </c>
      <c r="O1679" s="3">
        <f t="shared" si="183"/>
        <v>236.60099999999989</v>
      </c>
      <c r="P1679" s="6">
        <v>46235</v>
      </c>
      <c r="Q1679" t="s">
        <v>57</v>
      </c>
      <c r="R1679" s="111">
        <v>1685.94</v>
      </c>
      <c r="S1679" s="3" t="s">
        <v>271</v>
      </c>
      <c r="T1679" s="48">
        <v>46272</v>
      </c>
      <c r="V1679" s="51">
        <v>0.38541666666666669</v>
      </c>
      <c r="W1679" s="51">
        <v>0.45694444444444443</v>
      </c>
      <c r="X1679" s="51">
        <v>0.55347222222222225</v>
      </c>
      <c r="Y1679" s="51">
        <v>0.56388888888888888</v>
      </c>
    </row>
    <row r="1680" spans="1:25">
      <c r="A1680" s="12">
        <v>24282824</v>
      </c>
      <c r="B1680" s="13">
        <v>46271</v>
      </c>
      <c r="C1680" s="14">
        <v>0.58979166666666671</v>
      </c>
      <c r="D1680" s="15"/>
      <c r="E1680" s="16">
        <v>5219982057882</v>
      </c>
      <c r="F1680" s="15"/>
      <c r="G1680" s="15" t="s">
        <v>1630</v>
      </c>
      <c r="H1680" s="17" t="s">
        <v>1631</v>
      </c>
      <c r="I1680" s="15"/>
      <c r="J1680" s="18"/>
      <c r="K1680" t="s">
        <v>54</v>
      </c>
      <c r="L1680" s="111">
        <v>21019.78</v>
      </c>
      <c r="M1680" s="111">
        <v>4643.13</v>
      </c>
      <c r="N1680" s="3">
        <f t="shared" si="182"/>
        <v>6305.9339999999993</v>
      </c>
      <c r="O1680" s="3">
        <f t="shared" si="183"/>
        <v>1662.8039999999992</v>
      </c>
      <c r="P1680" s="6">
        <v>46935</v>
      </c>
      <c r="Q1680" t="s">
        <v>141</v>
      </c>
      <c r="R1680" s="111">
        <v>4643.13</v>
      </c>
      <c r="S1680" s="3" t="s">
        <v>62</v>
      </c>
      <c r="T1680" s="48">
        <v>46272</v>
      </c>
      <c r="V1680" s="51">
        <v>0.38541666666666669</v>
      </c>
      <c r="W1680" s="51">
        <v>0.4548611111111111</v>
      </c>
      <c r="X1680" s="51">
        <v>0.46805555555555556</v>
      </c>
      <c r="Y1680" s="51">
        <v>0.47013888888888888</v>
      </c>
    </row>
    <row r="1681" spans="1:25" hidden="1">
      <c r="A1681" s="12">
        <v>24282914</v>
      </c>
      <c r="B1681" s="13">
        <v>46271</v>
      </c>
      <c r="C1681" s="14">
        <v>0.59452546296296294</v>
      </c>
      <c r="D1681" s="15"/>
      <c r="E1681" s="16">
        <v>5217443758022</v>
      </c>
      <c r="F1681" s="15"/>
      <c r="G1681" s="15" t="s">
        <v>1632</v>
      </c>
      <c r="H1681" s="17"/>
      <c r="I1681" s="15"/>
      <c r="J1681" s="18"/>
      <c r="K1681" t="s">
        <v>30</v>
      </c>
      <c r="L1681" s="111">
        <v>8039.7</v>
      </c>
      <c r="M1681" s="111">
        <v>2398.56</v>
      </c>
      <c r="N1681" s="3">
        <f t="shared" si="182"/>
        <v>2411.91</v>
      </c>
      <c r="O1681" s="3">
        <f t="shared" si="183"/>
        <v>13.349999999999909</v>
      </c>
      <c r="P1681" s="6">
        <v>46935</v>
      </c>
      <c r="Q1681" t="s">
        <v>43</v>
      </c>
      <c r="R1681" s="111">
        <v>2398.56</v>
      </c>
      <c r="S1681" s="3" t="s">
        <v>204</v>
      </c>
      <c r="V1681" s="51">
        <v>0.38541666666666669</v>
      </c>
    </row>
    <row r="1682" spans="1:25" hidden="1">
      <c r="A1682" s="12">
        <v>24282896</v>
      </c>
      <c r="B1682" s="13">
        <v>46271</v>
      </c>
      <c r="C1682" s="14">
        <v>0.59688657407407408</v>
      </c>
      <c r="D1682" s="15"/>
      <c r="E1682" s="16">
        <v>5214646394832</v>
      </c>
      <c r="F1682" s="15"/>
      <c r="G1682" s="15" t="s">
        <v>1633</v>
      </c>
      <c r="H1682" s="17"/>
      <c r="I1682" s="15"/>
      <c r="J1682" s="18"/>
      <c r="K1682" t="s">
        <v>30</v>
      </c>
      <c r="L1682" s="111">
        <v>6814.73</v>
      </c>
      <c r="M1682" s="111">
        <v>1832.18</v>
      </c>
      <c r="N1682" s="3">
        <f t="shared" si="182"/>
        <v>2044.4189999999999</v>
      </c>
      <c r="O1682" s="3">
        <f t="shared" si="183"/>
        <v>212.23899999999981</v>
      </c>
      <c r="P1682" s="6">
        <v>46419</v>
      </c>
      <c r="Q1682" t="s">
        <v>47</v>
      </c>
      <c r="R1682" s="3">
        <v>561.17999999999995</v>
      </c>
      <c r="S1682" s="3" t="s">
        <v>204</v>
      </c>
      <c r="V1682" s="51">
        <v>0.38541666666666669</v>
      </c>
    </row>
    <row r="1683" spans="1:25" hidden="1">
      <c r="A1683" s="12">
        <v>24282948</v>
      </c>
      <c r="B1683" s="13">
        <v>46271</v>
      </c>
      <c r="C1683" s="14">
        <v>0.59795138888888888</v>
      </c>
      <c r="D1683" s="15"/>
      <c r="E1683" s="16">
        <v>5217297487721</v>
      </c>
      <c r="F1683" s="15"/>
      <c r="G1683" s="15" t="s">
        <v>1634</v>
      </c>
      <c r="H1683" s="17"/>
      <c r="I1683" s="15"/>
      <c r="J1683" s="18"/>
      <c r="K1683" t="s">
        <v>58</v>
      </c>
      <c r="L1683" s="3">
        <v>4115.68</v>
      </c>
      <c r="N1683" s="3">
        <f t="shared" si="182"/>
        <v>1234.704</v>
      </c>
      <c r="O1683" s="3">
        <f t="shared" si="183"/>
        <v>0</v>
      </c>
      <c r="S1683" s="3" t="s">
        <v>204</v>
      </c>
      <c r="V1683" s="51">
        <v>0.38541666666666669</v>
      </c>
    </row>
    <row r="1684" spans="1:25" hidden="1">
      <c r="A1684" s="12">
        <v>24283098</v>
      </c>
      <c r="B1684" s="13">
        <v>46271</v>
      </c>
      <c r="C1684" s="14">
        <v>0.60768518518518522</v>
      </c>
      <c r="D1684" s="15"/>
      <c r="E1684" s="16">
        <v>5214432141462</v>
      </c>
      <c r="F1684" s="15"/>
      <c r="G1684" s="15"/>
      <c r="H1684" s="17" t="s">
        <v>1635</v>
      </c>
      <c r="I1684" s="15"/>
      <c r="J1684" s="18"/>
      <c r="K1684" t="s">
        <v>51</v>
      </c>
      <c r="N1684" s="3">
        <f t="shared" si="182"/>
        <v>0</v>
      </c>
      <c r="O1684" s="3">
        <f t="shared" si="183"/>
        <v>0</v>
      </c>
      <c r="S1684" s="3" t="s">
        <v>204</v>
      </c>
      <c r="V1684" s="51">
        <v>0.38541666666666669</v>
      </c>
    </row>
    <row r="1685" spans="1:25" hidden="1">
      <c r="A1685" s="12">
        <v>24283186</v>
      </c>
      <c r="B1685" s="13">
        <v>46271</v>
      </c>
      <c r="C1685" s="14">
        <v>0.6109606481481481</v>
      </c>
      <c r="D1685" s="15"/>
      <c r="E1685" s="16">
        <v>5213311607477</v>
      </c>
      <c r="F1685" s="15"/>
      <c r="G1685" s="15" t="s">
        <v>1636</v>
      </c>
      <c r="H1685" s="17" t="s">
        <v>1637</v>
      </c>
      <c r="I1685" s="15"/>
      <c r="J1685" s="18"/>
      <c r="K1685" t="s">
        <v>32</v>
      </c>
      <c r="N1685" s="3">
        <f t="shared" si="182"/>
        <v>0</v>
      </c>
      <c r="O1685" s="3">
        <f t="shared" si="183"/>
        <v>0</v>
      </c>
      <c r="S1685" s="3" t="s">
        <v>204</v>
      </c>
      <c r="V1685" s="51">
        <v>0.38541666666666669</v>
      </c>
    </row>
    <row r="1686" spans="1:25" hidden="1">
      <c r="A1686" s="12">
        <v>24283078</v>
      </c>
      <c r="B1686" s="13">
        <v>46271</v>
      </c>
      <c r="C1686" s="14">
        <v>0.61269675925925926</v>
      </c>
      <c r="D1686" s="15"/>
      <c r="E1686" s="16">
        <v>5215575398689</v>
      </c>
      <c r="F1686" s="15"/>
      <c r="G1686" s="15" t="s">
        <v>1638</v>
      </c>
      <c r="H1686" s="17"/>
      <c r="I1686" s="15"/>
      <c r="J1686" s="18"/>
      <c r="K1686" t="s">
        <v>32</v>
      </c>
      <c r="N1686" s="3">
        <f t="shared" si="182"/>
        <v>0</v>
      </c>
      <c r="O1686" s="3">
        <f t="shared" si="183"/>
        <v>0</v>
      </c>
      <c r="S1686" s="3" t="s">
        <v>204</v>
      </c>
      <c r="V1686" s="51">
        <v>0.38541666666666669</v>
      </c>
    </row>
    <row r="1687" spans="1:25">
      <c r="A1687" s="12">
        <v>24283262</v>
      </c>
      <c r="B1687" s="13">
        <v>46271</v>
      </c>
      <c r="C1687" s="14">
        <v>0.62592592592592589</v>
      </c>
      <c r="D1687" s="15"/>
      <c r="E1687" s="16">
        <v>5218129257701</v>
      </c>
      <c r="F1687" s="15"/>
      <c r="G1687" s="15"/>
      <c r="H1687" s="17" t="s">
        <v>1639</v>
      </c>
      <c r="I1687" s="15"/>
      <c r="J1687" s="18"/>
      <c r="K1687" t="s">
        <v>54</v>
      </c>
      <c r="L1687" s="3">
        <v>25807.16</v>
      </c>
      <c r="N1687" s="3">
        <f t="shared" si="182"/>
        <v>7742.1479999999992</v>
      </c>
      <c r="O1687" s="3">
        <f t="shared" si="183"/>
        <v>7742.1479999999992</v>
      </c>
      <c r="S1687" s="3" t="s">
        <v>348</v>
      </c>
      <c r="T1687" s="48">
        <v>46272</v>
      </c>
      <c r="V1687" s="51">
        <v>0.38541666666666669</v>
      </c>
      <c r="W1687" s="51">
        <v>0.45902777777777776</v>
      </c>
      <c r="X1687" s="51">
        <v>0.46458333333333335</v>
      </c>
      <c r="Y1687" s="51">
        <v>0.46527777777777779</v>
      </c>
    </row>
    <row r="1688" spans="1:25">
      <c r="A1688" s="12">
        <v>24284172</v>
      </c>
      <c r="B1688" s="13">
        <v>46271</v>
      </c>
      <c r="C1688" s="14">
        <v>0.67497685185185186</v>
      </c>
      <c r="D1688" s="15"/>
      <c r="E1688" s="16">
        <v>5218332633041</v>
      </c>
      <c r="F1688" s="15"/>
      <c r="G1688" s="15"/>
      <c r="H1688" s="17" t="s">
        <v>1640</v>
      </c>
      <c r="I1688" s="15"/>
      <c r="J1688" s="18"/>
      <c r="K1688" t="s">
        <v>54</v>
      </c>
      <c r="L1688" s="111">
        <v>8788.19</v>
      </c>
      <c r="M1688" s="111">
        <v>879</v>
      </c>
      <c r="N1688" s="3">
        <f t="shared" si="182"/>
        <v>2636.4569999999999</v>
      </c>
      <c r="O1688" s="3">
        <f t="shared" si="183"/>
        <v>1757.4569999999999</v>
      </c>
      <c r="S1688" s="3" t="s">
        <v>327</v>
      </c>
      <c r="T1688" s="48">
        <v>46272</v>
      </c>
      <c r="V1688" s="51">
        <v>0.38541666666666669</v>
      </c>
      <c r="W1688" s="51">
        <v>0.4597222222222222</v>
      </c>
      <c r="X1688" s="51">
        <v>0.46944444444444444</v>
      </c>
      <c r="Y1688" s="51">
        <v>0.47708333333333336</v>
      </c>
    </row>
    <row r="1689" spans="1:25" hidden="1">
      <c r="A1689" s="12">
        <v>24284470</v>
      </c>
      <c r="B1689" s="13">
        <v>46271</v>
      </c>
      <c r="C1689" s="14">
        <v>0.69271990740740741</v>
      </c>
      <c r="D1689" s="15"/>
      <c r="E1689" s="16">
        <v>5216351071763</v>
      </c>
      <c r="F1689" s="15"/>
      <c r="G1689" s="15" t="s">
        <v>1641</v>
      </c>
      <c r="H1689" s="17"/>
      <c r="I1689" s="15"/>
      <c r="J1689" s="18"/>
      <c r="K1689" t="s">
        <v>32</v>
      </c>
      <c r="N1689" s="3">
        <f t="shared" si="182"/>
        <v>0</v>
      </c>
      <c r="O1689" s="3">
        <f t="shared" si="183"/>
        <v>0</v>
      </c>
      <c r="S1689" s="3" t="s">
        <v>204</v>
      </c>
      <c r="V1689" s="51">
        <v>0.38541666666666669</v>
      </c>
    </row>
    <row r="1690" spans="1:25" hidden="1">
      <c r="A1690" s="12">
        <v>24284864</v>
      </c>
      <c r="B1690" s="13">
        <v>46271</v>
      </c>
      <c r="C1690" s="14">
        <v>0.70636574074074077</v>
      </c>
      <c r="D1690" s="15" t="s">
        <v>1642</v>
      </c>
      <c r="E1690" s="16">
        <v>5218127534802</v>
      </c>
      <c r="F1690" s="15"/>
      <c r="G1690" s="15" t="s">
        <v>1643</v>
      </c>
      <c r="H1690" s="17" t="s">
        <v>1644</v>
      </c>
      <c r="I1690" s="15"/>
      <c r="J1690" s="18"/>
      <c r="K1690" t="s">
        <v>32</v>
      </c>
      <c r="N1690" s="3">
        <f t="shared" si="182"/>
        <v>0</v>
      </c>
      <c r="O1690" s="3">
        <f t="shared" si="183"/>
        <v>0</v>
      </c>
      <c r="S1690" s="3" t="s">
        <v>204</v>
      </c>
      <c r="V1690" s="51">
        <v>0.38541666666666669</v>
      </c>
    </row>
    <row r="1691" spans="1:25" hidden="1">
      <c r="A1691" s="12">
        <v>24285188</v>
      </c>
      <c r="B1691" s="13">
        <v>46271</v>
      </c>
      <c r="C1691" s="14">
        <v>0.71773148148148147</v>
      </c>
      <c r="D1691" s="15"/>
      <c r="E1691" s="16"/>
      <c r="F1691" s="15"/>
      <c r="G1691" s="15" t="s">
        <v>1645</v>
      </c>
      <c r="H1691" s="17"/>
      <c r="I1691" s="15"/>
      <c r="J1691" s="18"/>
      <c r="K1691" t="s">
        <v>32</v>
      </c>
      <c r="N1691" s="3">
        <f t="shared" si="182"/>
        <v>0</v>
      </c>
      <c r="O1691" s="3">
        <f t="shared" si="183"/>
        <v>0</v>
      </c>
      <c r="S1691" s="3" t="s">
        <v>204</v>
      </c>
      <c r="V1691" s="51">
        <v>0.38541666666666669</v>
      </c>
    </row>
    <row r="1692" spans="1:25" hidden="1">
      <c r="A1692" s="12">
        <v>24286264</v>
      </c>
      <c r="B1692" s="13">
        <v>46271</v>
      </c>
      <c r="C1692" s="14">
        <v>0.78916666666666668</v>
      </c>
      <c r="D1692" s="15"/>
      <c r="E1692" s="16">
        <v>5216221618889</v>
      </c>
      <c r="F1692" s="15"/>
      <c r="G1692" s="15"/>
      <c r="H1692" s="17" t="s">
        <v>1646</v>
      </c>
      <c r="I1692" s="15"/>
      <c r="J1692" s="18"/>
      <c r="K1692" t="s">
        <v>30</v>
      </c>
      <c r="L1692" s="111">
        <v>10636.54</v>
      </c>
      <c r="M1692" s="111">
        <v>3190</v>
      </c>
      <c r="N1692" s="3">
        <f t="shared" ref="N1692:N1709" si="184">L1692*0.3</f>
        <v>3190.962</v>
      </c>
      <c r="O1692" s="3">
        <f t="shared" ref="O1692:O1709" si="185">(IF(L1692&lt;4172.98,0,MIN(L1692*0.3,L1692-4172.98)))-M1692</f>
        <v>0.96199999999998909</v>
      </c>
      <c r="P1692" s="6">
        <v>46966</v>
      </c>
      <c r="Q1692" t="s">
        <v>44</v>
      </c>
      <c r="R1692" s="111">
        <v>3190</v>
      </c>
      <c r="S1692" s="3" t="s">
        <v>204</v>
      </c>
      <c r="V1692" s="51">
        <v>0.38541666666666669</v>
      </c>
    </row>
    <row r="1693" spans="1:25">
      <c r="A1693" s="12">
        <v>24286150</v>
      </c>
      <c r="B1693" s="13">
        <v>46271</v>
      </c>
      <c r="C1693" s="14">
        <v>0.7903472222222222</v>
      </c>
      <c r="D1693" s="15"/>
      <c r="E1693" s="16">
        <v>5215554627822</v>
      </c>
      <c r="F1693" s="15"/>
      <c r="G1693" s="15"/>
      <c r="H1693" s="17" t="s">
        <v>1647</v>
      </c>
      <c r="I1693" s="15"/>
      <c r="J1693" s="18"/>
      <c r="K1693" t="s">
        <v>27</v>
      </c>
      <c r="L1693" s="111">
        <v>27256.22</v>
      </c>
      <c r="M1693" s="111">
        <v>8159.53</v>
      </c>
      <c r="N1693" s="3">
        <f t="shared" si="184"/>
        <v>8176.866</v>
      </c>
      <c r="O1693" s="3">
        <f t="shared" si="185"/>
        <v>17.33600000000024</v>
      </c>
      <c r="P1693" s="6">
        <v>46174</v>
      </c>
      <c r="Q1693" t="s">
        <v>75</v>
      </c>
      <c r="R1693" s="3">
        <v>3735.1</v>
      </c>
      <c r="S1693" s="3" t="s">
        <v>98</v>
      </c>
      <c r="T1693" s="48">
        <v>46272</v>
      </c>
      <c r="V1693" s="51">
        <v>0.38541666666666669</v>
      </c>
      <c r="W1693" s="51">
        <v>0.46388888888888891</v>
      </c>
      <c r="X1693" s="51">
        <v>0.60486111111111107</v>
      </c>
      <c r="Y1693" s="51">
        <v>0.60624999999999996</v>
      </c>
    </row>
    <row r="1694" spans="1:25" hidden="1">
      <c r="A1694" s="12">
        <v>24286512</v>
      </c>
      <c r="B1694" s="13">
        <v>46271</v>
      </c>
      <c r="C1694" s="14">
        <v>0.81392361111111111</v>
      </c>
      <c r="D1694" s="15"/>
      <c r="E1694" s="16">
        <v>5214761074333</v>
      </c>
      <c r="F1694" s="15"/>
      <c r="G1694" s="15" t="s">
        <v>1648</v>
      </c>
      <c r="H1694" s="17"/>
      <c r="I1694" s="15"/>
      <c r="J1694" s="18"/>
      <c r="K1694" t="s">
        <v>32</v>
      </c>
      <c r="N1694" s="3">
        <f t="shared" si="184"/>
        <v>0</v>
      </c>
      <c r="O1694" s="3">
        <f t="shared" si="185"/>
        <v>0</v>
      </c>
      <c r="S1694" s="3" t="s">
        <v>204</v>
      </c>
      <c r="V1694" s="51">
        <v>0.38541666666666669</v>
      </c>
    </row>
    <row r="1695" spans="1:25" hidden="1">
      <c r="A1695" s="12">
        <v>24287168</v>
      </c>
      <c r="B1695" s="13">
        <v>46271</v>
      </c>
      <c r="C1695" s="14">
        <v>0.85715277777777776</v>
      </c>
      <c r="D1695" s="15"/>
      <c r="E1695" s="16">
        <v>5215548959780</v>
      </c>
      <c r="F1695" s="15"/>
      <c r="G1695" s="15"/>
      <c r="H1695" s="17" t="s">
        <v>1649</v>
      </c>
      <c r="I1695" s="15"/>
      <c r="J1695" s="18"/>
      <c r="K1695" t="s">
        <v>30</v>
      </c>
      <c r="L1695" s="111">
        <v>9081.52</v>
      </c>
      <c r="M1695" s="111">
        <v>2521.35</v>
      </c>
      <c r="N1695" s="3">
        <f t="shared" si="184"/>
        <v>2724.4560000000001</v>
      </c>
      <c r="O1695" s="3">
        <f t="shared" si="185"/>
        <v>203.10600000000022</v>
      </c>
      <c r="P1695" s="6">
        <v>46327</v>
      </c>
      <c r="Q1695" t="s">
        <v>75</v>
      </c>
      <c r="R1695" s="111">
        <v>2521.35</v>
      </c>
      <c r="S1695" s="3" t="s">
        <v>204</v>
      </c>
      <c r="V1695" s="51">
        <v>0.38541666666666669</v>
      </c>
    </row>
    <row r="1696" spans="1:25">
      <c r="A1696" s="12">
        <v>24287164</v>
      </c>
      <c r="B1696" s="13">
        <v>46271</v>
      </c>
      <c r="C1696" s="14">
        <v>0.86706018518518524</v>
      </c>
      <c r="D1696" s="15" t="s">
        <v>1650</v>
      </c>
      <c r="E1696" s="16">
        <v>5213314563519</v>
      </c>
      <c r="F1696" s="15"/>
      <c r="G1696" s="15" t="s">
        <v>1651</v>
      </c>
      <c r="H1696" s="17"/>
      <c r="I1696" s="15"/>
      <c r="J1696" s="18"/>
      <c r="K1696" t="s">
        <v>54</v>
      </c>
      <c r="L1696" s="3">
        <v>9760.32</v>
      </c>
      <c r="N1696" s="3">
        <f t="shared" si="184"/>
        <v>2928.096</v>
      </c>
      <c r="O1696" s="3">
        <f t="shared" si="185"/>
        <v>2928.096</v>
      </c>
      <c r="S1696" s="3" t="s">
        <v>327</v>
      </c>
      <c r="T1696" s="48">
        <v>46272</v>
      </c>
      <c r="V1696" s="51">
        <v>0.38541666666666669</v>
      </c>
      <c r="W1696" s="51">
        <v>0.46736111111111112</v>
      </c>
      <c r="X1696" s="51">
        <v>0.54722222222222228</v>
      </c>
      <c r="Y1696" s="51">
        <v>0.54791666666666672</v>
      </c>
    </row>
    <row r="1697" spans="1:25" hidden="1">
      <c r="A1697" s="12">
        <v>24287482</v>
      </c>
      <c r="B1697" s="13">
        <v>46271</v>
      </c>
      <c r="C1697" s="14">
        <v>0.87228009259259254</v>
      </c>
      <c r="D1697" s="15"/>
      <c r="E1697" s="16">
        <v>5218441072952</v>
      </c>
      <c r="F1697" s="15"/>
      <c r="G1697" s="15"/>
      <c r="H1697" s="17" t="s">
        <v>1652</v>
      </c>
      <c r="I1697" s="15"/>
      <c r="J1697" s="18"/>
      <c r="K1697" t="s">
        <v>32</v>
      </c>
      <c r="N1697" s="3">
        <f t="shared" si="184"/>
        <v>0</v>
      </c>
      <c r="O1697" s="3">
        <f t="shared" si="185"/>
        <v>0</v>
      </c>
      <c r="S1697" s="3" t="s">
        <v>204</v>
      </c>
      <c r="V1697" s="51">
        <v>0.38541666666666669</v>
      </c>
    </row>
    <row r="1698" spans="1:25" hidden="1">
      <c r="A1698" s="12">
        <v>24287298</v>
      </c>
      <c r="B1698" s="13">
        <v>46271</v>
      </c>
      <c r="C1698" s="14">
        <v>0.87165509259259255</v>
      </c>
      <c r="D1698" s="15" t="s">
        <v>1653</v>
      </c>
      <c r="E1698" s="16">
        <v>5212371050677</v>
      </c>
      <c r="F1698" s="15"/>
      <c r="G1698" s="15"/>
      <c r="H1698" s="17" t="s">
        <v>1654</v>
      </c>
      <c r="I1698" s="15"/>
      <c r="J1698" s="18"/>
      <c r="K1698" t="s">
        <v>30</v>
      </c>
      <c r="L1698" s="111">
        <v>10622.91</v>
      </c>
      <c r="M1698" s="111">
        <v>3055.84</v>
      </c>
      <c r="N1698" s="3">
        <f t="shared" si="184"/>
        <v>3186.873</v>
      </c>
      <c r="O1698" s="3">
        <f t="shared" si="185"/>
        <v>131.0329999999999</v>
      </c>
      <c r="P1698" s="6">
        <v>46539</v>
      </c>
      <c r="Q1698" t="s">
        <v>80</v>
      </c>
      <c r="R1698" s="3">
        <v>2899.28</v>
      </c>
      <c r="S1698" s="3" t="s">
        <v>204</v>
      </c>
      <c r="V1698" s="51">
        <v>0.38541666666666669</v>
      </c>
    </row>
    <row r="1699" spans="1:25">
      <c r="A1699" s="12">
        <v>24287738</v>
      </c>
      <c r="B1699" s="13">
        <v>46271</v>
      </c>
      <c r="C1699" s="14">
        <v>0.89832175925925928</v>
      </c>
      <c r="D1699" s="15"/>
      <c r="E1699" s="16">
        <v>5215554180310</v>
      </c>
      <c r="F1699" s="15"/>
      <c r="G1699" s="15" t="s">
        <v>1655</v>
      </c>
      <c r="H1699" s="17"/>
      <c r="I1699" s="15"/>
      <c r="J1699" s="18"/>
      <c r="K1699" t="s">
        <v>54</v>
      </c>
      <c r="L1699" s="111">
        <v>47739.26</v>
      </c>
      <c r="M1699" s="111">
        <v>2999.97</v>
      </c>
      <c r="N1699" s="3">
        <f t="shared" si="184"/>
        <v>14321.778</v>
      </c>
      <c r="O1699" s="3">
        <f t="shared" si="185"/>
        <v>11321.808000000001</v>
      </c>
      <c r="P1699" s="6">
        <v>46692</v>
      </c>
      <c r="Q1699" t="s">
        <v>59</v>
      </c>
      <c r="R1699" s="111">
        <v>2999.97</v>
      </c>
      <c r="S1699" s="3" t="s">
        <v>348</v>
      </c>
      <c r="T1699" s="48">
        <v>46272</v>
      </c>
      <c r="V1699" s="51">
        <v>0.38541666666666669</v>
      </c>
      <c r="W1699" s="51">
        <v>0.47083333333333333</v>
      </c>
      <c r="X1699" s="51">
        <v>0.48125000000000001</v>
      </c>
      <c r="Y1699" s="51">
        <v>0.48402777777777778</v>
      </c>
    </row>
    <row r="1700" spans="1:25" hidden="1">
      <c r="A1700" s="12">
        <v>24288254</v>
      </c>
      <c r="B1700" s="13">
        <v>46271</v>
      </c>
      <c r="C1700" s="14">
        <v>0.90738425925925925</v>
      </c>
      <c r="D1700" s="15" t="s">
        <v>1656</v>
      </c>
      <c r="E1700" s="16">
        <v>5217223580521</v>
      </c>
      <c r="F1700" s="15"/>
      <c r="G1700" s="15" t="s">
        <v>1657</v>
      </c>
      <c r="H1700" s="17"/>
      <c r="I1700" s="15"/>
      <c r="J1700" s="18"/>
      <c r="K1700" t="s">
        <v>30</v>
      </c>
      <c r="L1700" s="111">
        <v>7320.56</v>
      </c>
      <c r="M1700" s="111">
        <v>2009.11</v>
      </c>
      <c r="N1700" s="3">
        <f t="shared" si="184"/>
        <v>2196.1680000000001</v>
      </c>
      <c r="O1700" s="3">
        <f t="shared" si="185"/>
        <v>187.05800000000022</v>
      </c>
      <c r="P1700" s="6">
        <v>46419</v>
      </c>
      <c r="Q1700" t="s">
        <v>77</v>
      </c>
      <c r="R1700" s="111">
        <v>2009.11</v>
      </c>
      <c r="S1700" s="3" t="s">
        <v>204</v>
      </c>
      <c r="V1700" s="51">
        <v>0.38541666666666669</v>
      </c>
    </row>
    <row r="1701" spans="1:25" hidden="1">
      <c r="A1701" s="12">
        <v>24288372</v>
      </c>
      <c r="B1701" s="13">
        <v>46271</v>
      </c>
      <c r="C1701" s="14">
        <v>0.91553240740740738</v>
      </c>
      <c r="D1701" s="15" t="s">
        <v>1658</v>
      </c>
      <c r="E1701" s="16">
        <v>5217295031835</v>
      </c>
      <c r="F1701" s="15"/>
      <c r="G1701" s="15" t="s">
        <v>1659</v>
      </c>
      <c r="H1701" s="17"/>
      <c r="I1701" s="15"/>
      <c r="J1701" s="18"/>
      <c r="K1701" t="s">
        <v>30</v>
      </c>
      <c r="L1701" s="111">
        <v>9081.52</v>
      </c>
      <c r="M1701" s="111">
        <v>2497.8000000000002</v>
      </c>
      <c r="N1701" s="3">
        <f t="shared" si="184"/>
        <v>2724.4560000000001</v>
      </c>
      <c r="O1701" s="3">
        <f t="shared" si="185"/>
        <v>226.65599999999995</v>
      </c>
      <c r="P1701" s="6">
        <v>46327</v>
      </c>
      <c r="Q1701" t="s">
        <v>77</v>
      </c>
      <c r="R1701" s="111">
        <v>2497.8000000000002</v>
      </c>
      <c r="S1701" s="3" t="s">
        <v>204</v>
      </c>
      <c r="V1701" s="51">
        <v>0.38541666666666669</v>
      </c>
    </row>
    <row r="1702" spans="1:25">
      <c r="A1702" s="12">
        <v>24288566</v>
      </c>
      <c r="B1702" s="13">
        <v>46271</v>
      </c>
      <c r="C1702" s="14">
        <v>0.93282407407407408</v>
      </c>
      <c r="D1702" s="15"/>
      <c r="E1702" s="16">
        <v>5216361342873</v>
      </c>
      <c r="F1702" s="15"/>
      <c r="G1702" s="15"/>
      <c r="H1702" s="17" t="s">
        <v>1660</v>
      </c>
      <c r="I1702" s="15"/>
      <c r="J1702" s="18"/>
      <c r="K1702" t="s">
        <v>38</v>
      </c>
      <c r="L1702" s="111">
        <v>9770.32</v>
      </c>
      <c r="M1702" s="111">
        <v>2077.4</v>
      </c>
      <c r="N1702" s="3">
        <f t="shared" si="184"/>
        <v>2931.096</v>
      </c>
      <c r="O1702" s="3">
        <f t="shared" si="185"/>
        <v>853.69599999999991</v>
      </c>
      <c r="P1702" s="6">
        <v>46905</v>
      </c>
      <c r="Q1702" t="s">
        <v>44</v>
      </c>
      <c r="R1702" s="111">
        <v>2077.4</v>
      </c>
      <c r="S1702" s="3" t="s">
        <v>39</v>
      </c>
      <c r="T1702" s="48">
        <v>46272</v>
      </c>
      <c r="V1702" s="51">
        <v>0.38541666666666669</v>
      </c>
      <c r="W1702" s="51">
        <v>0.47708333333333336</v>
      </c>
      <c r="X1702" s="51">
        <v>0.58819444444444446</v>
      </c>
      <c r="Y1702" s="51">
        <v>0.58958333333333335</v>
      </c>
    </row>
    <row r="1703" spans="1:25" hidden="1">
      <c r="A1703" s="12">
        <v>24288700</v>
      </c>
      <c r="B1703" s="13">
        <v>46271</v>
      </c>
      <c r="C1703" s="14">
        <v>0.94739583333333333</v>
      </c>
      <c r="D1703" s="15"/>
      <c r="E1703" s="16">
        <v>5216648261349</v>
      </c>
      <c r="F1703" s="15"/>
      <c r="G1703" s="15" t="s">
        <v>1661</v>
      </c>
      <c r="H1703" s="17"/>
      <c r="I1703" s="15"/>
      <c r="J1703" s="18"/>
      <c r="K1703" t="s">
        <v>30</v>
      </c>
      <c r="L1703" s="111">
        <v>7116.73</v>
      </c>
      <c r="M1703" s="111">
        <v>2058.1799999999998</v>
      </c>
      <c r="N1703" s="3">
        <f t="shared" si="184"/>
        <v>2135.0189999999998</v>
      </c>
      <c r="O1703" s="3">
        <f t="shared" si="185"/>
        <v>76.838999999999942</v>
      </c>
      <c r="P1703" s="6">
        <v>46539</v>
      </c>
      <c r="Q1703" t="s">
        <v>75</v>
      </c>
      <c r="R1703" s="111">
        <v>2058.1799999999998</v>
      </c>
      <c r="S1703" s="3" t="s">
        <v>204</v>
      </c>
      <c r="V1703" s="51">
        <v>0.38541666666666669</v>
      </c>
    </row>
    <row r="1704" spans="1:25">
      <c r="A1704" s="12">
        <v>24289240</v>
      </c>
      <c r="B1704" s="13">
        <v>46271</v>
      </c>
      <c r="C1704" s="14">
        <v>0.95923611111111107</v>
      </c>
      <c r="D1704" s="15"/>
      <c r="E1704" s="16">
        <v>5215554146647</v>
      </c>
      <c r="F1704" s="15"/>
      <c r="G1704" s="15"/>
      <c r="H1704" s="17" t="s">
        <v>1662</v>
      </c>
      <c r="I1704" s="15"/>
      <c r="J1704" s="18"/>
      <c r="K1704" t="s">
        <v>54</v>
      </c>
      <c r="L1704" s="3">
        <v>58005.68</v>
      </c>
      <c r="N1704" s="3">
        <f t="shared" si="184"/>
        <v>17401.703999999998</v>
      </c>
      <c r="O1704" s="3">
        <f t="shared" si="185"/>
        <v>17401.703999999998</v>
      </c>
      <c r="S1704" s="3" t="s">
        <v>55</v>
      </c>
      <c r="T1704" s="48">
        <v>46272</v>
      </c>
      <c r="V1704" s="51">
        <v>0.38541666666666669</v>
      </c>
      <c r="W1704" s="51">
        <v>0.47569444444444442</v>
      </c>
      <c r="X1704" s="51">
        <v>0.4826388888888889</v>
      </c>
      <c r="Y1704" s="51">
        <v>0.48680555555555555</v>
      </c>
    </row>
    <row r="1705" spans="1:25" hidden="1">
      <c r="A1705" s="12">
        <v>24289226</v>
      </c>
      <c r="B1705" s="13">
        <v>46271</v>
      </c>
      <c r="C1705" s="14">
        <v>0.96614583333333337</v>
      </c>
      <c r="D1705" s="15"/>
      <c r="E1705" s="16">
        <v>5218125952467</v>
      </c>
      <c r="F1705" s="15"/>
      <c r="G1705" s="15"/>
      <c r="H1705" s="17" t="s">
        <v>1663</v>
      </c>
      <c r="I1705" s="15"/>
      <c r="J1705" s="18"/>
      <c r="K1705" t="s">
        <v>30</v>
      </c>
      <c r="L1705" s="111">
        <v>8184.23</v>
      </c>
      <c r="M1705" s="111">
        <v>2367.1</v>
      </c>
      <c r="N1705" s="3">
        <f t="shared" si="184"/>
        <v>2455.2689999999998</v>
      </c>
      <c r="O1705" s="3">
        <f t="shared" si="185"/>
        <v>88.168999999999869</v>
      </c>
      <c r="P1705" s="6">
        <v>46296</v>
      </c>
      <c r="Q1705" t="s">
        <v>44</v>
      </c>
      <c r="R1705" s="3">
        <v>1713</v>
      </c>
      <c r="S1705" s="3" t="s">
        <v>204</v>
      </c>
      <c r="V1705" s="51">
        <v>0.38541666666666669</v>
      </c>
    </row>
    <row r="1706" spans="1:25" hidden="1">
      <c r="A1706" s="12">
        <v>24289494</v>
      </c>
      <c r="B1706" s="13">
        <v>46271</v>
      </c>
      <c r="C1706" s="14">
        <v>0.99752314814814813</v>
      </c>
      <c r="D1706" s="15" t="s">
        <v>1664</v>
      </c>
      <c r="E1706" s="16">
        <v>5212291323472</v>
      </c>
      <c r="F1706" s="15"/>
      <c r="G1706" s="15" t="s">
        <v>1665</v>
      </c>
      <c r="H1706" s="17"/>
      <c r="I1706" s="15"/>
      <c r="J1706" s="18"/>
      <c r="K1706" t="s">
        <v>58</v>
      </c>
      <c r="L1706" s="111">
        <v>4400.63</v>
      </c>
      <c r="M1706" s="111">
        <v>184.14</v>
      </c>
      <c r="N1706" s="3">
        <f t="shared" si="184"/>
        <v>1320.1890000000001</v>
      </c>
      <c r="O1706" s="3">
        <f t="shared" si="185"/>
        <v>43.510000000000559</v>
      </c>
      <c r="S1706" s="3" t="s">
        <v>204</v>
      </c>
      <c r="V1706" s="51">
        <v>0.38541666666666669</v>
      </c>
    </row>
    <row r="1707" spans="1:25">
      <c r="A1707" s="12">
        <v>24289506</v>
      </c>
      <c r="B1707" s="13">
        <v>46272</v>
      </c>
      <c r="C1707" s="14">
        <v>4.3518518518518515E-3</v>
      </c>
      <c r="D1707" s="15"/>
      <c r="E1707" s="16">
        <v>5215521288931</v>
      </c>
      <c r="F1707" s="15"/>
      <c r="G1707" s="15" t="s">
        <v>1666</v>
      </c>
      <c r="H1707" s="17"/>
      <c r="I1707" s="15"/>
      <c r="J1707" s="18"/>
      <c r="K1707" t="s">
        <v>54</v>
      </c>
      <c r="L1707" s="3">
        <v>36647.69</v>
      </c>
      <c r="N1707" s="3">
        <f t="shared" si="184"/>
        <v>10994.307000000001</v>
      </c>
      <c r="O1707" s="3">
        <f t="shared" si="185"/>
        <v>10994.307000000001</v>
      </c>
      <c r="S1707" s="3" t="s">
        <v>28</v>
      </c>
      <c r="T1707" s="48">
        <v>46272</v>
      </c>
      <c r="V1707" s="51">
        <v>0.38541666666666669</v>
      </c>
      <c r="W1707" s="51">
        <v>0.47291666666666665</v>
      </c>
      <c r="X1707" s="51">
        <v>0.48472222222222222</v>
      </c>
      <c r="Y1707" s="51">
        <v>0.48749999999999999</v>
      </c>
    </row>
    <row r="1708" spans="1:25" hidden="1">
      <c r="A1708" s="12">
        <v>24290244</v>
      </c>
      <c r="B1708" s="13">
        <v>46272</v>
      </c>
      <c r="C1708" s="14">
        <v>0.10556712962962964</v>
      </c>
      <c r="D1708" s="15"/>
      <c r="E1708" s="16">
        <v>5218145163014</v>
      </c>
      <c r="F1708" s="15"/>
      <c r="G1708" s="15" t="s">
        <v>1667</v>
      </c>
      <c r="H1708" s="17"/>
      <c r="I1708" s="15"/>
      <c r="J1708" s="18"/>
      <c r="K1708" t="s">
        <v>58</v>
      </c>
      <c r="L1708" s="3">
        <v>434.45</v>
      </c>
      <c r="N1708" s="3">
        <f t="shared" si="184"/>
        <v>130.33499999999998</v>
      </c>
      <c r="O1708" s="3">
        <f t="shared" si="185"/>
        <v>0</v>
      </c>
      <c r="S1708" s="3" t="s">
        <v>204</v>
      </c>
      <c r="V1708" s="51">
        <v>0.38541666666666669</v>
      </c>
    </row>
    <row r="1709" spans="1:25" hidden="1">
      <c r="A1709" s="30">
        <v>24290922</v>
      </c>
      <c r="B1709" s="31">
        <v>46272</v>
      </c>
      <c r="C1709" s="32">
        <v>0.19490740740740742</v>
      </c>
      <c r="D1709" s="33"/>
      <c r="E1709" s="34">
        <v>5217352071440</v>
      </c>
      <c r="F1709" s="33"/>
      <c r="G1709" s="33"/>
      <c r="H1709" s="35" t="s">
        <v>1668</v>
      </c>
      <c r="I1709" s="33"/>
      <c r="J1709" s="36"/>
      <c r="K1709" t="s">
        <v>58</v>
      </c>
      <c r="L1709" s="111">
        <v>3503.42</v>
      </c>
      <c r="M1709" s="111">
        <v>875</v>
      </c>
      <c r="N1709" s="3">
        <f t="shared" si="184"/>
        <v>1051.0260000000001</v>
      </c>
      <c r="O1709" s="3">
        <f t="shared" si="185"/>
        <v>-875</v>
      </c>
      <c r="S1709" s="3" t="s">
        <v>204</v>
      </c>
      <c r="V1709" s="51">
        <v>0.38541666666666669</v>
      </c>
    </row>
    <row r="1710" spans="1:25" hidden="1">
      <c r="A1710" s="12">
        <v>24294082</v>
      </c>
      <c r="B1710" s="13">
        <v>46272</v>
      </c>
      <c r="C1710" s="14">
        <v>0.35543981481481479</v>
      </c>
      <c r="D1710" s="15"/>
      <c r="E1710" s="16">
        <v>5216693010738</v>
      </c>
      <c r="F1710" s="15"/>
      <c r="G1710" s="15"/>
      <c r="H1710" s="17">
        <v>23886918798</v>
      </c>
      <c r="I1710" s="15"/>
      <c r="J1710" s="18"/>
      <c r="K1710" t="s">
        <v>58</v>
      </c>
      <c r="L1710" s="111">
        <v>3503.42</v>
      </c>
      <c r="M1710" s="111">
        <v>875</v>
      </c>
      <c r="N1710" s="3">
        <f t="shared" ref="N1710:N1717" si="186">L1710*0.3</f>
        <v>1051.0260000000001</v>
      </c>
      <c r="O1710" s="3">
        <f t="shared" ref="O1710:O1717" si="187">(IF(L1710&lt;4172.98,0,MIN(L1710*0.3,L1710-4172.98)))-M1710</f>
        <v>-875</v>
      </c>
      <c r="S1710" s="3" t="s">
        <v>204</v>
      </c>
      <c r="V1710" s="51">
        <v>0.39930555555555558</v>
      </c>
    </row>
    <row r="1711" spans="1:25" hidden="1">
      <c r="A1711" s="12">
        <v>24293964</v>
      </c>
      <c r="B1711" s="13">
        <v>46272</v>
      </c>
      <c r="C1711" s="14">
        <v>0.35546296296296298</v>
      </c>
      <c r="D1711" s="15"/>
      <c r="E1711" s="16">
        <v>5218711583935</v>
      </c>
      <c r="F1711" s="15"/>
      <c r="G1711" s="15"/>
      <c r="H1711" s="17">
        <v>31965902013</v>
      </c>
      <c r="I1711" s="15"/>
      <c r="J1711" s="18"/>
      <c r="K1711" t="s">
        <v>30</v>
      </c>
      <c r="L1711" s="111">
        <v>4813.6899999999996</v>
      </c>
      <c r="M1711" s="111">
        <v>617.9</v>
      </c>
      <c r="N1711" s="3">
        <f t="shared" si="186"/>
        <v>1444.1069999999997</v>
      </c>
      <c r="O1711" s="3">
        <f t="shared" si="187"/>
        <v>22.810000000000059</v>
      </c>
      <c r="P1711" s="6">
        <v>46661</v>
      </c>
      <c r="Q1711" t="s">
        <v>1669</v>
      </c>
      <c r="R1711" s="111">
        <v>617.9</v>
      </c>
      <c r="S1711" s="3" t="s">
        <v>204</v>
      </c>
      <c r="V1711" s="51">
        <v>0.39930555555555558</v>
      </c>
    </row>
    <row r="1712" spans="1:25" hidden="1">
      <c r="A1712" s="12">
        <v>24294214</v>
      </c>
      <c r="B1712" s="13">
        <v>46272</v>
      </c>
      <c r="C1712" s="14">
        <v>0.36074074074074075</v>
      </c>
      <c r="D1712" s="15"/>
      <c r="E1712" s="16">
        <v>5214731473365</v>
      </c>
      <c r="F1712" s="15"/>
      <c r="G1712" s="15"/>
      <c r="H1712" s="17" t="s">
        <v>1670</v>
      </c>
      <c r="I1712" s="15"/>
      <c r="J1712" s="18"/>
      <c r="K1712" t="s">
        <v>32</v>
      </c>
      <c r="N1712" s="3">
        <f t="shared" si="186"/>
        <v>0</v>
      </c>
      <c r="O1712" s="3">
        <f t="shared" si="187"/>
        <v>0</v>
      </c>
      <c r="S1712" s="3" t="s">
        <v>204</v>
      </c>
      <c r="V1712" s="51">
        <v>0.39930555555555558</v>
      </c>
    </row>
    <row r="1713" spans="1:25" hidden="1">
      <c r="A1713" s="12">
        <v>24294328</v>
      </c>
      <c r="B1713" s="13">
        <v>46272</v>
      </c>
      <c r="C1713" s="14">
        <v>0.36454861111111109</v>
      </c>
      <c r="D1713" s="15"/>
      <c r="E1713" s="16">
        <v>5216183331789</v>
      </c>
      <c r="F1713" s="15"/>
      <c r="G1713" s="15" t="s">
        <v>1671</v>
      </c>
      <c r="H1713" s="17"/>
      <c r="I1713" s="15"/>
      <c r="J1713" s="18"/>
      <c r="K1713" t="s">
        <v>58</v>
      </c>
      <c r="L1713" s="3">
        <v>2730.81</v>
      </c>
      <c r="N1713" s="3">
        <f t="shared" si="186"/>
        <v>819.24299999999994</v>
      </c>
      <c r="O1713" s="3">
        <f t="shared" si="187"/>
        <v>0</v>
      </c>
      <c r="S1713" s="3" t="s">
        <v>204</v>
      </c>
      <c r="V1713" s="51">
        <v>0.39930555555555558</v>
      </c>
    </row>
    <row r="1714" spans="1:25" hidden="1">
      <c r="A1714" s="12">
        <v>24294632</v>
      </c>
      <c r="B1714" s="13">
        <v>46272</v>
      </c>
      <c r="C1714" s="14">
        <v>0.37297453703703703</v>
      </c>
      <c r="D1714" s="15"/>
      <c r="E1714" s="16">
        <v>5216691507958</v>
      </c>
      <c r="F1714" s="15"/>
      <c r="G1714" s="15"/>
      <c r="H1714" s="17">
        <v>23998186656</v>
      </c>
      <c r="I1714" s="15"/>
      <c r="J1714" s="18"/>
      <c r="K1714" t="s">
        <v>51</v>
      </c>
      <c r="N1714" s="3">
        <f t="shared" si="186"/>
        <v>0</v>
      </c>
      <c r="O1714" s="3">
        <f t="shared" si="187"/>
        <v>0</v>
      </c>
      <c r="S1714" s="3" t="s">
        <v>204</v>
      </c>
      <c r="V1714" s="51">
        <v>0.39930555555555558</v>
      </c>
    </row>
    <row r="1715" spans="1:25" hidden="1">
      <c r="A1715" s="12">
        <v>24294652</v>
      </c>
      <c r="B1715" s="13">
        <v>46272</v>
      </c>
      <c r="C1715" s="14">
        <v>0.37799768518518517</v>
      </c>
      <c r="D1715" s="15"/>
      <c r="E1715" s="16">
        <v>5218281434226</v>
      </c>
      <c r="F1715" s="15"/>
      <c r="G1715" s="15"/>
      <c r="H1715" s="17" t="s">
        <v>1672</v>
      </c>
      <c r="I1715" s="15"/>
      <c r="J1715" s="18"/>
      <c r="K1715" t="s">
        <v>30</v>
      </c>
      <c r="L1715" s="111">
        <v>21373.69</v>
      </c>
      <c r="M1715" s="111">
        <f>5540.84+860</f>
        <v>6400.84</v>
      </c>
      <c r="N1715" s="3">
        <f t="shared" si="186"/>
        <v>6412.1069999999991</v>
      </c>
      <c r="O1715" s="3">
        <f t="shared" si="187"/>
        <v>11.266999999998916</v>
      </c>
      <c r="P1715" s="6">
        <v>46419</v>
      </c>
      <c r="Q1715" t="s">
        <v>75</v>
      </c>
      <c r="R1715" s="3">
        <v>5540.84</v>
      </c>
      <c r="S1715" s="3" t="s">
        <v>204</v>
      </c>
      <c r="V1715" s="51">
        <v>0.39930555555555558</v>
      </c>
    </row>
    <row r="1716" spans="1:25" hidden="1">
      <c r="A1716" s="12">
        <v>24295050</v>
      </c>
      <c r="B1716" s="13">
        <v>46272</v>
      </c>
      <c r="C1716" s="14">
        <v>0.38670138888888889</v>
      </c>
      <c r="D1716" s="15"/>
      <c r="E1716" s="16">
        <v>5215532985759</v>
      </c>
      <c r="F1716" s="15"/>
      <c r="G1716" s="15"/>
      <c r="H1716" s="17">
        <v>92897189020</v>
      </c>
      <c r="I1716" s="15"/>
      <c r="J1716" s="18"/>
      <c r="K1716" t="s">
        <v>58</v>
      </c>
      <c r="L1716" s="3">
        <v>4035.51</v>
      </c>
      <c r="M1716" s="3">
        <v>879</v>
      </c>
      <c r="N1716" s="3">
        <f t="shared" si="186"/>
        <v>1210.653</v>
      </c>
      <c r="O1716" s="3">
        <f t="shared" si="187"/>
        <v>-879</v>
      </c>
      <c r="S1716" s="3" t="s">
        <v>204</v>
      </c>
      <c r="V1716" s="51">
        <v>0.39930555555555558</v>
      </c>
    </row>
    <row r="1717" spans="1:25" hidden="1">
      <c r="A1717" s="30">
        <v>24295154</v>
      </c>
      <c r="B1717" s="31">
        <v>46272</v>
      </c>
      <c r="C1717" s="32">
        <v>0.39496527777777779</v>
      </c>
      <c r="D1717" s="33"/>
      <c r="E1717" s="34">
        <v>5213317639918</v>
      </c>
      <c r="F1717" s="33"/>
      <c r="G1717" s="33"/>
      <c r="H1717" s="35" t="s">
        <v>1673</v>
      </c>
      <c r="I1717" s="33"/>
      <c r="J1717" s="36"/>
      <c r="K1717" t="s">
        <v>30</v>
      </c>
      <c r="L1717" s="111">
        <v>11029.03</v>
      </c>
      <c r="M1717" s="111">
        <v>3261.39</v>
      </c>
      <c r="N1717" s="3">
        <f t="shared" si="186"/>
        <v>3308.7090000000003</v>
      </c>
      <c r="O1717" s="3">
        <f t="shared" si="187"/>
        <v>47.319000000000415</v>
      </c>
      <c r="P1717" s="6">
        <v>46813</v>
      </c>
      <c r="Q1717" t="s">
        <v>190</v>
      </c>
      <c r="R1717" s="3">
        <v>3261.39</v>
      </c>
      <c r="S1717" s="3" t="s">
        <v>204</v>
      </c>
      <c r="V1717" s="51">
        <v>0.39930555555555558</v>
      </c>
    </row>
    <row r="1718" spans="1:25" hidden="1">
      <c r="A1718" s="30">
        <v>24295614</v>
      </c>
      <c r="B1718" s="31">
        <v>46272</v>
      </c>
      <c r="C1718" s="32">
        <v>0.41046296296296297</v>
      </c>
      <c r="D1718" s="33"/>
      <c r="E1718" s="34">
        <v>5218116070111</v>
      </c>
      <c r="F1718" s="33"/>
      <c r="G1718" s="33"/>
      <c r="H1718" s="35">
        <v>43796260677</v>
      </c>
      <c r="I1718" s="33"/>
      <c r="J1718" s="36"/>
      <c r="K1718" t="s">
        <v>30</v>
      </c>
      <c r="L1718" s="111">
        <v>32420.05</v>
      </c>
      <c r="M1718" s="111">
        <v>9725.99</v>
      </c>
      <c r="N1718" s="3">
        <f>L1718*0.3</f>
        <v>9726.0149999999994</v>
      </c>
      <c r="O1718" s="3">
        <f>(IF(L1718&lt;4172.98,0,MIN(L1718*0.3,L1718-4172.98)))-M1718</f>
        <v>2.4999999999636202E-2</v>
      </c>
      <c r="P1718" s="6">
        <v>46266</v>
      </c>
      <c r="Q1718" t="s">
        <v>77</v>
      </c>
      <c r="R1718" s="3">
        <v>3917.6</v>
      </c>
      <c r="S1718" s="3" t="s">
        <v>204</v>
      </c>
      <c r="V1718" s="51">
        <v>0.41041666666666665</v>
      </c>
    </row>
    <row r="1719" spans="1:25" hidden="1">
      <c r="A1719" s="12">
        <v>24296018</v>
      </c>
      <c r="B1719" s="13">
        <v>46272</v>
      </c>
      <c r="C1719" s="14">
        <v>0.42248842592592595</v>
      </c>
      <c r="D1719" s="15"/>
      <c r="E1719" s="16">
        <v>5218118405696</v>
      </c>
      <c r="F1719" s="15"/>
      <c r="G1719" s="15"/>
      <c r="H1719" s="17" t="s">
        <v>1674</v>
      </c>
      <c r="I1719" s="15"/>
      <c r="J1719" s="18"/>
      <c r="K1719" t="s">
        <v>30</v>
      </c>
      <c r="L1719" s="111">
        <v>9880.5</v>
      </c>
      <c r="M1719" s="111">
        <v>2964.15</v>
      </c>
      <c r="N1719" s="3">
        <f t="shared" ref="N1719:N1721" si="188">L1719*0.3</f>
        <v>2964.15</v>
      </c>
      <c r="O1719" s="3">
        <f t="shared" ref="O1719:O1721" si="189">(IF(L1719&lt;4172.98,0,MIN(L1719*0.3,L1719-4172.98)))-M1719</f>
        <v>0</v>
      </c>
      <c r="P1719" s="6">
        <v>46327</v>
      </c>
      <c r="Q1719" t="s">
        <v>210</v>
      </c>
      <c r="R1719" s="3">
        <v>2430.83</v>
      </c>
      <c r="S1719" s="3" t="s">
        <v>204</v>
      </c>
      <c r="V1719" s="51">
        <v>0.42708333333333331</v>
      </c>
    </row>
    <row r="1720" spans="1:25" hidden="1">
      <c r="A1720" s="12">
        <v>24295946</v>
      </c>
      <c r="B1720" s="13">
        <v>46272</v>
      </c>
      <c r="C1720" s="14">
        <v>0.42519675925925926</v>
      </c>
      <c r="D1720" s="15"/>
      <c r="E1720" s="16">
        <v>5213311328295</v>
      </c>
      <c r="F1720" s="15"/>
      <c r="G1720" s="15" t="s">
        <v>1675</v>
      </c>
      <c r="H1720" s="17"/>
      <c r="I1720" s="15"/>
      <c r="J1720" s="18"/>
      <c r="K1720" t="s">
        <v>58</v>
      </c>
      <c r="L1720" s="111">
        <v>3850.67</v>
      </c>
      <c r="M1720" s="111">
        <v>281.43</v>
      </c>
      <c r="N1720" s="3">
        <f t="shared" si="188"/>
        <v>1155.201</v>
      </c>
      <c r="O1720" s="3">
        <f t="shared" si="189"/>
        <v>-281.43</v>
      </c>
      <c r="S1720" s="3" t="s">
        <v>204</v>
      </c>
      <c r="V1720" s="51">
        <v>0.42708333333333331</v>
      </c>
    </row>
    <row r="1721" spans="1:25">
      <c r="A1721" s="30">
        <v>24295676</v>
      </c>
      <c r="B1721" s="31">
        <v>46272</v>
      </c>
      <c r="C1721" s="32">
        <v>0.4255902777777778</v>
      </c>
      <c r="D1721" s="33"/>
      <c r="E1721" s="34">
        <v>5219611291416</v>
      </c>
      <c r="F1721" s="33"/>
      <c r="G1721" s="33"/>
      <c r="H1721" s="35">
        <v>71886314229</v>
      </c>
      <c r="I1721" s="33"/>
      <c r="J1721" s="36"/>
      <c r="K1721" t="s">
        <v>54</v>
      </c>
      <c r="L1721" s="3">
        <f>8912.32+848</f>
        <v>9760.32</v>
      </c>
      <c r="M1721" s="3">
        <v>848</v>
      </c>
      <c r="N1721" s="3">
        <f t="shared" si="188"/>
        <v>2928.096</v>
      </c>
      <c r="O1721" s="3">
        <f t="shared" si="189"/>
        <v>2080.096</v>
      </c>
      <c r="S1721" s="3" t="s">
        <v>35</v>
      </c>
      <c r="T1721" s="48">
        <v>46272</v>
      </c>
      <c r="V1721" s="51">
        <v>0.42708333333333331</v>
      </c>
      <c r="W1721" s="51">
        <v>0.49305555555555558</v>
      </c>
      <c r="X1721" s="51">
        <v>0.5625</v>
      </c>
      <c r="Y1721" s="51">
        <v>0.56388888888888888</v>
      </c>
    </row>
    <row r="1722" spans="1:25" hidden="1">
      <c r="A1722" s="12">
        <v>24296380</v>
      </c>
      <c r="B1722" s="13">
        <v>46272</v>
      </c>
      <c r="C1722" s="14">
        <v>0.43909722222222225</v>
      </c>
      <c r="D1722" s="15" t="s">
        <v>1676</v>
      </c>
      <c r="E1722" s="16">
        <v>5219222566896</v>
      </c>
      <c r="F1722" s="15"/>
      <c r="G1722" s="15" t="s">
        <v>1677</v>
      </c>
      <c r="H1722" s="17">
        <v>65695130230</v>
      </c>
      <c r="I1722" s="15"/>
      <c r="J1722" s="18"/>
      <c r="K1722" t="s">
        <v>58</v>
      </c>
      <c r="L1722" s="3">
        <v>3855.42</v>
      </c>
      <c r="N1722" s="3">
        <f t="shared" ref="N1722:N1723" si="190">L1722*0.3</f>
        <v>1156.626</v>
      </c>
      <c r="O1722" s="3">
        <f t="shared" ref="O1722:O1723" si="191">(IF(L1722&lt;4172.98,0,MIN(L1722*0.3,L1722-4172.98)))-M1722</f>
        <v>0</v>
      </c>
      <c r="S1722" s="3" t="s">
        <v>204</v>
      </c>
      <c r="V1722" s="51">
        <v>0.44236111111111109</v>
      </c>
    </row>
    <row r="1723" spans="1:25" hidden="1">
      <c r="A1723" s="30">
        <v>24296376</v>
      </c>
      <c r="B1723" s="31">
        <v>46272</v>
      </c>
      <c r="C1723" s="32">
        <v>0.44092592592592594</v>
      </c>
      <c r="D1723" s="33"/>
      <c r="E1723" s="34">
        <v>5212217865370</v>
      </c>
      <c r="F1723" s="33"/>
      <c r="G1723" s="33"/>
      <c r="H1723" s="35">
        <v>49796114780</v>
      </c>
      <c r="I1723" s="33"/>
      <c r="J1723" s="36"/>
      <c r="K1723" t="s">
        <v>30</v>
      </c>
      <c r="L1723" s="111">
        <v>6262.56</v>
      </c>
      <c r="M1723" s="111">
        <v>1809.65</v>
      </c>
      <c r="N1723" s="3">
        <f t="shared" si="190"/>
        <v>1878.768</v>
      </c>
      <c r="O1723" s="3">
        <f t="shared" si="191"/>
        <v>69.117999999999938</v>
      </c>
      <c r="P1723" s="6">
        <v>46296</v>
      </c>
      <c r="Q1723" t="s">
        <v>44</v>
      </c>
      <c r="R1723" s="3">
        <v>364.2</v>
      </c>
      <c r="S1723" s="3" t="s">
        <v>204</v>
      </c>
      <c r="V1723" s="51">
        <v>0.44236111111111109</v>
      </c>
    </row>
    <row r="1724" spans="1:25" hidden="1">
      <c r="A1724" s="12">
        <v>24296626</v>
      </c>
      <c r="B1724" s="13">
        <v>46272</v>
      </c>
      <c r="C1724" s="14">
        <v>0.4457638888888889</v>
      </c>
      <c r="D1724" s="15"/>
      <c r="E1724" s="16">
        <v>5218140451831</v>
      </c>
      <c r="F1724" s="15"/>
      <c r="G1724" s="15"/>
      <c r="H1724" s="17">
        <v>43836336941</v>
      </c>
      <c r="I1724" s="15"/>
      <c r="J1724" s="18"/>
      <c r="K1724" t="s">
        <v>30</v>
      </c>
      <c r="L1724" s="111">
        <v>7920.51</v>
      </c>
      <c r="M1724" s="111">
        <v>2376</v>
      </c>
      <c r="N1724" s="3">
        <f t="shared" ref="N1724:N1725" si="192">L1724*0.3</f>
        <v>2376.1529999999998</v>
      </c>
      <c r="O1724" s="3">
        <f t="shared" ref="O1724:O1725" si="193">(IF(L1724&lt;4172.98,0,MIN(L1724*0.3,L1724-4172.98)))-M1724</f>
        <v>0.15299999999979264</v>
      </c>
      <c r="P1724" s="6">
        <v>46844</v>
      </c>
      <c r="Q1724" t="s">
        <v>44</v>
      </c>
      <c r="R1724" s="3">
        <v>1528</v>
      </c>
      <c r="S1724" s="3" t="s">
        <v>204</v>
      </c>
      <c r="V1724" s="51">
        <v>0.44722222222222224</v>
      </c>
    </row>
    <row r="1725" spans="1:25" hidden="1">
      <c r="A1725" s="30">
        <v>24296546</v>
      </c>
      <c r="B1725" s="31">
        <v>46272</v>
      </c>
      <c r="C1725" s="32">
        <v>0.44627314814814817</v>
      </c>
      <c r="D1725" s="33"/>
      <c r="E1725" s="34">
        <v>5213171005862</v>
      </c>
      <c r="F1725" s="33"/>
      <c r="G1725" s="33" t="s">
        <v>1678</v>
      </c>
      <c r="H1725" s="35"/>
      <c r="I1725" s="33"/>
      <c r="J1725" s="36"/>
      <c r="K1725" t="s">
        <v>32</v>
      </c>
      <c r="N1725" s="3">
        <f t="shared" si="192"/>
        <v>0</v>
      </c>
      <c r="O1725" s="3">
        <f t="shared" si="193"/>
        <v>0</v>
      </c>
      <c r="S1725" s="3" t="s">
        <v>204</v>
      </c>
      <c r="V1725" s="51">
        <v>0.44722222222222224</v>
      </c>
    </row>
    <row r="1726" spans="1:25" hidden="1">
      <c r="A1726" s="12">
        <v>24296764</v>
      </c>
      <c r="B1726" s="13">
        <v>46272</v>
      </c>
      <c r="C1726" s="14">
        <v>0.46101851851851849</v>
      </c>
      <c r="D1726" s="15"/>
      <c r="E1726" s="16">
        <v>5214462602720</v>
      </c>
      <c r="F1726" s="15"/>
      <c r="G1726" s="15"/>
      <c r="H1726" s="17">
        <v>17836513782</v>
      </c>
      <c r="I1726" s="15"/>
      <c r="J1726" s="18"/>
      <c r="K1726" t="s">
        <v>30</v>
      </c>
      <c r="L1726" s="111">
        <v>9760.32</v>
      </c>
      <c r="M1726" s="111">
        <v>2823.89</v>
      </c>
      <c r="N1726" s="3">
        <f t="shared" ref="N1726:N1728" si="194">L1726*0.3</f>
        <v>2928.096</v>
      </c>
      <c r="O1726" s="3">
        <f t="shared" ref="O1726:O1728" si="195">(IF(L1726&lt;4172.98,0,MIN(L1726*0.3,L1726-4172.98)))-M1726</f>
        <v>104.20600000000013</v>
      </c>
      <c r="P1726" s="6">
        <v>46600</v>
      </c>
      <c r="Q1726" t="s">
        <v>77</v>
      </c>
      <c r="R1726" s="111">
        <v>2823.89</v>
      </c>
      <c r="S1726" s="3" t="s">
        <v>204</v>
      </c>
      <c r="V1726" s="51">
        <v>0.46388888888888891</v>
      </c>
    </row>
    <row r="1727" spans="1:25">
      <c r="A1727" s="12">
        <v>24296944</v>
      </c>
      <c r="B1727" s="13">
        <v>46272</v>
      </c>
      <c r="C1727" s="14">
        <v>0.46140046296296294</v>
      </c>
      <c r="D1727" s="15"/>
      <c r="E1727" s="16">
        <v>5213331319919</v>
      </c>
      <c r="F1727" s="15"/>
      <c r="G1727" s="15"/>
      <c r="H1727" s="17">
        <v>54825835165</v>
      </c>
      <c r="I1727" s="15"/>
      <c r="J1727" s="18"/>
      <c r="K1727" t="s">
        <v>54</v>
      </c>
      <c r="L1727" s="3">
        <v>35583.480000000003</v>
      </c>
      <c r="N1727" s="3">
        <f t="shared" si="194"/>
        <v>10675.044</v>
      </c>
      <c r="O1727" s="3">
        <f t="shared" si="195"/>
        <v>10675.044</v>
      </c>
      <c r="S1727" s="3" t="s">
        <v>62</v>
      </c>
      <c r="T1727" s="48">
        <v>46272</v>
      </c>
      <c r="V1727" s="51">
        <v>0.46388888888888891</v>
      </c>
      <c r="W1727" s="51">
        <v>0.49166666666666664</v>
      </c>
      <c r="X1727" s="51">
        <v>0.50972222222222219</v>
      </c>
      <c r="Y1727" s="51">
        <v>0.51111111111111107</v>
      </c>
    </row>
    <row r="1728" spans="1:25" hidden="1">
      <c r="A1728" s="30">
        <v>24296900</v>
      </c>
      <c r="B1728" s="31">
        <v>46272</v>
      </c>
      <c r="C1728" s="32">
        <v>0.46184027777777775</v>
      </c>
      <c r="D1728" s="33"/>
      <c r="E1728" s="34">
        <v>5219541377792</v>
      </c>
      <c r="F1728" s="33"/>
      <c r="G1728" s="33" t="s">
        <v>1679</v>
      </c>
      <c r="H1728" s="35"/>
      <c r="I1728" s="33"/>
      <c r="J1728" s="36"/>
      <c r="K1728" t="s">
        <v>32</v>
      </c>
      <c r="N1728" s="3">
        <f t="shared" si="194"/>
        <v>0</v>
      </c>
      <c r="O1728" s="3">
        <f t="shared" si="195"/>
        <v>0</v>
      </c>
      <c r="S1728" s="3" t="s">
        <v>204</v>
      </c>
      <c r="V1728" s="51">
        <v>0.46388888888888891</v>
      </c>
    </row>
    <row r="1729" spans="1:25">
      <c r="A1729" s="30">
        <v>24297060</v>
      </c>
      <c r="B1729" s="31">
        <v>46272</v>
      </c>
      <c r="C1729" s="32">
        <v>0.46508101851851852</v>
      </c>
      <c r="D1729" s="33"/>
      <c r="E1729" s="34">
        <v>5218180226667</v>
      </c>
      <c r="F1729" s="33"/>
      <c r="G1729" s="33"/>
      <c r="H1729" s="35" t="s">
        <v>1680</v>
      </c>
      <c r="I1729" s="33"/>
      <c r="J1729" s="36"/>
      <c r="K1729" t="s">
        <v>54</v>
      </c>
      <c r="L1729" s="3">
        <v>7128.48</v>
      </c>
      <c r="N1729" s="3">
        <f>L1729*0.3</f>
        <v>2138.5439999999999</v>
      </c>
      <c r="O1729" s="3">
        <f>(IF(L1729&lt;4172.98,0,MIN(L1729*0.3,L1729-4172.98)))-M1729</f>
        <v>2138.5439999999999</v>
      </c>
      <c r="S1729" s="3" t="s">
        <v>28</v>
      </c>
      <c r="T1729" s="48">
        <v>46272</v>
      </c>
      <c r="V1729" s="51">
        <v>0.46597222222222223</v>
      </c>
      <c r="W1729" s="51">
        <v>0.4909722222222222</v>
      </c>
      <c r="X1729" s="51">
        <v>0.54097222222222219</v>
      </c>
      <c r="Y1729" s="51">
        <v>0.54305555555555551</v>
      </c>
    </row>
    <row r="1730" spans="1:25" hidden="1">
      <c r="A1730" s="30">
        <v>24297292</v>
      </c>
      <c r="B1730" s="31">
        <v>46272</v>
      </c>
      <c r="C1730" s="32">
        <v>0.46861111111111109</v>
      </c>
      <c r="D1730" s="33"/>
      <c r="E1730" s="34">
        <v>5216621121795</v>
      </c>
      <c r="F1730" s="33"/>
      <c r="G1730" s="33"/>
      <c r="H1730" s="35">
        <v>24886727296</v>
      </c>
      <c r="I1730" s="33"/>
      <c r="J1730" s="36"/>
      <c r="K1730" t="s">
        <v>30</v>
      </c>
      <c r="L1730" s="111">
        <v>5556.1</v>
      </c>
      <c r="M1730" s="111">
        <v>1358.57</v>
      </c>
      <c r="N1730" s="3">
        <f>L1730*0.3</f>
        <v>1666.8300000000002</v>
      </c>
      <c r="O1730" s="3">
        <f>(IF(L1730&lt;4172.98,0,MIN(L1730*0.3,L1730-4172.98)))-M1730</f>
        <v>24.550000000000864</v>
      </c>
      <c r="P1730" s="6">
        <v>46935</v>
      </c>
      <c r="Q1730" t="s">
        <v>43</v>
      </c>
      <c r="R1730" s="111">
        <v>1358.57</v>
      </c>
      <c r="S1730" s="3" t="s">
        <v>204</v>
      </c>
      <c r="V1730" s="51">
        <v>0.47083333333333333</v>
      </c>
    </row>
    <row r="1731" spans="1:25" hidden="1">
      <c r="A1731" s="30">
        <v>24297276</v>
      </c>
      <c r="B1731" s="31">
        <v>46272</v>
      </c>
      <c r="C1731" s="32">
        <v>0.4803587962962963</v>
      </c>
      <c r="D1731" s="33"/>
      <c r="E1731" s="34">
        <v>5213321493424</v>
      </c>
      <c r="F1731" s="33"/>
      <c r="G1731" s="33" t="s">
        <v>1681</v>
      </c>
      <c r="H1731" s="35">
        <v>54806110828</v>
      </c>
      <c r="I1731" s="33"/>
      <c r="J1731" s="36"/>
      <c r="K1731" t="s">
        <v>30</v>
      </c>
      <c r="L1731" s="111">
        <v>7116.73</v>
      </c>
      <c r="M1731" s="111">
        <v>2126.41</v>
      </c>
      <c r="N1731" s="3">
        <f>L1731*0.3</f>
        <v>2135.0189999999998</v>
      </c>
      <c r="O1731" s="3">
        <f>(IF(L1731&lt;4172.98,0,MIN(L1731*0.3,L1731-4172.98)))-M1731</f>
        <v>8.6089999999999236</v>
      </c>
      <c r="P1731" s="6">
        <v>46966</v>
      </c>
      <c r="Q1731" t="s">
        <v>210</v>
      </c>
      <c r="R1731" s="3">
        <v>1247.4100000000001</v>
      </c>
      <c r="S1731" s="3" t="s">
        <v>204</v>
      </c>
      <c r="V1731" s="51">
        <v>0.48541666666666666</v>
      </c>
    </row>
    <row r="1732" spans="1:25">
      <c r="A1732" s="30">
        <v>24297940</v>
      </c>
      <c r="B1732" s="31">
        <v>46272</v>
      </c>
      <c r="C1732" s="32">
        <v>0.49319444444444444</v>
      </c>
      <c r="D1732" s="33"/>
      <c r="E1732" s="34">
        <v>5212221248111</v>
      </c>
      <c r="F1732" s="33"/>
      <c r="G1732" s="33" t="s">
        <v>1682</v>
      </c>
      <c r="H1732" s="35"/>
      <c r="I1732" s="33"/>
      <c r="J1732" s="36"/>
      <c r="K1732" t="s">
        <v>54</v>
      </c>
      <c r="L1732" s="3">
        <v>9760.32</v>
      </c>
      <c r="N1732" s="3">
        <f>L1732*0.3</f>
        <v>2928.096</v>
      </c>
      <c r="O1732" s="3">
        <f>(IF(L1732&lt;4172.98,0,MIN(L1732*0.3,L1732-4172.98)))-M1732</f>
        <v>2928.096</v>
      </c>
      <c r="S1732" s="3" t="s">
        <v>348</v>
      </c>
      <c r="T1732" s="48">
        <v>46272</v>
      </c>
      <c r="V1732" s="51">
        <v>0.49375000000000002</v>
      </c>
      <c r="W1732" s="51">
        <v>0.53611111111111109</v>
      </c>
      <c r="X1732" s="51">
        <v>0.58402777777777781</v>
      </c>
      <c r="Y1732" s="51">
        <v>0.58750000000000002</v>
      </c>
    </row>
    <row r="1733" spans="1:25">
      <c r="A1733" s="12">
        <v>24297932</v>
      </c>
      <c r="B1733" s="13">
        <v>46272</v>
      </c>
      <c r="C1733" s="14">
        <v>0.49513888888888891</v>
      </c>
      <c r="D1733" s="15"/>
      <c r="E1733" s="16">
        <v>5219991068367</v>
      </c>
      <c r="F1733" s="15"/>
      <c r="G1733" s="15"/>
      <c r="H1733" s="17" t="s">
        <v>1683</v>
      </c>
      <c r="I1733" s="15"/>
      <c r="J1733" s="18"/>
      <c r="K1733" t="s">
        <v>38</v>
      </c>
      <c r="L1733" s="111">
        <v>9760.32</v>
      </c>
      <c r="M1733" s="111">
        <v>2335.4299999999998</v>
      </c>
      <c r="N1733" s="3">
        <f t="shared" ref="N1733:N1736" si="196">L1733*0.3</f>
        <v>2928.096</v>
      </c>
      <c r="O1733" s="3">
        <f t="shared" ref="O1733:O1736" si="197">(IF(L1733&lt;4172.98,0,MIN(L1733*0.3,L1733-4172.98)))-M1733</f>
        <v>592.66600000000017</v>
      </c>
      <c r="P1733" s="6">
        <v>46661</v>
      </c>
      <c r="Q1733" t="s">
        <v>43</v>
      </c>
      <c r="R1733" s="111">
        <v>2335.4299999999998</v>
      </c>
      <c r="S1733" s="3" t="s">
        <v>266</v>
      </c>
      <c r="T1733" s="48">
        <v>46272</v>
      </c>
      <c r="V1733" s="51">
        <v>0.50555555555555554</v>
      </c>
      <c r="W1733" s="51">
        <v>0.53749999999999998</v>
      </c>
      <c r="X1733" s="51">
        <v>0.59444444444444444</v>
      </c>
      <c r="Y1733" s="51">
        <v>0.63402777777777775</v>
      </c>
    </row>
    <row r="1734" spans="1:25">
      <c r="A1734" s="12">
        <v>24298046</v>
      </c>
      <c r="B1734" s="13">
        <v>46272</v>
      </c>
      <c r="C1734" s="14">
        <v>0.49971064814814814</v>
      </c>
      <c r="D1734" s="15"/>
      <c r="E1734" s="16">
        <v>5218662775441</v>
      </c>
      <c r="F1734" s="15"/>
      <c r="G1734" s="15"/>
      <c r="H1734" s="17">
        <v>32927228026</v>
      </c>
      <c r="I1734" s="15"/>
      <c r="J1734" s="18"/>
      <c r="K1734" t="s">
        <v>27</v>
      </c>
      <c r="L1734" s="111">
        <v>17759.02</v>
      </c>
      <c r="M1734" s="111">
        <v>3980</v>
      </c>
      <c r="N1734" s="3">
        <f t="shared" si="196"/>
        <v>5327.7060000000001</v>
      </c>
      <c r="O1734" s="3">
        <f t="shared" si="197"/>
        <v>1347.7060000000001</v>
      </c>
      <c r="P1734" s="6">
        <v>45597</v>
      </c>
      <c r="Q1734" t="s">
        <v>184</v>
      </c>
      <c r="R1734" s="111">
        <v>3980</v>
      </c>
      <c r="S1734" s="3" t="s">
        <v>548</v>
      </c>
      <c r="T1734" s="48">
        <v>46272</v>
      </c>
      <c r="V1734" s="51">
        <v>0.50555555555555554</v>
      </c>
      <c r="W1734" s="51">
        <v>0.54027777777777775</v>
      </c>
      <c r="X1734" s="51">
        <v>0.63749999999999996</v>
      </c>
      <c r="Y1734" s="51">
        <v>0.64097222222222228</v>
      </c>
    </row>
    <row r="1735" spans="1:25" hidden="1">
      <c r="A1735" s="12">
        <v>24298092</v>
      </c>
      <c r="B1735" s="13">
        <v>46272</v>
      </c>
      <c r="C1735" s="14">
        <v>0.50462962962962965</v>
      </c>
      <c r="D1735" s="15"/>
      <c r="E1735" s="16">
        <v>5216678730977</v>
      </c>
      <c r="F1735" s="15"/>
      <c r="G1735" s="15" t="s">
        <v>1684</v>
      </c>
      <c r="H1735" s="17"/>
      <c r="I1735" s="15"/>
      <c r="J1735" s="18"/>
      <c r="K1735" t="s">
        <v>32</v>
      </c>
      <c r="N1735" s="3">
        <f t="shared" si="196"/>
        <v>0</v>
      </c>
      <c r="O1735" s="3">
        <f t="shared" si="197"/>
        <v>0</v>
      </c>
      <c r="S1735" s="3" t="s">
        <v>204</v>
      </c>
      <c r="V1735" s="51">
        <v>0.50555555555555554</v>
      </c>
    </row>
    <row r="1736" spans="1:25">
      <c r="A1736" s="30">
        <v>24298230</v>
      </c>
      <c r="B1736" s="31">
        <v>46272</v>
      </c>
      <c r="C1736" s="32">
        <v>0.50601851851851853</v>
      </c>
      <c r="D1736" s="33"/>
      <c r="E1736" s="34">
        <v>5214775780425</v>
      </c>
      <c r="F1736" s="33"/>
      <c r="G1736" s="33"/>
      <c r="H1736" s="35">
        <v>12966511722</v>
      </c>
      <c r="I1736" s="33"/>
      <c r="J1736" s="36"/>
      <c r="K1736" t="s">
        <v>54</v>
      </c>
      <c r="L1736" s="111">
        <v>14461.55</v>
      </c>
      <c r="M1736" s="111">
        <v>2819.44</v>
      </c>
      <c r="N1736" s="3">
        <f t="shared" si="196"/>
        <v>4338.4649999999992</v>
      </c>
      <c r="O1736" s="3">
        <f t="shared" si="197"/>
        <v>1519.0249999999992</v>
      </c>
      <c r="P1736" s="6">
        <v>46692</v>
      </c>
      <c r="Q1736" t="s">
        <v>75</v>
      </c>
      <c r="R1736" s="111">
        <v>2819.44</v>
      </c>
      <c r="S1736" s="3" t="s">
        <v>358</v>
      </c>
      <c r="T1736" s="48">
        <v>46272</v>
      </c>
      <c r="V1736" s="51">
        <v>0.50555555555555554</v>
      </c>
      <c r="W1736" s="51">
        <v>0.53194444444444444</v>
      </c>
      <c r="X1736" s="51">
        <v>0.54861111111111116</v>
      </c>
      <c r="Y1736" s="51">
        <v>0.55694444444444446</v>
      </c>
    </row>
    <row r="1737" spans="1:25" hidden="1">
      <c r="A1737" s="12">
        <v>24298284</v>
      </c>
      <c r="B1737" s="13">
        <v>46272</v>
      </c>
      <c r="C1737" s="14">
        <v>0.50967592592592592</v>
      </c>
      <c r="D1737" s="15"/>
      <c r="E1737" s="16">
        <v>5219191727669</v>
      </c>
      <c r="F1737" s="15"/>
      <c r="G1737" s="15" t="s">
        <v>1685</v>
      </c>
      <c r="H1737" s="17"/>
      <c r="I1737" s="15"/>
      <c r="J1737" s="18"/>
      <c r="K1737" t="s">
        <v>32</v>
      </c>
      <c r="N1737" s="3">
        <f t="shared" ref="N1737:N1741" si="198">L1737*0.3</f>
        <v>0</v>
      </c>
      <c r="O1737" s="3">
        <f t="shared" ref="O1737:O1741" si="199">(IF(L1737&lt;4172.98,0,MIN(L1737*0.3,L1737-4172.98)))-M1737</f>
        <v>0</v>
      </c>
      <c r="S1737" s="3" t="s">
        <v>204</v>
      </c>
      <c r="V1737" s="51">
        <v>0.52638888888888891</v>
      </c>
    </row>
    <row r="1738" spans="1:25">
      <c r="A1738" s="12">
        <v>24298214</v>
      </c>
      <c r="B1738" s="13">
        <v>46272</v>
      </c>
      <c r="C1738" s="14">
        <v>0.51399305555555552</v>
      </c>
      <c r="D1738" s="15"/>
      <c r="E1738" s="16">
        <v>5215571465908</v>
      </c>
      <c r="F1738" s="15"/>
      <c r="G1738" s="15"/>
      <c r="H1738" s="17">
        <v>45957904423</v>
      </c>
      <c r="I1738" s="15"/>
      <c r="J1738" s="18"/>
      <c r="K1738" t="s">
        <v>54</v>
      </c>
      <c r="L1738" s="3">
        <v>9698.31</v>
      </c>
      <c r="N1738" s="3">
        <f t="shared" si="198"/>
        <v>2909.4929999999999</v>
      </c>
      <c r="O1738" s="3">
        <f t="shared" si="199"/>
        <v>2909.4929999999999</v>
      </c>
      <c r="S1738" s="3" t="s">
        <v>35</v>
      </c>
      <c r="T1738" s="48">
        <v>46272</v>
      </c>
      <c r="V1738" s="51">
        <v>0.52638888888888891</v>
      </c>
      <c r="W1738" s="51">
        <v>0.54097222222222219</v>
      </c>
      <c r="X1738" s="51">
        <v>0.59791666666666665</v>
      </c>
      <c r="Y1738" s="51">
        <v>0.6</v>
      </c>
    </row>
    <row r="1739" spans="1:25" hidden="1">
      <c r="A1739" s="12">
        <v>24298556</v>
      </c>
      <c r="B1739" s="13">
        <v>46272</v>
      </c>
      <c r="C1739" s="14">
        <v>0.5172106481481481</v>
      </c>
      <c r="D1739" s="15"/>
      <c r="E1739" s="16">
        <v>5214441361133</v>
      </c>
      <c r="F1739" s="15"/>
      <c r="G1739" s="15"/>
      <c r="H1739" s="17">
        <v>41825102167</v>
      </c>
      <c r="I1739" s="15"/>
      <c r="J1739" s="18"/>
      <c r="K1739" t="s">
        <v>30</v>
      </c>
      <c r="L1739" s="111">
        <v>6817.41</v>
      </c>
      <c r="M1739" s="111">
        <v>1972.23</v>
      </c>
      <c r="N1739" s="3">
        <f t="shared" si="198"/>
        <v>2045.223</v>
      </c>
      <c r="O1739" s="3">
        <f t="shared" si="199"/>
        <v>72.992999999999938</v>
      </c>
      <c r="P1739" s="6">
        <v>46692</v>
      </c>
      <c r="Q1739" t="s">
        <v>47</v>
      </c>
      <c r="R1739" s="3">
        <v>1842</v>
      </c>
      <c r="S1739" s="3" t="s">
        <v>204</v>
      </c>
      <c r="V1739" s="51">
        <v>0.52638888888888891</v>
      </c>
    </row>
    <row r="1740" spans="1:25">
      <c r="A1740" s="12">
        <v>24298262</v>
      </c>
      <c r="B1740" s="13">
        <v>46272</v>
      </c>
      <c r="C1740" s="14">
        <v>0.51951388888888894</v>
      </c>
      <c r="D1740" s="15"/>
      <c r="E1740" s="16">
        <v>5216562662511</v>
      </c>
      <c r="F1740" s="15"/>
      <c r="G1740" s="15" t="s">
        <v>1686</v>
      </c>
      <c r="H1740" s="17"/>
      <c r="I1740" s="15"/>
      <c r="J1740" s="18"/>
      <c r="K1740" t="s">
        <v>54</v>
      </c>
      <c r="L1740" s="111">
        <v>11823.68</v>
      </c>
      <c r="M1740" s="111">
        <v>1838.41</v>
      </c>
      <c r="N1740" s="3">
        <f t="shared" si="198"/>
        <v>3547.1039999999998</v>
      </c>
      <c r="O1740" s="3">
        <f t="shared" si="199"/>
        <v>1708.6939999999997</v>
      </c>
      <c r="P1740" s="6">
        <v>46874</v>
      </c>
      <c r="Q1740" t="s">
        <v>44</v>
      </c>
      <c r="R1740" s="111">
        <v>1838.41</v>
      </c>
      <c r="S1740" s="3" t="s">
        <v>358</v>
      </c>
      <c r="T1740" s="48">
        <v>46272</v>
      </c>
      <c r="V1740" s="51">
        <v>0.52638888888888891</v>
      </c>
      <c r="W1740" s="51">
        <v>0.54374999999999996</v>
      </c>
      <c r="X1740" s="51">
        <v>0.57708333333333328</v>
      </c>
      <c r="Y1740" s="51">
        <v>0.62083333333333335</v>
      </c>
    </row>
    <row r="1741" spans="1:25">
      <c r="A1741" s="30">
        <v>24298708</v>
      </c>
      <c r="B1741" s="31">
        <v>46272</v>
      </c>
      <c r="C1741" s="32">
        <v>0.52190972222222221</v>
      </c>
      <c r="D1741" s="33" t="s">
        <v>1687</v>
      </c>
      <c r="E1741" s="34">
        <v>5215611428519</v>
      </c>
      <c r="F1741" s="33"/>
      <c r="G1741" s="33"/>
      <c r="H1741" s="35">
        <v>13916609046</v>
      </c>
      <c r="I1741" s="33"/>
      <c r="J1741" s="36"/>
      <c r="K1741" t="s">
        <v>54</v>
      </c>
      <c r="L1741" s="3">
        <v>10774.86</v>
      </c>
      <c r="N1741" s="3">
        <f t="shared" si="198"/>
        <v>3232.4580000000001</v>
      </c>
      <c r="O1741" s="3">
        <f t="shared" si="199"/>
        <v>3232.4580000000001</v>
      </c>
      <c r="S1741" s="3" t="s">
        <v>327</v>
      </c>
      <c r="T1741" s="48">
        <v>46272</v>
      </c>
      <c r="V1741" s="51">
        <v>0.52638888888888891</v>
      </c>
      <c r="W1741" s="51">
        <v>0.54027777777777775</v>
      </c>
      <c r="X1741" s="51">
        <v>0.58263888888888893</v>
      </c>
      <c r="Y1741" s="51">
        <v>0.58611111111111114</v>
      </c>
    </row>
    <row r="1742" spans="1:25" hidden="1">
      <c r="A1742" s="30">
        <v>24298746</v>
      </c>
      <c r="B1742" s="31">
        <v>46272</v>
      </c>
      <c r="C1742" s="32">
        <v>0.52408564814814818</v>
      </c>
      <c r="D1742" s="33"/>
      <c r="E1742" s="34">
        <v>5217442220216</v>
      </c>
      <c r="F1742" s="33"/>
      <c r="G1742" s="33" t="s">
        <v>1688</v>
      </c>
      <c r="H1742" s="35"/>
      <c r="I1742" s="33"/>
      <c r="J1742" s="36"/>
      <c r="K1742" t="s">
        <v>32</v>
      </c>
      <c r="N1742" s="3">
        <f>L1742*0.3</f>
        <v>0</v>
      </c>
      <c r="O1742" s="3">
        <f>(IF(L1742&lt;4172.98,0,MIN(L1742*0.3,L1742-4172.98)))-M1742</f>
        <v>0</v>
      </c>
      <c r="S1742" s="3" t="s">
        <v>204</v>
      </c>
      <c r="V1742" s="51">
        <v>0.52708333333333335</v>
      </c>
    </row>
    <row r="1743" spans="1:25" hidden="1">
      <c r="A1743" s="12">
        <v>24298958</v>
      </c>
      <c r="B1743" s="13">
        <v>46272</v>
      </c>
      <c r="C1743" s="14">
        <v>0.53175925925925926</v>
      </c>
      <c r="D1743" s="15"/>
      <c r="E1743" s="16">
        <v>5216121028833</v>
      </c>
      <c r="F1743" s="15"/>
      <c r="G1743" s="15" t="s">
        <v>1689</v>
      </c>
      <c r="H1743" s="17"/>
      <c r="I1743" s="15"/>
      <c r="J1743" s="18"/>
      <c r="K1743" t="s">
        <v>30</v>
      </c>
      <c r="L1743" s="111">
        <v>13258.53</v>
      </c>
      <c r="M1743" s="111">
        <f>3513.65+457.74</f>
        <v>3971.3900000000003</v>
      </c>
      <c r="N1743" s="3">
        <f t="shared" ref="N1743:N1749" si="200">L1743*0.3</f>
        <v>3977.5590000000002</v>
      </c>
      <c r="O1743" s="3">
        <f t="shared" ref="O1743:O1749" si="201">(IF(L1743&lt;4172.98,0,MIN(L1743*0.3,L1743-4172.98)))-M1743</f>
        <v>6.168999999999869</v>
      </c>
      <c r="P1743" s="6">
        <v>46905</v>
      </c>
      <c r="Q1743" t="s">
        <v>43</v>
      </c>
      <c r="R1743" s="3">
        <v>1850.79</v>
      </c>
      <c r="S1743" s="3" t="s">
        <v>204</v>
      </c>
      <c r="V1743" s="51">
        <v>0.5444444444444444</v>
      </c>
    </row>
    <row r="1744" spans="1:25">
      <c r="A1744" s="12">
        <v>24298904</v>
      </c>
      <c r="B1744" s="13">
        <v>46272</v>
      </c>
      <c r="C1744" s="14">
        <v>0.53280092592592587</v>
      </c>
      <c r="D1744" s="15"/>
      <c r="E1744" s="16">
        <v>5217671025549</v>
      </c>
      <c r="F1744" s="15"/>
      <c r="G1744" s="15" t="s">
        <v>1690</v>
      </c>
      <c r="H1744" s="17">
        <v>53916401812</v>
      </c>
      <c r="I1744" s="15"/>
      <c r="J1744" s="18"/>
      <c r="K1744" t="s">
        <v>54</v>
      </c>
      <c r="L1744" s="3">
        <f>44673.47-34036</f>
        <v>10637.470000000001</v>
      </c>
      <c r="N1744" s="3">
        <f t="shared" si="200"/>
        <v>3191.2410000000004</v>
      </c>
      <c r="O1744" s="3">
        <f t="shared" si="201"/>
        <v>3191.2410000000004</v>
      </c>
      <c r="S1744" s="3" t="s">
        <v>886</v>
      </c>
      <c r="T1744" s="48">
        <v>46272</v>
      </c>
      <c r="V1744" s="51">
        <v>0.5444444444444444</v>
      </c>
      <c r="W1744" s="51">
        <v>0.55347222222222225</v>
      </c>
      <c r="X1744" s="51">
        <v>0.59652777777777777</v>
      </c>
      <c r="Y1744" s="51">
        <v>0.60069444444444442</v>
      </c>
    </row>
    <row r="1745" spans="1:25" hidden="1">
      <c r="A1745" s="12">
        <v>24299142</v>
      </c>
      <c r="B1745" s="13">
        <v>46272</v>
      </c>
      <c r="C1745" s="14">
        <v>0.53339120370370374</v>
      </c>
      <c r="D1745" s="15"/>
      <c r="E1745" s="16">
        <v>5212722159108</v>
      </c>
      <c r="F1745" s="15"/>
      <c r="G1745" s="15"/>
      <c r="H1745" s="17" t="s">
        <v>1691</v>
      </c>
      <c r="I1745" s="15"/>
      <c r="J1745" s="18"/>
      <c r="K1745" t="s">
        <v>32</v>
      </c>
      <c r="N1745" s="3">
        <f t="shared" si="200"/>
        <v>0</v>
      </c>
      <c r="O1745" s="3">
        <f t="shared" si="201"/>
        <v>0</v>
      </c>
      <c r="S1745" s="3" t="s">
        <v>204</v>
      </c>
      <c r="V1745" s="51">
        <v>0.5444444444444444</v>
      </c>
    </row>
    <row r="1746" spans="1:25" hidden="1">
      <c r="A1746" s="12">
        <v>24298986</v>
      </c>
      <c r="B1746" s="13">
        <v>46272</v>
      </c>
      <c r="C1746" s="14">
        <v>0.53606481481481483</v>
      </c>
      <c r="D1746" s="15"/>
      <c r="E1746" s="16">
        <v>5215520661284</v>
      </c>
      <c r="F1746" s="15"/>
      <c r="G1746" s="15" t="s">
        <v>1692</v>
      </c>
      <c r="H1746" s="17"/>
      <c r="I1746" s="15"/>
      <c r="J1746" s="18"/>
      <c r="K1746" t="s">
        <v>30</v>
      </c>
      <c r="L1746" s="111">
        <v>4840.5</v>
      </c>
      <c r="M1746" s="111">
        <v>628.62</v>
      </c>
      <c r="N1746" s="3">
        <f t="shared" si="200"/>
        <v>1452.1499999999999</v>
      </c>
      <c r="O1746" s="3">
        <f t="shared" si="201"/>
        <v>38.900000000000432</v>
      </c>
      <c r="P1746" s="6">
        <v>46722</v>
      </c>
      <c r="Q1746" t="s">
        <v>43</v>
      </c>
      <c r="R1746" s="111">
        <v>628.62</v>
      </c>
      <c r="S1746" s="3" t="s">
        <v>204</v>
      </c>
      <c r="V1746" s="51">
        <v>0.5444444444444444</v>
      </c>
    </row>
    <row r="1747" spans="1:25">
      <c r="A1747" s="12">
        <v>24299076</v>
      </c>
      <c r="B1747" s="13">
        <v>46272</v>
      </c>
      <c r="C1747" s="14">
        <v>0.53689814814814818</v>
      </c>
      <c r="D1747" s="15"/>
      <c r="E1747" s="16">
        <v>5218132386861</v>
      </c>
      <c r="F1747" s="15"/>
      <c r="G1747" s="15"/>
      <c r="H1747" s="17" t="s">
        <v>1693</v>
      </c>
      <c r="I1747" s="15"/>
      <c r="J1747" s="18"/>
      <c r="K1747" t="s">
        <v>27</v>
      </c>
      <c r="L1747" s="111">
        <v>7920.51</v>
      </c>
      <c r="M1747" s="111">
        <v>2197.7199999999998</v>
      </c>
      <c r="N1747" s="3">
        <f t="shared" si="200"/>
        <v>2376.1529999999998</v>
      </c>
      <c r="O1747" s="3">
        <f t="shared" si="201"/>
        <v>178.43299999999999</v>
      </c>
      <c r="P1747" s="6">
        <v>46143</v>
      </c>
      <c r="Q1747" t="s">
        <v>44</v>
      </c>
      <c r="R1747" s="111">
        <v>2197.7199999999998</v>
      </c>
      <c r="S1747" s="3" t="s">
        <v>548</v>
      </c>
      <c r="T1747" s="48">
        <v>46272</v>
      </c>
      <c r="V1747" s="51">
        <v>0.5444444444444444</v>
      </c>
      <c r="W1747" s="51">
        <v>0.55486111111111114</v>
      </c>
      <c r="X1747" s="51">
        <v>0.63888888888888884</v>
      </c>
      <c r="Y1747" s="51">
        <v>0.64097222222222228</v>
      </c>
    </row>
    <row r="1748" spans="1:25" hidden="1">
      <c r="A1748" s="12">
        <v>24299208</v>
      </c>
      <c r="B1748" s="13">
        <v>46272</v>
      </c>
      <c r="C1748" s="14">
        <v>0.53699074074074071</v>
      </c>
      <c r="D1748" s="15"/>
      <c r="E1748" s="16">
        <v>5212281165739</v>
      </c>
      <c r="F1748" s="15"/>
      <c r="G1748" s="15" t="s">
        <v>1694</v>
      </c>
      <c r="H1748" s="17"/>
      <c r="I1748" s="15"/>
      <c r="J1748" s="18"/>
      <c r="K1748" t="s">
        <v>32</v>
      </c>
      <c r="N1748" s="3">
        <f t="shared" si="200"/>
        <v>0</v>
      </c>
      <c r="O1748" s="3">
        <f t="shared" si="201"/>
        <v>0</v>
      </c>
      <c r="S1748" s="3" t="s">
        <v>204</v>
      </c>
      <c r="V1748" s="51">
        <v>0.5444444444444444</v>
      </c>
    </row>
    <row r="1749" spans="1:25" hidden="1">
      <c r="A1749" s="30">
        <v>24299184</v>
      </c>
      <c r="B1749" s="31">
        <v>46272</v>
      </c>
      <c r="C1749" s="32">
        <v>0.54037037037037039</v>
      </c>
      <c r="D1749" s="33"/>
      <c r="E1749" s="34">
        <v>5214434204798</v>
      </c>
      <c r="F1749" s="33"/>
      <c r="G1749" s="33"/>
      <c r="H1749" s="35" t="s">
        <v>1695</v>
      </c>
      <c r="I1749" s="33"/>
      <c r="J1749" s="36"/>
      <c r="K1749" t="s">
        <v>58</v>
      </c>
      <c r="L1749" s="111">
        <v>4199.87</v>
      </c>
      <c r="M1749" s="111">
        <v>848</v>
      </c>
      <c r="N1749" s="3">
        <f t="shared" si="200"/>
        <v>1259.961</v>
      </c>
      <c r="O1749" s="3">
        <f t="shared" si="201"/>
        <v>-821.10999999999967</v>
      </c>
      <c r="S1749" s="3" t="s">
        <v>204</v>
      </c>
      <c r="V1749" s="51">
        <v>0.5444444444444444</v>
      </c>
    </row>
    <row r="1750" spans="1:25" hidden="1">
      <c r="A1750" s="30">
        <v>24299702</v>
      </c>
      <c r="B1750" s="31">
        <v>46272</v>
      </c>
      <c r="C1750" s="32">
        <v>0.55841435185185184</v>
      </c>
      <c r="D1750" s="33"/>
      <c r="E1750" s="34">
        <v>5218661128139</v>
      </c>
      <c r="F1750" s="33"/>
      <c r="G1750" s="33" t="s">
        <v>1696</v>
      </c>
      <c r="H1750" s="35"/>
      <c r="I1750" s="33"/>
      <c r="J1750" s="36"/>
      <c r="K1750" t="s">
        <v>32</v>
      </c>
      <c r="N1750" s="3">
        <f>L1750*0.3</f>
        <v>0</v>
      </c>
      <c r="O1750" s="3">
        <f>(IF(L1750&lt;4172.98,0,MIN(L1750*0.3,L1750-4172.98)))-M1750</f>
        <v>0</v>
      </c>
      <c r="S1750" s="3" t="s">
        <v>204</v>
      </c>
      <c r="V1750" s="51">
        <v>0.56388888888888888</v>
      </c>
    </row>
    <row r="1751" spans="1:25" hidden="1">
      <c r="A1751" s="30">
        <v>24299654</v>
      </c>
      <c r="B1751" s="31">
        <v>46272</v>
      </c>
      <c r="C1751" s="32">
        <v>0.56495370370370368</v>
      </c>
      <c r="D1751" s="33" t="s">
        <v>1697</v>
      </c>
      <c r="E1751" s="34">
        <v>5215574947018</v>
      </c>
      <c r="F1751" s="33"/>
      <c r="G1751" s="33"/>
      <c r="H1751" s="35" t="s">
        <v>1698</v>
      </c>
      <c r="I1751" s="33"/>
      <c r="J1751" s="36"/>
      <c r="K1751" t="s">
        <v>32</v>
      </c>
      <c r="N1751" s="3">
        <f>L1751*0.3</f>
        <v>0</v>
      </c>
      <c r="O1751" s="3">
        <f>(IF(L1751&lt;4172.98,0,MIN(L1751*0.3,L1751-4172.98)))-M1751</f>
        <v>0</v>
      </c>
      <c r="S1751" s="3" t="s">
        <v>204</v>
      </c>
      <c r="V1751" s="51">
        <v>0.5708333333333333</v>
      </c>
    </row>
    <row r="1752" spans="1:25" hidden="1">
      <c r="A1752" s="12">
        <v>24300516</v>
      </c>
      <c r="B1752" s="13">
        <v>46272</v>
      </c>
      <c r="C1752" s="14">
        <v>0.59012731481481484</v>
      </c>
      <c r="D1752" s="15"/>
      <c r="E1752" s="16">
        <v>5217911131374</v>
      </c>
      <c r="F1752" s="15"/>
      <c r="G1752" s="15"/>
      <c r="H1752" s="17">
        <v>13917026851</v>
      </c>
      <c r="I1752" s="15"/>
      <c r="J1752" s="18"/>
      <c r="K1752" t="s">
        <v>30</v>
      </c>
      <c r="L1752" s="111">
        <v>8616.58</v>
      </c>
      <c r="M1752" s="111">
        <v>2492.92</v>
      </c>
      <c r="N1752" s="3">
        <f t="shared" ref="N1752:N1754" si="202">L1752*0.3</f>
        <v>2584.9739999999997</v>
      </c>
      <c r="O1752" s="3">
        <f t="shared" ref="O1752:O1754" si="203">(IF(L1752&lt;4172.98,0,MIN(L1752*0.3,L1752-4172.98)))-M1752</f>
        <v>92.053999999999633</v>
      </c>
      <c r="P1752" s="6">
        <v>46539</v>
      </c>
      <c r="Q1752" t="s">
        <v>57</v>
      </c>
      <c r="R1752" s="3">
        <v>1968.92</v>
      </c>
      <c r="S1752" s="3" t="s">
        <v>204</v>
      </c>
      <c r="V1752" s="51">
        <v>0.59513888888888888</v>
      </c>
    </row>
    <row r="1753" spans="1:25" hidden="1">
      <c r="A1753" s="12">
        <v>24300348</v>
      </c>
      <c r="B1753" s="13">
        <v>46272</v>
      </c>
      <c r="C1753" s="14">
        <v>0.59121527777777783</v>
      </c>
      <c r="D1753" s="15"/>
      <c r="E1753" s="16">
        <v>5212961093889</v>
      </c>
      <c r="F1753" s="15"/>
      <c r="G1753" s="15" t="s">
        <v>1699</v>
      </c>
      <c r="H1753" s="17"/>
      <c r="I1753" s="15"/>
      <c r="J1753" s="18"/>
      <c r="K1753" t="s">
        <v>30</v>
      </c>
      <c r="L1753" s="111">
        <v>9760.32</v>
      </c>
      <c r="M1753" s="111">
        <v>2927.85</v>
      </c>
      <c r="N1753" s="3">
        <f t="shared" si="202"/>
        <v>2928.096</v>
      </c>
      <c r="O1753" s="3">
        <f t="shared" si="203"/>
        <v>0.24600000000009459</v>
      </c>
      <c r="P1753" s="6">
        <v>46905</v>
      </c>
      <c r="Q1753" t="s">
        <v>44</v>
      </c>
      <c r="R1753" s="111">
        <v>2927.85</v>
      </c>
      <c r="S1753" s="3" t="s">
        <v>204</v>
      </c>
      <c r="V1753" s="51">
        <v>0.59513888888888888</v>
      </c>
    </row>
    <row r="1754" spans="1:25" hidden="1">
      <c r="A1754" s="30">
        <v>24300426</v>
      </c>
      <c r="B1754" s="31">
        <v>46272</v>
      </c>
      <c r="C1754" s="32">
        <v>0.59146990740740746</v>
      </c>
      <c r="D1754" s="33"/>
      <c r="E1754" s="34">
        <v>5216145470765</v>
      </c>
      <c r="F1754" s="33"/>
      <c r="G1754" s="33"/>
      <c r="H1754" s="35">
        <v>33847001725</v>
      </c>
      <c r="I1754" s="33"/>
      <c r="J1754" s="36"/>
      <c r="K1754" t="s">
        <v>58</v>
      </c>
      <c r="L1754" s="3">
        <v>4082.36</v>
      </c>
      <c r="N1754" s="3">
        <f t="shared" si="202"/>
        <v>1224.7080000000001</v>
      </c>
      <c r="O1754" s="3">
        <f t="shared" si="203"/>
        <v>0</v>
      </c>
      <c r="S1754" s="3" t="s">
        <v>204</v>
      </c>
      <c r="V1754" s="51">
        <v>0.59513888888888888</v>
      </c>
    </row>
    <row r="1755" spans="1:25">
      <c r="A1755" s="30">
        <v>24300612</v>
      </c>
      <c r="B1755" s="31">
        <v>46272</v>
      </c>
      <c r="C1755" s="32">
        <v>0.60040509259259256</v>
      </c>
      <c r="D1755" s="33"/>
      <c r="E1755" s="34">
        <v>5218994175260</v>
      </c>
      <c r="F1755" s="33"/>
      <c r="G1755" s="33"/>
      <c r="H1755" s="35" t="s">
        <v>1700</v>
      </c>
      <c r="I1755" s="33"/>
      <c r="J1755" s="36"/>
      <c r="K1755" t="s">
        <v>54</v>
      </c>
      <c r="L1755" s="111">
        <v>23430.43</v>
      </c>
      <c r="M1755" s="111">
        <v>5381.35</v>
      </c>
      <c r="N1755" s="3">
        <f>L1755*0.3</f>
        <v>7029.1289999999999</v>
      </c>
      <c r="O1755" s="3">
        <f>(IF(L1755&lt;4172.98,0,MIN(L1755*0.3,L1755-4172.98)))-M1755</f>
        <v>1647.7789999999995</v>
      </c>
      <c r="P1755" s="6">
        <v>46784</v>
      </c>
      <c r="Q1755" t="s">
        <v>75</v>
      </c>
      <c r="R1755" s="3">
        <v>3770.29</v>
      </c>
      <c r="S1755" s="3" t="s">
        <v>886</v>
      </c>
      <c r="T1755" s="48">
        <v>46272</v>
      </c>
      <c r="V1755" s="51">
        <v>0.60833333333333328</v>
      </c>
      <c r="W1755" s="51">
        <v>0.61527777777777781</v>
      </c>
      <c r="X1755" s="51">
        <v>0.64652777777777781</v>
      </c>
      <c r="Y1755" s="51">
        <v>0.67152777777777772</v>
      </c>
    </row>
    <row r="1756" spans="1:25" hidden="1">
      <c r="A1756" s="30">
        <v>24301572</v>
      </c>
      <c r="B1756" s="31">
        <v>46272</v>
      </c>
      <c r="C1756" s="32">
        <v>0.63078703703703709</v>
      </c>
      <c r="D1756" s="33" t="s">
        <v>1701</v>
      </c>
      <c r="E1756" s="34">
        <v>5212294504749</v>
      </c>
      <c r="F1756" s="33"/>
      <c r="G1756" s="33"/>
      <c r="H1756" s="35">
        <v>65826505797</v>
      </c>
      <c r="I1756" s="33"/>
      <c r="J1756" s="36"/>
      <c r="K1756" t="s">
        <v>30</v>
      </c>
      <c r="L1756" s="111">
        <v>9760.32</v>
      </c>
      <c r="M1756" s="111">
        <v>2928.1</v>
      </c>
      <c r="N1756" s="3">
        <f>L1756*0.3</f>
        <v>2928.096</v>
      </c>
      <c r="O1756" s="3">
        <f>(IF(L1756&lt;4172.98,0,MIN(L1756*0.3,L1756-4172.98)))-M1756</f>
        <v>-3.9999999999054126E-3</v>
      </c>
      <c r="P1756" s="6">
        <v>46935</v>
      </c>
      <c r="Q1756" t="s">
        <v>44</v>
      </c>
      <c r="R1756" s="3">
        <v>2049.1</v>
      </c>
      <c r="S1756" s="3" t="s">
        <v>204</v>
      </c>
      <c r="V1756" s="51">
        <v>0.63124999999999998</v>
      </c>
    </row>
    <row r="1757" spans="1:25" hidden="1">
      <c r="A1757" s="30">
        <v>24301722</v>
      </c>
      <c r="B1757" s="31">
        <v>46272</v>
      </c>
      <c r="C1757" s="32">
        <v>0.63510416666666669</v>
      </c>
      <c r="D1757" s="33" t="s">
        <v>1702</v>
      </c>
      <c r="E1757" s="34">
        <v>5219994144730</v>
      </c>
      <c r="F1757" s="33"/>
      <c r="G1757" s="33"/>
      <c r="H1757" s="35" t="s">
        <v>1703</v>
      </c>
      <c r="I1757" s="33"/>
      <c r="J1757" s="36"/>
      <c r="K1757" t="s">
        <v>58</v>
      </c>
      <c r="L1757" s="3">
        <f>3965.69+848</f>
        <v>4813.6900000000005</v>
      </c>
      <c r="M1757" s="3">
        <v>848</v>
      </c>
      <c r="N1757" s="3">
        <f>L1757*0.3</f>
        <v>1444.1070000000002</v>
      </c>
      <c r="O1757" s="3">
        <f>(IF(L1757&lt;4172.98,0,MIN(L1757*0.3,L1757-4172.98)))-M1757</f>
        <v>-207.28999999999905</v>
      </c>
      <c r="S1757" s="3" t="s">
        <v>204</v>
      </c>
      <c r="V1757" s="51">
        <v>0.64027777777777772</v>
      </c>
    </row>
    <row r="1758" spans="1:25">
      <c r="A1758" s="30">
        <v>24301858</v>
      </c>
      <c r="B1758" s="31">
        <v>46272</v>
      </c>
      <c r="C1758" s="32">
        <v>0.64119212962962968</v>
      </c>
      <c r="D1758" s="33"/>
      <c r="E1758" s="34">
        <v>5213317137917</v>
      </c>
      <c r="F1758" s="33"/>
      <c r="G1758" s="33"/>
      <c r="H1758" s="35">
        <v>56917527824</v>
      </c>
      <c r="I1758" s="33"/>
      <c r="J1758" s="36"/>
      <c r="K1758" t="s">
        <v>54</v>
      </c>
      <c r="L1758" s="3">
        <v>5983.28</v>
      </c>
      <c r="N1758" s="3">
        <f>L1758*0.3</f>
        <v>1794.9839999999999</v>
      </c>
      <c r="O1758" s="3">
        <f>(IF(L1758&lt;4172.98,0,MIN(L1758*0.3,L1758-4172.98)))-M1758</f>
        <v>1794.9839999999999</v>
      </c>
      <c r="S1758" s="3" t="s">
        <v>327</v>
      </c>
      <c r="T1758" s="48">
        <v>46272</v>
      </c>
      <c r="V1758" s="51">
        <v>0.6430555555555556</v>
      </c>
      <c r="W1758" s="51">
        <v>0.64861111111111114</v>
      </c>
      <c r="X1758" s="51">
        <v>0.66319444444444442</v>
      </c>
      <c r="Y1758" s="51">
        <v>0.66597222222222219</v>
      </c>
    </row>
    <row r="1759" spans="1:25" hidden="1">
      <c r="A1759" s="30">
        <v>24302048</v>
      </c>
      <c r="B1759" s="31">
        <v>46272</v>
      </c>
      <c r="C1759" s="32">
        <v>0.65085648148148145</v>
      </c>
      <c r="D1759" s="33"/>
      <c r="E1759" s="34">
        <v>5218135670690</v>
      </c>
      <c r="F1759" s="33"/>
      <c r="G1759" s="33"/>
      <c r="H1759" s="35" t="s">
        <v>1704</v>
      </c>
      <c r="I1759" s="33"/>
      <c r="J1759" s="36"/>
      <c r="K1759" t="s">
        <v>32</v>
      </c>
      <c r="N1759" s="3">
        <f>L1759*0.3</f>
        <v>0</v>
      </c>
      <c r="O1759" s="3">
        <f>(IF(L1759&lt;4172.98,0,MIN(L1759*0.3,L1759-4172.98)))-M1759</f>
        <v>0</v>
      </c>
      <c r="S1759" s="3" t="s">
        <v>204</v>
      </c>
      <c r="V1759" s="51">
        <v>0.65138888888888891</v>
      </c>
    </row>
    <row r="1760" spans="1:25" hidden="1">
      <c r="A1760" s="30">
        <v>24302096</v>
      </c>
      <c r="B1760" s="31">
        <v>46272</v>
      </c>
      <c r="C1760" s="32">
        <v>0.65204861111111112</v>
      </c>
      <c r="D1760" s="33"/>
      <c r="E1760" s="34">
        <v>5216642249353</v>
      </c>
      <c r="F1760" s="33"/>
      <c r="G1760" s="33"/>
      <c r="H1760" s="35">
        <v>21775723164</v>
      </c>
      <c r="I1760" s="33"/>
      <c r="J1760" s="36"/>
      <c r="K1760" t="s">
        <v>32</v>
      </c>
      <c r="N1760" s="3">
        <f>L1760*0.3</f>
        <v>0</v>
      </c>
      <c r="O1760" s="3">
        <f>(IF(L1760&lt;4172.98,0,MIN(L1760*0.3,L1760-4172.98)))-M1760</f>
        <v>0</v>
      </c>
      <c r="S1760" s="3" t="s">
        <v>204</v>
      </c>
      <c r="V1760" s="51">
        <v>0.65833333333333333</v>
      </c>
    </row>
    <row r="1761" spans="1:25">
      <c r="A1761" s="12">
        <v>24302290</v>
      </c>
      <c r="B1761" s="13">
        <v>46272</v>
      </c>
      <c r="C1761" s="14">
        <v>0.65900462962962958</v>
      </c>
      <c r="D1761" s="15" t="s">
        <v>1705</v>
      </c>
      <c r="E1761" s="16">
        <v>5217224590432</v>
      </c>
      <c r="F1761" s="15"/>
      <c r="G1761" s="15" t="s">
        <v>1706</v>
      </c>
      <c r="H1761" s="17">
        <v>10785963636</v>
      </c>
      <c r="I1761" s="15"/>
      <c r="J1761" s="18"/>
      <c r="K1761" t="s">
        <v>27</v>
      </c>
      <c r="L1761" s="111">
        <v>5617.63</v>
      </c>
      <c r="M1761" s="111">
        <v>1335.17</v>
      </c>
      <c r="N1761" s="3">
        <f t="shared" ref="N1761:N1762" si="204">L1761*0.3</f>
        <v>1685.289</v>
      </c>
      <c r="O1761" s="3">
        <f t="shared" ref="O1761:O1762" si="205">(IF(L1761&lt;4172.98,0,MIN(L1761*0.3,L1761-4172.98)))-M1761</f>
        <v>109.48000000000047</v>
      </c>
      <c r="P1761" s="6">
        <v>46266</v>
      </c>
      <c r="Q1761" t="s">
        <v>1707</v>
      </c>
      <c r="R1761" s="111">
        <v>1335.17</v>
      </c>
      <c r="S1761" s="3" t="s">
        <v>548</v>
      </c>
      <c r="T1761" s="48">
        <v>46272</v>
      </c>
      <c r="V1761" s="51">
        <v>0.66041666666666665</v>
      </c>
      <c r="W1761" s="51">
        <v>0.6694444444444444</v>
      </c>
      <c r="X1761" s="51">
        <v>0.67291666666666672</v>
      </c>
      <c r="Y1761" s="51">
        <v>0.7</v>
      </c>
    </row>
    <row r="1762" spans="1:25" hidden="1">
      <c r="A1762" s="30">
        <v>24302140</v>
      </c>
      <c r="B1762" s="31">
        <v>46272</v>
      </c>
      <c r="C1762" s="32">
        <v>0.66011574074074075</v>
      </c>
      <c r="D1762" s="33"/>
      <c r="E1762" s="34">
        <v>5215580341677</v>
      </c>
      <c r="F1762" s="33"/>
      <c r="G1762" s="33" t="s">
        <v>1708</v>
      </c>
      <c r="H1762" s="35"/>
      <c r="I1762" s="33"/>
      <c r="J1762" s="36"/>
      <c r="K1762" t="s">
        <v>32</v>
      </c>
      <c r="N1762" s="3">
        <f t="shared" si="204"/>
        <v>0</v>
      </c>
      <c r="O1762" s="3">
        <f t="shared" si="205"/>
        <v>0</v>
      </c>
      <c r="S1762" s="3" t="s">
        <v>204</v>
      </c>
      <c r="V1762" s="51">
        <v>0.66041666666666665</v>
      </c>
    </row>
    <row r="1763" spans="1:25" hidden="1">
      <c r="A1763" s="30">
        <v>24302504</v>
      </c>
      <c r="B1763" s="31">
        <v>46272</v>
      </c>
      <c r="C1763" s="32">
        <v>0.67967592592592596</v>
      </c>
      <c r="D1763" s="33"/>
      <c r="E1763" s="34">
        <v>5215563435723</v>
      </c>
      <c r="F1763" s="33"/>
      <c r="G1763" s="33" t="s">
        <v>1709</v>
      </c>
      <c r="H1763" s="35"/>
      <c r="I1763" s="33"/>
      <c r="J1763" s="36"/>
      <c r="K1763" t="s">
        <v>32</v>
      </c>
      <c r="N1763" s="3">
        <f>L1763*0.3</f>
        <v>0</v>
      </c>
      <c r="O1763" s="3">
        <f>(IF(L1763&lt;4172.98,0,MIN(L1763*0.3,L1763-4172.98)))-M1763</f>
        <v>0</v>
      </c>
      <c r="S1763" s="3" t="s">
        <v>204</v>
      </c>
      <c r="V1763" s="51">
        <v>0.67986111111111114</v>
      </c>
    </row>
    <row r="1764" spans="1:25" hidden="1">
      <c r="A1764" s="12">
        <v>24302630</v>
      </c>
      <c r="B1764" s="13">
        <v>46272</v>
      </c>
      <c r="C1764" s="14">
        <v>0.68146990740740743</v>
      </c>
      <c r="D1764" s="15" t="s">
        <v>1710</v>
      </c>
      <c r="E1764" s="16">
        <v>5213122410031</v>
      </c>
      <c r="F1764" s="15"/>
      <c r="G1764" s="15"/>
      <c r="H1764" s="17" t="s">
        <v>1711</v>
      </c>
      <c r="I1764" s="15"/>
      <c r="J1764" s="18"/>
      <c r="K1764" t="s">
        <v>32</v>
      </c>
      <c r="N1764" s="3">
        <f t="shared" ref="N1764:N1766" si="206">L1764*0.3</f>
        <v>0</v>
      </c>
      <c r="O1764" s="3">
        <f t="shared" ref="O1764:O1766" si="207">(IF(L1764&lt;4172.98,0,MIN(L1764*0.3,L1764-4172.98)))-M1764</f>
        <v>0</v>
      </c>
      <c r="S1764" s="3" t="s">
        <v>204</v>
      </c>
      <c r="V1764" s="51">
        <v>0.68888888888888888</v>
      </c>
    </row>
    <row r="1765" spans="1:25" hidden="1">
      <c r="A1765" s="12">
        <v>24302954</v>
      </c>
      <c r="B1765" s="13">
        <v>46272</v>
      </c>
      <c r="C1765" s="14">
        <v>0.68601851851851847</v>
      </c>
      <c r="D1765" s="15"/>
      <c r="E1765" s="16">
        <v>5215630533072</v>
      </c>
      <c r="F1765" s="15"/>
      <c r="G1765" s="15" t="s">
        <v>1712</v>
      </c>
      <c r="H1765" s="17">
        <v>10816150667</v>
      </c>
      <c r="I1765" s="15"/>
      <c r="J1765" s="18"/>
      <c r="K1765" t="s">
        <v>30</v>
      </c>
      <c r="L1765" s="111">
        <v>7919.81</v>
      </c>
      <c r="M1765" s="111">
        <v>2261.81</v>
      </c>
      <c r="N1765" s="3">
        <f t="shared" si="206"/>
        <v>2375.9430000000002</v>
      </c>
      <c r="O1765" s="3">
        <f t="shared" si="207"/>
        <v>114.13300000000027</v>
      </c>
      <c r="P1765" s="6">
        <v>46447</v>
      </c>
      <c r="Q1765" t="s">
        <v>75</v>
      </c>
      <c r="R1765" s="111">
        <v>2261.81</v>
      </c>
      <c r="S1765" s="3" t="s">
        <v>204</v>
      </c>
      <c r="V1765" s="51">
        <v>0.68888888888888888</v>
      </c>
    </row>
    <row r="1766" spans="1:25" hidden="1">
      <c r="A1766" s="30">
        <v>24303000</v>
      </c>
      <c r="B1766" s="31">
        <v>46272</v>
      </c>
      <c r="C1766" s="32">
        <v>0.68819444444444444</v>
      </c>
      <c r="D1766" s="33"/>
      <c r="E1766" s="34">
        <v>5218661732535</v>
      </c>
      <c r="F1766" s="33"/>
      <c r="G1766" s="33"/>
      <c r="H1766" s="35">
        <v>32875525134</v>
      </c>
      <c r="I1766" s="33"/>
      <c r="J1766" s="36"/>
      <c r="K1766" t="s">
        <v>30</v>
      </c>
      <c r="L1766" s="111">
        <v>26825.91</v>
      </c>
      <c r="M1766" s="111">
        <v>8046.68</v>
      </c>
      <c r="N1766" s="3">
        <f t="shared" si="206"/>
        <v>8047.7729999999992</v>
      </c>
      <c r="O1766" s="3">
        <f t="shared" si="207"/>
        <v>1.0929999999989377</v>
      </c>
      <c r="P1766" s="6">
        <v>46296</v>
      </c>
      <c r="Q1766" t="s">
        <v>141</v>
      </c>
      <c r="R1766" s="3">
        <v>1125.78</v>
      </c>
      <c r="S1766" s="3" t="s">
        <v>204</v>
      </c>
      <c r="V1766" s="51">
        <v>0.68888888888888888</v>
      </c>
    </row>
    <row r="1767" spans="1:25" hidden="1">
      <c r="A1767" s="30">
        <v>24303132</v>
      </c>
      <c r="B1767" s="31">
        <v>46272</v>
      </c>
      <c r="C1767" s="32">
        <v>0.69158564814814816</v>
      </c>
      <c r="D1767" s="33" t="s">
        <v>1713</v>
      </c>
      <c r="E1767" s="34">
        <v>5219211097717</v>
      </c>
      <c r="F1767" s="33"/>
      <c r="G1767" s="33" t="s">
        <v>1714</v>
      </c>
      <c r="H1767" s="35" t="s">
        <v>1715</v>
      </c>
      <c r="I1767" s="33"/>
      <c r="J1767" s="36"/>
      <c r="K1767" t="s">
        <v>58</v>
      </c>
      <c r="L1767" s="3">
        <v>3961.31</v>
      </c>
      <c r="N1767" s="3">
        <f>L1767*0.3</f>
        <v>1188.393</v>
      </c>
      <c r="O1767" s="3">
        <f>(IF(L1767&lt;4172.98,0,MIN(L1767*0.3,L1767-4172.98)))-M1767</f>
        <v>0</v>
      </c>
      <c r="S1767" s="3" t="s">
        <v>204</v>
      </c>
      <c r="V1767" s="51">
        <v>0.69305555555555554</v>
      </c>
    </row>
    <row r="1768" spans="1:25">
      <c r="A1768" s="30">
        <v>24303142</v>
      </c>
      <c r="B1768" s="31">
        <v>46272</v>
      </c>
      <c r="C1768" s="32">
        <v>0.69622685185185185</v>
      </c>
      <c r="D1768" s="33"/>
      <c r="E1768" s="34">
        <v>5214424061049</v>
      </c>
      <c r="F1768" s="33"/>
      <c r="G1768" s="33" t="s">
        <v>1716</v>
      </c>
      <c r="H1768" s="35"/>
      <c r="I1768" s="33"/>
      <c r="J1768" s="36"/>
      <c r="K1768" t="s">
        <v>54</v>
      </c>
      <c r="L1768" s="111">
        <v>18639.330000000002</v>
      </c>
      <c r="M1768" s="111">
        <v>3677.75</v>
      </c>
      <c r="N1768" s="3">
        <f>L1768*0.3</f>
        <v>5591.799</v>
      </c>
      <c r="O1768" s="3">
        <f>(IF(L1768&lt;4172.98,0,MIN(L1768*0.3,L1768-4172.98)))-M1768</f>
        <v>1914.049</v>
      </c>
      <c r="P1768" s="6">
        <v>46966</v>
      </c>
      <c r="Q1768" t="s">
        <v>57</v>
      </c>
      <c r="R1768" s="111">
        <v>3677.75</v>
      </c>
      <c r="S1768" s="3" t="s">
        <v>1091</v>
      </c>
      <c r="T1768" s="48">
        <v>46272</v>
      </c>
      <c r="V1768" s="51">
        <v>0.69652777777777775</v>
      </c>
      <c r="W1768" s="51">
        <v>0.70347222222222228</v>
      </c>
      <c r="X1768" s="51">
        <v>0.70763888888888893</v>
      </c>
      <c r="Y1768" s="51">
        <v>0.71805555555555556</v>
      </c>
    </row>
    <row r="1769" spans="1:25" hidden="1">
      <c r="A1769" s="30">
        <v>24303316</v>
      </c>
      <c r="B1769" s="31">
        <v>46272</v>
      </c>
      <c r="C1769" s="32">
        <v>0.71138888888888885</v>
      </c>
      <c r="D1769" s="33"/>
      <c r="E1769" s="34">
        <v>5212721394769</v>
      </c>
      <c r="F1769" s="33"/>
      <c r="G1769" s="33"/>
      <c r="H1769" s="35" t="s">
        <v>1717</v>
      </c>
      <c r="I1769" s="33"/>
      <c r="J1769" s="36"/>
      <c r="K1769" t="s">
        <v>51</v>
      </c>
      <c r="N1769" s="3">
        <f>L1769*0.3</f>
        <v>0</v>
      </c>
      <c r="O1769" s="3">
        <f>(IF(L1769&lt;4172.98,0,MIN(L1769*0.3,L1769-4172.98)))-M1769</f>
        <v>0</v>
      </c>
      <c r="S1769" s="3" t="s">
        <v>204</v>
      </c>
      <c r="V1769" s="51">
        <v>0.62916666666666665</v>
      </c>
    </row>
    <row r="1770" spans="1:25" hidden="1">
      <c r="A1770" s="12">
        <v>24303320</v>
      </c>
      <c r="B1770" s="13">
        <v>46272</v>
      </c>
      <c r="C1770" s="14">
        <v>0.71283564814814815</v>
      </c>
      <c r="D1770" s="15"/>
      <c r="E1770" s="16">
        <v>5213319286224</v>
      </c>
      <c r="F1770" s="15"/>
      <c r="G1770" s="15" t="s">
        <v>1718</v>
      </c>
      <c r="H1770" s="17"/>
      <c r="I1770" s="15"/>
      <c r="J1770" s="18"/>
      <c r="K1770" t="s">
        <v>32</v>
      </c>
      <c r="N1770" s="3">
        <f t="shared" ref="N1770:N1772" si="208">L1770*0.3</f>
        <v>0</v>
      </c>
      <c r="O1770" s="3">
        <f t="shared" ref="O1770:O1772" si="209">(IF(L1770&lt;4172.98,0,MIN(L1770*0.3,L1770-4172.98)))-M1770</f>
        <v>0</v>
      </c>
      <c r="S1770" s="3" t="s">
        <v>204</v>
      </c>
      <c r="V1770" s="51">
        <v>0.71458333333333335</v>
      </c>
    </row>
    <row r="1771" spans="1:25" hidden="1">
      <c r="A1771" s="12">
        <v>24303836</v>
      </c>
      <c r="B1771" s="13">
        <v>46272</v>
      </c>
      <c r="C1771" s="14">
        <v>0.71300925925925929</v>
      </c>
      <c r="D1771" s="15"/>
      <c r="E1771" s="16">
        <v>5218701490509</v>
      </c>
      <c r="F1771" s="15"/>
      <c r="G1771" s="15"/>
      <c r="H1771" s="17">
        <v>31816438167</v>
      </c>
      <c r="I1771" s="15"/>
      <c r="J1771" s="18"/>
      <c r="K1771" t="s">
        <v>30</v>
      </c>
      <c r="L1771" s="111">
        <v>9081.52</v>
      </c>
      <c r="M1771" s="111">
        <v>2719.41</v>
      </c>
      <c r="N1771" s="3">
        <f t="shared" si="208"/>
        <v>2724.4560000000001</v>
      </c>
      <c r="O1771" s="3">
        <f t="shared" si="209"/>
        <v>5.0460000000002765</v>
      </c>
      <c r="P1771" s="6">
        <v>46327</v>
      </c>
      <c r="Q1771" t="s">
        <v>44</v>
      </c>
      <c r="R1771" s="3">
        <v>2236.3000000000002</v>
      </c>
      <c r="S1771" s="3" t="s">
        <v>204</v>
      </c>
      <c r="V1771" s="51">
        <v>0.71458333333333335</v>
      </c>
    </row>
    <row r="1772" spans="1:25">
      <c r="A1772" s="30">
        <v>24303826</v>
      </c>
      <c r="B1772" s="31">
        <v>46272</v>
      </c>
      <c r="C1772" s="32">
        <v>0.71405092592592589</v>
      </c>
      <c r="D1772" s="33"/>
      <c r="E1772" s="34">
        <v>5216865263337</v>
      </c>
      <c r="F1772" s="33"/>
      <c r="G1772" s="33"/>
      <c r="H1772" s="35">
        <v>23876920515</v>
      </c>
      <c r="I1772" s="33"/>
      <c r="J1772" s="36"/>
      <c r="K1772" t="s">
        <v>54</v>
      </c>
      <c r="L1772" s="111">
        <v>13749.48</v>
      </c>
      <c r="M1772" s="111">
        <v>0</v>
      </c>
      <c r="N1772" s="3">
        <f t="shared" si="208"/>
        <v>4124.8440000000001</v>
      </c>
      <c r="O1772" s="3">
        <f t="shared" si="209"/>
        <v>4124.8440000000001</v>
      </c>
      <c r="S1772" s="3" t="s">
        <v>62</v>
      </c>
      <c r="T1772" s="48">
        <v>46272</v>
      </c>
      <c r="V1772" s="51">
        <v>0.71458333333333335</v>
      </c>
      <c r="W1772" s="51">
        <v>0.71944444444444444</v>
      </c>
      <c r="X1772" s="51">
        <v>0.72361111111111109</v>
      </c>
      <c r="Y1772" s="51">
        <v>0.72499999999999998</v>
      </c>
    </row>
    <row r="1773" spans="1:25">
      <c r="A1773" s="12">
        <v>24303482</v>
      </c>
      <c r="B1773" s="13">
        <v>46272</v>
      </c>
      <c r="C1773" s="14">
        <v>0.71703703703703703</v>
      </c>
      <c r="D1773" s="15"/>
      <c r="E1773" s="16">
        <v>5212881138955</v>
      </c>
      <c r="F1773" s="15"/>
      <c r="G1773" s="15"/>
      <c r="H1773" s="17">
        <v>67755510640</v>
      </c>
      <c r="I1773" s="15"/>
      <c r="J1773" s="18"/>
      <c r="K1773" t="s">
        <v>38</v>
      </c>
      <c r="L1773" s="111">
        <v>16939.939999999999</v>
      </c>
      <c r="M1773" s="111">
        <v>4683.43</v>
      </c>
      <c r="N1773" s="3">
        <f t="shared" ref="N1773:N1774" si="210">L1773*0.3</f>
        <v>5081.9819999999991</v>
      </c>
      <c r="O1773" s="3">
        <f t="shared" ref="O1773:O1774" si="211">(IF(L1773&lt;4172.98,0,MIN(L1773*0.3,L1773-4172.98)))-M1773</f>
        <v>398.55199999999877</v>
      </c>
      <c r="P1773" s="6">
        <v>45689</v>
      </c>
      <c r="Q1773" t="s">
        <v>210</v>
      </c>
      <c r="R1773" s="3">
        <v>327.81</v>
      </c>
      <c r="S1773" s="3" t="s">
        <v>39</v>
      </c>
      <c r="T1773" s="48">
        <v>46272</v>
      </c>
      <c r="V1773" s="51">
        <v>0.71805555555555556</v>
      </c>
      <c r="W1773" s="51">
        <v>0.72847222222222219</v>
      </c>
      <c r="X1773" s="51">
        <v>0.73541666666666672</v>
      </c>
      <c r="Y1773" s="51">
        <v>0.7368055555555556</v>
      </c>
    </row>
    <row r="1774" spans="1:25" hidden="1">
      <c r="A1774" s="30">
        <v>24303870</v>
      </c>
      <c r="B1774" s="31">
        <v>46272</v>
      </c>
      <c r="C1774" s="32">
        <v>0.71750000000000003</v>
      </c>
      <c r="D1774" s="33"/>
      <c r="E1774" s="34">
        <v>5216271439190</v>
      </c>
      <c r="F1774" s="33"/>
      <c r="G1774" s="33"/>
      <c r="H1774" s="35" t="s">
        <v>1719</v>
      </c>
      <c r="I1774" s="33"/>
      <c r="J1774" s="36"/>
      <c r="K1774" t="s">
        <v>30</v>
      </c>
      <c r="L1774" s="111">
        <v>6411.47</v>
      </c>
      <c r="M1774" s="111">
        <v>1854.99</v>
      </c>
      <c r="N1774" s="3">
        <f t="shared" si="210"/>
        <v>1923.441</v>
      </c>
      <c r="O1774" s="3">
        <f t="shared" si="211"/>
        <v>68.451000000000022</v>
      </c>
      <c r="P1774" s="6">
        <v>46722</v>
      </c>
      <c r="Q1774" t="s">
        <v>44</v>
      </c>
      <c r="R1774" s="111">
        <v>1854.99</v>
      </c>
      <c r="S1774" s="3" t="s">
        <v>204</v>
      </c>
      <c r="U1774" s="85"/>
      <c r="V1774" s="51">
        <v>0.71805555555555556</v>
      </c>
    </row>
    <row r="1775" spans="1:25" hidden="1">
      <c r="A1775" s="12">
        <v>24305088</v>
      </c>
      <c r="B1775" s="13">
        <v>46272</v>
      </c>
      <c r="C1775" s="14">
        <v>0.77793981481481478</v>
      </c>
      <c r="D1775" s="15"/>
      <c r="E1775" s="16">
        <v>5216568634737</v>
      </c>
      <c r="F1775" s="15"/>
      <c r="G1775" s="15" t="s">
        <v>1720</v>
      </c>
      <c r="H1775" s="17"/>
      <c r="I1775" s="15"/>
      <c r="J1775" s="18"/>
      <c r="K1775" t="s">
        <v>30</v>
      </c>
      <c r="L1775" s="111">
        <v>6411.47</v>
      </c>
      <c r="M1775" s="111">
        <v>1920.67</v>
      </c>
      <c r="N1775" s="3">
        <f>L1775*0.3</f>
        <v>1923.441</v>
      </c>
      <c r="O1775" s="3">
        <f>(IF(L1775&lt;4172.98,0,MIN(L1775*0.3,L1775-4172.98)))-M1775</f>
        <v>2.7709999999999582</v>
      </c>
      <c r="P1775" s="6">
        <v>46357</v>
      </c>
      <c r="Q1775" t="s">
        <v>77</v>
      </c>
      <c r="R1775" s="3">
        <v>1773.35</v>
      </c>
      <c r="S1775" s="3" t="s">
        <v>204</v>
      </c>
      <c r="V1775" s="51">
        <v>0.39930555555555558</v>
      </c>
    </row>
    <row r="1776" spans="1:25" hidden="1">
      <c r="A1776" s="12">
        <v>24305060</v>
      </c>
      <c r="B1776" s="13">
        <v>46272</v>
      </c>
      <c r="C1776" s="14">
        <v>0.77929398148148143</v>
      </c>
      <c r="D1776" s="15"/>
      <c r="E1776" s="16">
        <v>5219321103288</v>
      </c>
      <c r="F1776" s="15"/>
      <c r="G1776" s="15" t="s">
        <v>1721</v>
      </c>
      <c r="H1776" s="17"/>
      <c r="I1776" s="15"/>
      <c r="J1776" s="18"/>
      <c r="K1776" t="s">
        <v>58</v>
      </c>
      <c r="L1776" s="3">
        <v>3882.85</v>
      </c>
      <c r="N1776" s="3">
        <f t="shared" ref="N1776:N1787" si="212">L1776*0.3</f>
        <v>1164.855</v>
      </c>
      <c r="O1776" s="3">
        <f t="shared" ref="O1776:O1787" si="213">(IF(L1776&lt;4172.98,0,MIN(L1776*0.3,L1776-4172.98)))-M1776</f>
        <v>0</v>
      </c>
      <c r="S1776" s="3" t="s">
        <v>204</v>
      </c>
      <c r="V1776" s="51">
        <v>0.39930555555555558</v>
      </c>
    </row>
    <row r="1777" spans="1:25" hidden="1">
      <c r="A1777" s="12">
        <v>24305278</v>
      </c>
      <c r="B1777" s="13">
        <v>46272</v>
      </c>
      <c r="C1777" s="14">
        <v>0.78266203703703707</v>
      </c>
      <c r="D1777" s="15"/>
      <c r="E1777" s="16">
        <v>5216563531597</v>
      </c>
      <c r="F1777" s="15"/>
      <c r="G1777" s="15" t="s">
        <v>1722</v>
      </c>
      <c r="H1777" s="17"/>
      <c r="I1777" s="15"/>
      <c r="J1777" s="18"/>
      <c r="K1777" t="s">
        <v>189</v>
      </c>
      <c r="N1777" s="3">
        <f t="shared" si="212"/>
        <v>0</v>
      </c>
      <c r="O1777" s="3">
        <f t="shared" si="213"/>
        <v>0</v>
      </c>
      <c r="S1777" s="3" t="s">
        <v>204</v>
      </c>
      <c r="V1777" s="51">
        <v>0.39930555555555558</v>
      </c>
    </row>
    <row r="1778" spans="1:25">
      <c r="A1778" s="190">
        <v>24305440</v>
      </c>
      <c r="B1778" s="13">
        <v>46272</v>
      </c>
      <c r="C1778" s="14">
        <v>0.7936805555555555</v>
      </c>
      <c r="D1778" s="15"/>
      <c r="E1778" s="16">
        <v>5218110750350</v>
      </c>
      <c r="F1778" s="15"/>
      <c r="G1778" s="15"/>
      <c r="H1778" s="17">
        <v>43886549120</v>
      </c>
      <c r="I1778" s="15"/>
      <c r="J1778" s="18"/>
      <c r="K1778" t="s">
        <v>54</v>
      </c>
      <c r="L1778" s="3">
        <f>325633.97-271936.97</f>
        <v>53697</v>
      </c>
      <c r="N1778" s="3">
        <f t="shared" si="212"/>
        <v>16109.099999999999</v>
      </c>
      <c r="O1778" s="3">
        <f t="shared" si="213"/>
        <v>16109.099999999999</v>
      </c>
      <c r="S1778" s="3" t="s">
        <v>879</v>
      </c>
      <c r="T1778" s="48">
        <v>46273</v>
      </c>
      <c r="V1778" s="51">
        <v>0.39930555555555558</v>
      </c>
      <c r="W1778" s="51">
        <v>0.41805555555555557</v>
      </c>
      <c r="X1778" s="51">
        <v>0.42569444444444443</v>
      </c>
      <c r="Y1778" s="51">
        <v>0.43125000000000002</v>
      </c>
    </row>
    <row r="1779" spans="1:25" hidden="1">
      <c r="A1779" s="12">
        <v>24305632</v>
      </c>
      <c r="B1779" s="13">
        <v>46272</v>
      </c>
      <c r="C1779" s="14">
        <v>0.79498842592592589</v>
      </c>
      <c r="D1779" s="15"/>
      <c r="E1779" s="16">
        <v>5216313578696</v>
      </c>
      <c r="F1779" s="15"/>
      <c r="G1779" s="15"/>
      <c r="H1779" s="17">
        <v>57937645026</v>
      </c>
      <c r="I1779" s="15"/>
      <c r="J1779" s="18"/>
      <c r="K1779" t="s">
        <v>32</v>
      </c>
      <c r="N1779" s="3">
        <f t="shared" si="212"/>
        <v>0</v>
      </c>
      <c r="O1779" s="3">
        <f t="shared" si="213"/>
        <v>0</v>
      </c>
      <c r="S1779" s="3" t="s">
        <v>204</v>
      </c>
      <c r="V1779" s="51">
        <v>0.39930555555555558</v>
      </c>
    </row>
    <row r="1780" spans="1:25" hidden="1">
      <c r="A1780" s="12">
        <v>24306366</v>
      </c>
      <c r="B1780" s="13">
        <v>46272</v>
      </c>
      <c r="C1780" s="14">
        <v>0.84422453703703704</v>
      </c>
      <c r="D1780" s="15"/>
      <c r="E1780" s="16">
        <v>5216392304890</v>
      </c>
      <c r="F1780" s="15"/>
      <c r="G1780" s="15" t="s">
        <v>1723</v>
      </c>
      <c r="H1780" s="17">
        <v>33855205184</v>
      </c>
      <c r="I1780" s="15"/>
      <c r="J1780" s="18"/>
      <c r="K1780" t="s">
        <v>30</v>
      </c>
      <c r="L1780" s="111">
        <v>9714.3799999999992</v>
      </c>
      <c r="M1780" s="111">
        <v>2912.64</v>
      </c>
      <c r="N1780" s="3">
        <f t="shared" si="212"/>
        <v>2914.3139999999999</v>
      </c>
      <c r="O1780" s="3">
        <f t="shared" si="213"/>
        <v>1.6739999999999782</v>
      </c>
      <c r="P1780" s="6">
        <v>46508</v>
      </c>
      <c r="Q1780" t="s">
        <v>75</v>
      </c>
      <c r="R1780">
        <v>2692.64</v>
      </c>
      <c r="S1780" s="3" t="s">
        <v>204</v>
      </c>
      <c r="V1780" s="51">
        <v>0.39930555555555558</v>
      </c>
    </row>
    <row r="1781" spans="1:25" hidden="1">
      <c r="A1781" s="12">
        <v>24306412</v>
      </c>
      <c r="B1781" s="13">
        <v>46272</v>
      </c>
      <c r="C1781" s="14">
        <v>0.84439814814814818</v>
      </c>
      <c r="D1781" s="15"/>
      <c r="E1781" s="16">
        <v>5216341095163</v>
      </c>
      <c r="F1781" s="15"/>
      <c r="G1781" s="15" t="s">
        <v>1724</v>
      </c>
      <c r="H1781" s="17"/>
      <c r="I1781" s="15"/>
      <c r="J1781" s="18"/>
      <c r="K1781" t="s">
        <v>32</v>
      </c>
      <c r="L1781" s="111"/>
      <c r="M1781" s="111"/>
      <c r="N1781" s="3">
        <f t="shared" si="212"/>
        <v>0</v>
      </c>
      <c r="O1781" s="3">
        <f t="shared" si="213"/>
        <v>0</v>
      </c>
      <c r="S1781" s="3" t="s">
        <v>204</v>
      </c>
      <c r="V1781" s="51">
        <v>0.39930555555555558</v>
      </c>
    </row>
    <row r="1782" spans="1:25" hidden="1">
      <c r="A1782" s="12">
        <v>24307058</v>
      </c>
      <c r="B1782" s="13">
        <v>46272</v>
      </c>
      <c r="C1782" s="14">
        <v>0.88954861111111116</v>
      </c>
      <c r="D1782" s="15"/>
      <c r="E1782" s="16">
        <v>5216421507153</v>
      </c>
      <c r="F1782" s="15"/>
      <c r="G1782" s="15"/>
      <c r="H1782" s="17" t="s">
        <v>1725</v>
      </c>
      <c r="I1782" s="15"/>
      <c r="J1782" s="18"/>
      <c r="K1782" t="s">
        <v>32</v>
      </c>
      <c r="N1782" s="3">
        <f t="shared" si="212"/>
        <v>0</v>
      </c>
      <c r="O1782" s="3">
        <f t="shared" si="213"/>
        <v>0</v>
      </c>
      <c r="S1782" s="3" t="s">
        <v>204</v>
      </c>
      <c r="V1782" s="51">
        <v>0.39930555555555558</v>
      </c>
    </row>
    <row r="1783" spans="1:25" hidden="1">
      <c r="A1783" s="12">
        <v>24307880</v>
      </c>
      <c r="B1783" s="13">
        <v>46272</v>
      </c>
      <c r="C1783" s="14">
        <v>0.94305555555555554</v>
      </c>
      <c r="D1783" s="15"/>
      <c r="E1783" s="16">
        <v>5213921652507</v>
      </c>
      <c r="F1783" s="15"/>
      <c r="G1783" s="15"/>
      <c r="H1783" s="17" t="s">
        <v>1726</v>
      </c>
      <c r="I1783" s="15"/>
      <c r="J1783" s="18"/>
      <c r="K1783" t="s">
        <v>30</v>
      </c>
      <c r="L1783" s="111">
        <v>12825.46</v>
      </c>
      <c r="M1783" s="111">
        <v>3709.48</v>
      </c>
      <c r="N1783" s="3">
        <f t="shared" si="212"/>
        <v>3847.6379999999995</v>
      </c>
      <c r="O1783" s="3">
        <f t="shared" si="213"/>
        <v>138.15799999999945</v>
      </c>
      <c r="P1783" s="6">
        <v>46600</v>
      </c>
      <c r="Q1783" t="s">
        <v>75</v>
      </c>
      <c r="R1783" s="3">
        <v>2422.0500000000002</v>
      </c>
      <c r="S1783" s="3" t="s">
        <v>204</v>
      </c>
      <c r="V1783" s="51">
        <v>0.39930555555555558</v>
      </c>
    </row>
    <row r="1784" spans="1:25" hidden="1">
      <c r="A1784" s="12">
        <v>24307928</v>
      </c>
      <c r="B1784" s="13">
        <v>46272</v>
      </c>
      <c r="C1784" s="14">
        <v>0.95082175925925927</v>
      </c>
      <c r="D1784" s="15"/>
      <c r="E1784" s="16">
        <v>5215529185091</v>
      </c>
      <c r="F1784" s="15"/>
      <c r="G1784" s="15"/>
      <c r="H1784" s="17">
        <v>64826602233</v>
      </c>
      <c r="I1784" s="15"/>
      <c r="J1784" s="18"/>
      <c r="K1784" t="s">
        <v>30</v>
      </c>
      <c r="L1784" s="111">
        <v>10636.54</v>
      </c>
      <c r="M1784" s="111">
        <v>3189.2</v>
      </c>
      <c r="N1784" s="3">
        <f t="shared" si="212"/>
        <v>3190.962</v>
      </c>
      <c r="O1784" s="3">
        <f t="shared" si="213"/>
        <v>1.762000000000171</v>
      </c>
      <c r="P1784" s="6">
        <v>46905</v>
      </c>
      <c r="Q1784" t="s">
        <v>80</v>
      </c>
      <c r="R1784" s="111">
        <v>3189.2</v>
      </c>
      <c r="S1784" s="3" t="s">
        <v>204</v>
      </c>
      <c r="V1784" s="51">
        <v>0.39930555555555558</v>
      </c>
    </row>
    <row r="1785" spans="1:25" hidden="1">
      <c r="A1785" s="12">
        <v>24308010</v>
      </c>
      <c r="B1785" s="13">
        <v>46272</v>
      </c>
      <c r="C1785" s="14">
        <v>0.95434027777777775</v>
      </c>
      <c r="D1785" s="15"/>
      <c r="E1785" s="16">
        <v>5214441899934</v>
      </c>
      <c r="F1785" s="15"/>
      <c r="G1785" s="15"/>
      <c r="H1785" s="17" t="s">
        <v>1727</v>
      </c>
      <c r="I1785" s="15"/>
      <c r="J1785" s="18"/>
      <c r="K1785" t="s">
        <v>58</v>
      </c>
      <c r="L1785" s="3">
        <f>3494.43+848</f>
        <v>4342.43</v>
      </c>
      <c r="M1785" s="3">
        <v>848</v>
      </c>
      <c r="N1785" s="3">
        <f t="shared" si="212"/>
        <v>1302.729</v>
      </c>
      <c r="O1785" s="3">
        <f t="shared" si="213"/>
        <v>-678.54999999999927</v>
      </c>
      <c r="S1785" s="3" t="s">
        <v>204</v>
      </c>
      <c r="V1785" s="51">
        <v>0.39930555555555558</v>
      </c>
    </row>
    <row r="1786" spans="1:25" hidden="1">
      <c r="A1786" s="12">
        <v>24314816</v>
      </c>
      <c r="B1786" s="13">
        <v>46273</v>
      </c>
      <c r="C1786" s="14">
        <v>0.36189814814814814</v>
      </c>
      <c r="D1786" s="15"/>
      <c r="E1786" s="16">
        <v>5219812106384</v>
      </c>
      <c r="F1786" s="15"/>
      <c r="G1786" s="15"/>
      <c r="H1786" s="17" t="s">
        <v>1728</v>
      </c>
      <c r="I1786" s="15"/>
      <c r="J1786" s="18"/>
      <c r="K1786" t="s">
        <v>30</v>
      </c>
      <c r="L1786" s="111">
        <v>9081.52</v>
      </c>
      <c r="M1786" s="111">
        <v>2724.46</v>
      </c>
      <c r="N1786" s="3">
        <f t="shared" si="212"/>
        <v>2724.4560000000001</v>
      </c>
      <c r="O1786" s="3">
        <f t="shared" si="213"/>
        <v>-3.9999999999054126E-3</v>
      </c>
      <c r="P1786" s="6">
        <v>46327</v>
      </c>
      <c r="Q1786" t="s">
        <v>184</v>
      </c>
      <c r="R1786" s="3">
        <v>2517.5300000000002</v>
      </c>
      <c r="S1786" s="3" t="s">
        <v>204</v>
      </c>
      <c r="V1786" s="51">
        <v>0.39930555555555558</v>
      </c>
    </row>
    <row r="1787" spans="1:25" hidden="1">
      <c r="A1787" s="30">
        <v>24315890</v>
      </c>
      <c r="B1787" s="31">
        <v>46273</v>
      </c>
      <c r="C1787" s="32">
        <v>0.3808449074074074</v>
      </c>
      <c r="D1787" s="33"/>
      <c r="E1787" s="34">
        <v>5216143931216</v>
      </c>
      <c r="F1787" s="33"/>
      <c r="G1787" s="33"/>
      <c r="H1787" s="35">
        <v>35907520270</v>
      </c>
      <c r="I1787" s="33"/>
      <c r="J1787" s="36"/>
      <c r="K1787" t="s">
        <v>30</v>
      </c>
      <c r="L1787" s="111">
        <v>7135.6</v>
      </c>
      <c r="M1787" s="111">
        <v>2140.6799999999998</v>
      </c>
      <c r="N1787" s="3">
        <f t="shared" si="212"/>
        <v>2140.6799999999998</v>
      </c>
      <c r="O1787" s="3">
        <f t="shared" si="213"/>
        <v>0</v>
      </c>
      <c r="P1787" s="6">
        <v>46844</v>
      </c>
      <c r="Q1787" t="s">
        <v>44</v>
      </c>
      <c r="R1787" s="111">
        <v>2140.6799999999998</v>
      </c>
      <c r="S1787" s="3" t="s">
        <v>204</v>
      </c>
      <c r="V1787" s="51">
        <v>0.39930555555555558</v>
      </c>
    </row>
    <row r="1788" spans="1:25" hidden="1">
      <c r="A1788" s="30">
        <v>24316944</v>
      </c>
      <c r="B1788" s="31">
        <v>46273</v>
      </c>
      <c r="C1788" s="32">
        <v>0.41020833333333334</v>
      </c>
      <c r="D1788" s="33"/>
      <c r="E1788" s="34">
        <v>5215530755811</v>
      </c>
      <c r="F1788" s="33"/>
      <c r="G1788" s="33"/>
      <c r="H1788" s="35">
        <v>11705056007</v>
      </c>
      <c r="I1788" s="33"/>
      <c r="J1788" s="36"/>
      <c r="K1788" t="s">
        <v>30</v>
      </c>
      <c r="L1788" s="111">
        <v>4751.33</v>
      </c>
      <c r="M1788" s="111">
        <v>545.61</v>
      </c>
      <c r="N1788" s="3">
        <f>L1788*0.3</f>
        <v>1425.3989999999999</v>
      </c>
      <c r="O1788" s="3">
        <f>(IF(L1788&lt;4172.98,0,MIN(L1788*0.3,L1788-4172.98)))-M1788</f>
        <v>32.74000000000035</v>
      </c>
      <c r="P1788" s="6">
        <v>46600</v>
      </c>
      <c r="Q1788" t="s">
        <v>47</v>
      </c>
      <c r="R1788" s="3">
        <v>545.61</v>
      </c>
      <c r="S1788" s="3" t="s">
        <v>204</v>
      </c>
      <c r="V1788" s="51">
        <v>0.41180555555555554</v>
      </c>
    </row>
    <row r="1789" spans="1:25">
      <c r="A1789" s="30">
        <v>24317888</v>
      </c>
      <c r="B1789" s="31">
        <v>46273</v>
      </c>
      <c r="C1789" s="32">
        <v>0.43880787037037039</v>
      </c>
      <c r="D1789" s="33"/>
      <c r="E1789" s="34">
        <v>5215665869118</v>
      </c>
      <c r="F1789" s="33"/>
      <c r="G1789" s="33"/>
      <c r="H1789" s="35" t="s">
        <v>1729</v>
      </c>
      <c r="I1789" s="33"/>
      <c r="J1789" s="36"/>
      <c r="K1789" t="s">
        <v>54</v>
      </c>
      <c r="L1789" s="3">
        <v>9081.52</v>
      </c>
      <c r="N1789" s="3">
        <f>L1789*0.3</f>
        <v>2724.4560000000001</v>
      </c>
      <c r="O1789" s="3">
        <f>(IF(L1789&lt;4172.98,0,MIN(L1789*0.3,L1789-4172.98)))-M1789</f>
        <v>2724.4560000000001</v>
      </c>
      <c r="S1789" s="3" t="s">
        <v>1080</v>
      </c>
      <c r="T1789" s="48">
        <v>46273</v>
      </c>
      <c r="V1789" s="51">
        <v>0.43888888888888888</v>
      </c>
      <c r="W1789" s="51">
        <v>0.45555555555555555</v>
      </c>
      <c r="X1789" s="51">
        <v>0.4597222222222222</v>
      </c>
      <c r="Y1789" s="51">
        <v>0.46805555555555556</v>
      </c>
    </row>
    <row r="1790" spans="1:25" hidden="1">
      <c r="A1790" s="30">
        <v>24317884</v>
      </c>
      <c r="B1790" s="31">
        <v>46273</v>
      </c>
      <c r="C1790" s="32">
        <v>0.44072916666666667</v>
      </c>
      <c r="D1790" s="33" t="s">
        <v>1730</v>
      </c>
      <c r="E1790" s="34">
        <v>5216879994999</v>
      </c>
      <c r="F1790" s="33"/>
      <c r="G1790" s="33" t="s">
        <v>1731</v>
      </c>
      <c r="H1790" s="35"/>
      <c r="I1790" s="33"/>
      <c r="J1790" s="36"/>
      <c r="K1790" t="s">
        <v>32</v>
      </c>
      <c r="N1790" s="3">
        <f>L1790*0.3</f>
        <v>0</v>
      </c>
      <c r="O1790" s="3">
        <f>(IF(L1790&lt;4172.98,0,MIN(L1790*0.3,L1790-4172.98)))-M1790</f>
        <v>0</v>
      </c>
      <c r="S1790" s="3" t="s">
        <v>204</v>
      </c>
      <c r="V1790" s="51">
        <v>0.44097222222222221</v>
      </c>
    </row>
    <row r="1791" spans="1:25">
      <c r="A1791" s="30">
        <v>24318028</v>
      </c>
      <c r="B1791" s="31">
        <v>46273</v>
      </c>
      <c r="C1791" s="32">
        <v>0.44487268518518519</v>
      </c>
      <c r="D1791" s="33" t="s">
        <v>1732</v>
      </c>
      <c r="E1791" s="34">
        <v>5216142705601</v>
      </c>
      <c r="F1791" s="33"/>
      <c r="G1791" s="33"/>
      <c r="H1791" s="35" t="s">
        <v>1733</v>
      </c>
      <c r="I1791" s="33"/>
      <c r="J1791" s="36"/>
      <c r="K1791" t="s">
        <v>107</v>
      </c>
      <c r="L1791" s="3">
        <v>7181.69</v>
      </c>
      <c r="M1791" s="3">
        <v>1184.0899999999999</v>
      </c>
      <c r="N1791" s="3">
        <f>L1791*0.3</f>
        <v>2154.5069999999996</v>
      </c>
      <c r="O1791" s="3">
        <f>(IF(L1791&lt;4172.98,0,MIN(L1791*0.3,L1791-4172.98)))-M1791</f>
        <v>970.41699999999969</v>
      </c>
      <c r="P1791" s="6">
        <v>45689</v>
      </c>
      <c r="Q1791" t="s">
        <v>44</v>
      </c>
      <c r="R1791" s="3">
        <v>1184.0899999999999</v>
      </c>
      <c r="S1791" s="3" t="s">
        <v>266</v>
      </c>
      <c r="T1791" s="48">
        <v>46273</v>
      </c>
      <c r="V1791" s="51">
        <v>0.44583333333333336</v>
      </c>
      <c r="W1791" s="51">
        <v>0.45833333333333331</v>
      </c>
      <c r="X1791" s="51">
        <v>0.46180555555555558</v>
      </c>
      <c r="Y1791" s="51">
        <v>0.46388888888888891</v>
      </c>
    </row>
    <row r="1792" spans="1:25" hidden="1">
      <c r="A1792" s="12">
        <v>24318304</v>
      </c>
      <c r="B1792" s="13">
        <v>46273</v>
      </c>
      <c r="C1792" s="14">
        <v>0.46098379629629632</v>
      </c>
      <c r="D1792" s="15" t="s">
        <v>1734</v>
      </c>
      <c r="E1792" s="16">
        <v>5216691450537</v>
      </c>
      <c r="F1792" s="15"/>
      <c r="G1792" s="15" t="s">
        <v>1735</v>
      </c>
      <c r="H1792" s="17"/>
      <c r="I1792" s="15"/>
      <c r="J1792" s="18"/>
      <c r="K1792" t="s">
        <v>58</v>
      </c>
      <c r="L1792" s="3">
        <f>2976.42+879</f>
        <v>3855.42</v>
      </c>
      <c r="M1792" s="3">
        <v>879</v>
      </c>
      <c r="N1792" s="3">
        <f t="shared" ref="N1792:N1793" si="214">L1792*0.3</f>
        <v>1156.626</v>
      </c>
      <c r="O1792" s="3">
        <f t="shared" ref="O1792:O1793" si="215">(IF(L1792&lt;4172.98,0,MIN(L1792*0.3,L1792-4172.98)))-M1792</f>
        <v>-879</v>
      </c>
      <c r="S1792" s="3" t="s">
        <v>204</v>
      </c>
      <c r="V1792" s="51">
        <v>0.46666666666666667</v>
      </c>
    </row>
    <row r="1793" spans="1:25">
      <c r="A1793" s="30">
        <v>24318714</v>
      </c>
      <c r="B1793" s="31">
        <v>46273</v>
      </c>
      <c r="C1793" s="32">
        <v>0.46493055555555557</v>
      </c>
      <c r="D1793" s="33"/>
      <c r="E1793" s="34">
        <v>5219931250706</v>
      </c>
      <c r="F1793" s="33"/>
      <c r="G1793" s="33"/>
      <c r="H1793" s="35" t="s">
        <v>1736</v>
      </c>
      <c r="I1793" s="33"/>
      <c r="J1793" s="36"/>
      <c r="K1793" t="s">
        <v>54</v>
      </c>
      <c r="L1793" s="111">
        <v>23467.57</v>
      </c>
      <c r="M1793" s="111">
        <v>5682.2</v>
      </c>
      <c r="N1793" s="3">
        <f t="shared" si="214"/>
        <v>7040.2709999999997</v>
      </c>
      <c r="O1793" s="3">
        <f t="shared" si="215"/>
        <v>1358.0709999999999</v>
      </c>
      <c r="P1793" s="6">
        <v>46569</v>
      </c>
      <c r="Q1793" t="s">
        <v>658</v>
      </c>
      <c r="R1793" s="111">
        <v>5682.2</v>
      </c>
      <c r="S1793" s="3" t="s">
        <v>62</v>
      </c>
      <c r="T1793" s="48">
        <v>46273</v>
      </c>
      <c r="V1793" s="51">
        <v>0.46666666666666667</v>
      </c>
      <c r="W1793" s="51">
        <v>0.47708333333333336</v>
      </c>
      <c r="X1793" s="51">
        <v>0.48055555555555557</v>
      </c>
      <c r="Y1793" s="51">
        <v>0.48194444444444445</v>
      </c>
    </row>
    <row r="1794" spans="1:25" hidden="1">
      <c r="A1794" s="30">
        <v>24319288</v>
      </c>
      <c r="B1794" s="31">
        <v>46273</v>
      </c>
      <c r="C1794" s="32">
        <v>0.47203703703703703</v>
      </c>
      <c r="D1794" s="33"/>
      <c r="E1794" s="34">
        <v>5218112379985</v>
      </c>
      <c r="F1794" s="33"/>
      <c r="G1794" s="33"/>
      <c r="H1794" s="35">
        <v>43826515645</v>
      </c>
      <c r="I1794" s="33"/>
      <c r="J1794" s="36"/>
      <c r="K1794" t="s">
        <v>30</v>
      </c>
      <c r="L1794" s="111">
        <v>9760.32</v>
      </c>
      <c r="M1794" s="111">
        <v>2928.1</v>
      </c>
      <c r="N1794" s="3">
        <f>L1794*0.3</f>
        <v>2928.096</v>
      </c>
      <c r="O1794" s="3">
        <f>(IF(L1794&lt;4172.98,0,MIN(L1794*0.3,L1794-4172.98)))-M1794</f>
        <v>-3.9999999999054126E-3</v>
      </c>
      <c r="P1794" s="6">
        <v>46935</v>
      </c>
      <c r="Q1794" t="s">
        <v>44</v>
      </c>
      <c r="R1794" s="3">
        <v>2049.1</v>
      </c>
      <c r="S1794" s="3" t="s">
        <v>204</v>
      </c>
      <c r="V1794" s="51">
        <v>0.47222222222222221</v>
      </c>
    </row>
    <row r="1795" spans="1:25">
      <c r="A1795" s="30">
        <v>24319542</v>
      </c>
      <c r="B1795" s="31">
        <v>46273</v>
      </c>
      <c r="C1795" s="32">
        <v>0.47677083333333331</v>
      </c>
      <c r="D1795" s="33"/>
      <c r="E1795" s="34">
        <v>5215633215444</v>
      </c>
      <c r="F1795" s="33"/>
      <c r="G1795" s="33"/>
      <c r="H1795" s="35">
        <v>20886601523</v>
      </c>
      <c r="I1795" s="33"/>
      <c r="J1795" s="36"/>
      <c r="K1795" t="s">
        <v>54</v>
      </c>
      <c r="L1795" s="3">
        <v>10636.54</v>
      </c>
      <c r="N1795" s="3">
        <f>L1795*0.3</f>
        <v>3190.962</v>
      </c>
      <c r="O1795" s="3">
        <f>(IF(L1795&lt;4172.98,0,MIN(L1795*0.3,L1795-4172.98)))-M1795</f>
        <v>3190.962</v>
      </c>
      <c r="S1795" s="3" t="s">
        <v>886</v>
      </c>
      <c r="T1795" s="48">
        <v>46273</v>
      </c>
      <c r="V1795" s="51">
        <v>0.47708333333333336</v>
      </c>
      <c r="W1795" s="51">
        <v>0.4826388888888889</v>
      </c>
      <c r="X1795" s="51">
        <v>0.48680555555555555</v>
      </c>
      <c r="Y1795" s="51">
        <v>0.49166666666666664</v>
      </c>
    </row>
    <row r="1796" spans="1:25" hidden="1">
      <c r="A1796" s="30">
        <v>24319426</v>
      </c>
      <c r="B1796" s="31">
        <v>46273</v>
      </c>
      <c r="C1796" s="32">
        <v>0.48203703703703704</v>
      </c>
      <c r="D1796" s="33" t="s">
        <v>1737</v>
      </c>
      <c r="E1796" s="34">
        <v>5217441149857</v>
      </c>
      <c r="F1796" s="33"/>
      <c r="G1796" s="33" t="s">
        <v>1738</v>
      </c>
      <c r="H1796" s="35"/>
      <c r="I1796" s="33"/>
      <c r="J1796" s="36"/>
      <c r="K1796" t="s">
        <v>30</v>
      </c>
      <c r="L1796" s="111">
        <v>9760.32</v>
      </c>
      <c r="M1796" s="111">
        <v>2823.89</v>
      </c>
      <c r="N1796" s="3">
        <f>L1796*0.3</f>
        <v>2928.096</v>
      </c>
      <c r="O1796" s="3">
        <f>(IF(L1796&lt;4172.98,0,MIN(L1796*0.3,L1796-4172.98)))-M1796</f>
        <v>104.20600000000013</v>
      </c>
      <c r="P1796" s="6">
        <v>46661</v>
      </c>
      <c r="Q1796" t="s">
        <v>44</v>
      </c>
      <c r="R1796" s="111">
        <v>2823.89</v>
      </c>
      <c r="S1796" s="3" t="s">
        <v>204</v>
      </c>
      <c r="V1796" s="51">
        <v>0.48402777777777778</v>
      </c>
    </row>
    <row r="1797" spans="1:25">
      <c r="A1797" s="30">
        <v>24319842</v>
      </c>
      <c r="B1797" s="31">
        <v>46273</v>
      </c>
      <c r="C1797" s="32">
        <v>0.49082175925925925</v>
      </c>
      <c r="D1797" s="33"/>
      <c r="E1797" s="34">
        <v>5216242558003</v>
      </c>
      <c r="F1797" s="33"/>
      <c r="G1797" s="33"/>
      <c r="H1797" s="35" t="s">
        <v>1739</v>
      </c>
      <c r="I1797" s="33"/>
      <c r="J1797" s="36"/>
      <c r="K1797" t="s">
        <v>54</v>
      </c>
      <c r="L1797" s="3">
        <v>10636.54</v>
      </c>
      <c r="N1797" s="3">
        <f>L1797*0.3</f>
        <v>3190.962</v>
      </c>
      <c r="O1797" s="3">
        <f>(IF(L1797&lt;4172.98,0,MIN(L1797*0.3,L1797-4172.98)))-M1797</f>
        <v>3190.962</v>
      </c>
      <c r="S1797" s="3" t="s">
        <v>1091</v>
      </c>
      <c r="T1797" s="48">
        <v>46273</v>
      </c>
      <c r="V1797" s="51">
        <v>0.49236111111111114</v>
      </c>
      <c r="W1797" s="51">
        <v>0.49652777777777779</v>
      </c>
      <c r="X1797" s="51">
        <v>0.49791666666666667</v>
      </c>
      <c r="Y1797" s="51">
        <v>0.49930555555555556</v>
      </c>
    </row>
    <row r="1798" spans="1:25" hidden="1">
      <c r="A1798" s="30">
        <v>24319572</v>
      </c>
      <c r="B1798" s="31">
        <v>46273</v>
      </c>
      <c r="C1798" s="32">
        <v>0.49326388888888889</v>
      </c>
      <c r="D1798" s="33"/>
      <c r="E1798" s="34">
        <v>5219985240414</v>
      </c>
      <c r="F1798" s="33"/>
      <c r="G1798" s="33"/>
      <c r="H1798" s="35" t="s">
        <v>1740</v>
      </c>
      <c r="I1798" s="33"/>
      <c r="J1798" s="36"/>
      <c r="K1798" t="s">
        <v>30</v>
      </c>
      <c r="L1798" s="111">
        <v>9504.7000000000007</v>
      </c>
      <c r="M1798" s="111">
        <v>2749.94</v>
      </c>
      <c r="N1798" s="3">
        <f>L1798*0.3</f>
        <v>2851.4100000000003</v>
      </c>
      <c r="O1798" s="3">
        <f>(IF(L1798&lt;4172.98,0,MIN(L1798*0.3,L1798-4172.98)))-M1798</f>
        <v>101.47000000000025</v>
      </c>
      <c r="P1798" s="6">
        <v>46692</v>
      </c>
      <c r="Q1798" t="s">
        <v>44</v>
      </c>
      <c r="R1798" s="111">
        <v>2749.94</v>
      </c>
      <c r="S1798" s="3" t="s">
        <v>204</v>
      </c>
      <c r="V1798" s="51">
        <v>0.49375000000000002</v>
      </c>
    </row>
    <row r="1799" spans="1:25" hidden="1">
      <c r="A1799" s="30">
        <v>24320340</v>
      </c>
      <c r="B1799" s="31">
        <v>46273</v>
      </c>
      <c r="C1799" s="32">
        <v>0.49609953703703702</v>
      </c>
      <c r="D1799" s="33" t="s">
        <v>1741</v>
      </c>
      <c r="E1799" s="34">
        <v>5219993341055</v>
      </c>
      <c r="F1799" s="33"/>
      <c r="G1799" s="33" t="s">
        <v>1742</v>
      </c>
      <c r="H1799" s="35"/>
      <c r="I1799" s="33"/>
      <c r="J1799" s="36"/>
      <c r="K1799" t="s">
        <v>32</v>
      </c>
      <c r="N1799" s="3">
        <f>L1799*0.3</f>
        <v>0</v>
      </c>
      <c r="O1799" s="3">
        <f>(IF(L1799&lt;4172.98,0,MIN(L1799*0.3,L1799-4172.98)))-M1799</f>
        <v>0</v>
      </c>
      <c r="S1799" s="3" t="s">
        <v>204</v>
      </c>
      <c r="V1799" s="51">
        <v>0.49930555555555556</v>
      </c>
    </row>
    <row r="1800" spans="1:25" hidden="1">
      <c r="A1800" s="30">
        <v>24319816</v>
      </c>
      <c r="B1800" s="31">
        <v>46273</v>
      </c>
      <c r="C1800" s="32">
        <v>0.50194444444444442</v>
      </c>
      <c r="D1800" s="33"/>
      <c r="E1800" s="34">
        <v>5218115329564</v>
      </c>
      <c r="F1800" s="33"/>
      <c r="G1800" s="33"/>
      <c r="H1800" s="35">
        <v>67886671022</v>
      </c>
      <c r="I1800" s="33"/>
      <c r="J1800" s="36"/>
      <c r="K1800" t="s">
        <v>30</v>
      </c>
      <c r="L1800" s="111">
        <v>10636.54</v>
      </c>
      <c r="M1800" s="111">
        <v>3190.96</v>
      </c>
      <c r="N1800" s="3">
        <f>L1800*0.3</f>
        <v>3190.962</v>
      </c>
      <c r="O1800" s="3">
        <f>(IF(L1800&lt;4172.98,0,MIN(L1800*0.3,L1800-4172.98)))-M1800</f>
        <v>1.9999999999527063E-3</v>
      </c>
      <c r="P1800" s="6">
        <v>46935</v>
      </c>
      <c r="Q1800" t="s">
        <v>77</v>
      </c>
      <c r="R1800" s="111">
        <v>3190.96</v>
      </c>
      <c r="S1800" s="3" t="s">
        <v>204</v>
      </c>
      <c r="V1800" s="51">
        <v>0.50416666666666665</v>
      </c>
    </row>
    <row r="1801" spans="1:25">
      <c r="A1801" s="30">
        <v>24320502</v>
      </c>
      <c r="B1801" s="31">
        <v>46273</v>
      </c>
      <c r="C1801" s="32">
        <v>0.51113425925925926</v>
      </c>
      <c r="D1801" s="33"/>
      <c r="E1801" s="34">
        <v>5218130411263</v>
      </c>
      <c r="F1801" s="33"/>
      <c r="G1801" s="33"/>
      <c r="H1801" s="35">
        <v>43796298420</v>
      </c>
      <c r="I1801" s="35"/>
      <c r="J1801" s="104"/>
      <c r="K1801" s="188" t="s">
        <v>27</v>
      </c>
      <c r="L1801" s="3">
        <v>7116.73</v>
      </c>
      <c r="M1801" s="3">
        <v>1975.86</v>
      </c>
      <c r="N1801" s="3">
        <f>L1801*0.3</f>
        <v>2135.0189999999998</v>
      </c>
      <c r="O1801" s="3">
        <f>(IF(L1801&lt;4172.98,0,MIN(L1801*0.3,L1801-4172.98)))-M1801</f>
        <v>159.15899999999988</v>
      </c>
      <c r="P1801" s="6">
        <v>46266</v>
      </c>
      <c r="Q1801" t="s">
        <v>47</v>
      </c>
      <c r="R1801" s="3">
        <v>1975.86</v>
      </c>
      <c r="S1801" s="3" t="s">
        <v>90</v>
      </c>
      <c r="T1801" s="48">
        <v>46273</v>
      </c>
      <c r="V1801" s="51">
        <v>0.51111111111111107</v>
      </c>
      <c r="W1801" s="51">
        <v>0.51875000000000004</v>
      </c>
      <c r="X1801" s="51">
        <v>0.5229166666666667</v>
      </c>
      <c r="Y1801" s="51">
        <v>0.52916666666666667</v>
      </c>
    </row>
    <row r="1802" spans="1:25" hidden="1">
      <c r="A1802" s="30">
        <v>24321854</v>
      </c>
      <c r="B1802" s="31">
        <v>46273</v>
      </c>
      <c r="C1802" s="32">
        <v>0.53605324074074079</v>
      </c>
      <c r="D1802" s="33"/>
      <c r="E1802" s="34">
        <v>5217331189011</v>
      </c>
      <c r="F1802" s="33"/>
      <c r="G1802" s="33"/>
      <c r="H1802" s="35">
        <v>72068400844</v>
      </c>
      <c r="I1802" s="33"/>
      <c r="J1802" s="36"/>
      <c r="K1802" t="s">
        <v>51</v>
      </c>
      <c r="N1802" s="3">
        <f>L1802*0.3</f>
        <v>0</v>
      </c>
      <c r="O1802" s="3">
        <f>(IF(L1802&lt;4172.98,0,MIN(L1802*0.3,L1802-4172.98)))-M1802</f>
        <v>0</v>
      </c>
      <c r="S1802" s="3" t="s">
        <v>204</v>
      </c>
      <c r="V1802" s="51">
        <v>0.53611111111111109</v>
      </c>
    </row>
    <row r="1803" spans="1:25" hidden="1">
      <c r="A1803" s="30">
        <v>24321616</v>
      </c>
      <c r="B1803" s="31">
        <v>46273</v>
      </c>
      <c r="C1803" s="32">
        <v>0.53728009259259257</v>
      </c>
      <c r="D1803" s="33"/>
      <c r="E1803" s="34">
        <v>5219542062963</v>
      </c>
      <c r="F1803" s="33"/>
      <c r="G1803" s="33" t="s">
        <v>1743</v>
      </c>
      <c r="H1803" s="35"/>
      <c r="I1803" s="33"/>
      <c r="J1803" s="36"/>
      <c r="K1803" t="s">
        <v>32</v>
      </c>
      <c r="N1803" s="3">
        <f>L1803*0.3</f>
        <v>0</v>
      </c>
      <c r="O1803" s="3">
        <f>(IF(L1803&lt;4172.98,0,MIN(L1803*0.3,L1803-4172.98)))-M1803</f>
        <v>0</v>
      </c>
      <c r="S1803" s="3" t="s">
        <v>204</v>
      </c>
      <c r="V1803" s="51">
        <v>0.53819444444444442</v>
      </c>
    </row>
    <row r="1804" spans="1:25">
      <c r="A1804" s="30">
        <v>24321750</v>
      </c>
      <c r="B1804" s="31">
        <v>46273</v>
      </c>
      <c r="C1804" s="32">
        <v>0.53913194444444446</v>
      </c>
      <c r="D1804" s="33"/>
      <c r="E1804" s="34">
        <v>5214425996201</v>
      </c>
      <c r="F1804" s="33"/>
      <c r="G1804" s="33" t="s">
        <v>1744</v>
      </c>
      <c r="H1804" s="35"/>
      <c r="I1804" s="33"/>
      <c r="J1804" s="36"/>
      <c r="K1804" t="s">
        <v>54</v>
      </c>
      <c r="L1804" s="3">
        <v>9760.32</v>
      </c>
      <c r="N1804" s="3">
        <f>L1804*0.3</f>
        <v>2928.096</v>
      </c>
      <c r="O1804" s="3">
        <f>(IF(L1804&lt;4172.98,0,MIN(L1804*0.3,L1804-4172.98)))-M1804</f>
        <v>2928.096</v>
      </c>
      <c r="S1804" s="3" t="s">
        <v>271</v>
      </c>
      <c r="T1804" s="48">
        <v>46273</v>
      </c>
      <c r="U1804" t="s">
        <v>368</v>
      </c>
      <c r="V1804" s="51">
        <v>0.54027777777777775</v>
      </c>
      <c r="W1804" s="51">
        <v>0.55625000000000002</v>
      </c>
      <c r="X1804" s="51">
        <v>0.56597222222222221</v>
      </c>
      <c r="Y1804" s="51">
        <v>0.57291666666666663</v>
      </c>
    </row>
    <row r="1805" spans="1:25" hidden="1">
      <c r="A1805" s="30">
        <v>24322176</v>
      </c>
      <c r="B1805" s="31">
        <v>46273</v>
      </c>
      <c r="C1805" s="32">
        <v>0.55181712962962959</v>
      </c>
      <c r="D1805" s="33"/>
      <c r="E1805" s="34">
        <v>5218333792489</v>
      </c>
      <c r="F1805" s="33"/>
      <c r="G1805" s="33" t="s">
        <v>1745</v>
      </c>
      <c r="H1805" s="35"/>
      <c r="I1805" s="33"/>
      <c r="J1805" s="36"/>
      <c r="K1805" t="s">
        <v>58</v>
      </c>
      <c r="L1805" s="3">
        <v>2269.69</v>
      </c>
      <c r="N1805" s="3">
        <f>L1805*0.3</f>
        <v>680.90700000000004</v>
      </c>
      <c r="O1805" s="3">
        <f>(IF(L1805&lt;4172.98,0,MIN(L1805*0.3,L1805-4172.98)))-M1805</f>
        <v>0</v>
      </c>
      <c r="S1805" s="3" t="s">
        <v>204</v>
      </c>
      <c r="V1805" s="51">
        <v>0.55208333333333337</v>
      </c>
    </row>
    <row r="1806" spans="1:25">
      <c r="A1806" s="30">
        <v>24322298</v>
      </c>
      <c r="B1806" s="31">
        <v>46273</v>
      </c>
      <c r="C1806" s="32">
        <v>0.55481481481481476</v>
      </c>
      <c r="D1806" s="33"/>
      <c r="E1806" s="34">
        <v>5214431019525</v>
      </c>
      <c r="F1806" s="33"/>
      <c r="G1806" s="33"/>
      <c r="H1806" s="35" t="s">
        <v>1746</v>
      </c>
      <c r="I1806" s="33"/>
      <c r="J1806" s="36"/>
      <c r="K1806" t="s">
        <v>54</v>
      </c>
      <c r="L1806" s="3">
        <v>29868.55</v>
      </c>
      <c r="N1806" s="3">
        <f>L1806*0.3</f>
        <v>8960.5649999999987</v>
      </c>
      <c r="O1806" s="3">
        <f>(IF(L1806&lt;4172.98,0,MIN(L1806*0.3,L1806-4172.98)))-M1806</f>
        <v>8960.5649999999987</v>
      </c>
      <c r="S1806" s="3" t="s">
        <v>1080</v>
      </c>
      <c r="T1806" s="48">
        <v>46273</v>
      </c>
      <c r="V1806" s="51">
        <v>0.55555555555555558</v>
      </c>
      <c r="W1806" s="51">
        <v>0.5625</v>
      </c>
      <c r="X1806" s="51">
        <v>0.56805555555555554</v>
      </c>
      <c r="Y1806" s="51">
        <v>0.56944444444444442</v>
      </c>
    </row>
    <row r="1807" spans="1:25">
      <c r="A1807" s="30">
        <v>24322936</v>
      </c>
      <c r="B1807" s="31">
        <v>46273</v>
      </c>
      <c r="C1807" s="32">
        <v>0.57907407407407407</v>
      </c>
      <c r="D1807" s="33"/>
      <c r="E1807" s="34">
        <v>5219384003413</v>
      </c>
      <c r="F1807" s="33"/>
      <c r="G1807" s="33" t="s">
        <v>1747</v>
      </c>
      <c r="H1807" s="35"/>
      <c r="I1807" s="33"/>
      <c r="J1807" s="36"/>
      <c r="K1807" t="s">
        <v>54</v>
      </c>
      <c r="L1807" s="3">
        <v>7081.07</v>
      </c>
      <c r="N1807" s="3">
        <f>L1807*0.3</f>
        <v>2124.3209999999999</v>
      </c>
      <c r="O1807" s="3">
        <f>(IF(L1807&lt;4172.98,0,MIN(L1807*0.3,L1807-4172.98)))-M1807</f>
        <v>2124.3209999999999</v>
      </c>
      <c r="S1807" s="3" t="s">
        <v>348</v>
      </c>
      <c r="T1807" s="48">
        <v>46273</v>
      </c>
      <c r="V1807" s="51">
        <v>0.57986111111111116</v>
      </c>
      <c r="W1807" s="51">
        <v>0.58402777777777781</v>
      </c>
      <c r="X1807" s="51">
        <v>0.58472222222222225</v>
      </c>
      <c r="Y1807" s="51">
        <v>0.58750000000000002</v>
      </c>
    </row>
    <row r="1808" spans="1:25" hidden="1">
      <c r="A1808" s="30">
        <v>24322996</v>
      </c>
      <c r="B1808" s="31">
        <v>46273</v>
      </c>
      <c r="C1808" s="32">
        <v>0.58149305555555553</v>
      </c>
      <c r="D1808" s="33"/>
      <c r="E1808" s="34">
        <v>5217971255710</v>
      </c>
      <c r="F1808" s="33"/>
      <c r="G1808" s="33"/>
      <c r="H1808" s="35">
        <v>45907246172</v>
      </c>
      <c r="I1808" s="33"/>
      <c r="J1808" s="36"/>
      <c r="K1808" t="s">
        <v>32</v>
      </c>
      <c r="N1808" s="3">
        <f>L1808*0.3</f>
        <v>0</v>
      </c>
      <c r="O1808" s="3">
        <f>(IF(L1808&lt;4172.98,0,MIN(L1808*0.3,L1808-4172.98)))-M1808</f>
        <v>0</v>
      </c>
      <c r="S1808" s="3" t="s">
        <v>204</v>
      </c>
      <c r="V1808" s="51">
        <v>0.58125000000000004</v>
      </c>
    </row>
    <row r="1809" spans="1:25">
      <c r="A1809" s="30">
        <v>24323500</v>
      </c>
      <c r="B1809" s="31">
        <v>46273</v>
      </c>
      <c r="C1809" s="32">
        <v>0.58743055555555557</v>
      </c>
      <c r="D1809" s="33"/>
      <c r="E1809" s="34">
        <v>5216673935222</v>
      </c>
      <c r="F1809" s="33"/>
      <c r="G1809" s="33" t="s">
        <v>1748</v>
      </c>
      <c r="H1809" s="35">
        <v>24776200842</v>
      </c>
      <c r="I1809" s="33"/>
      <c r="J1809" s="36"/>
      <c r="K1809" t="s">
        <v>54</v>
      </c>
      <c r="L1809" s="3">
        <v>9081.52</v>
      </c>
      <c r="N1809" s="3">
        <f>L1809*0.3</f>
        <v>2724.4560000000001</v>
      </c>
      <c r="O1809" s="3">
        <f>(IF(L1809&lt;4172.98,0,MIN(L1809*0.3,L1809-4172.98)))-M1809</f>
        <v>2724.4560000000001</v>
      </c>
      <c r="S1809" s="3" t="s">
        <v>55</v>
      </c>
      <c r="T1809" s="48">
        <v>46273</v>
      </c>
      <c r="V1809" s="51">
        <v>0.58819444444444446</v>
      </c>
      <c r="W1809" s="51">
        <v>0.59166666666666667</v>
      </c>
      <c r="X1809" s="51">
        <v>0.59583333333333333</v>
      </c>
      <c r="Y1809" s="51">
        <v>0.59791666666666665</v>
      </c>
    </row>
    <row r="1810" spans="1:25" hidden="1">
      <c r="A1810" s="30">
        <v>24323152</v>
      </c>
      <c r="B1810" s="31">
        <v>46273</v>
      </c>
      <c r="C1810" s="32">
        <v>0.58454861111111112</v>
      </c>
      <c r="D1810" s="33"/>
      <c r="E1810" s="34">
        <v>5214491898730</v>
      </c>
      <c r="F1810" s="33"/>
      <c r="G1810" s="33" t="s">
        <v>1749</v>
      </c>
      <c r="H1810" s="35"/>
      <c r="I1810" s="33"/>
      <c r="J1810" s="36"/>
      <c r="K1810" t="s">
        <v>32</v>
      </c>
      <c r="N1810" s="3">
        <f>L1810*0.3</f>
        <v>0</v>
      </c>
      <c r="O1810" s="3">
        <f>(IF(L1810&lt;4172.98,0,MIN(L1810*0.3,L1810-4172.98)))-M1810</f>
        <v>0</v>
      </c>
      <c r="S1810" s="3" t="s">
        <v>204</v>
      </c>
      <c r="V1810" s="51">
        <v>0.58958333333333335</v>
      </c>
    </row>
    <row r="1811" spans="1:25" hidden="1">
      <c r="A1811" s="30">
        <v>24323704</v>
      </c>
      <c r="B1811" s="31">
        <v>46273</v>
      </c>
      <c r="C1811" s="32">
        <v>0.59402777777777782</v>
      </c>
      <c r="D1811" s="33"/>
      <c r="E1811" s="34">
        <v>5215566050488</v>
      </c>
      <c r="F1811" s="33"/>
      <c r="G1811" s="33"/>
      <c r="H1811" s="35">
        <v>20876407816</v>
      </c>
      <c r="I1811" s="33"/>
      <c r="J1811" s="36"/>
      <c r="K1811" t="s">
        <v>30</v>
      </c>
      <c r="L1811" s="111">
        <v>19088.7</v>
      </c>
      <c r="M1811" s="111">
        <v>5505.8</v>
      </c>
      <c r="N1811" s="3">
        <f>L1811*0.3</f>
        <v>5726.61</v>
      </c>
      <c r="O1811" s="3">
        <f>(IF(L1811&lt;4172.98,0,MIN(L1811*0.3,L1811-4172.98)))-M1811</f>
        <v>220.80999999999949</v>
      </c>
      <c r="P1811" s="6">
        <v>46631</v>
      </c>
      <c r="Q1811" t="s">
        <v>73</v>
      </c>
      <c r="R1811" s="111">
        <v>5505.8</v>
      </c>
      <c r="S1811" s="3" t="s">
        <v>204</v>
      </c>
      <c r="V1811" s="51">
        <v>0.59375</v>
      </c>
    </row>
    <row r="1812" spans="1:25" hidden="1">
      <c r="A1812" s="30">
        <v>24323840</v>
      </c>
      <c r="B1812" s="31">
        <v>46273</v>
      </c>
      <c r="C1812" s="32">
        <v>0.5953356481481481</v>
      </c>
      <c r="D1812" s="33"/>
      <c r="E1812" s="34">
        <v>5219671381524</v>
      </c>
      <c r="F1812" s="33"/>
      <c r="G1812" s="33" t="s">
        <v>1750</v>
      </c>
      <c r="H1812" s="35"/>
      <c r="I1812" s="33"/>
      <c r="J1812" s="36"/>
      <c r="K1812" t="s">
        <v>32</v>
      </c>
      <c r="N1812" s="3">
        <f>L1812*0.3</f>
        <v>0</v>
      </c>
      <c r="O1812" s="3">
        <f>(IF(L1812&lt;4172.98,0,MIN(L1812*0.3,L1812-4172.98)))-M1812</f>
        <v>0</v>
      </c>
      <c r="S1812" s="3" t="s">
        <v>204</v>
      </c>
      <c r="V1812" s="51">
        <v>0.59513888888888888</v>
      </c>
    </row>
    <row r="1813" spans="1:25" hidden="1">
      <c r="A1813" s="30">
        <v>24323652</v>
      </c>
      <c r="B1813" s="31">
        <v>46273</v>
      </c>
      <c r="C1813" s="32">
        <v>0.6001157407407407</v>
      </c>
      <c r="D1813" s="33"/>
      <c r="E1813" s="34">
        <v>5216441558378</v>
      </c>
      <c r="F1813" s="33"/>
      <c r="G1813" s="33"/>
      <c r="H1813" s="35" t="s">
        <v>1751</v>
      </c>
      <c r="I1813" s="33"/>
      <c r="J1813" s="36"/>
      <c r="K1813" t="s">
        <v>30</v>
      </c>
      <c r="L1813" s="111">
        <v>9081.52</v>
      </c>
      <c r="M1813" s="111">
        <v>2520</v>
      </c>
      <c r="N1813" s="3">
        <f>L1813*0.3</f>
        <v>2724.4560000000001</v>
      </c>
      <c r="O1813" s="3">
        <f>(IF(L1813&lt;4172.98,0,MIN(L1813*0.3,L1813-4172.98)))-M1813</f>
        <v>204.45600000000013</v>
      </c>
      <c r="P1813" s="6">
        <v>46388</v>
      </c>
      <c r="Q1813" t="s">
        <v>44</v>
      </c>
      <c r="R1813" s="111">
        <v>2520</v>
      </c>
      <c r="S1813" s="3" t="s">
        <v>204</v>
      </c>
      <c r="V1813" s="51">
        <v>0.51666666666666672</v>
      </c>
    </row>
    <row r="1814" spans="1:25" hidden="1">
      <c r="A1814" s="30">
        <v>24324062</v>
      </c>
      <c r="B1814" s="31">
        <v>46273</v>
      </c>
      <c r="C1814" s="32">
        <v>0.60266203703703702</v>
      </c>
      <c r="D1814" s="33"/>
      <c r="E1814" s="34">
        <v>5214443572585</v>
      </c>
      <c r="F1814" s="33"/>
      <c r="G1814" s="33"/>
      <c r="H1814" s="35">
        <v>21886654967</v>
      </c>
      <c r="I1814" s="33"/>
      <c r="J1814" s="36"/>
      <c r="K1814" t="s">
        <v>30</v>
      </c>
      <c r="L1814" s="111">
        <v>11029.03</v>
      </c>
      <c r="M1814" s="111">
        <v>3101.6</v>
      </c>
      <c r="N1814" s="3">
        <f>L1814*0.3</f>
        <v>3308.7090000000003</v>
      </c>
      <c r="O1814" s="3">
        <f>(IF(L1814&lt;4172.98,0,MIN(L1814*0.3,L1814-4172.98)))-M1814</f>
        <v>207.10900000000038</v>
      </c>
      <c r="P1814" s="6">
        <v>46874</v>
      </c>
      <c r="Q1814" t="s">
        <v>75</v>
      </c>
      <c r="R1814" s="111">
        <v>3101.6</v>
      </c>
      <c r="S1814" s="3" t="s">
        <v>204</v>
      </c>
      <c r="V1814" s="51">
        <v>0.60277777777777775</v>
      </c>
    </row>
    <row r="1815" spans="1:25">
      <c r="A1815" s="30">
        <v>24324112</v>
      </c>
      <c r="B1815" s="31">
        <v>46273</v>
      </c>
      <c r="C1815" s="32">
        <v>0.60678240740740741</v>
      </c>
      <c r="D1815" s="33"/>
      <c r="E1815" s="34">
        <v>5216461970426</v>
      </c>
      <c r="F1815" s="33"/>
      <c r="G1815" s="33"/>
      <c r="H1815" s="35" t="s">
        <v>1752</v>
      </c>
      <c r="I1815" s="33"/>
      <c r="J1815" s="36"/>
      <c r="K1815" t="s">
        <v>38</v>
      </c>
      <c r="L1815" s="111">
        <v>52695.35</v>
      </c>
      <c r="M1815" s="111">
        <v>15225.05</v>
      </c>
      <c r="N1815" s="3">
        <f>L1815*0.3</f>
        <v>15808.605</v>
      </c>
      <c r="O1815" s="3">
        <f>(IF(L1815&lt;4172.98,0,MIN(L1815*0.3,L1815-4172.98)))-M1815</f>
        <v>583.55500000000029</v>
      </c>
      <c r="P1815" s="6">
        <v>46296</v>
      </c>
      <c r="Q1815" t="s">
        <v>75</v>
      </c>
      <c r="R1815" s="3">
        <v>2263.69</v>
      </c>
      <c r="S1815" s="3" t="s">
        <v>266</v>
      </c>
      <c r="T1815" s="48">
        <v>46273</v>
      </c>
      <c r="V1815" s="51">
        <v>0.6069444444444444</v>
      </c>
      <c r="W1815" s="51">
        <v>0.61597222222222225</v>
      </c>
      <c r="X1815" s="51">
        <v>0.61944444444444446</v>
      </c>
      <c r="Y1815" s="51">
        <v>0.62222222222222223</v>
      </c>
    </row>
    <row r="1816" spans="1:25" hidden="1">
      <c r="A1816" s="12">
        <v>24324104</v>
      </c>
      <c r="B1816" s="13">
        <v>46273</v>
      </c>
      <c r="C1816" s="14">
        <v>0.61103009259259256</v>
      </c>
      <c r="D1816" s="15"/>
      <c r="E1816" s="16">
        <v>5219341151473</v>
      </c>
      <c r="F1816" s="15"/>
      <c r="G1816" s="15" t="s">
        <v>1753</v>
      </c>
      <c r="H1816" s="17"/>
      <c r="I1816" s="15"/>
      <c r="J1816" s="18"/>
      <c r="K1816" t="s">
        <v>32</v>
      </c>
      <c r="N1816" s="3">
        <f t="shared" ref="N1816:N1817" si="216">L1816*0.3</f>
        <v>0</v>
      </c>
      <c r="O1816" s="3">
        <f t="shared" ref="O1816:O1817" si="217">(IF(L1816&lt;4172.98,0,MIN(L1816*0.3,L1816-4172.98)))-M1816</f>
        <v>0</v>
      </c>
      <c r="S1816" s="3" t="s">
        <v>204</v>
      </c>
      <c r="V1816" s="51">
        <v>0.61111111111111116</v>
      </c>
    </row>
    <row r="1817" spans="1:25" hidden="1">
      <c r="A1817" s="30">
        <v>24324202</v>
      </c>
      <c r="B1817" s="31">
        <v>46273</v>
      </c>
      <c r="C1817" s="32">
        <v>0.6111226851851852</v>
      </c>
      <c r="D1817" s="33"/>
      <c r="E1817" s="34">
        <v>5213412077892</v>
      </c>
      <c r="F1817" s="33"/>
      <c r="G1817" s="33" t="s">
        <v>1754</v>
      </c>
      <c r="H1817" s="35"/>
      <c r="I1817" s="33"/>
      <c r="J1817" s="36"/>
      <c r="K1817" t="s">
        <v>58</v>
      </c>
      <c r="L1817" s="3">
        <v>3961.31</v>
      </c>
      <c r="N1817" s="3">
        <f t="shared" si="216"/>
        <v>1188.393</v>
      </c>
      <c r="O1817" s="3">
        <f t="shared" si="217"/>
        <v>0</v>
      </c>
      <c r="S1817" s="3" t="s">
        <v>204</v>
      </c>
      <c r="V1817" s="51">
        <v>0.61111111111111116</v>
      </c>
    </row>
    <row r="1818" spans="1:25">
      <c r="A1818" s="30">
        <v>24324444</v>
      </c>
      <c r="B1818" s="31">
        <v>46273</v>
      </c>
      <c r="C1818" s="32">
        <v>0.6177893518518518</v>
      </c>
      <c r="D1818" s="33"/>
      <c r="E1818" s="34">
        <v>5218714461002</v>
      </c>
      <c r="F1818" s="33"/>
      <c r="G1818" s="33"/>
      <c r="H1818" s="35">
        <v>31815700989</v>
      </c>
      <c r="I1818" s="33"/>
      <c r="J1818" s="36"/>
      <c r="K1818" t="s">
        <v>54</v>
      </c>
      <c r="L1818" s="3">
        <v>10636.54</v>
      </c>
      <c r="N1818" s="3">
        <f>L1818*0.3</f>
        <v>3190.962</v>
      </c>
      <c r="O1818" s="3">
        <f>(IF(L1818&lt;4172.98,0,MIN(L1818*0.3,L1818-4172.98)))-M1818</f>
        <v>3190.962</v>
      </c>
      <c r="S1818" s="3" t="s">
        <v>28</v>
      </c>
      <c r="T1818" s="48">
        <v>46273</v>
      </c>
      <c r="V1818" s="51">
        <v>0.61805555555555558</v>
      </c>
      <c r="W1818" s="51">
        <v>0.62361111111111112</v>
      </c>
      <c r="X1818" s="51">
        <v>0.62777777777777777</v>
      </c>
      <c r="Y1818" s="51">
        <v>0.62916666666666665</v>
      </c>
    </row>
    <row r="1819" spans="1:25" hidden="1">
      <c r="A1819" s="30">
        <v>24324244</v>
      </c>
      <c r="B1819" s="31">
        <v>46273</v>
      </c>
      <c r="C1819" s="32">
        <v>0.62435185185185182</v>
      </c>
      <c r="D1819" s="33"/>
      <c r="E1819" s="34">
        <v>5212741360606</v>
      </c>
      <c r="F1819" s="33"/>
      <c r="G1819" s="33" t="s">
        <v>1755</v>
      </c>
      <c r="H1819" s="35"/>
      <c r="I1819" s="33"/>
      <c r="J1819" s="36"/>
      <c r="K1819" t="s">
        <v>30</v>
      </c>
      <c r="L1819" s="111">
        <v>6483.65</v>
      </c>
      <c r="M1819" s="111">
        <v>1945.1</v>
      </c>
      <c r="N1819" s="3">
        <f>L1819*0.3</f>
        <v>1945.0949999999998</v>
      </c>
      <c r="O1819" s="3">
        <f>(IF(L1819&lt;4172.98,0,MIN(L1819*0.3,L1819-4172.98)))-M1819</f>
        <v>-5.0000000001091394E-3</v>
      </c>
      <c r="P1819" s="6">
        <v>46844</v>
      </c>
      <c r="Q1819" t="s">
        <v>44</v>
      </c>
      <c r="R1819" s="3">
        <v>699.28</v>
      </c>
      <c r="S1819" s="3" t="s">
        <v>204</v>
      </c>
      <c r="V1819" s="51">
        <v>0.625</v>
      </c>
    </row>
    <row r="1820" spans="1:25">
      <c r="A1820" s="30">
        <v>24324782</v>
      </c>
      <c r="B1820" s="31">
        <v>46273</v>
      </c>
      <c r="C1820" s="32">
        <v>0.62857638888888889</v>
      </c>
      <c r="D1820" s="33"/>
      <c r="E1820" s="34">
        <v>5218122893959</v>
      </c>
      <c r="F1820" s="33"/>
      <c r="G1820" s="33"/>
      <c r="H1820" s="35">
        <v>43796165132</v>
      </c>
      <c r="I1820" s="33"/>
      <c r="J1820" s="36"/>
      <c r="K1820" t="s">
        <v>38</v>
      </c>
      <c r="L1820" s="111">
        <v>40840.44</v>
      </c>
      <c r="M1820" s="111">
        <v>11816.12</v>
      </c>
      <c r="N1820" s="3">
        <f>L1820*0.3</f>
        <v>12252.132</v>
      </c>
      <c r="O1820" s="3">
        <f>(IF(L1820&lt;4172.98,0,MIN(L1820*0.3,L1820-4172.98)))-M1820</f>
        <v>436.01199999999881</v>
      </c>
      <c r="P1820" s="6">
        <v>46539</v>
      </c>
      <c r="Q1820" t="s">
        <v>1756</v>
      </c>
      <c r="R1820" s="111">
        <v>11816.12</v>
      </c>
      <c r="S1820" s="3" t="s">
        <v>39</v>
      </c>
      <c r="T1820" s="48">
        <v>46273</v>
      </c>
      <c r="V1820" s="51">
        <v>0.62916666666666665</v>
      </c>
      <c r="W1820" s="51">
        <v>0.63402777777777775</v>
      </c>
      <c r="X1820" s="51">
        <v>0.63680555555555551</v>
      </c>
      <c r="Y1820" s="51">
        <v>0.6381944444444444</v>
      </c>
    </row>
    <row r="1821" spans="1:25">
      <c r="A1821" s="30">
        <v>24324806</v>
      </c>
      <c r="B1821" s="31">
        <v>46273</v>
      </c>
      <c r="C1821" s="32">
        <v>0.63312500000000005</v>
      </c>
      <c r="D1821" s="33"/>
      <c r="E1821" s="34">
        <v>5216565770654</v>
      </c>
      <c r="F1821" s="33"/>
      <c r="G1821" s="33"/>
      <c r="H1821" s="35">
        <v>33796260264</v>
      </c>
      <c r="I1821" s="33"/>
      <c r="J1821" s="36"/>
      <c r="K1821" t="s">
        <v>54</v>
      </c>
      <c r="L1821" s="111">
        <v>10608.32</v>
      </c>
      <c r="M1821" s="111">
        <v>848</v>
      </c>
      <c r="N1821" s="3">
        <f>L1821*0.3</f>
        <v>3182.4959999999996</v>
      </c>
      <c r="O1821" s="3">
        <f>(IF(L1821&lt;4172.98,0,MIN(L1821*0.3,L1821-4172.98)))-M1821</f>
        <v>2334.4959999999996</v>
      </c>
      <c r="S1821" s="3" t="s">
        <v>1091</v>
      </c>
      <c r="T1821" s="48">
        <v>46273</v>
      </c>
      <c r="V1821" s="51">
        <v>0.6333333333333333</v>
      </c>
      <c r="W1821" s="51">
        <v>0.63611111111111107</v>
      </c>
      <c r="X1821" s="51">
        <v>0.63888888888888884</v>
      </c>
      <c r="Y1821" s="51">
        <v>0.64097222222222228</v>
      </c>
    </row>
    <row r="1822" spans="1:25" hidden="1">
      <c r="A1822" s="30">
        <v>24324972</v>
      </c>
      <c r="B1822" s="31">
        <v>46273</v>
      </c>
      <c r="C1822" s="32">
        <v>0.64121527777777776</v>
      </c>
      <c r="D1822" s="33"/>
      <c r="E1822" s="34">
        <v>5215522598166</v>
      </c>
      <c r="F1822" s="33"/>
      <c r="G1822" s="33" t="s">
        <v>1757</v>
      </c>
      <c r="H1822" s="35"/>
      <c r="I1822" s="33"/>
      <c r="J1822" s="36"/>
      <c r="K1822" t="s">
        <v>32</v>
      </c>
      <c r="N1822" s="3">
        <f>L1822*0.3</f>
        <v>0</v>
      </c>
      <c r="O1822" s="3">
        <f>(IF(L1822&lt;4172.98,0,MIN(L1822*0.3,L1822-4172.98)))-M1822</f>
        <v>0</v>
      </c>
      <c r="S1822" s="3" t="s">
        <v>204</v>
      </c>
      <c r="V1822" s="51">
        <v>0.64097222222222228</v>
      </c>
    </row>
    <row r="1823" spans="1:25">
      <c r="A1823" s="12">
        <v>24325462</v>
      </c>
      <c r="B1823" s="13">
        <v>46273</v>
      </c>
      <c r="C1823" s="14">
        <v>0.65840277777777778</v>
      </c>
      <c r="D1823" s="15"/>
      <c r="E1823" s="16">
        <v>5219221036911</v>
      </c>
      <c r="F1823" s="15"/>
      <c r="G1823" s="15"/>
      <c r="H1823" s="17">
        <v>72856402549</v>
      </c>
      <c r="I1823" s="15"/>
      <c r="J1823" s="18"/>
      <c r="K1823" t="s">
        <v>54</v>
      </c>
      <c r="L1823" s="3">
        <v>10636.54</v>
      </c>
      <c r="N1823" s="3">
        <f>L1823*0.3</f>
        <v>3190.962</v>
      </c>
      <c r="O1823" s="3">
        <f>(IF(L1823&lt;4172.98,0,MIN(L1823*0.3,L1823-4172.98)))-M1823</f>
        <v>3190.962</v>
      </c>
      <c r="S1823" s="3" t="s">
        <v>348</v>
      </c>
      <c r="T1823" s="48">
        <v>46273</v>
      </c>
      <c r="V1823" s="51">
        <v>0.65972222222222221</v>
      </c>
      <c r="W1823" s="51">
        <v>0.70625000000000004</v>
      </c>
      <c r="X1823" s="51">
        <v>0.67291666666666672</v>
      </c>
      <c r="Y1823" s="51">
        <v>0.6743055555555556</v>
      </c>
    </row>
    <row r="1824" spans="1:25" hidden="1">
      <c r="A1824" s="30">
        <v>24325724</v>
      </c>
      <c r="B1824" s="31">
        <v>46273</v>
      </c>
      <c r="C1824" s="32">
        <v>0.66048611111111111</v>
      </c>
      <c r="D1824" s="33"/>
      <c r="E1824" s="34">
        <v>5214431314973</v>
      </c>
      <c r="F1824" s="33"/>
      <c r="G1824" s="33" t="s">
        <v>1758</v>
      </c>
      <c r="H1824" s="35"/>
      <c r="I1824" s="33"/>
      <c r="J1824" s="36"/>
      <c r="K1824" t="s">
        <v>30</v>
      </c>
      <c r="L1824" s="125">
        <v>7920.51</v>
      </c>
      <c r="M1824" s="125">
        <v>2374.25</v>
      </c>
      <c r="N1824" s="3">
        <f>L1824*0.3</f>
        <v>2376.1529999999998</v>
      </c>
      <c r="O1824" s="3">
        <f>(IF(L1824&lt;4172.98,0,MIN(L1824*0.3,L1824-4172.98)))-M1824</f>
        <v>1.9029999999997926</v>
      </c>
      <c r="P1824" s="6">
        <v>46966</v>
      </c>
      <c r="Q1824" t="s">
        <v>59</v>
      </c>
      <c r="R1824" s="3">
        <v>2183.7600000000002</v>
      </c>
      <c r="S1824" s="3" t="s">
        <v>204</v>
      </c>
      <c r="V1824" s="51">
        <v>0.66111111111111109</v>
      </c>
    </row>
    <row r="1825" spans="1:25">
      <c r="A1825" s="30">
        <v>24325720</v>
      </c>
      <c r="B1825" s="31">
        <v>46273</v>
      </c>
      <c r="C1825" s="32">
        <v>0.66557870370370376</v>
      </c>
      <c r="D1825" s="33"/>
      <c r="E1825" s="34">
        <v>5216591017981</v>
      </c>
      <c r="F1825" s="33"/>
      <c r="G1825" s="33" t="s">
        <v>1759</v>
      </c>
      <c r="H1825" s="35"/>
      <c r="I1825" s="33"/>
      <c r="J1825" s="36"/>
      <c r="K1825" t="s">
        <v>27</v>
      </c>
      <c r="L1825" s="125">
        <v>7116.73</v>
      </c>
      <c r="M1825" s="125">
        <v>1975.23</v>
      </c>
      <c r="N1825" s="3">
        <f>L1825*0.3</f>
        <v>2135.0189999999998</v>
      </c>
      <c r="O1825" s="3">
        <f>(IF(L1825&lt;4172.98,0,MIN(L1825*0.3,L1825-4172.98)))-M1825</f>
        <v>159.78899999999976</v>
      </c>
      <c r="P1825" s="6">
        <v>46266</v>
      </c>
      <c r="Q1825" t="s">
        <v>1760</v>
      </c>
      <c r="R1825" s="125">
        <v>1975.23</v>
      </c>
      <c r="S1825" s="3" t="s">
        <v>90</v>
      </c>
      <c r="T1825" s="48">
        <v>46273</v>
      </c>
      <c r="V1825" s="51">
        <v>0.66597222222222219</v>
      </c>
      <c r="W1825" s="51">
        <v>0.67638888888888893</v>
      </c>
      <c r="X1825" s="51">
        <v>0.68333333333333335</v>
      </c>
      <c r="Y1825" s="51">
        <v>0.69166666666666665</v>
      </c>
    </row>
    <row r="1826" spans="1:25" hidden="1">
      <c r="A1826" s="30">
        <v>24326208</v>
      </c>
      <c r="B1826" s="31">
        <v>46273</v>
      </c>
      <c r="C1826" s="32">
        <v>0.67569444444444449</v>
      </c>
      <c r="D1826" s="33"/>
      <c r="E1826" s="34">
        <v>5216311110308</v>
      </c>
      <c r="F1826" s="33"/>
      <c r="G1826" s="33" t="s">
        <v>1761</v>
      </c>
      <c r="H1826" s="35"/>
      <c r="I1826" s="33"/>
      <c r="J1826" s="36"/>
      <c r="K1826" t="s">
        <v>30</v>
      </c>
      <c r="L1826" s="125">
        <v>9760.32</v>
      </c>
      <c r="M1826" s="125">
        <v>2928.1</v>
      </c>
      <c r="N1826" s="3">
        <f>L1826*0.3</f>
        <v>2928.096</v>
      </c>
      <c r="O1826" s="3">
        <f>(IF(L1826&lt;4172.98,0,MIN(L1826*0.3,L1826-4172.98)))-M1826</f>
        <v>-3.9999999999054126E-3</v>
      </c>
      <c r="P1826" s="6">
        <v>46844</v>
      </c>
      <c r="Q1826" t="s">
        <v>206</v>
      </c>
      <c r="R1826" s="3">
        <v>1296.98</v>
      </c>
      <c r="S1826" s="3" t="s">
        <v>204</v>
      </c>
      <c r="V1826" s="51">
        <v>0.67708333333333337</v>
      </c>
    </row>
    <row r="1827" spans="1:25">
      <c r="A1827" s="12">
        <v>24326352</v>
      </c>
      <c r="B1827" s="13">
        <v>46273</v>
      </c>
      <c r="C1827" s="14">
        <v>0.67817129629629624</v>
      </c>
      <c r="D1827" s="15"/>
      <c r="E1827" s="16">
        <v>5214432765845</v>
      </c>
      <c r="F1827" s="15"/>
      <c r="G1827" s="15" t="s">
        <v>1762</v>
      </c>
      <c r="H1827" s="17"/>
      <c r="I1827" s="15"/>
      <c r="J1827" s="18"/>
      <c r="K1827" t="s">
        <v>27</v>
      </c>
      <c r="L1827" s="111">
        <v>9081.52</v>
      </c>
      <c r="M1827" s="111">
        <v>2521.3200000000002</v>
      </c>
      <c r="N1827" s="3">
        <f t="shared" ref="N1827:N1828" si="218">L1827*0.3</f>
        <v>2724.4560000000001</v>
      </c>
      <c r="O1827" s="3">
        <f t="shared" ref="O1827:O1828" si="219">(IF(L1827&lt;4172.98,0,MIN(L1827*0.3,L1827-4172.98)))-M1827</f>
        <v>203.13599999999997</v>
      </c>
      <c r="P1827" s="6">
        <v>46266</v>
      </c>
      <c r="Q1827" t="s">
        <v>75</v>
      </c>
      <c r="R1827" s="111">
        <v>2521.3200000000002</v>
      </c>
      <c r="S1827" s="3" t="s">
        <v>266</v>
      </c>
      <c r="T1827" s="48">
        <v>46273</v>
      </c>
      <c r="V1827" s="51">
        <v>0.68263888888888891</v>
      </c>
      <c r="W1827" s="51">
        <v>0.69097222222222221</v>
      </c>
      <c r="X1827" s="51">
        <v>0.6958333333333333</v>
      </c>
      <c r="Y1827" s="51">
        <v>0.69861111111111107</v>
      </c>
    </row>
    <row r="1828" spans="1:25" hidden="1">
      <c r="A1828" s="30">
        <v>24326300</v>
      </c>
      <c r="B1828" s="31">
        <v>46273</v>
      </c>
      <c r="C1828" s="32">
        <v>0.67972222222222223</v>
      </c>
      <c r="D1828" s="33" t="s">
        <v>1763</v>
      </c>
      <c r="E1828" s="34">
        <v>5217227172626</v>
      </c>
      <c r="F1828" s="33"/>
      <c r="G1828" s="33" t="s">
        <v>1764</v>
      </c>
      <c r="H1828" s="35">
        <v>16907428599</v>
      </c>
      <c r="I1828" s="33"/>
      <c r="J1828" s="36"/>
      <c r="K1828" t="s">
        <v>51</v>
      </c>
      <c r="N1828" s="3">
        <f t="shared" si="218"/>
        <v>0</v>
      </c>
      <c r="O1828" s="3">
        <f t="shared" si="219"/>
        <v>0</v>
      </c>
      <c r="S1828" s="3" t="s">
        <v>204</v>
      </c>
      <c r="V1828" s="51">
        <v>0.68263888888888891</v>
      </c>
    </row>
    <row r="1829" spans="1:25">
      <c r="A1829" s="12">
        <v>24326798</v>
      </c>
      <c r="B1829" s="13">
        <v>46273</v>
      </c>
      <c r="C1829" s="14">
        <v>0.69482638888888892</v>
      </c>
      <c r="D1829" s="15"/>
      <c r="E1829" s="16">
        <v>5216672420706</v>
      </c>
      <c r="F1829" s="15"/>
      <c r="G1829" s="15" t="s">
        <v>1765</v>
      </c>
      <c r="H1829" s="17" t="s">
        <v>1766</v>
      </c>
      <c r="I1829" s="15"/>
      <c r="J1829" s="18"/>
      <c r="K1829" t="s">
        <v>54</v>
      </c>
      <c r="L1829" s="3">
        <v>10538.93</v>
      </c>
      <c r="N1829" s="3">
        <f t="shared" ref="N1829:N1830" si="220">L1829*0.3</f>
        <v>3161.6790000000001</v>
      </c>
      <c r="O1829" s="3">
        <f t="shared" ref="O1829:O1830" si="221">(IF(L1829&lt;4172.98,0,MIN(L1829*0.3,L1829-4172.98)))-M1829</f>
        <v>3161.6790000000001</v>
      </c>
      <c r="S1829" s="3" t="s">
        <v>62</v>
      </c>
      <c r="T1829" s="48">
        <v>46273</v>
      </c>
      <c r="V1829" s="51">
        <v>0.69791666666666663</v>
      </c>
      <c r="W1829" s="51">
        <v>0.70347222222222228</v>
      </c>
      <c r="X1829" s="51">
        <v>0.7055555555555556</v>
      </c>
      <c r="Y1829" s="51">
        <v>0.70763888888888893</v>
      </c>
    </row>
    <row r="1830" spans="1:25">
      <c r="A1830" s="30">
        <v>24326804</v>
      </c>
      <c r="B1830" s="31">
        <v>46273</v>
      </c>
      <c r="C1830" s="32">
        <v>0.6955324074074074</v>
      </c>
      <c r="D1830" s="33"/>
      <c r="E1830" s="34">
        <v>5219381247475</v>
      </c>
      <c r="F1830" s="33"/>
      <c r="G1830" s="33"/>
      <c r="H1830" s="35">
        <v>12816432004</v>
      </c>
      <c r="I1830" s="33"/>
      <c r="J1830" s="36"/>
      <c r="K1830" t="s">
        <v>54</v>
      </c>
      <c r="L1830" s="3">
        <v>28738.55</v>
      </c>
      <c r="N1830" s="3">
        <f t="shared" si="220"/>
        <v>8621.5649999999987</v>
      </c>
      <c r="O1830" s="3">
        <f t="shared" si="221"/>
        <v>8621.5649999999987</v>
      </c>
      <c r="S1830" s="3" t="s">
        <v>327</v>
      </c>
      <c r="T1830" s="48">
        <v>46273</v>
      </c>
      <c r="V1830" s="51">
        <v>0.69791666666666663</v>
      </c>
      <c r="W1830" s="51">
        <v>0.70277777777777772</v>
      </c>
      <c r="X1830" s="51">
        <v>0.70763888888888893</v>
      </c>
      <c r="Y1830" s="51">
        <v>0.70902777777777781</v>
      </c>
    </row>
    <row r="1831" spans="1:25" hidden="1">
      <c r="A1831" s="30">
        <v>24326968</v>
      </c>
      <c r="B1831" s="31">
        <v>46273</v>
      </c>
      <c r="C1831" s="32">
        <v>0.70211805555555551</v>
      </c>
      <c r="D1831" s="33"/>
      <c r="E1831" s="34">
        <v>5216241656838</v>
      </c>
      <c r="F1831" s="33"/>
      <c r="G1831" s="33" t="s">
        <v>1767</v>
      </c>
      <c r="H1831" s="35"/>
      <c r="I1831" s="33"/>
      <c r="J1831" s="36"/>
      <c r="K1831" t="s">
        <v>32</v>
      </c>
      <c r="N1831" s="3">
        <f>L1831*0.3</f>
        <v>0</v>
      </c>
      <c r="O1831" s="3">
        <f>(IF(L1831&lt;4172.98,0,MIN(L1831*0.3,L1831-4172.98)))-M1831</f>
        <v>0</v>
      </c>
      <c r="S1831" s="3" t="s">
        <v>204</v>
      </c>
      <c r="V1831" s="51">
        <v>0.70347222222222228</v>
      </c>
    </row>
    <row r="1832" spans="1:25" hidden="1">
      <c r="A1832" s="30">
        <v>24327176</v>
      </c>
      <c r="B1832" s="31">
        <v>46273</v>
      </c>
      <c r="C1832" s="32">
        <v>0.71024305555555556</v>
      </c>
      <c r="D1832" s="33" t="s">
        <v>1768</v>
      </c>
      <c r="E1832" s="34">
        <v>5216741125684</v>
      </c>
      <c r="F1832" s="33"/>
      <c r="G1832" s="33" t="s">
        <v>1769</v>
      </c>
      <c r="H1832" s="35">
        <v>31954000530</v>
      </c>
      <c r="I1832" s="33"/>
      <c r="J1832" s="36"/>
      <c r="K1832" t="s">
        <v>30</v>
      </c>
      <c r="L1832" s="111">
        <v>7128.48</v>
      </c>
      <c r="M1832" s="111">
        <v>2060.0500000000002</v>
      </c>
      <c r="N1832" s="3">
        <f>L1832*0.3</f>
        <v>2138.5439999999999</v>
      </c>
      <c r="O1832" s="3">
        <f>(IF(L1832&lt;4172.98,0,MIN(L1832*0.3,L1832-4172.98)))-M1832</f>
        <v>78.493999999999687</v>
      </c>
      <c r="P1832" s="6">
        <v>46447</v>
      </c>
      <c r="Q1832" t="s">
        <v>1669</v>
      </c>
      <c r="R1832" s="3">
        <v>1232.28</v>
      </c>
      <c r="S1832" s="3" t="s">
        <v>204</v>
      </c>
      <c r="V1832" s="51">
        <v>0.7104166666666667</v>
      </c>
    </row>
    <row r="1833" spans="1:25" hidden="1">
      <c r="A1833" s="12">
        <v>24327322</v>
      </c>
      <c r="B1833" s="13">
        <v>46273</v>
      </c>
      <c r="C1833" s="14">
        <v>0.71900462962962963</v>
      </c>
      <c r="D1833" s="15" t="s">
        <v>1770</v>
      </c>
      <c r="E1833" s="16">
        <v>5218110392028</v>
      </c>
      <c r="F1833" s="15"/>
      <c r="G1833" s="15" t="s">
        <v>1771</v>
      </c>
      <c r="H1833" s="17"/>
      <c r="I1833" s="15"/>
      <c r="J1833" s="18"/>
      <c r="K1833" t="s">
        <v>30</v>
      </c>
      <c r="L1833" s="111">
        <v>6086.57</v>
      </c>
      <c r="M1833" s="111">
        <v>1825.97</v>
      </c>
      <c r="N1833" s="3">
        <f t="shared" ref="N1833:N1834" si="222">L1833*0.3</f>
        <v>1825.9709999999998</v>
      </c>
      <c r="O1833" s="3">
        <f t="shared" ref="O1833:O1834" si="223">(IF(L1833&lt;4172.98,0,MIN(L1833*0.3,L1833-4172.98)))-M1833</f>
        <v>9.9999999974897946E-4</v>
      </c>
      <c r="P1833" s="6">
        <v>46539</v>
      </c>
      <c r="Q1833" t="s">
        <v>75</v>
      </c>
      <c r="R1833" s="3">
        <v>500</v>
      </c>
      <c r="S1833" s="3" t="s">
        <v>204</v>
      </c>
      <c r="V1833" s="51">
        <v>0.72013888888888888</v>
      </c>
    </row>
    <row r="1834" spans="1:25" hidden="1">
      <c r="A1834" s="30">
        <v>24327142</v>
      </c>
      <c r="B1834" s="31">
        <v>46273</v>
      </c>
      <c r="C1834" s="32">
        <v>0.71982638888888884</v>
      </c>
      <c r="D1834" s="33"/>
      <c r="E1834" s="34">
        <v>5215631522698</v>
      </c>
      <c r="F1834" s="33"/>
      <c r="G1834" s="103" t="s">
        <v>1772</v>
      </c>
      <c r="H1834" s="35">
        <v>6806333404</v>
      </c>
      <c r="I1834" s="33"/>
      <c r="J1834" s="36"/>
      <c r="K1834" t="s">
        <v>30</v>
      </c>
      <c r="L1834" s="111">
        <v>9081.52</v>
      </c>
      <c r="M1834" s="111">
        <v>2521.35</v>
      </c>
      <c r="N1834" s="3">
        <f t="shared" si="222"/>
        <v>2724.4560000000001</v>
      </c>
      <c r="O1834" s="3">
        <f t="shared" si="223"/>
        <v>203.10600000000022</v>
      </c>
      <c r="P1834" s="6">
        <v>46357</v>
      </c>
      <c r="Q1834" t="s">
        <v>75</v>
      </c>
      <c r="R1834" s="111">
        <v>2521.35</v>
      </c>
      <c r="S1834" s="3" t="s">
        <v>204</v>
      </c>
      <c r="V1834" s="51">
        <v>0.72013888888888888</v>
      </c>
    </row>
    <row r="1835" spans="1:25" hidden="1">
      <c r="A1835" s="30">
        <v>24327458</v>
      </c>
      <c r="B1835" s="31">
        <v>46273</v>
      </c>
      <c r="C1835" s="32">
        <v>0.72543981481481479</v>
      </c>
      <c r="D1835" s="33" t="s">
        <v>1773</v>
      </c>
      <c r="E1835" s="34">
        <v>5215512706194</v>
      </c>
      <c r="F1835" s="33"/>
      <c r="G1835" s="33" t="s">
        <v>1774</v>
      </c>
      <c r="H1835" s="35"/>
      <c r="I1835" s="33"/>
      <c r="J1835" s="36"/>
      <c r="K1835" t="s">
        <v>32</v>
      </c>
      <c r="N1835" s="3">
        <f>L1835*0.3</f>
        <v>0</v>
      </c>
      <c r="O1835" s="3">
        <f>(IF(L1835&lt;4172.98,0,MIN(L1835*0.3,L1835-4172.98)))-M1835</f>
        <v>0</v>
      </c>
      <c r="S1835" s="3" t="s">
        <v>204</v>
      </c>
      <c r="V1835" s="51">
        <v>0.72569444444444442</v>
      </c>
    </row>
    <row r="1836" spans="1:25">
      <c r="A1836" s="30">
        <v>24327638</v>
      </c>
      <c r="B1836" s="31">
        <v>46273</v>
      </c>
      <c r="C1836" s="32">
        <v>0.72807870370370376</v>
      </c>
      <c r="D1836" s="33"/>
      <c r="E1836" s="34">
        <v>5218717972808</v>
      </c>
      <c r="F1836" s="33"/>
      <c r="G1836" s="33"/>
      <c r="H1836" s="35">
        <v>32745733231</v>
      </c>
      <c r="I1836" s="33"/>
      <c r="J1836" s="36"/>
      <c r="K1836" t="s">
        <v>107</v>
      </c>
      <c r="L1836" s="111">
        <v>27719.35</v>
      </c>
      <c r="M1836" s="111">
        <v>8306.81</v>
      </c>
      <c r="N1836" s="3">
        <f>L1836*0.3</f>
        <v>8315.8049999999985</v>
      </c>
      <c r="O1836" s="3">
        <f>(IF(L1836&lt;4172.98,0,MIN(L1836*0.3,L1836-4172.98)))-M1836</f>
        <v>8.9949999999989814</v>
      </c>
      <c r="P1836" s="6">
        <v>46204</v>
      </c>
      <c r="Q1836" t="s">
        <v>80</v>
      </c>
      <c r="R1836" s="3">
        <f>349.31+275</f>
        <v>624.30999999999995</v>
      </c>
      <c r="S1836" s="3" t="s">
        <v>39</v>
      </c>
      <c r="T1836" s="48">
        <v>46273</v>
      </c>
      <c r="V1836" s="51">
        <v>0.72847222222222219</v>
      </c>
      <c r="W1836" s="51">
        <v>0.73472222222222228</v>
      </c>
      <c r="X1836" s="51">
        <v>0.73958333333333337</v>
      </c>
      <c r="Y1836" s="51">
        <v>0.74027777777777781</v>
      </c>
    </row>
    <row r="1837" spans="1:25" hidden="1">
      <c r="A1837" s="30">
        <v>24327538</v>
      </c>
      <c r="B1837" s="31">
        <v>46273</v>
      </c>
      <c r="C1837" s="32">
        <v>0.72949074074074072</v>
      </c>
      <c r="D1837" s="33"/>
      <c r="E1837" s="34">
        <v>5216562054456</v>
      </c>
      <c r="F1837" s="33"/>
      <c r="G1837" s="33"/>
      <c r="H1837" s="35">
        <v>35877062709</v>
      </c>
      <c r="I1837" s="33"/>
      <c r="J1837" s="36"/>
      <c r="K1837" t="s">
        <v>30</v>
      </c>
      <c r="L1837" s="111">
        <v>17882.599999999999</v>
      </c>
      <c r="M1837" s="111">
        <v>5343.18</v>
      </c>
      <c r="N1837" s="3">
        <f>L1837*0.3</f>
        <v>5364.78</v>
      </c>
      <c r="O1837" s="3">
        <f>(IF(L1837&lt;4172.98,0,MIN(L1837*0.3,L1837-4172.98)))-M1837</f>
        <v>21.599999999999454</v>
      </c>
      <c r="P1837" s="6">
        <v>46692</v>
      </c>
      <c r="Q1837" t="s">
        <v>44</v>
      </c>
      <c r="R1837" s="3">
        <v>1867.24</v>
      </c>
      <c r="S1837" s="3" t="s">
        <v>204</v>
      </c>
      <c r="V1837" s="51">
        <v>0.72986111111111107</v>
      </c>
    </row>
    <row r="1838" spans="1:25" hidden="1">
      <c r="A1838" s="30">
        <v>24327952</v>
      </c>
      <c r="B1838" s="31">
        <v>46273</v>
      </c>
      <c r="C1838" s="32">
        <v>0.74684027777777773</v>
      </c>
      <c r="D1838" s="33"/>
      <c r="E1838" s="34">
        <v>5215538018950</v>
      </c>
      <c r="F1838" s="33"/>
      <c r="G1838" s="33"/>
      <c r="H1838" s="35">
        <v>42806355501</v>
      </c>
      <c r="I1838" s="33"/>
      <c r="J1838" s="36"/>
      <c r="K1838" t="s">
        <v>30</v>
      </c>
      <c r="L1838" s="111">
        <v>48256.59</v>
      </c>
      <c r="M1838" s="111">
        <v>14471.39</v>
      </c>
      <c r="N1838" s="3">
        <f>L1838*0.3</f>
        <v>14476.976999999999</v>
      </c>
      <c r="O1838" s="3">
        <f>(IF(L1838&lt;4172.98,0,MIN(L1838*0.3,L1838-4172.98)))-M1838</f>
        <v>5.5869999999995343</v>
      </c>
      <c r="P1838" s="6">
        <v>46784</v>
      </c>
      <c r="Q1838" t="s">
        <v>141</v>
      </c>
      <c r="R1838" s="3">
        <v>13882.95</v>
      </c>
      <c r="S1838" s="3" t="s">
        <v>204</v>
      </c>
      <c r="V1838" s="51">
        <v>0.74652777777777779</v>
      </c>
    </row>
    <row r="1839" spans="1:25" hidden="1">
      <c r="A1839" s="30">
        <v>24328000</v>
      </c>
      <c r="B1839" s="31">
        <v>46273</v>
      </c>
      <c r="C1839" s="32">
        <v>0.74728009259259254</v>
      </c>
      <c r="D1839" s="33"/>
      <c r="E1839" s="34">
        <v>5219211163070</v>
      </c>
      <c r="F1839" s="33"/>
      <c r="G1839" s="33" t="s">
        <v>1775</v>
      </c>
      <c r="H1839" s="35"/>
      <c r="I1839" s="33"/>
      <c r="J1839" s="36"/>
      <c r="K1839" t="s">
        <v>32</v>
      </c>
      <c r="N1839" s="3">
        <f>L1839*0.3</f>
        <v>0</v>
      </c>
      <c r="O1839" s="3">
        <f>(IF(L1839&lt;4172.98,0,MIN(L1839*0.3,L1839-4172.98)))-M1839</f>
        <v>0</v>
      </c>
      <c r="S1839" s="3" t="s">
        <v>204</v>
      </c>
      <c r="V1839" s="51">
        <v>0.74722222222222223</v>
      </c>
    </row>
    <row r="1840" spans="1:25">
      <c r="A1840" s="30">
        <v>24328094</v>
      </c>
      <c r="B1840" s="31">
        <v>46273</v>
      </c>
      <c r="C1840" s="32">
        <v>0.75126157407407412</v>
      </c>
      <c r="D1840" s="33"/>
      <c r="E1840" s="34">
        <v>5212381326784</v>
      </c>
      <c r="F1840" s="33"/>
      <c r="G1840" s="33" t="s">
        <v>1776</v>
      </c>
      <c r="H1840" s="35"/>
      <c r="I1840" s="33"/>
      <c r="J1840" s="36"/>
      <c r="K1840" t="s">
        <v>54</v>
      </c>
      <c r="L1840" s="3">
        <v>9760.32</v>
      </c>
      <c r="N1840" s="3">
        <f>L1840*0.3</f>
        <v>2928.096</v>
      </c>
      <c r="O1840" s="3">
        <f>(IF(L1840&lt;4172.98,0,MIN(L1840*0.3,L1840-4172.98)))-M1840</f>
        <v>2928.096</v>
      </c>
      <c r="S1840" s="3" t="s">
        <v>886</v>
      </c>
      <c r="T1840" s="48">
        <v>46273</v>
      </c>
      <c r="V1840" s="51">
        <v>0.75208333333333333</v>
      </c>
      <c r="W1840" s="51">
        <v>0.78125</v>
      </c>
      <c r="X1840" s="51">
        <v>0.78749999999999998</v>
      </c>
      <c r="Y1840" s="51">
        <v>0.78888888888888886</v>
      </c>
    </row>
    <row r="1841" spans="1:25" hidden="1">
      <c r="A1841" s="30">
        <v>24328198</v>
      </c>
      <c r="B1841" s="31">
        <v>46273</v>
      </c>
      <c r="C1841" s="32">
        <v>0.75363425925925931</v>
      </c>
      <c r="D1841" s="33"/>
      <c r="E1841" s="34">
        <v>5215658195453</v>
      </c>
      <c r="F1841" s="33"/>
      <c r="G1841" s="33" t="s">
        <v>1777</v>
      </c>
      <c r="H1841" s="35">
        <v>42937709279</v>
      </c>
      <c r="I1841" s="33"/>
      <c r="J1841" s="36"/>
      <c r="K1841" t="s">
        <v>30</v>
      </c>
      <c r="L1841" s="111">
        <v>6387.35</v>
      </c>
      <c r="M1841" s="111">
        <v>1915.99</v>
      </c>
      <c r="N1841" s="3">
        <f>L1841*0.3</f>
        <v>1916.2049999999999</v>
      </c>
      <c r="O1841" s="3">
        <f>(IF(L1841&lt;4172.98,0,MIN(L1841*0.3,L1841-4172.98)))-M1841</f>
        <v>0.21499999999991815</v>
      </c>
      <c r="P1841" s="6">
        <v>46874</v>
      </c>
      <c r="Q1841" t="s">
        <v>75</v>
      </c>
      <c r="R1841" s="3">
        <v>300</v>
      </c>
      <c r="S1841" s="3" t="s">
        <v>204</v>
      </c>
      <c r="V1841" s="51">
        <v>0.75347222222222221</v>
      </c>
    </row>
    <row r="1842" spans="1:25">
      <c r="A1842" s="30">
        <v>24328132</v>
      </c>
      <c r="B1842" s="31">
        <v>46273</v>
      </c>
      <c r="C1842" s="32">
        <v>0.75527777777777783</v>
      </c>
      <c r="D1842" s="33"/>
      <c r="E1842" s="34">
        <v>5218713940739</v>
      </c>
      <c r="F1842" s="33"/>
      <c r="G1842" s="33"/>
      <c r="H1842" s="35" t="s">
        <v>1778</v>
      </c>
      <c r="I1842" s="33"/>
      <c r="J1842" s="36"/>
      <c r="K1842" t="s">
        <v>27</v>
      </c>
      <c r="L1842" s="111">
        <v>7920.51</v>
      </c>
      <c r="M1842" s="111">
        <v>1384.71</v>
      </c>
      <c r="N1842" s="3">
        <f>L1842*0.3</f>
        <v>2376.1529999999998</v>
      </c>
      <c r="O1842" s="3">
        <f>(IF(L1842&lt;4172.98,0,MIN(L1842*0.3,L1842-4172.98)))-M1842</f>
        <v>991.44299999999976</v>
      </c>
      <c r="P1842" s="6">
        <v>46174</v>
      </c>
      <c r="Q1842" t="s">
        <v>77</v>
      </c>
      <c r="R1842" s="111">
        <v>1384.71</v>
      </c>
      <c r="S1842" s="3" t="s">
        <v>348</v>
      </c>
      <c r="T1842" s="48">
        <v>46273</v>
      </c>
      <c r="U1842" s="85"/>
      <c r="V1842" s="51">
        <v>0.75555555555555554</v>
      </c>
      <c r="W1842" s="51">
        <v>0.78402777777777777</v>
      </c>
      <c r="X1842" s="51">
        <v>0.78472222222222221</v>
      </c>
      <c r="Y1842" s="51">
        <v>0.79027777777777775</v>
      </c>
    </row>
    <row r="1843" spans="1:25">
      <c r="A1843" s="12">
        <v>24328186</v>
      </c>
      <c r="B1843" s="13">
        <v>46273</v>
      </c>
      <c r="C1843" s="14">
        <v>0.76208333333333333</v>
      </c>
      <c r="D1843" s="15"/>
      <c r="E1843" s="16">
        <v>5212224223182</v>
      </c>
      <c r="F1843" s="15"/>
      <c r="G1843" s="15"/>
      <c r="H1843" s="17" t="s">
        <v>1779</v>
      </c>
      <c r="I1843" s="15"/>
      <c r="J1843" s="18"/>
      <c r="K1843" t="s">
        <v>54</v>
      </c>
      <c r="L1843" s="111">
        <v>12236.11</v>
      </c>
      <c r="M1843" s="111">
        <v>2368.58</v>
      </c>
      <c r="N1843" s="3">
        <f t="shared" ref="N1843:N1846" si="224">L1843*0.3</f>
        <v>3670.8330000000001</v>
      </c>
      <c r="O1843" s="3">
        <f t="shared" ref="O1843:O1846" si="225">(IF(L1843&lt;4172.98,0,MIN(L1843*0.3,L1843-4172.98)))-M1843</f>
        <v>1302.2530000000002</v>
      </c>
      <c r="P1843" s="6">
        <v>46539</v>
      </c>
      <c r="Q1843" t="s">
        <v>44</v>
      </c>
      <c r="R1843" s="111">
        <v>2368.58</v>
      </c>
      <c r="S1843" s="3" t="s">
        <v>358</v>
      </c>
      <c r="T1843" s="48">
        <v>46274</v>
      </c>
      <c r="V1843" s="51">
        <v>0.39791666666666664</v>
      </c>
      <c r="W1843" s="51">
        <v>0.41666666666666669</v>
      </c>
      <c r="X1843" s="51">
        <v>0.41875000000000001</v>
      </c>
      <c r="Y1843" s="51">
        <v>0.42152777777777778</v>
      </c>
    </row>
    <row r="1844" spans="1:25" hidden="1">
      <c r="A1844" s="12">
        <v>24328304</v>
      </c>
      <c r="B1844" s="13">
        <v>46273</v>
      </c>
      <c r="C1844" s="14">
        <v>0.76633101851851848</v>
      </c>
      <c r="D1844" s="15"/>
      <c r="E1844" s="16">
        <v>5212226681696</v>
      </c>
      <c r="F1844" s="15"/>
      <c r="G1844" s="15" t="s">
        <v>1780</v>
      </c>
      <c r="H1844" s="17"/>
      <c r="I1844" s="15"/>
      <c r="J1844" s="18"/>
      <c r="K1844" t="s">
        <v>32</v>
      </c>
      <c r="N1844" s="3">
        <f t="shared" si="224"/>
        <v>0</v>
      </c>
      <c r="O1844" s="3">
        <f t="shared" si="225"/>
        <v>0</v>
      </c>
      <c r="S1844" s="3" t="s">
        <v>204</v>
      </c>
      <c r="V1844" s="51">
        <v>0.39791666666666664</v>
      </c>
    </row>
    <row r="1845" spans="1:25" hidden="1">
      <c r="A1845" s="12">
        <v>24328460</v>
      </c>
      <c r="B1845" s="13">
        <v>46273</v>
      </c>
      <c r="C1845" s="14">
        <v>0.76649305555555558</v>
      </c>
      <c r="D1845" s="15"/>
      <c r="E1845" s="16">
        <v>5215576295631</v>
      </c>
      <c r="F1845" s="15"/>
      <c r="G1845" s="15"/>
      <c r="H1845" s="17">
        <v>11775865832</v>
      </c>
      <c r="I1845" s="15"/>
      <c r="J1845" s="18"/>
      <c r="K1845" t="s">
        <v>30</v>
      </c>
      <c r="L1845" s="111">
        <v>9636.76</v>
      </c>
      <c r="M1845" s="111">
        <v>2889.85</v>
      </c>
      <c r="N1845" s="3">
        <f t="shared" si="224"/>
        <v>2891.0279999999998</v>
      </c>
      <c r="O1845" s="3">
        <f t="shared" si="225"/>
        <v>1.1779999999998836</v>
      </c>
      <c r="P1845" s="6">
        <v>46478</v>
      </c>
      <c r="Q1845" t="s">
        <v>210</v>
      </c>
      <c r="R1845" s="3">
        <v>549.88</v>
      </c>
      <c r="S1845" s="3" t="s">
        <v>204</v>
      </c>
      <c r="V1845" s="51">
        <v>0.39791666666666664</v>
      </c>
    </row>
    <row r="1846" spans="1:25" hidden="1">
      <c r="A1846" s="30">
        <v>24328794</v>
      </c>
      <c r="B1846" s="31">
        <v>46273</v>
      </c>
      <c r="C1846" s="32">
        <v>0.77914351851851849</v>
      </c>
      <c r="D1846" s="33"/>
      <c r="E1846" s="34">
        <v>5219983030626</v>
      </c>
      <c r="F1846" s="33"/>
      <c r="G1846" s="33"/>
      <c r="H1846" s="35">
        <v>82008318451</v>
      </c>
      <c r="I1846" s="33"/>
      <c r="J1846" s="36"/>
      <c r="K1846" t="s">
        <v>51</v>
      </c>
      <c r="N1846" s="3">
        <f t="shared" si="224"/>
        <v>0</v>
      </c>
      <c r="O1846" s="3">
        <f t="shared" si="225"/>
        <v>0</v>
      </c>
      <c r="S1846" s="3" t="s">
        <v>204</v>
      </c>
      <c r="V1846" s="51">
        <v>0.39791666666666664</v>
      </c>
    </row>
    <row r="1847" spans="1:25" hidden="1">
      <c r="A1847" s="12">
        <v>24329136</v>
      </c>
      <c r="B1847" s="13">
        <v>46273</v>
      </c>
      <c r="C1847" s="14">
        <v>0.79986111111111113</v>
      </c>
      <c r="D1847" s="15" t="s">
        <v>1781</v>
      </c>
      <c r="E1847" s="16">
        <v>5213311294833</v>
      </c>
      <c r="F1847" s="15"/>
      <c r="G1847" s="15"/>
      <c r="H1847" s="17" t="s">
        <v>1782</v>
      </c>
      <c r="I1847" s="15"/>
      <c r="J1847" s="18"/>
      <c r="K1847" t="s">
        <v>58</v>
      </c>
      <c r="L1847" s="3">
        <v>3961.34</v>
      </c>
      <c r="N1847" s="3">
        <f t="shared" ref="N1847:N1867" si="226">L1847*0.3</f>
        <v>1188.402</v>
      </c>
      <c r="O1847" s="3">
        <f t="shared" ref="O1847:O1867" si="227">(IF(L1847&lt;4172.98,0,MIN(L1847*0.3,L1847-4172.98)))-M1847</f>
        <v>0</v>
      </c>
      <c r="S1847" s="3" t="s">
        <v>204</v>
      </c>
      <c r="V1847" s="51">
        <v>0.39930555555555558</v>
      </c>
    </row>
    <row r="1848" spans="1:25">
      <c r="A1848" s="12">
        <v>24329204</v>
      </c>
      <c r="B1848" s="13">
        <v>46273</v>
      </c>
      <c r="C1848" s="14">
        <v>0.79998842592592589</v>
      </c>
      <c r="D1848" s="15"/>
      <c r="E1848" s="16">
        <v>5213312430794</v>
      </c>
      <c r="F1848" s="15"/>
      <c r="G1848" s="15"/>
      <c r="H1848" s="17" t="s">
        <v>1783</v>
      </c>
      <c r="I1848" s="15"/>
      <c r="J1848" s="18"/>
      <c r="K1848" t="s">
        <v>38</v>
      </c>
      <c r="L1848" s="111">
        <v>28883.18</v>
      </c>
      <c r="M1848" s="111">
        <v>8356.6</v>
      </c>
      <c r="N1848" s="3">
        <f>L1848*0.3</f>
        <v>8664.9539999999997</v>
      </c>
      <c r="O1848" s="3">
        <f>(IF(L1848&lt;4172.98,0,MIN(L1848*0.3,L1848-4172.98)))-M1848</f>
        <v>308.35399999999936</v>
      </c>
      <c r="P1848" s="6">
        <v>46661</v>
      </c>
      <c r="Q1848" t="s">
        <v>57</v>
      </c>
      <c r="R1848" s="3">
        <v>8356.6</v>
      </c>
      <c r="S1848" s="3" t="s">
        <v>39</v>
      </c>
      <c r="T1848" s="48">
        <v>46274</v>
      </c>
      <c r="V1848" s="51">
        <v>0.39930555555555558</v>
      </c>
      <c r="W1848" s="51">
        <v>0.44166666666666665</v>
      </c>
      <c r="X1848" s="51">
        <v>0.44513888888888886</v>
      </c>
      <c r="Y1848" s="51">
        <v>0.44722222222222224</v>
      </c>
    </row>
    <row r="1849" spans="1:25" hidden="1">
      <c r="A1849" s="12">
        <v>24329220</v>
      </c>
      <c r="B1849" s="13">
        <v>46273</v>
      </c>
      <c r="C1849" s="14">
        <v>0.80114583333333333</v>
      </c>
      <c r="D1849" s="15"/>
      <c r="E1849" s="16">
        <v>5216684276124</v>
      </c>
      <c r="F1849" s="15"/>
      <c r="G1849" s="15" t="s">
        <v>1784</v>
      </c>
      <c r="H1849" s="17"/>
      <c r="I1849" s="15"/>
      <c r="J1849" s="18"/>
      <c r="K1849" t="s">
        <v>32</v>
      </c>
      <c r="N1849" s="3">
        <f t="shared" si="226"/>
        <v>0</v>
      </c>
      <c r="O1849" s="3">
        <f t="shared" si="227"/>
        <v>0</v>
      </c>
      <c r="S1849" s="3" t="s">
        <v>204</v>
      </c>
      <c r="V1849" s="51">
        <v>0.39930555555555558</v>
      </c>
    </row>
    <row r="1850" spans="1:25" hidden="1">
      <c r="A1850" s="12">
        <v>24329212</v>
      </c>
      <c r="B1850" s="13">
        <v>46273</v>
      </c>
      <c r="C1850" s="14">
        <v>0.80953703703703705</v>
      </c>
      <c r="D1850" s="15" t="s">
        <v>1785</v>
      </c>
      <c r="E1850" s="16">
        <v>5215971032065</v>
      </c>
      <c r="F1850" s="15"/>
      <c r="G1850" s="15" t="s">
        <v>1786</v>
      </c>
      <c r="H1850" s="17"/>
      <c r="I1850" s="15"/>
      <c r="J1850" s="18"/>
      <c r="K1850" t="s">
        <v>32</v>
      </c>
      <c r="N1850" s="3">
        <f t="shared" si="226"/>
        <v>0</v>
      </c>
      <c r="O1850" s="3">
        <f t="shared" si="227"/>
        <v>0</v>
      </c>
      <c r="S1850" s="3" t="s">
        <v>204</v>
      </c>
      <c r="V1850" s="51">
        <v>0.39930555555555558</v>
      </c>
    </row>
    <row r="1851" spans="1:25" hidden="1">
      <c r="A1851" s="12">
        <v>24329480</v>
      </c>
      <c r="B1851" s="13">
        <v>46273</v>
      </c>
      <c r="C1851" s="14">
        <v>0.81421296296296297</v>
      </c>
      <c r="D1851" s="15"/>
      <c r="E1851" s="16">
        <v>5216391504360</v>
      </c>
      <c r="F1851" s="15"/>
      <c r="G1851" s="15"/>
      <c r="H1851" s="17">
        <v>33806460722</v>
      </c>
      <c r="I1851" s="15"/>
      <c r="J1851" s="18"/>
      <c r="K1851" t="s">
        <v>30</v>
      </c>
      <c r="L1851" s="111">
        <v>10171.24</v>
      </c>
      <c r="M1851" s="111">
        <v>2939.66</v>
      </c>
      <c r="N1851" s="3">
        <f>L1851*0.3</f>
        <v>3051.3719999999998</v>
      </c>
      <c r="O1851" s="3">
        <f>(IF(L1851&lt;4172.98,0,MIN(L1851*0.3,L1851-4172.98)))-M1851</f>
        <v>111.71199999999999</v>
      </c>
      <c r="P1851" s="6">
        <v>46478</v>
      </c>
      <c r="Q1851" t="s">
        <v>44</v>
      </c>
      <c r="R1851" s="3">
        <v>2939.6</v>
      </c>
      <c r="S1851" s="3" t="s">
        <v>204</v>
      </c>
      <c r="V1851" s="51">
        <v>0.39930555555555558</v>
      </c>
    </row>
    <row r="1852" spans="1:25">
      <c r="A1852" s="12">
        <v>24330038</v>
      </c>
      <c r="B1852" s="13">
        <v>46273</v>
      </c>
      <c r="C1852" s="14">
        <v>0.83076388888888886</v>
      </c>
      <c r="D1852" s="15"/>
      <c r="E1852" s="16">
        <v>5216371047806</v>
      </c>
      <c r="F1852" s="15"/>
      <c r="G1852" s="15"/>
      <c r="H1852" s="17">
        <v>23856343134</v>
      </c>
      <c r="I1852" s="15"/>
      <c r="J1852" s="18"/>
      <c r="K1852" t="s">
        <v>54</v>
      </c>
      <c r="L1852" s="3">
        <v>22893.17</v>
      </c>
      <c r="N1852" s="3">
        <f t="shared" si="226"/>
        <v>6867.9509999999991</v>
      </c>
      <c r="O1852" s="3">
        <f t="shared" si="227"/>
        <v>6867.9509999999991</v>
      </c>
      <c r="S1852" s="3" t="s">
        <v>266</v>
      </c>
      <c r="T1852" s="48">
        <v>46274</v>
      </c>
      <c r="V1852" s="51">
        <v>0.39930555555555558</v>
      </c>
      <c r="W1852" s="51">
        <v>0.41180555555555554</v>
      </c>
      <c r="X1852" s="51">
        <v>0.41458333333333336</v>
      </c>
      <c r="Y1852" s="51">
        <v>0.4152777777777778</v>
      </c>
    </row>
    <row r="1853" spans="1:25" hidden="1">
      <c r="A1853" s="12">
        <v>24329976</v>
      </c>
      <c r="B1853" s="13">
        <v>46273</v>
      </c>
      <c r="C1853" s="14">
        <v>0.83473379629629629</v>
      </c>
      <c r="D1853" s="15"/>
      <c r="E1853" s="16">
        <v>5215534952559</v>
      </c>
      <c r="F1853" s="15"/>
      <c r="G1853" s="15"/>
      <c r="H1853" s="17" t="s">
        <v>1787</v>
      </c>
      <c r="I1853" s="15"/>
      <c r="J1853" s="18"/>
      <c r="K1853" t="s">
        <v>30</v>
      </c>
      <c r="L1853" s="111">
        <v>8919.64</v>
      </c>
      <c r="M1853" s="111">
        <v>2675</v>
      </c>
      <c r="N1853" s="3">
        <f t="shared" si="226"/>
        <v>2675.8919999999998</v>
      </c>
      <c r="O1853" s="3">
        <f t="shared" si="227"/>
        <v>0.89199999999982538</v>
      </c>
      <c r="P1853" s="6">
        <v>46327</v>
      </c>
      <c r="Q1853" t="s">
        <v>80</v>
      </c>
      <c r="R1853" s="3">
        <v>2351</v>
      </c>
      <c r="S1853" s="3" t="s">
        <v>204</v>
      </c>
      <c r="V1853" s="51">
        <v>0.39930555555555558</v>
      </c>
    </row>
    <row r="1854" spans="1:25" hidden="1">
      <c r="A1854" s="12">
        <v>24330608</v>
      </c>
      <c r="B1854" s="13">
        <v>46273</v>
      </c>
      <c r="C1854" s="14">
        <v>0.86674768518518519</v>
      </c>
      <c r="D1854" s="15"/>
      <c r="E1854" s="16">
        <v>5216871690381</v>
      </c>
      <c r="F1854" s="15"/>
      <c r="G1854" s="15" t="s">
        <v>1788</v>
      </c>
      <c r="H1854" s="17"/>
      <c r="I1854" s="15"/>
      <c r="J1854" s="18"/>
      <c r="K1854" t="s">
        <v>32</v>
      </c>
      <c r="N1854" s="3">
        <f t="shared" si="226"/>
        <v>0</v>
      </c>
      <c r="O1854" s="3">
        <f t="shared" si="227"/>
        <v>0</v>
      </c>
      <c r="S1854" s="3" t="s">
        <v>204</v>
      </c>
      <c r="V1854" s="51">
        <v>0.39930555555555558</v>
      </c>
    </row>
    <row r="1855" spans="1:25" hidden="1">
      <c r="A1855" s="12">
        <v>24330652</v>
      </c>
      <c r="B1855" s="13">
        <v>46273</v>
      </c>
      <c r="C1855" s="14">
        <v>0.87229166666666669</v>
      </c>
      <c r="D1855" s="15"/>
      <c r="E1855" s="16">
        <v>5213316905983</v>
      </c>
      <c r="F1855" s="15"/>
      <c r="G1855" s="15" t="s">
        <v>1789</v>
      </c>
      <c r="H1855" s="17"/>
      <c r="I1855" s="15"/>
      <c r="J1855" s="18"/>
      <c r="K1855" t="s">
        <v>32</v>
      </c>
      <c r="N1855" s="3">
        <f t="shared" si="226"/>
        <v>0</v>
      </c>
      <c r="O1855" s="3">
        <f t="shared" si="227"/>
        <v>0</v>
      </c>
      <c r="S1855" s="3" t="s">
        <v>204</v>
      </c>
      <c r="V1855" s="51">
        <v>0.39930555555555558</v>
      </c>
    </row>
    <row r="1856" spans="1:25" hidden="1">
      <c r="A1856" s="12">
        <v>24330792</v>
      </c>
      <c r="B1856" s="13">
        <v>46273</v>
      </c>
      <c r="C1856" s="14">
        <v>0.87391203703703701</v>
      </c>
      <c r="D1856" s="15"/>
      <c r="E1856" s="16">
        <v>5215532452449</v>
      </c>
      <c r="F1856" s="15"/>
      <c r="G1856" s="15" t="s">
        <v>1790</v>
      </c>
      <c r="H1856" s="17"/>
      <c r="I1856" s="15"/>
      <c r="J1856" s="18"/>
      <c r="K1856" t="s">
        <v>32</v>
      </c>
      <c r="N1856" s="3">
        <f t="shared" si="226"/>
        <v>0</v>
      </c>
      <c r="O1856" s="3">
        <f t="shared" si="227"/>
        <v>0</v>
      </c>
      <c r="S1856" s="3" t="s">
        <v>204</v>
      </c>
      <c r="V1856" s="51">
        <v>0.39930555555555558</v>
      </c>
    </row>
    <row r="1857" spans="1:25">
      <c r="A1857" s="12">
        <v>24330890</v>
      </c>
      <c r="B1857" s="13">
        <v>46273</v>
      </c>
      <c r="C1857" s="14">
        <v>0.8840972222222222</v>
      </c>
      <c r="D1857" s="15"/>
      <c r="E1857" s="16">
        <v>5216645756823</v>
      </c>
      <c r="F1857" s="15"/>
      <c r="G1857" s="15"/>
      <c r="H1857" s="17">
        <v>21846340095</v>
      </c>
      <c r="I1857" s="15"/>
      <c r="J1857" s="18"/>
      <c r="K1857" t="s">
        <v>38</v>
      </c>
      <c r="L1857" s="111">
        <v>7977.44</v>
      </c>
      <c r="M1857" s="111">
        <v>2047.45</v>
      </c>
      <c r="N1857" s="3">
        <f t="shared" si="226"/>
        <v>2393.232</v>
      </c>
      <c r="O1857" s="3">
        <f t="shared" si="227"/>
        <v>345.78199999999993</v>
      </c>
      <c r="P1857" s="6">
        <v>46419</v>
      </c>
      <c r="Q1857" t="s">
        <v>75</v>
      </c>
      <c r="R1857" s="3">
        <v>2047</v>
      </c>
      <c r="S1857" s="3" t="s">
        <v>39</v>
      </c>
      <c r="T1857" s="48">
        <v>46274</v>
      </c>
      <c r="V1857" s="51">
        <v>0.39930555555555558</v>
      </c>
      <c r="W1857" s="51">
        <v>0.42291666666666666</v>
      </c>
      <c r="X1857" s="51">
        <v>0.42569444444444443</v>
      </c>
      <c r="Y1857" s="51">
        <v>0.42777777777777776</v>
      </c>
    </row>
    <row r="1858" spans="1:25" hidden="1">
      <c r="A1858" s="12">
        <v>24330934</v>
      </c>
      <c r="B1858" s="13">
        <v>46273</v>
      </c>
      <c r="C1858" s="14">
        <v>0.89629629629629626</v>
      </c>
      <c r="D1858" s="15"/>
      <c r="E1858" s="16">
        <v>5213323321561</v>
      </c>
      <c r="F1858" s="15"/>
      <c r="G1858" s="15"/>
      <c r="H1858" s="17">
        <v>11755319818</v>
      </c>
      <c r="I1858" s="191"/>
      <c r="J1858" s="18"/>
      <c r="K1858" t="s">
        <v>30</v>
      </c>
      <c r="L1858" s="111">
        <v>9029.1</v>
      </c>
      <c r="M1858" s="111">
        <v>2687.84</v>
      </c>
      <c r="N1858" s="3">
        <f t="shared" si="226"/>
        <v>2708.73</v>
      </c>
      <c r="O1858" s="3">
        <f t="shared" si="227"/>
        <v>20.889999999999873</v>
      </c>
      <c r="P1858" s="6">
        <v>46935</v>
      </c>
      <c r="Q1858" t="s">
        <v>141</v>
      </c>
      <c r="R1858" s="3">
        <v>2068.67</v>
      </c>
      <c r="S1858" s="3" t="s">
        <v>204</v>
      </c>
      <c r="V1858" s="51">
        <v>0.39930555555555558</v>
      </c>
    </row>
    <row r="1859" spans="1:25">
      <c r="A1859" s="12">
        <v>24332054</v>
      </c>
      <c r="B1859" s="13">
        <v>46273</v>
      </c>
      <c r="C1859" s="14">
        <v>0.92893518518518514</v>
      </c>
      <c r="D1859" s="15"/>
      <c r="E1859" s="16">
        <v>5214423810913</v>
      </c>
      <c r="F1859" s="15"/>
      <c r="G1859" s="15" t="s">
        <v>1791</v>
      </c>
      <c r="H1859" s="17"/>
      <c r="I1859" s="15"/>
      <c r="J1859" s="18"/>
      <c r="K1859" t="s">
        <v>38</v>
      </c>
      <c r="L1859" s="3">
        <v>4813.6899999999996</v>
      </c>
      <c r="N1859" s="3">
        <f t="shared" si="226"/>
        <v>1444.1069999999997</v>
      </c>
      <c r="O1859" s="3">
        <f t="shared" si="227"/>
        <v>640.71</v>
      </c>
      <c r="S1859" s="3" t="s">
        <v>39</v>
      </c>
      <c r="T1859" s="48">
        <v>46274</v>
      </c>
      <c r="V1859" s="51">
        <v>0.39930555555555558</v>
      </c>
      <c r="W1859" s="51">
        <v>0.4284722222222222</v>
      </c>
      <c r="X1859" s="51">
        <v>0.42916666666666664</v>
      </c>
      <c r="Y1859" s="51">
        <v>0.43263888888888891</v>
      </c>
    </row>
    <row r="1860" spans="1:25" hidden="1">
      <c r="A1860" s="12">
        <v>24332940</v>
      </c>
      <c r="B1860" s="13">
        <v>46273</v>
      </c>
      <c r="C1860" s="14">
        <v>0.93737268518518524</v>
      </c>
      <c r="D1860" s="15"/>
      <c r="E1860" s="16">
        <v>5215573333257</v>
      </c>
      <c r="F1860" s="15"/>
      <c r="G1860" s="15" t="s">
        <v>1792</v>
      </c>
      <c r="H1860" s="17"/>
      <c r="I1860" s="15"/>
      <c r="J1860" s="18"/>
      <c r="K1860" t="s">
        <v>32</v>
      </c>
      <c r="N1860" s="3">
        <f t="shared" si="226"/>
        <v>0</v>
      </c>
      <c r="O1860" s="3">
        <f t="shared" si="227"/>
        <v>0</v>
      </c>
      <c r="S1860" s="3" t="s">
        <v>204</v>
      </c>
      <c r="V1860" s="51">
        <v>0.39930555555555558</v>
      </c>
    </row>
    <row r="1861" spans="1:25" hidden="1">
      <c r="A1861" s="12">
        <v>24333010</v>
      </c>
      <c r="B1861" s="13">
        <v>46273</v>
      </c>
      <c r="C1861" s="14">
        <v>0.94072916666666662</v>
      </c>
      <c r="D1861" s="15" t="s">
        <v>1793</v>
      </c>
      <c r="E1861" s="16">
        <v>5216562783848</v>
      </c>
      <c r="F1861" s="15"/>
      <c r="G1861" s="15" t="s">
        <v>1794</v>
      </c>
      <c r="H1861" s="17"/>
      <c r="I1861" s="15"/>
      <c r="J1861" s="18"/>
      <c r="K1861" t="s">
        <v>58</v>
      </c>
      <c r="L1861" s="3">
        <v>4342.43</v>
      </c>
      <c r="N1861" s="3">
        <f t="shared" si="226"/>
        <v>1302.729</v>
      </c>
      <c r="O1861" s="3">
        <f t="shared" si="227"/>
        <v>169.45000000000073</v>
      </c>
      <c r="S1861" s="3" t="s">
        <v>204</v>
      </c>
      <c r="V1861" s="51">
        <v>0.39930555555555558</v>
      </c>
    </row>
    <row r="1862" spans="1:25" hidden="1">
      <c r="A1862" s="12">
        <v>24333406</v>
      </c>
      <c r="B1862" s="13">
        <v>46273</v>
      </c>
      <c r="C1862" s="14">
        <v>0.98826388888888894</v>
      </c>
      <c r="D1862" s="15"/>
      <c r="E1862" s="16">
        <v>5219935170331</v>
      </c>
      <c r="F1862" s="15"/>
      <c r="G1862" s="15" t="s">
        <v>1795</v>
      </c>
      <c r="H1862" s="17"/>
      <c r="I1862" s="15"/>
      <c r="J1862" s="18"/>
      <c r="K1862" t="s">
        <v>32</v>
      </c>
      <c r="N1862" s="3">
        <f t="shared" si="226"/>
        <v>0</v>
      </c>
      <c r="O1862" s="3">
        <f t="shared" si="227"/>
        <v>0</v>
      </c>
      <c r="S1862" s="3" t="s">
        <v>204</v>
      </c>
      <c r="V1862" s="51">
        <v>0.39930555555555558</v>
      </c>
    </row>
    <row r="1863" spans="1:25" hidden="1">
      <c r="A1863" s="12">
        <v>24333488</v>
      </c>
      <c r="B1863" s="13">
        <v>46274</v>
      </c>
      <c r="C1863" s="14">
        <v>2.0370370370370369E-3</v>
      </c>
      <c r="D1863" s="15"/>
      <c r="E1863" s="16">
        <v>5218138723157</v>
      </c>
      <c r="F1863" s="15"/>
      <c r="G1863" s="15"/>
      <c r="H1863" s="17">
        <v>43806448379</v>
      </c>
      <c r="I1863" s="15"/>
      <c r="J1863" s="18"/>
      <c r="K1863" t="s">
        <v>30</v>
      </c>
      <c r="L1863" s="111">
        <v>9081.52</v>
      </c>
      <c r="M1863" s="111">
        <v>2602.75</v>
      </c>
      <c r="N1863" s="3">
        <f t="shared" si="226"/>
        <v>2724.4560000000001</v>
      </c>
      <c r="O1863" s="3">
        <f t="shared" si="227"/>
        <v>121.70600000000013</v>
      </c>
      <c r="P1863" s="6">
        <v>46478</v>
      </c>
      <c r="Q1863" t="s">
        <v>75</v>
      </c>
      <c r="R1863" s="111">
        <v>2602.75</v>
      </c>
      <c r="S1863" s="3" t="s">
        <v>204</v>
      </c>
      <c r="V1863" s="51">
        <v>0.39930555555555558</v>
      </c>
    </row>
    <row r="1864" spans="1:25">
      <c r="A1864" s="12">
        <v>24338160</v>
      </c>
      <c r="B1864" s="13">
        <v>46274</v>
      </c>
      <c r="C1864" s="14">
        <v>0.20924768518518519</v>
      </c>
      <c r="D1864" s="15"/>
      <c r="E1864" s="16">
        <v>5214494567617</v>
      </c>
      <c r="F1864" s="15"/>
      <c r="G1864" s="15"/>
      <c r="H1864" s="17">
        <v>51088911949</v>
      </c>
      <c r="I1864" s="15"/>
      <c r="J1864" s="18"/>
      <c r="K1864" t="s">
        <v>54</v>
      </c>
      <c r="L1864" s="3">
        <v>8398.3799999999992</v>
      </c>
      <c r="N1864" s="3">
        <f t="shared" si="226"/>
        <v>2519.5139999999997</v>
      </c>
      <c r="O1864" s="3">
        <f t="shared" si="227"/>
        <v>2519.5139999999997</v>
      </c>
      <c r="S1864" s="3" t="s">
        <v>1080</v>
      </c>
      <c r="T1864" s="48">
        <v>46274</v>
      </c>
      <c r="V1864" s="51">
        <v>0.39930555555555558</v>
      </c>
      <c r="W1864" s="51">
        <v>0.43263888888888891</v>
      </c>
      <c r="X1864" s="51">
        <v>0.44027777777777777</v>
      </c>
      <c r="Y1864" s="51">
        <v>0.44236111111111109</v>
      </c>
    </row>
    <row r="1865" spans="1:25" hidden="1">
      <c r="A1865" s="12">
        <v>24345540</v>
      </c>
      <c r="B1865" s="13">
        <v>46274</v>
      </c>
      <c r="C1865" s="14">
        <v>0.37708333333333333</v>
      </c>
      <c r="D1865" s="15"/>
      <c r="E1865" s="16">
        <v>5218112038165</v>
      </c>
      <c r="F1865" s="15"/>
      <c r="G1865" s="15" t="s">
        <v>1796</v>
      </c>
      <c r="H1865" s="17"/>
      <c r="I1865" s="15"/>
      <c r="J1865" s="18"/>
      <c r="K1865" t="s">
        <v>30</v>
      </c>
      <c r="L1865" s="111">
        <v>9760.32</v>
      </c>
      <c r="M1865" s="111">
        <v>2823.89</v>
      </c>
      <c r="N1865" s="3">
        <f t="shared" si="226"/>
        <v>2928.096</v>
      </c>
      <c r="O1865" s="3">
        <f t="shared" si="227"/>
        <v>104.20600000000013</v>
      </c>
      <c r="P1865" s="6">
        <v>46753</v>
      </c>
      <c r="Q1865" t="s">
        <v>75</v>
      </c>
      <c r="R1865" s="3">
        <v>2823.89</v>
      </c>
      <c r="S1865" s="3" t="s">
        <v>204</v>
      </c>
      <c r="V1865" s="51">
        <v>0.39930555555555558</v>
      </c>
    </row>
    <row r="1866" spans="1:25" hidden="1">
      <c r="A1866" s="12">
        <v>24345660</v>
      </c>
      <c r="B1866" s="13">
        <v>46274</v>
      </c>
      <c r="C1866" s="14">
        <v>0.37784722222222222</v>
      </c>
      <c r="D1866" s="15"/>
      <c r="E1866" s="16">
        <v>5218444984972</v>
      </c>
      <c r="F1866" s="15"/>
      <c r="G1866" s="15"/>
      <c r="H1866" s="17">
        <v>32806259316</v>
      </c>
      <c r="I1866" s="15"/>
      <c r="J1866" s="18"/>
      <c r="K1866" t="s">
        <v>30</v>
      </c>
      <c r="L1866" s="111">
        <v>7920.51</v>
      </c>
      <c r="M1866" s="111">
        <v>2375.56</v>
      </c>
      <c r="N1866" s="3">
        <f t="shared" si="226"/>
        <v>2376.1529999999998</v>
      </c>
      <c r="O1866" s="3">
        <f t="shared" si="227"/>
        <v>0.5929999999998472</v>
      </c>
      <c r="P1866" s="6">
        <v>46508</v>
      </c>
      <c r="Q1866" t="s">
        <v>210</v>
      </c>
      <c r="R1866" s="3">
        <v>1474.13</v>
      </c>
      <c r="S1866" s="3" t="s">
        <v>204</v>
      </c>
      <c r="V1866" s="51">
        <v>0.39930555555555558</v>
      </c>
    </row>
    <row r="1867" spans="1:25" hidden="1">
      <c r="A1867" s="30">
        <v>24345880</v>
      </c>
      <c r="B1867" s="31">
        <v>46274</v>
      </c>
      <c r="C1867" s="32">
        <v>0.38461805555555556</v>
      </c>
      <c r="D1867" s="33" t="s">
        <v>1797</v>
      </c>
      <c r="E1867" s="34">
        <v>5214811453510</v>
      </c>
      <c r="F1867" s="33"/>
      <c r="G1867" s="33"/>
      <c r="H1867" s="35">
        <v>41816502555</v>
      </c>
      <c r="I1867" s="33"/>
      <c r="J1867" s="36"/>
      <c r="K1867" t="s">
        <v>30</v>
      </c>
      <c r="L1867" s="111">
        <v>9760.32</v>
      </c>
      <c r="M1867" s="111">
        <v>2802.96</v>
      </c>
      <c r="N1867" s="3">
        <f t="shared" si="226"/>
        <v>2928.096</v>
      </c>
      <c r="O1867" s="3">
        <f t="shared" si="227"/>
        <v>125.13599999999997</v>
      </c>
      <c r="P1867" s="6">
        <v>46692</v>
      </c>
      <c r="Q1867" t="s">
        <v>43</v>
      </c>
      <c r="R1867" s="3">
        <v>406.75</v>
      </c>
      <c r="S1867" s="3" t="s">
        <v>204</v>
      </c>
      <c r="V1867" s="51">
        <v>0.39930555555555558</v>
      </c>
    </row>
    <row r="1868" spans="1:25" hidden="1">
      <c r="A1868" s="30">
        <v>24346534</v>
      </c>
      <c r="B1868" s="31">
        <v>46274</v>
      </c>
      <c r="C1868" s="32">
        <v>0.40370370370370373</v>
      </c>
      <c r="D1868" s="33"/>
      <c r="E1868" s="34">
        <v>5215619952485</v>
      </c>
      <c r="F1868" s="33"/>
      <c r="G1868" s="33"/>
      <c r="H1868" s="35" t="s">
        <v>1798</v>
      </c>
      <c r="I1868" s="33"/>
      <c r="J1868" s="36"/>
      <c r="K1868" t="s">
        <v>30</v>
      </c>
      <c r="L1868" s="111">
        <v>8181.55</v>
      </c>
      <c r="M1868" s="111">
        <v>2361.73</v>
      </c>
      <c r="N1868" s="3">
        <f>L1868*0.3</f>
        <v>2454.4650000000001</v>
      </c>
      <c r="O1868" s="3">
        <f>(IF(L1868&lt;4172.98,0,MIN(L1868*0.3,L1868-4172.98)))-M1868</f>
        <v>92.735000000000127</v>
      </c>
      <c r="P1868" s="6">
        <v>46569</v>
      </c>
      <c r="Q1868" t="s">
        <v>141</v>
      </c>
      <c r="R1868" s="3">
        <v>2361.73</v>
      </c>
      <c r="S1868" s="3" t="s">
        <v>204</v>
      </c>
      <c r="V1868" s="51">
        <v>0.40625</v>
      </c>
    </row>
    <row r="1869" spans="1:25" hidden="1">
      <c r="A1869" s="12">
        <v>24349762</v>
      </c>
      <c r="B1869" s="13">
        <v>46274</v>
      </c>
      <c r="C1869" s="14">
        <v>0.51099537037037035</v>
      </c>
      <c r="D1869" s="15" t="s">
        <v>1799</v>
      </c>
      <c r="E1869" s="16">
        <v>5216161276567</v>
      </c>
      <c r="F1869" s="15"/>
      <c r="G1869" s="15" t="s">
        <v>1800</v>
      </c>
      <c r="H1869" s="17">
        <v>23705012872</v>
      </c>
      <c r="I1869" s="15"/>
      <c r="J1869" s="18"/>
      <c r="K1869" t="s">
        <v>58</v>
      </c>
      <c r="L1869" s="3">
        <v>3866.25</v>
      </c>
      <c r="N1869" s="3">
        <f t="shared" ref="N1869:N1871" si="228">L1869*0.3</f>
        <v>1159.875</v>
      </c>
      <c r="O1869" s="3">
        <f t="shared" ref="O1869:O1871" si="229">(IF(L1869&lt;4172.98,0,MIN(L1869*0.3,L1869-4172.98)))-M1869</f>
        <v>0</v>
      </c>
      <c r="S1869" s="3" t="s">
        <v>204</v>
      </c>
      <c r="V1869" s="51">
        <v>0.51458333333333328</v>
      </c>
    </row>
    <row r="1870" spans="1:25" hidden="1">
      <c r="A1870" s="12">
        <v>24349578</v>
      </c>
      <c r="B1870" s="13">
        <v>46274</v>
      </c>
      <c r="C1870" s="14">
        <v>0.51170138888888894</v>
      </c>
      <c r="D1870" s="15"/>
      <c r="E1870" s="16">
        <v>5219811070905</v>
      </c>
      <c r="F1870" s="15"/>
      <c r="G1870" s="15"/>
      <c r="H1870" s="17" t="s">
        <v>1801</v>
      </c>
      <c r="I1870" s="15"/>
      <c r="J1870" s="18"/>
      <c r="K1870" t="s">
        <v>30</v>
      </c>
      <c r="L1870" s="111">
        <v>7920.51</v>
      </c>
      <c r="M1870" s="111">
        <v>2291.6</v>
      </c>
      <c r="N1870" s="3">
        <f t="shared" si="228"/>
        <v>2376.1529999999998</v>
      </c>
      <c r="O1870" s="3">
        <f t="shared" si="229"/>
        <v>84.552999999999884</v>
      </c>
      <c r="P1870" s="6">
        <v>46692</v>
      </c>
      <c r="Q1870" t="s">
        <v>302</v>
      </c>
      <c r="R1870" s="111">
        <v>2291.6</v>
      </c>
      <c r="S1870" s="3" t="s">
        <v>204</v>
      </c>
      <c r="V1870" s="51">
        <v>0.51458333333333328</v>
      </c>
    </row>
    <row r="1871" spans="1:25" hidden="1">
      <c r="A1871" s="30">
        <v>24350174</v>
      </c>
      <c r="B1871" s="31">
        <v>46274</v>
      </c>
      <c r="C1871" s="32">
        <v>0.5115277777777778</v>
      </c>
      <c r="D1871" s="33"/>
      <c r="E1871" s="34">
        <v>5219931327612</v>
      </c>
      <c r="F1871" s="33"/>
      <c r="G1871" s="33" t="s">
        <v>1802</v>
      </c>
      <c r="H1871" s="35"/>
      <c r="I1871" s="33"/>
      <c r="J1871" s="36"/>
      <c r="K1871" t="s">
        <v>32</v>
      </c>
      <c r="N1871" s="3">
        <f t="shared" si="228"/>
        <v>0</v>
      </c>
      <c r="O1871" s="3">
        <f t="shared" si="229"/>
        <v>0</v>
      </c>
      <c r="S1871" s="3" t="s">
        <v>204</v>
      </c>
      <c r="V1871" s="51">
        <v>0.51458333333333328</v>
      </c>
    </row>
    <row r="1872" spans="1:25">
      <c r="A1872" s="30">
        <v>24350520</v>
      </c>
      <c r="B1872" s="31">
        <v>46274</v>
      </c>
      <c r="C1872" s="32">
        <v>0.5196412037037037</v>
      </c>
      <c r="D1872" s="33"/>
      <c r="E1872" s="34">
        <v>5215510135980</v>
      </c>
      <c r="F1872" s="33"/>
      <c r="G1872" s="33" t="s">
        <v>1803</v>
      </c>
      <c r="H1872" s="35"/>
      <c r="I1872" s="33"/>
      <c r="J1872" s="36"/>
      <c r="K1872" t="s">
        <v>38</v>
      </c>
      <c r="L1872" s="111">
        <v>37310.620000000003</v>
      </c>
      <c r="M1872" s="111">
        <v>10794.86</v>
      </c>
      <c r="N1872" s="3">
        <f>L1872*0.3</f>
        <v>11193.186</v>
      </c>
      <c r="O1872" s="3">
        <f>(IF(L1872&lt;4172.98,0,MIN(L1872*0.3,L1872-4172.98)))-M1872</f>
        <v>398.32599999999911</v>
      </c>
      <c r="P1872" s="6">
        <v>46722</v>
      </c>
      <c r="Q1872" t="s">
        <v>75</v>
      </c>
      <c r="R1872" s="111">
        <v>10794.86</v>
      </c>
      <c r="S1872" s="3" t="s">
        <v>39</v>
      </c>
      <c r="T1872" s="48">
        <v>46274</v>
      </c>
      <c r="V1872" s="51">
        <v>0.52013888888888893</v>
      </c>
      <c r="W1872" s="51">
        <v>0.5229166666666667</v>
      </c>
      <c r="X1872" s="51">
        <v>0.52847222222222223</v>
      </c>
      <c r="Y1872" s="51">
        <v>0.52986111111111112</v>
      </c>
    </row>
    <row r="1873" spans="1:25" hidden="1">
      <c r="A1873" s="30">
        <v>24350334</v>
      </c>
      <c r="B1873" s="31">
        <v>46274</v>
      </c>
      <c r="C1873" s="32">
        <v>0.52187499999999998</v>
      </c>
      <c r="D1873" s="33" t="s">
        <v>1804</v>
      </c>
      <c r="E1873" s="34">
        <v>5217772054453</v>
      </c>
      <c r="F1873" s="33"/>
      <c r="G1873" s="33" t="s">
        <v>1805</v>
      </c>
      <c r="H1873" s="35">
        <v>72805303475</v>
      </c>
      <c r="I1873" s="33"/>
      <c r="J1873" s="36"/>
      <c r="K1873" t="s">
        <v>30</v>
      </c>
      <c r="L1873" s="111">
        <v>8483.9</v>
      </c>
      <c r="M1873" s="111">
        <v>2542.09</v>
      </c>
      <c r="N1873" s="3">
        <f>L1873*0.3</f>
        <v>2545.1699999999996</v>
      </c>
      <c r="O1873" s="3">
        <f>(IF(L1873&lt;4172.98,0,MIN(L1873*0.3,L1873-4172.98)))-M1873</f>
        <v>3.0799999999994725</v>
      </c>
      <c r="P1873" s="6">
        <v>46478</v>
      </c>
      <c r="Q1873" t="s">
        <v>1669</v>
      </c>
      <c r="R1873" s="3">
        <v>434.72</v>
      </c>
      <c r="S1873" s="3" t="s">
        <v>204</v>
      </c>
      <c r="V1873" s="51">
        <v>0.52500000000000002</v>
      </c>
    </row>
    <row r="1874" spans="1:25" hidden="1">
      <c r="A1874" s="30">
        <v>24350910</v>
      </c>
      <c r="B1874" s="31">
        <v>46274</v>
      </c>
      <c r="C1874" s="32">
        <v>0.53251157407407412</v>
      </c>
      <c r="D1874" s="33"/>
      <c r="E1874" s="34">
        <v>5213751132348</v>
      </c>
      <c r="F1874" s="33"/>
      <c r="G1874" s="33" t="s">
        <v>1806</v>
      </c>
      <c r="H1874" s="35"/>
      <c r="I1874" s="33"/>
      <c r="J1874" s="36"/>
      <c r="K1874" t="s">
        <v>32</v>
      </c>
      <c r="N1874" s="3">
        <f>L1874*0.3</f>
        <v>0</v>
      </c>
      <c r="O1874" s="3">
        <f>(IF(L1874&lt;4172.98,0,MIN(L1874*0.3,L1874-4172.98)))-M1874</f>
        <v>0</v>
      </c>
      <c r="S1874" s="3" t="s">
        <v>204</v>
      </c>
      <c r="V1874" s="51">
        <v>0.53263888888888888</v>
      </c>
    </row>
    <row r="1875" spans="1:25">
      <c r="A1875" s="30">
        <v>24351058</v>
      </c>
      <c r="B1875" s="31">
        <v>46274</v>
      </c>
      <c r="C1875" s="32">
        <v>0.53459490740740745</v>
      </c>
      <c r="D1875" s="33"/>
      <c r="E1875" s="34">
        <v>5219241151864</v>
      </c>
      <c r="F1875" s="33"/>
      <c r="G1875" s="33" t="s">
        <v>1807</v>
      </c>
      <c r="H1875" s="35"/>
      <c r="I1875" s="33"/>
      <c r="J1875" s="36"/>
      <c r="K1875" t="s">
        <v>54</v>
      </c>
      <c r="L1875" s="3">
        <v>10636.54</v>
      </c>
      <c r="N1875" s="3">
        <f>L1875*0.3</f>
        <v>3190.962</v>
      </c>
      <c r="O1875" s="3">
        <f>(IF(L1875&lt;4172.98,0,MIN(L1875*0.3,L1875-4172.98)))-M1875</f>
        <v>3190.962</v>
      </c>
      <c r="S1875" s="3" t="s">
        <v>1808</v>
      </c>
      <c r="T1875" s="48">
        <v>46274</v>
      </c>
      <c r="V1875" s="51">
        <v>0.53541666666666665</v>
      </c>
      <c r="W1875" s="51">
        <v>0.54027777777777775</v>
      </c>
      <c r="X1875" s="51">
        <v>0.54652777777777772</v>
      </c>
      <c r="Y1875" s="51">
        <v>0.54791666666666672</v>
      </c>
    </row>
    <row r="1876" spans="1:25" hidden="1">
      <c r="A1876" s="30">
        <v>24351106</v>
      </c>
      <c r="B1876" s="31">
        <v>46274</v>
      </c>
      <c r="C1876" s="32">
        <v>0.53791666666666671</v>
      </c>
      <c r="D1876" s="33"/>
      <c r="E1876" s="34">
        <v>5219622718626</v>
      </c>
      <c r="F1876" s="33"/>
      <c r="G1876" s="33"/>
      <c r="H1876" s="35">
        <v>71816501895</v>
      </c>
      <c r="I1876" s="33"/>
      <c r="J1876" s="36"/>
      <c r="K1876" t="s">
        <v>30</v>
      </c>
      <c r="L1876" s="111">
        <v>9760.32</v>
      </c>
      <c r="M1876" s="111">
        <v>2927.7</v>
      </c>
      <c r="N1876" s="3">
        <f>L1876*0.3</f>
        <v>2928.096</v>
      </c>
      <c r="O1876" s="3">
        <f>(IF(L1876&lt;4172.98,0,MIN(L1876*0.3,L1876-4172.98)))-M1876</f>
        <v>0.39600000000018554</v>
      </c>
      <c r="P1876" s="6">
        <v>46844</v>
      </c>
      <c r="Q1876" t="s">
        <v>43</v>
      </c>
      <c r="R1876" s="3">
        <v>535.70000000000005</v>
      </c>
      <c r="S1876" s="3" t="s">
        <v>204</v>
      </c>
      <c r="V1876" s="51">
        <v>0.53888888888888886</v>
      </c>
    </row>
    <row r="1877" spans="1:25" hidden="1">
      <c r="A1877" s="30">
        <v>24351118</v>
      </c>
      <c r="B1877" s="31">
        <v>46274</v>
      </c>
      <c r="C1877" s="32">
        <v>0.53953703703703704</v>
      </c>
      <c r="D1877" s="33"/>
      <c r="E1877" s="34">
        <v>5214495473602</v>
      </c>
      <c r="F1877" s="33"/>
      <c r="G1877" s="33" t="s">
        <v>1809</v>
      </c>
      <c r="H1877" s="35"/>
      <c r="I1877" s="33"/>
      <c r="J1877" s="36"/>
      <c r="K1877" t="s">
        <v>58</v>
      </c>
      <c r="L1877" s="3">
        <v>3961.31</v>
      </c>
      <c r="N1877" s="3">
        <f>L1877*0.3</f>
        <v>1188.393</v>
      </c>
      <c r="O1877" s="3">
        <f>(IF(L1877&lt;4172.98,0,MIN(L1877*0.3,L1877-4172.98)))-M1877</f>
        <v>0</v>
      </c>
      <c r="S1877" s="3" t="s">
        <v>204</v>
      </c>
      <c r="V1877" s="51">
        <v>0.54166666666666663</v>
      </c>
    </row>
    <row r="1878" spans="1:25" hidden="1">
      <c r="A1878" s="30">
        <v>24351400</v>
      </c>
      <c r="B1878" s="31">
        <v>46274</v>
      </c>
      <c r="C1878" s="32">
        <v>0.5458912037037037</v>
      </c>
      <c r="D1878" s="33"/>
      <c r="E1878" s="34">
        <v>5215510126987</v>
      </c>
      <c r="F1878" s="33"/>
      <c r="G1878" s="33"/>
      <c r="H1878" s="35">
        <v>11826302355</v>
      </c>
      <c r="I1878" s="33"/>
      <c r="J1878" s="36"/>
      <c r="K1878" t="s">
        <v>30</v>
      </c>
      <c r="L1878" s="111">
        <v>5770.32</v>
      </c>
      <c r="M1878" s="111">
        <v>1668.12</v>
      </c>
      <c r="N1878" s="3">
        <f>L1878*0.3</f>
        <v>1731.0959999999998</v>
      </c>
      <c r="O1878" s="3">
        <f>(IF(L1878&lt;4172.98,0,MIN(L1878*0.3,L1878-4172.98)))-M1878</f>
        <v>-70.779999999999745</v>
      </c>
      <c r="P1878" s="6">
        <v>46569</v>
      </c>
      <c r="Q1878" t="s">
        <v>47</v>
      </c>
      <c r="R1878" s="111">
        <v>1668.12</v>
      </c>
      <c r="S1878" s="3" t="s">
        <v>204</v>
      </c>
      <c r="V1878" s="51">
        <v>0.54861111111111116</v>
      </c>
    </row>
    <row r="1879" spans="1:25" hidden="1">
      <c r="A1879" s="12">
        <v>24352418</v>
      </c>
      <c r="B1879" s="13">
        <v>46274</v>
      </c>
      <c r="C1879" s="14">
        <v>0.57011574074074078</v>
      </c>
      <c r="D1879" s="15"/>
      <c r="E1879" s="16">
        <v>5213111460711</v>
      </c>
      <c r="F1879" s="15"/>
      <c r="G1879" s="15" t="s">
        <v>1810</v>
      </c>
      <c r="H1879" s="17"/>
      <c r="I1879" s="15"/>
      <c r="J1879" s="18"/>
      <c r="K1879" t="s">
        <v>32</v>
      </c>
      <c r="N1879" s="3">
        <f t="shared" ref="N1879:N1880" si="230">L1879*0.3</f>
        <v>0</v>
      </c>
      <c r="O1879" s="3">
        <f t="shared" ref="O1879:O1880" si="231">(IF(L1879&lt;4172.98,0,MIN(L1879*0.3,L1879-4172.98)))-M1879</f>
        <v>0</v>
      </c>
      <c r="S1879" s="3" t="s">
        <v>204</v>
      </c>
      <c r="V1879" s="51">
        <v>0.5708333333333333</v>
      </c>
    </row>
    <row r="1880" spans="1:25" hidden="1">
      <c r="A1880" s="30">
        <v>24352594</v>
      </c>
      <c r="B1880" s="31">
        <v>46274</v>
      </c>
      <c r="C1880" s="32">
        <v>0.57062500000000005</v>
      </c>
      <c r="D1880" s="33"/>
      <c r="E1880" s="34">
        <v>5215554629330</v>
      </c>
      <c r="F1880" s="33"/>
      <c r="G1880" s="33" t="s">
        <v>1811</v>
      </c>
      <c r="H1880" s="35"/>
      <c r="I1880" s="33"/>
      <c r="J1880" s="36"/>
      <c r="K1880" t="s">
        <v>32</v>
      </c>
      <c r="N1880" s="3">
        <f t="shared" si="230"/>
        <v>0</v>
      </c>
      <c r="O1880" s="3">
        <f t="shared" si="231"/>
        <v>0</v>
      </c>
      <c r="S1880" s="3" t="s">
        <v>204</v>
      </c>
      <c r="V1880" s="51">
        <v>0.5708333333333333</v>
      </c>
    </row>
    <row r="1881" spans="1:25">
      <c r="A1881" s="30">
        <v>24352970</v>
      </c>
      <c r="B1881" s="31">
        <v>46274</v>
      </c>
      <c r="C1881" s="32">
        <v>0.57966435185185183</v>
      </c>
      <c r="D1881" s="33"/>
      <c r="E1881" s="34">
        <v>5216143547821</v>
      </c>
      <c r="F1881" s="33"/>
      <c r="G1881" s="33"/>
      <c r="H1881" s="35">
        <v>33816182050</v>
      </c>
      <c r="I1881" s="33"/>
      <c r="J1881" s="36"/>
      <c r="K1881" t="s">
        <v>54</v>
      </c>
      <c r="L1881" s="3">
        <f>47676.55+879</f>
        <v>48555.55</v>
      </c>
      <c r="M1881" s="3">
        <v>879</v>
      </c>
      <c r="N1881" s="3">
        <f>L1881*0.3</f>
        <v>14566.665000000001</v>
      </c>
      <c r="O1881" s="3">
        <f>(IF(L1881&lt;4172.98,0,MIN(L1881*0.3,L1881-4172.98)))-M1881</f>
        <v>13687.665000000001</v>
      </c>
      <c r="S1881" s="3" t="s">
        <v>1091</v>
      </c>
      <c r="T1881" s="48">
        <v>46274</v>
      </c>
      <c r="V1881" s="51">
        <v>0.57916666666666672</v>
      </c>
      <c r="W1881" s="51">
        <v>0.59375</v>
      </c>
      <c r="X1881" s="51">
        <v>0.59652777777777777</v>
      </c>
      <c r="Y1881" s="51">
        <v>0.59722222222222221</v>
      </c>
    </row>
    <row r="1882" spans="1:25" hidden="1">
      <c r="A1882" s="30">
        <v>24353268</v>
      </c>
      <c r="B1882" s="31">
        <v>46274</v>
      </c>
      <c r="C1882" s="32">
        <v>0.59284722222222219</v>
      </c>
      <c r="D1882" s="33" t="s">
        <v>1812</v>
      </c>
      <c r="E1882" s="34">
        <v>5219221724449</v>
      </c>
      <c r="F1882" s="33"/>
      <c r="G1882" s="33" t="s">
        <v>1813</v>
      </c>
      <c r="H1882" s="35"/>
      <c r="I1882" s="33"/>
      <c r="J1882" s="36"/>
      <c r="K1882" t="s">
        <v>32</v>
      </c>
      <c r="N1882" s="3">
        <f>L1882*0.3</f>
        <v>0</v>
      </c>
      <c r="O1882" s="3">
        <f>(IF(L1882&lt;4172.98,0,MIN(L1882*0.3,L1882-4172.98)))-M1882</f>
        <v>0</v>
      </c>
      <c r="S1882" s="3" t="s">
        <v>204</v>
      </c>
      <c r="V1882" s="51">
        <v>0.59375</v>
      </c>
    </row>
    <row r="1883" spans="1:25" hidden="1">
      <c r="A1883" s="30">
        <v>24353588</v>
      </c>
      <c r="B1883" s="31">
        <v>46274</v>
      </c>
      <c r="C1883" s="32">
        <v>0.59467592592592589</v>
      </c>
      <c r="D1883" s="33"/>
      <c r="E1883" s="34">
        <v>5215636439067</v>
      </c>
      <c r="F1883" s="33"/>
      <c r="G1883" s="33"/>
      <c r="H1883" s="35">
        <v>37926402688</v>
      </c>
      <c r="I1883" s="33"/>
      <c r="J1883" s="36"/>
      <c r="K1883" t="s">
        <v>30</v>
      </c>
      <c r="L1883" s="111">
        <v>9081.52</v>
      </c>
      <c r="M1883" s="111">
        <v>2607.2399999999998</v>
      </c>
      <c r="N1883" s="3">
        <f>L1883*0.3</f>
        <v>2724.4560000000001</v>
      </c>
      <c r="O1883" s="3">
        <f>(IF(L1883&lt;4172.98,0,MIN(L1883*0.3,L1883-4172.98)))-M1883</f>
        <v>117.21600000000035</v>
      </c>
      <c r="P1883" s="6">
        <v>46539</v>
      </c>
      <c r="Q1883" t="s">
        <v>75</v>
      </c>
      <c r="R1883" s="111">
        <v>2607.2399999999998</v>
      </c>
      <c r="S1883" s="3" t="s">
        <v>204</v>
      </c>
      <c r="V1883" s="51">
        <v>0.59444444444444444</v>
      </c>
    </row>
    <row r="1884" spans="1:25" hidden="1">
      <c r="A1884" s="12">
        <v>24353308</v>
      </c>
      <c r="B1884" s="13">
        <v>46274</v>
      </c>
      <c r="C1884" s="14">
        <v>0.59751157407407407</v>
      </c>
      <c r="D1884" s="15"/>
      <c r="E1884" s="16">
        <v>5216371304078</v>
      </c>
      <c r="F1884" s="15"/>
      <c r="G1884" s="15" t="s">
        <v>1814</v>
      </c>
      <c r="H1884" s="17"/>
      <c r="I1884" s="15"/>
      <c r="J1884" s="18"/>
      <c r="K1884" t="s">
        <v>30</v>
      </c>
      <c r="L1884" s="111">
        <v>9760.32</v>
      </c>
      <c r="M1884" s="111">
        <v>2790.41</v>
      </c>
      <c r="N1884" s="3">
        <f>L1884*0.3</f>
        <v>2928.096</v>
      </c>
      <c r="O1884" s="3">
        <f>(IF(L1884&lt;4172.98,0,MIN(L1884*0.3,L1884-4172.98)))-M1884</f>
        <v>137.68600000000015</v>
      </c>
      <c r="P1884" s="6">
        <v>46722</v>
      </c>
      <c r="Q1884" t="s">
        <v>47</v>
      </c>
      <c r="R1884" s="111">
        <v>2790.41</v>
      </c>
      <c r="S1884" s="3" t="s">
        <v>204</v>
      </c>
      <c r="V1884" s="51">
        <v>0.60277777777777775</v>
      </c>
    </row>
    <row r="1885" spans="1:25" hidden="1">
      <c r="A1885" s="30">
        <v>24353384</v>
      </c>
      <c r="B1885" s="31">
        <v>46274</v>
      </c>
      <c r="C1885" s="32">
        <v>0.60231481481481486</v>
      </c>
      <c r="D1885" s="33"/>
      <c r="E1885" s="34">
        <v>5216442012071</v>
      </c>
      <c r="F1885" s="33"/>
      <c r="G1885" s="33"/>
      <c r="H1885" s="35">
        <v>24906003256</v>
      </c>
      <c r="I1885" s="33"/>
      <c r="J1885" s="36"/>
      <c r="K1885" t="s">
        <v>30</v>
      </c>
      <c r="L1885" s="111">
        <v>5617.63</v>
      </c>
      <c r="M1885" s="111">
        <v>1444.64</v>
      </c>
      <c r="N1885" s="3">
        <f>L1885*0.3</f>
        <v>1685.289</v>
      </c>
      <c r="O1885" s="3">
        <f>(IF(L1885&lt;4172.98,0,MIN(L1885*0.3,L1885-4172.98)))-M1885</f>
        <v>1.0000000000445652E-2</v>
      </c>
      <c r="P1885" s="6">
        <v>46600</v>
      </c>
      <c r="Q1885" t="s">
        <v>80</v>
      </c>
      <c r="R1885" s="3">
        <v>1251</v>
      </c>
      <c r="S1885" s="3" t="s">
        <v>204</v>
      </c>
      <c r="V1885" s="51">
        <v>0.60277777777777775</v>
      </c>
    </row>
    <row r="1886" spans="1:25" hidden="1">
      <c r="A1886" s="30">
        <v>24353728</v>
      </c>
      <c r="B1886" s="31">
        <v>46274</v>
      </c>
      <c r="C1886" s="32">
        <v>0.60734953703703709</v>
      </c>
      <c r="D1886" s="33"/>
      <c r="E1886" s="34">
        <v>5219601829259</v>
      </c>
      <c r="F1886" s="33"/>
      <c r="G1886" s="33" t="s">
        <v>1815</v>
      </c>
      <c r="H1886" s="35"/>
      <c r="I1886" s="33"/>
      <c r="J1886" s="36"/>
      <c r="K1886" t="s">
        <v>32</v>
      </c>
      <c r="N1886" s="3">
        <f>L1886*0.3</f>
        <v>0</v>
      </c>
      <c r="O1886" s="3">
        <f>(IF(L1886&lt;4172.98,0,MIN(L1886*0.3,L1886-4172.98)))-M1886</f>
        <v>0</v>
      </c>
      <c r="S1886" s="3" t="s">
        <v>204</v>
      </c>
      <c r="V1886" s="51">
        <v>0.6069444444444444</v>
      </c>
    </row>
    <row r="1887" spans="1:25">
      <c r="A1887" s="30">
        <v>24354104</v>
      </c>
      <c r="B1887" s="31">
        <v>46274</v>
      </c>
      <c r="C1887" s="32">
        <v>0.60968750000000005</v>
      </c>
      <c r="D1887" s="33"/>
      <c r="E1887" s="34">
        <v>5214432834582</v>
      </c>
      <c r="F1887" s="33"/>
      <c r="G1887" s="33"/>
      <c r="H1887" s="35">
        <v>71795806745</v>
      </c>
      <c r="I1887" s="33"/>
      <c r="J1887" s="36"/>
      <c r="K1887" t="s">
        <v>54</v>
      </c>
      <c r="L1887" s="3">
        <v>10819.28</v>
      </c>
      <c r="N1887" s="3">
        <f>L1887*0.3</f>
        <v>3245.7840000000001</v>
      </c>
      <c r="O1887" s="3">
        <f>(IF(L1887&lt;4172.98,0,MIN(L1887*0.3,L1887-4172.98)))-M1887</f>
        <v>3245.7840000000001</v>
      </c>
      <c r="S1887" s="3" t="s">
        <v>886</v>
      </c>
      <c r="T1887" s="48">
        <v>46274</v>
      </c>
      <c r="V1887" s="51">
        <v>0.61041666666666672</v>
      </c>
      <c r="W1887" s="51">
        <v>0.61250000000000004</v>
      </c>
      <c r="X1887" s="51">
        <v>0.61944444444444446</v>
      </c>
      <c r="Y1887" s="51">
        <v>0.62083333333333335</v>
      </c>
    </row>
    <row r="1888" spans="1:25" hidden="1">
      <c r="A1888" s="30">
        <v>24354364</v>
      </c>
      <c r="B1888" s="31">
        <v>46274</v>
      </c>
      <c r="C1888" s="32">
        <v>0.61675925925925923</v>
      </c>
      <c r="D1888" s="33"/>
      <c r="E1888" s="34">
        <v>5219223679887</v>
      </c>
      <c r="F1888" s="33"/>
      <c r="G1888" s="33" t="s">
        <v>1816</v>
      </c>
      <c r="H1888" s="35"/>
      <c r="I1888" s="33"/>
      <c r="J1888" s="36"/>
      <c r="K1888" t="s">
        <v>51</v>
      </c>
      <c r="N1888" s="3">
        <f>L1888*0.3</f>
        <v>0</v>
      </c>
      <c r="O1888" s="3">
        <f>(IF(L1888&lt;4172.98,0,MIN(L1888*0.3,L1888-4172.98)))-M1888</f>
        <v>0</v>
      </c>
      <c r="S1888" s="3" t="s">
        <v>204</v>
      </c>
      <c r="V1888" s="51">
        <v>0.6166666666666667</v>
      </c>
    </row>
    <row r="1889" spans="1:25">
      <c r="A1889" s="12">
        <v>24354612</v>
      </c>
      <c r="B1889" s="13">
        <v>46274</v>
      </c>
      <c r="C1889" s="14">
        <v>0.62498842592592596</v>
      </c>
      <c r="D1889" s="15"/>
      <c r="E1889" s="16">
        <v>5216645211011</v>
      </c>
      <c r="F1889" s="15"/>
      <c r="G1889" s="15" t="s">
        <v>1817</v>
      </c>
      <c r="H1889" s="17"/>
      <c r="I1889" s="15"/>
      <c r="J1889" s="18"/>
      <c r="K1889" t="s">
        <v>54</v>
      </c>
      <c r="L1889" s="111">
        <v>9582.4699999999993</v>
      </c>
      <c r="M1889" s="111">
        <v>0</v>
      </c>
      <c r="N1889" s="3">
        <f t="shared" ref="N1889:N1890" si="232">L1889*0.3</f>
        <v>2874.7409999999995</v>
      </c>
      <c r="O1889" s="3">
        <f t="shared" ref="O1889:O1890" si="233">(IF(L1889&lt;4172.98,0,MIN(L1889*0.3,L1889-4172.98)))-M1889</f>
        <v>2874.7409999999995</v>
      </c>
      <c r="S1889" s="3" t="s">
        <v>1808</v>
      </c>
      <c r="T1889" s="48">
        <v>46274</v>
      </c>
      <c r="V1889" s="51">
        <v>0.625</v>
      </c>
      <c r="W1889" s="51">
        <v>0.63611111111111107</v>
      </c>
      <c r="X1889" s="51">
        <v>0.63749999999999996</v>
      </c>
      <c r="Y1889" s="51">
        <v>0.63888888888888884</v>
      </c>
    </row>
    <row r="1890" spans="1:25">
      <c r="A1890" s="30">
        <v>24354680</v>
      </c>
      <c r="B1890" s="31">
        <v>46274</v>
      </c>
      <c r="C1890" s="32">
        <v>0.63184027777777774</v>
      </c>
      <c r="D1890" s="33" t="s">
        <v>1818</v>
      </c>
      <c r="E1890" s="34">
        <v>5214444315883</v>
      </c>
      <c r="F1890" s="33"/>
      <c r="G1890" s="33" t="s">
        <v>1819</v>
      </c>
      <c r="H1890" s="35">
        <v>41846616898</v>
      </c>
      <c r="I1890" s="33"/>
      <c r="J1890" s="36"/>
      <c r="K1890" t="s">
        <v>54</v>
      </c>
      <c r="L1890" s="111">
        <v>14613.46</v>
      </c>
      <c r="M1890" s="111">
        <v>330.55</v>
      </c>
      <c r="N1890" s="3">
        <f t="shared" si="232"/>
        <v>4384.0379999999996</v>
      </c>
      <c r="O1890" s="3">
        <f t="shared" si="233"/>
        <v>4053.4879999999994</v>
      </c>
      <c r="P1890" s="6">
        <v>46054</v>
      </c>
      <c r="Q1890" t="s">
        <v>47</v>
      </c>
      <c r="R1890" s="111">
        <v>330.55</v>
      </c>
      <c r="S1890" s="3" t="s">
        <v>886</v>
      </c>
      <c r="T1890" s="48">
        <v>46274</v>
      </c>
      <c r="V1890" s="51">
        <v>0.63194444444444442</v>
      </c>
      <c r="W1890" s="51">
        <v>0.63749999999999996</v>
      </c>
      <c r="X1890" s="51">
        <v>0.64097222222222228</v>
      </c>
      <c r="Y1890" s="51">
        <v>0.6430555555555556</v>
      </c>
    </row>
    <row r="1891" spans="1:25" hidden="1">
      <c r="A1891" s="30">
        <v>24355498</v>
      </c>
      <c r="B1891" s="31">
        <v>46274</v>
      </c>
      <c r="C1891" s="32">
        <v>0.65592592592592591</v>
      </c>
      <c r="D1891" s="33"/>
      <c r="E1891" s="34">
        <v>5213310161654</v>
      </c>
      <c r="F1891" s="33"/>
      <c r="G1891" s="33"/>
      <c r="H1891" s="35">
        <v>54846496328</v>
      </c>
      <c r="I1891" s="33"/>
      <c r="J1891" s="36"/>
      <c r="K1891" t="s">
        <v>30</v>
      </c>
      <c r="L1891" s="111">
        <v>9760.32</v>
      </c>
      <c r="M1891" s="111">
        <v>2913.38</v>
      </c>
      <c r="N1891" s="3">
        <f>L1891*0.3</f>
        <v>2928.096</v>
      </c>
      <c r="O1891" s="3">
        <f>(IF(L1891&lt;4172.98,0,MIN(L1891*0.3,L1891-4172.98)))-M1891</f>
        <v>14.715999999999894</v>
      </c>
      <c r="P1891" s="6">
        <v>46844</v>
      </c>
      <c r="Q1891" t="s">
        <v>141</v>
      </c>
      <c r="R1891" s="111">
        <v>2913.38</v>
      </c>
      <c r="S1891" s="3" t="s">
        <v>204</v>
      </c>
      <c r="V1891" s="51">
        <v>0.65625</v>
      </c>
    </row>
    <row r="1892" spans="1:25">
      <c r="A1892" s="12">
        <v>24355698</v>
      </c>
      <c r="B1892" s="13">
        <v>46274</v>
      </c>
      <c r="C1892" s="14">
        <v>0.66292824074074075</v>
      </c>
      <c r="D1892" s="15"/>
      <c r="E1892" s="16">
        <v>5219211911970</v>
      </c>
      <c r="F1892" s="15"/>
      <c r="G1892" s="15" t="s">
        <v>1820</v>
      </c>
      <c r="H1892" s="17"/>
      <c r="I1892" s="15"/>
      <c r="J1892" s="18"/>
      <c r="K1892" t="s">
        <v>38</v>
      </c>
      <c r="L1892" s="3">
        <v>5166.74</v>
      </c>
      <c r="N1892" s="3">
        <f t="shared" ref="N1892:N1894" si="234">L1892*0.3</f>
        <v>1550.0219999999999</v>
      </c>
      <c r="O1892" s="3">
        <f t="shared" ref="O1892:O1894" si="235">(IF(L1892&lt;4172.98,0,MIN(L1892*0.3,L1892-4172.98)))-M1892</f>
        <v>993.76000000000022</v>
      </c>
      <c r="S1892" s="3" t="s">
        <v>39</v>
      </c>
      <c r="T1892" s="48">
        <v>46274</v>
      </c>
      <c r="V1892" s="51">
        <v>0.66388888888888886</v>
      </c>
      <c r="W1892" s="51">
        <v>0.6694444444444444</v>
      </c>
      <c r="X1892" s="51">
        <v>0.6791666666666667</v>
      </c>
      <c r="Y1892" s="51">
        <v>0.68055555555555558</v>
      </c>
    </row>
    <row r="1893" spans="1:25" hidden="1">
      <c r="A1893" s="12">
        <v>24355772</v>
      </c>
      <c r="B1893" s="13">
        <v>46274</v>
      </c>
      <c r="C1893" s="14">
        <v>0.66471064814814818</v>
      </c>
      <c r="D1893" s="15"/>
      <c r="E1893" s="16">
        <v>5213347584299</v>
      </c>
      <c r="F1893" s="15"/>
      <c r="G1893" s="15" t="s">
        <v>1821</v>
      </c>
      <c r="H1893" s="17"/>
      <c r="I1893" s="15"/>
      <c r="J1893" s="18"/>
      <c r="K1893" t="s">
        <v>30</v>
      </c>
      <c r="L1893" s="111">
        <v>9081.52</v>
      </c>
      <c r="M1893" s="111">
        <v>2521.33</v>
      </c>
      <c r="N1893" s="3">
        <f t="shared" si="234"/>
        <v>2724.4560000000001</v>
      </c>
      <c r="O1893" s="3">
        <f t="shared" si="235"/>
        <v>203.1260000000002</v>
      </c>
      <c r="P1893" s="6">
        <v>46296</v>
      </c>
      <c r="Q1893" t="s">
        <v>75</v>
      </c>
      <c r="R1893" s="111">
        <v>2521.33</v>
      </c>
      <c r="S1893" s="3" t="s">
        <v>204</v>
      </c>
      <c r="V1893" s="51">
        <v>0.66527777777777775</v>
      </c>
    </row>
    <row r="1894" spans="1:25">
      <c r="A1894" s="30">
        <v>24355756</v>
      </c>
      <c r="B1894" s="31">
        <v>46274</v>
      </c>
      <c r="C1894" s="32">
        <v>0.66502314814814811</v>
      </c>
      <c r="D1894" s="33"/>
      <c r="E1894" s="34">
        <v>5218421124599</v>
      </c>
      <c r="F1894" s="33"/>
      <c r="G1894" s="33" t="s">
        <v>1822</v>
      </c>
      <c r="H1894" s="35"/>
      <c r="I1894" s="33"/>
      <c r="J1894" s="36"/>
      <c r="K1894" t="s">
        <v>54</v>
      </c>
      <c r="L1894" s="3">
        <v>10171.24</v>
      </c>
      <c r="N1894" s="3">
        <f t="shared" si="234"/>
        <v>3051.3719999999998</v>
      </c>
      <c r="O1894" s="3">
        <f t="shared" si="235"/>
        <v>3051.3719999999998</v>
      </c>
      <c r="S1894" s="3" t="s">
        <v>1091</v>
      </c>
      <c r="T1894" s="48">
        <v>46274</v>
      </c>
      <c r="V1894" s="51">
        <v>0.66527777777777775</v>
      </c>
      <c r="W1894" s="51">
        <v>0.67013888888888884</v>
      </c>
      <c r="X1894" s="51">
        <v>0.67638888888888893</v>
      </c>
      <c r="Y1894" s="51">
        <v>0.67777777777777781</v>
      </c>
    </row>
    <row r="1895" spans="1:25" hidden="1">
      <c r="A1895" s="30">
        <v>24355858</v>
      </c>
      <c r="B1895" s="31">
        <v>46274</v>
      </c>
      <c r="C1895" s="32">
        <v>0.66891203703703705</v>
      </c>
      <c r="D1895" s="33"/>
      <c r="E1895" s="34">
        <v>5213316005580</v>
      </c>
      <c r="F1895" s="33"/>
      <c r="G1895" s="33"/>
      <c r="H1895" s="35">
        <v>52856202560</v>
      </c>
      <c r="I1895" s="33"/>
      <c r="J1895" s="36"/>
      <c r="K1895" t="s">
        <v>30</v>
      </c>
      <c r="L1895" s="111">
        <v>11270.3</v>
      </c>
      <c r="M1895" s="111">
        <v>3380.91</v>
      </c>
      <c r="N1895" s="3">
        <f>L1895*0.3</f>
        <v>3381.0899999999997</v>
      </c>
      <c r="O1895" s="3">
        <f>(IF(L1895&lt;4172.98,0,MIN(L1895*0.3,L1895-4172.98)))-M1895</f>
        <v>0.17999999999983629</v>
      </c>
      <c r="P1895" s="6">
        <v>46935</v>
      </c>
      <c r="Q1895" t="s">
        <v>75</v>
      </c>
      <c r="R1895" s="111">
        <v>3380.91</v>
      </c>
      <c r="S1895" s="3" t="s">
        <v>204</v>
      </c>
      <c r="V1895" s="51">
        <v>0.66874999999999996</v>
      </c>
    </row>
    <row r="1896" spans="1:25">
      <c r="A1896" s="30">
        <v>24356166</v>
      </c>
      <c r="B1896" s="31">
        <v>46274</v>
      </c>
      <c r="C1896" s="32">
        <v>0.68059027777777781</v>
      </c>
      <c r="D1896" s="33"/>
      <c r="E1896" s="34">
        <v>5213329582460</v>
      </c>
      <c r="F1896" s="33"/>
      <c r="G1896" s="33"/>
      <c r="H1896" s="35" t="s">
        <v>1823</v>
      </c>
      <c r="I1896" s="33"/>
      <c r="J1896" s="36"/>
      <c r="K1896" t="s">
        <v>54</v>
      </c>
      <c r="L1896" s="3">
        <v>9760.32</v>
      </c>
      <c r="N1896" s="3">
        <f>L1896*0.3</f>
        <v>2928.096</v>
      </c>
      <c r="O1896" s="3">
        <f>(IF(L1896&lt;4172.98,0,MIN(L1896*0.3,L1896-4172.98)))-M1896</f>
        <v>2928.096</v>
      </c>
      <c r="S1896" s="3" t="s">
        <v>548</v>
      </c>
      <c r="T1896" s="48">
        <v>46274</v>
      </c>
      <c r="V1896" s="51">
        <v>0.68333333333333335</v>
      </c>
      <c r="W1896" s="51">
        <v>0.68958333333333333</v>
      </c>
      <c r="X1896" s="51">
        <v>0.71319444444444446</v>
      </c>
      <c r="Y1896" s="51">
        <v>0.71527777777777779</v>
      </c>
    </row>
    <row r="1897" spans="1:25" hidden="1">
      <c r="A1897" s="30">
        <v>24356292</v>
      </c>
      <c r="B1897" s="31">
        <v>46274</v>
      </c>
      <c r="C1897" s="32">
        <v>0.68460648148148151</v>
      </c>
      <c r="D1897" s="33" t="s">
        <v>1824</v>
      </c>
      <c r="E1897" s="34">
        <v>5218711572666</v>
      </c>
      <c r="F1897" s="33"/>
      <c r="G1897" s="33" t="s">
        <v>1825</v>
      </c>
      <c r="H1897" s="35">
        <v>32978129743</v>
      </c>
      <c r="I1897" s="33"/>
      <c r="J1897" s="36"/>
      <c r="K1897" t="s">
        <v>51</v>
      </c>
      <c r="N1897" s="3">
        <f>L1897*0.3</f>
        <v>0</v>
      </c>
      <c r="O1897" s="3">
        <f>(IF(L1897&lt;4172.98,0,MIN(L1897*0.3,L1897-4172.98)))-M1897</f>
        <v>0</v>
      </c>
      <c r="S1897" s="3" t="s">
        <v>204</v>
      </c>
      <c r="V1897" s="51">
        <v>0.68541666666666667</v>
      </c>
    </row>
    <row r="1898" spans="1:25" hidden="1">
      <c r="A1898" s="30">
        <v>24356302</v>
      </c>
      <c r="B1898" s="31">
        <v>46274</v>
      </c>
      <c r="C1898" s="32">
        <v>0.68722222222222218</v>
      </c>
      <c r="D1898" s="33"/>
      <c r="E1898" s="34">
        <v>5213121532140</v>
      </c>
      <c r="F1898" s="33"/>
      <c r="G1898" s="33"/>
      <c r="H1898" s="35">
        <v>52038600681</v>
      </c>
      <c r="I1898" s="33"/>
      <c r="J1898" s="36"/>
      <c r="K1898" t="s">
        <v>51</v>
      </c>
      <c r="N1898" s="3">
        <f>L1898*0.3</f>
        <v>0</v>
      </c>
      <c r="O1898" s="3">
        <f>(IF(L1898&lt;4172.98,0,MIN(L1898*0.3,L1898-4172.98)))-M1898</f>
        <v>0</v>
      </c>
      <c r="S1898" s="3" t="s">
        <v>204</v>
      </c>
      <c r="V1898" s="51">
        <v>0.68888888888888888</v>
      </c>
    </row>
    <row r="1899" spans="1:25">
      <c r="A1899" s="12">
        <v>24356490</v>
      </c>
      <c r="B1899" s="13">
        <v>46274</v>
      </c>
      <c r="C1899" s="14">
        <v>0.69405092592592588</v>
      </c>
      <c r="D1899" s="15"/>
      <c r="E1899" s="16">
        <v>5218341516330</v>
      </c>
      <c r="F1899" s="15"/>
      <c r="G1899" s="15" t="s">
        <v>1826</v>
      </c>
      <c r="H1899" s="17">
        <v>49846546536</v>
      </c>
      <c r="I1899" s="15"/>
      <c r="J1899" s="18"/>
      <c r="K1899" t="s">
        <v>54</v>
      </c>
      <c r="L1899" s="3">
        <v>9760.32</v>
      </c>
      <c r="N1899" s="3">
        <f t="shared" ref="N1899:N1900" si="236">L1899*0.3</f>
        <v>2928.096</v>
      </c>
      <c r="O1899" s="3">
        <f t="shared" ref="O1899:O1900" si="237">(IF(L1899&lt;4172.98,0,MIN(L1899*0.3,L1899-4172.98)))-M1899</f>
        <v>2928.096</v>
      </c>
      <c r="S1899" s="3" t="s">
        <v>548</v>
      </c>
      <c r="T1899" s="48">
        <v>46274</v>
      </c>
      <c r="V1899" s="51">
        <v>0.69513888888888886</v>
      </c>
      <c r="W1899" s="51">
        <v>0.7</v>
      </c>
      <c r="X1899" s="51">
        <v>0.71458333333333335</v>
      </c>
      <c r="Y1899" s="51">
        <v>0.71666666666666667</v>
      </c>
    </row>
    <row r="1900" spans="1:25">
      <c r="A1900" s="30">
        <v>24356470</v>
      </c>
      <c r="B1900" s="31">
        <v>46274</v>
      </c>
      <c r="C1900" s="32">
        <v>0.69434027777777774</v>
      </c>
      <c r="D1900" s="33"/>
      <c r="E1900" s="34">
        <v>5213311206751</v>
      </c>
      <c r="F1900" s="33"/>
      <c r="G1900" s="33"/>
      <c r="H1900" s="35">
        <v>43775948714</v>
      </c>
      <c r="I1900" s="33"/>
      <c r="J1900" s="36"/>
      <c r="K1900" t="s">
        <v>107</v>
      </c>
      <c r="L1900" s="111">
        <v>8204.65</v>
      </c>
      <c r="M1900" s="111">
        <v>2373.8000000000002</v>
      </c>
      <c r="N1900" s="3">
        <f t="shared" si="236"/>
        <v>2461.395</v>
      </c>
      <c r="O1900" s="3">
        <f t="shared" si="237"/>
        <v>87.5949999999998</v>
      </c>
      <c r="P1900" s="6">
        <v>45992</v>
      </c>
      <c r="Q1900" t="s">
        <v>44</v>
      </c>
      <c r="R1900" s="3">
        <v>460</v>
      </c>
      <c r="S1900" s="3" t="s">
        <v>39</v>
      </c>
      <c r="T1900" s="48">
        <v>46274</v>
      </c>
      <c r="V1900" s="51">
        <v>0.69513888888888886</v>
      </c>
      <c r="W1900" s="51">
        <v>0.70138888888888884</v>
      </c>
      <c r="X1900" s="51">
        <v>0.71597222222222223</v>
      </c>
      <c r="Y1900" s="51">
        <v>0.71736111111111112</v>
      </c>
    </row>
    <row r="1901" spans="1:25">
      <c r="A1901" s="12">
        <v>24356700</v>
      </c>
      <c r="B1901" s="13">
        <v>46274</v>
      </c>
      <c r="C1901" s="14">
        <v>0.7085069444444444</v>
      </c>
      <c r="D1901" s="15"/>
      <c r="E1901" s="16">
        <v>5216681570243</v>
      </c>
      <c r="F1901" s="15"/>
      <c r="G1901" s="15" t="s">
        <v>1827</v>
      </c>
      <c r="H1901" s="17"/>
      <c r="I1901" s="15"/>
      <c r="J1901" s="18"/>
      <c r="K1901" t="s">
        <v>38</v>
      </c>
      <c r="L1901" s="111">
        <v>57339.45</v>
      </c>
      <c r="M1901" s="111">
        <v>16583.849999999999</v>
      </c>
      <c r="N1901" s="3">
        <f t="shared" ref="N1901:N1902" si="238">L1901*0.3</f>
        <v>17201.834999999999</v>
      </c>
      <c r="O1901" s="3">
        <f t="shared" ref="O1901:O1902" si="239">(IF(L1901&lt;4172.98,0,MIN(L1901*0.3,L1901-4172.98)))-M1901</f>
        <v>617.98500000000058</v>
      </c>
      <c r="P1901" s="6">
        <v>46447</v>
      </c>
      <c r="Q1901" t="s">
        <v>141</v>
      </c>
      <c r="R1901" s="111">
        <v>16583.849999999999</v>
      </c>
      <c r="S1901" s="3" t="s">
        <v>39</v>
      </c>
      <c r="T1901" s="48">
        <v>46274</v>
      </c>
      <c r="V1901" s="51">
        <v>0.70972222222222225</v>
      </c>
      <c r="W1901" s="51">
        <v>0.73124999999999996</v>
      </c>
      <c r="X1901" s="51">
        <v>0.73333333333333328</v>
      </c>
      <c r="Y1901" s="51">
        <v>0.73541666666666672</v>
      </c>
    </row>
    <row r="1902" spans="1:25" hidden="1">
      <c r="A1902" s="30">
        <v>24356788</v>
      </c>
      <c r="B1902" s="31">
        <v>46274</v>
      </c>
      <c r="C1902" s="32">
        <v>0.70864583333333331</v>
      </c>
      <c r="D1902" s="33"/>
      <c r="E1902" s="34">
        <v>5219901032634</v>
      </c>
      <c r="F1902" s="33"/>
      <c r="G1902" s="33"/>
      <c r="H1902" s="35">
        <v>84967503842</v>
      </c>
      <c r="I1902" s="33"/>
      <c r="J1902" s="36"/>
      <c r="K1902" t="s">
        <v>32</v>
      </c>
      <c r="N1902" s="3">
        <f t="shared" si="238"/>
        <v>0</v>
      </c>
      <c r="O1902" s="3">
        <f t="shared" si="239"/>
        <v>0</v>
      </c>
      <c r="S1902" s="3" t="s">
        <v>204</v>
      </c>
      <c r="V1902" s="51">
        <v>0.70972222222222225</v>
      </c>
    </row>
    <row r="1903" spans="1:25">
      <c r="A1903" s="30">
        <v>24357238</v>
      </c>
      <c r="B1903" s="31">
        <v>46274</v>
      </c>
      <c r="C1903" s="32">
        <v>0.72261574074074075</v>
      </c>
      <c r="D1903" s="33"/>
      <c r="E1903" s="34">
        <v>5216311903876</v>
      </c>
      <c r="F1903" s="33"/>
      <c r="G1903" s="33"/>
      <c r="H1903" s="35">
        <v>23836106882</v>
      </c>
      <c r="I1903" s="33"/>
      <c r="J1903" s="36"/>
      <c r="K1903" t="s">
        <v>54</v>
      </c>
      <c r="L1903" s="111">
        <v>7116.73</v>
      </c>
      <c r="M1903" s="111">
        <v>848</v>
      </c>
      <c r="N1903" s="3">
        <f>L1903*0.3</f>
        <v>2135.0189999999998</v>
      </c>
      <c r="O1903" s="3">
        <f>(IF(L1903&lt;4172.98,0,MIN(L1903*0.3,L1903-4172.98)))-M1903</f>
        <v>1287.0189999999998</v>
      </c>
      <c r="S1903" s="3" t="s">
        <v>548</v>
      </c>
      <c r="T1903" s="48">
        <v>46274</v>
      </c>
      <c r="V1903" s="51">
        <v>0.72291666666666665</v>
      </c>
      <c r="W1903" s="51">
        <v>0.73263888888888884</v>
      </c>
      <c r="X1903" s="51">
        <v>0.73472222222222228</v>
      </c>
      <c r="Y1903" s="51">
        <v>0.73819444444444449</v>
      </c>
    </row>
    <row r="1904" spans="1:25" hidden="1">
      <c r="A1904" s="30">
        <v>24357380</v>
      </c>
      <c r="B1904" s="31">
        <v>46274</v>
      </c>
      <c r="C1904" s="32">
        <v>0.7285300925925926</v>
      </c>
      <c r="D1904" s="33" t="s">
        <v>1828</v>
      </c>
      <c r="E1904" s="34">
        <v>5218441187202</v>
      </c>
      <c r="F1904" s="33"/>
      <c r="G1904" s="33"/>
      <c r="H1904" s="35">
        <v>32860378173</v>
      </c>
      <c r="I1904" s="33"/>
      <c r="J1904" s="36"/>
      <c r="K1904" t="s">
        <v>32</v>
      </c>
      <c r="N1904" s="3">
        <f>L1904*0.3</f>
        <v>0</v>
      </c>
      <c r="O1904" s="3">
        <f>(IF(L1904&lt;4172.98,0,MIN(L1904*0.3,L1904-4172.98)))-M1904</f>
        <v>0</v>
      </c>
      <c r="S1904" s="3" t="s">
        <v>204</v>
      </c>
      <c r="V1904" s="51">
        <v>0.72916666666666663</v>
      </c>
    </row>
    <row r="1905" spans="1:25">
      <c r="A1905" s="30">
        <v>24357494</v>
      </c>
      <c r="B1905" s="31">
        <v>46274</v>
      </c>
      <c r="C1905" s="32">
        <v>0.7364236111111111</v>
      </c>
      <c r="D1905" s="33"/>
      <c r="E1905" s="34">
        <v>5212223416266</v>
      </c>
      <c r="F1905" s="33"/>
      <c r="G1905" s="15"/>
      <c r="H1905" s="35">
        <v>62856516166</v>
      </c>
      <c r="I1905" s="33"/>
      <c r="J1905" s="36"/>
      <c r="K1905" t="s">
        <v>54</v>
      </c>
      <c r="L1905" s="3">
        <v>10636.54</v>
      </c>
      <c r="N1905" s="3">
        <f>L1905*0.3</f>
        <v>3190.962</v>
      </c>
      <c r="O1905" s="3">
        <f>(IF(L1905&lt;4172.98,0,MIN(L1905*0.3,L1905-4172.98)))-M1905</f>
        <v>3190.962</v>
      </c>
      <c r="S1905" s="3" t="s">
        <v>548</v>
      </c>
      <c r="T1905" s="48">
        <v>46274</v>
      </c>
      <c r="V1905" s="51">
        <v>0.73958333333333337</v>
      </c>
      <c r="W1905" s="51">
        <v>0.74375000000000002</v>
      </c>
      <c r="X1905" s="51">
        <v>0.74444444444444446</v>
      </c>
      <c r="Y1905" s="51">
        <v>0.74513888888888891</v>
      </c>
    </row>
    <row r="1906" spans="1:25" hidden="1">
      <c r="A1906" s="30">
        <v>24357586</v>
      </c>
      <c r="B1906" s="31">
        <v>46274</v>
      </c>
      <c r="C1906" s="32">
        <v>0.74215277777777777</v>
      </c>
      <c r="D1906" s="33"/>
      <c r="E1906" s="34">
        <v>5218143731762</v>
      </c>
      <c r="F1906" s="33"/>
      <c r="G1906" s="33"/>
      <c r="H1906" s="35">
        <v>43846913499</v>
      </c>
      <c r="I1906" s="33"/>
      <c r="J1906" s="36"/>
      <c r="K1906" t="s">
        <v>32</v>
      </c>
      <c r="N1906" s="3">
        <f>L1906*0.3</f>
        <v>0</v>
      </c>
      <c r="O1906" s="3">
        <f>(IF(L1906&lt;4172.98,0,MIN(L1906*0.3,L1906-4172.98)))-M1906</f>
        <v>0</v>
      </c>
      <c r="S1906" s="3" t="s">
        <v>204</v>
      </c>
      <c r="V1906" s="51">
        <v>0.74305555555555558</v>
      </c>
    </row>
    <row r="1907" spans="1:25" hidden="1">
      <c r="A1907" s="30">
        <v>24357910</v>
      </c>
      <c r="B1907" s="31">
        <v>46274</v>
      </c>
      <c r="C1907" s="32">
        <v>0.75222222222222224</v>
      </c>
      <c r="D1907" s="33"/>
      <c r="E1907" s="34">
        <v>5213316993916</v>
      </c>
      <c r="F1907" s="33"/>
      <c r="G1907" s="33" t="s">
        <v>1829</v>
      </c>
      <c r="H1907" s="35"/>
      <c r="I1907" s="33"/>
      <c r="J1907" s="36"/>
      <c r="K1907" t="s">
        <v>32</v>
      </c>
      <c r="N1907" s="3">
        <f>L1907*0.3</f>
        <v>0</v>
      </c>
      <c r="O1907" s="3">
        <f>(IF(L1907&lt;4172.98,0,MIN(L1907*0.3,L1907-4172.98)))-M1907</f>
        <v>0</v>
      </c>
      <c r="S1907" s="3" t="s">
        <v>204</v>
      </c>
      <c r="V1907" s="51">
        <v>0.75208333333333333</v>
      </c>
    </row>
    <row r="1908" spans="1:25" hidden="1">
      <c r="A1908" s="30">
        <v>24357940</v>
      </c>
      <c r="B1908" s="31">
        <v>46274</v>
      </c>
      <c r="C1908" s="32">
        <v>0.75246527777777783</v>
      </c>
      <c r="D1908" s="33"/>
      <c r="E1908" s="34">
        <v>5218681694702</v>
      </c>
      <c r="F1908" s="33"/>
      <c r="G1908" s="33"/>
      <c r="H1908" s="35" t="s">
        <v>1830</v>
      </c>
      <c r="I1908" s="33"/>
      <c r="J1908" s="36"/>
      <c r="K1908" t="s">
        <v>58</v>
      </c>
      <c r="L1908" s="3">
        <v>3547.06</v>
      </c>
      <c r="N1908" s="3">
        <f>L1908*0.3</f>
        <v>1064.1179999999999</v>
      </c>
      <c r="O1908" s="3">
        <f>(IF(L1908&lt;4172.98,0,MIN(L1908*0.3,L1908-4172.98)))-M1908</f>
        <v>0</v>
      </c>
      <c r="S1908" s="3" t="s">
        <v>204</v>
      </c>
      <c r="U1908" s="85"/>
      <c r="V1908" s="51">
        <v>0.75347222222222221</v>
      </c>
    </row>
    <row r="1909" spans="1:25" hidden="1">
      <c r="A1909" s="12">
        <v>24359080</v>
      </c>
      <c r="B1909" s="13">
        <v>46274</v>
      </c>
      <c r="C1909" s="14">
        <v>0.79976851851851849</v>
      </c>
      <c r="D1909" s="15"/>
      <c r="E1909" s="16">
        <v>5218110710095</v>
      </c>
      <c r="F1909" s="15"/>
      <c r="G1909" s="15"/>
      <c r="H1909" s="17">
        <v>43816046494</v>
      </c>
      <c r="I1909" s="15"/>
      <c r="J1909" s="18"/>
      <c r="K1909" t="s">
        <v>30</v>
      </c>
      <c r="L1909" s="111">
        <v>40534.78</v>
      </c>
      <c r="M1909" s="111">
        <v>12159.45</v>
      </c>
      <c r="N1909" s="3">
        <f t="shared" ref="N1909:N1912" si="240">L1909*0.3</f>
        <v>12160.433999999999</v>
      </c>
      <c r="O1909" s="3">
        <f t="shared" ref="O1909:O1912" si="241">(IF(L1909&lt;4172.98,0,MIN(L1909*0.3,L1909-4172.98)))-M1909</f>
        <v>0.98399999999855936</v>
      </c>
      <c r="P1909" s="6">
        <v>46508</v>
      </c>
      <c r="Q1909" t="s">
        <v>332</v>
      </c>
      <c r="R1909" s="3">
        <v>6083.84</v>
      </c>
      <c r="S1909" s="3" t="s">
        <v>204</v>
      </c>
      <c r="V1909" s="51">
        <v>0.39791666666666664</v>
      </c>
    </row>
    <row r="1910" spans="1:25" hidden="1">
      <c r="A1910" s="12">
        <v>24359220</v>
      </c>
      <c r="B1910" s="13">
        <v>46274</v>
      </c>
      <c r="C1910" s="14">
        <v>0.80879629629629635</v>
      </c>
      <c r="D1910" s="15"/>
      <c r="E1910" s="16">
        <v>5218180279964</v>
      </c>
      <c r="F1910" s="15"/>
      <c r="G1910" s="15"/>
      <c r="H1910" s="17" t="s">
        <v>1831</v>
      </c>
      <c r="I1910" s="15"/>
      <c r="J1910" s="18"/>
      <c r="K1910" t="s">
        <v>51</v>
      </c>
      <c r="N1910" s="3">
        <f t="shared" si="240"/>
        <v>0</v>
      </c>
      <c r="O1910" s="3">
        <f t="shared" si="241"/>
        <v>0</v>
      </c>
      <c r="S1910" s="3" t="s">
        <v>204</v>
      </c>
      <c r="V1910" s="51">
        <v>0.39791666666666664</v>
      </c>
    </row>
    <row r="1911" spans="1:25" hidden="1">
      <c r="A1911" s="12">
        <v>24359328</v>
      </c>
      <c r="B1911" s="13">
        <v>46274</v>
      </c>
      <c r="C1911" s="14">
        <v>0.8230439814814815</v>
      </c>
      <c r="D1911" s="15"/>
      <c r="E1911" s="16"/>
      <c r="F1911" s="15"/>
      <c r="G1911" s="15"/>
      <c r="H1911" s="17">
        <v>11765871063</v>
      </c>
      <c r="I1911" s="15"/>
      <c r="J1911" s="18"/>
      <c r="K1911" t="s">
        <v>30</v>
      </c>
      <c r="L1911" s="111">
        <v>6262.86</v>
      </c>
      <c r="M1911" s="111">
        <v>1732.93</v>
      </c>
      <c r="N1911" s="3">
        <f t="shared" si="240"/>
        <v>1878.8579999999997</v>
      </c>
      <c r="O1911" s="3">
        <f t="shared" si="241"/>
        <v>145.92799999999966</v>
      </c>
      <c r="P1911" s="6">
        <v>46327</v>
      </c>
      <c r="Q1911" t="s">
        <v>75</v>
      </c>
      <c r="R1911" s="111">
        <v>1732.93</v>
      </c>
      <c r="S1911" s="3" t="s">
        <v>204</v>
      </c>
      <c r="V1911" s="51">
        <v>0.39791666666666664</v>
      </c>
    </row>
    <row r="1912" spans="1:25">
      <c r="A1912" s="30">
        <v>24359692</v>
      </c>
      <c r="B1912" s="31">
        <v>46274</v>
      </c>
      <c r="C1912" s="32">
        <v>0.84659722222222222</v>
      </c>
      <c r="D1912" s="33"/>
      <c r="E1912" s="34">
        <v>5219911045207</v>
      </c>
      <c r="F1912" s="33"/>
      <c r="G1912" s="33"/>
      <c r="H1912" s="35">
        <v>84826300919</v>
      </c>
      <c r="I1912" s="33"/>
      <c r="J1912" s="36"/>
      <c r="K1912" t="s">
        <v>38</v>
      </c>
      <c r="L1912" s="111">
        <v>14883.2</v>
      </c>
      <c r="M1912" s="111">
        <v>3436.63</v>
      </c>
      <c r="N1912" s="3">
        <f t="shared" si="240"/>
        <v>4464.96</v>
      </c>
      <c r="O1912" s="3">
        <f t="shared" si="241"/>
        <v>1028.33</v>
      </c>
      <c r="P1912" s="6">
        <v>46905</v>
      </c>
      <c r="Q1912" t="s">
        <v>73</v>
      </c>
      <c r="R1912" s="111">
        <v>3436.63</v>
      </c>
      <c r="S1912" s="3" t="s">
        <v>39</v>
      </c>
      <c r="T1912" s="48">
        <v>46275</v>
      </c>
      <c r="V1912" s="51">
        <v>0.39791666666666664</v>
      </c>
      <c r="W1912" s="51">
        <v>0.41319444444444442</v>
      </c>
      <c r="X1912" s="51">
        <v>0.41736111111111113</v>
      </c>
      <c r="Y1912" s="51">
        <v>0.41875000000000001</v>
      </c>
    </row>
    <row r="1913" spans="1:25" hidden="1">
      <c r="A1913" s="12">
        <v>24360040</v>
      </c>
      <c r="B1913" s="13">
        <v>46274</v>
      </c>
      <c r="C1913" s="14">
        <v>0.86804398148148143</v>
      </c>
      <c r="D1913" s="15"/>
      <c r="E1913" s="16">
        <v>5215568176286</v>
      </c>
      <c r="F1913" s="15"/>
      <c r="G1913" s="15"/>
      <c r="H1913" s="17" t="s">
        <v>1832</v>
      </c>
      <c r="I1913" s="15"/>
      <c r="J1913" s="18"/>
      <c r="K1913" t="s">
        <v>58</v>
      </c>
      <c r="L1913" s="3">
        <v>3879.38</v>
      </c>
      <c r="N1913" s="3">
        <f t="shared" ref="N1913:N1915" si="242">L1913*0.3</f>
        <v>1163.8140000000001</v>
      </c>
      <c r="O1913" s="3">
        <f t="shared" ref="O1913:O1915" si="243">(IF(L1913&lt;4172.98,0,MIN(L1913*0.3,L1913-4172.98)))-M1913</f>
        <v>0</v>
      </c>
      <c r="S1913" s="3" t="s">
        <v>204</v>
      </c>
      <c r="V1913" s="51">
        <v>0.39930555555555558</v>
      </c>
    </row>
    <row r="1914" spans="1:25" hidden="1">
      <c r="A1914" s="12">
        <v>24360166</v>
      </c>
      <c r="B1914" s="13">
        <v>46274</v>
      </c>
      <c r="C1914" s="14">
        <v>0.8681712962962963</v>
      </c>
      <c r="D1914" s="15"/>
      <c r="E1914" s="16">
        <v>5213320713232</v>
      </c>
      <c r="F1914" s="15"/>
      <c r="G1914" s="15"/>
      <c r="H1914" s="17">
        <v>54836650983</v>
      </c>
      <c r="I1914" s="15"/>
      <c r="J1914" s="18"/>
      <c r="K1914" t="s">
        <v>189</v>
      </c>
      <c r="N1914" s="3">
        <f t="shared" si="242"/>
        <v>0</v>
      </c>
      <c r="O1914" s="3">
        <f t="shared" si="243"/>
        <v>0</v>
      </c>
      <c r="S1914" s="3" t="s">
        <v>204</v>
      </c>
      <c r="V1914" s="51">
        <v>0.39930555555555558</v>
      </c>
    </row>
    <row r="1915" spans="1:25" hidden="1">
      <c r="A1915" s="30">
        <v>24360542</v>
      </c>
      <c r="B1915" s="31">
        <v>46274</v>
      </c>
      <c r="C1915" s="32">
        <v>0.88526620370370368</v>
      </c>
      <c r="D1915" s="33"/>
      <c r="E1915" s="34">
        <v>5215525104279</v>
      </c>
      <c r="F1915" s="33"/>
      <c r="G1915" s="33" t="s">
        <v>1833</v>
      </c>
      <c r="H1915" s="35"/>
      <c r="I1915" s="33"/>
      <c r="J1915" s="36"/>
      <c r="K1915" t="s">
        <v>32</v>
      </c>
      <c r="N1915" s="3">
        <f t="shared" si="242"/>
        <v>0</v>
      </c>
      <c r="O1915" s="3">
        <f t="shared" si="243"/>
        <v>0</v>
      </c>
      <c r="S1915" s="3" t="s">
        <v>204</v>
      </c>
      <c r="V1915" s="51">
        <v>0.39930555555555558</v>
      </c>
    </row>
    <row r="1916" spans="1:25" hidden="1">
      <c r="A1916" s="12">
        <v>24360486</v>
      </c>
      <c r="B1916" s="13">
        <v>46274</v>
      </c>
      <c r="C1916" s="14">
        <v>0.88745370370370369</v>
      </c>
      <c r="D1916" s="15" t="s">
        <v>1834</v>
      </c>
      <c r="E1916" s="16">
        <v>5214498687409</v>
      </c>
      <c r="F1916" s="15"/>
      <c r="G1916" s="15" t="s">
        <v>1835</v>
      </c>
      <c r="H1916" s="17">
        <v>51007202081</v>
      </c>
      <c r="I1916" s="15"/>
      <c r="J1916" s="18"/>
      <c r="K1916" t="s">
        <v>189</v>
      </c>
      <c r="L1916" s="3">
        <v>4203.6899999999996</v>
      </c>
      <c r="N1916" s="3">
        <f t="shared" ref="N1916:N1919" si="244">L1916*0.3</f>
        <v>1261.1069999999997</v>
      </c>
      <c r="O1916" s="3">
        <f t="shared" ref="O1916:O1919" si="245">(IF(L1916&lt;4172.98,0,MIN(L1916*0.3,L1916-4172.98)))-M1916</f>
        <v>30.710000000000036</v>
      </c>
      <c r="S1916" s="3" t="s">
        <v>204</v>
      </c>
      <c r="V1916" s="51">
        <v>0.4</v>
      </c>
    </row>
    <row r="1917" spans="1:25" hidden="1">
      <c r="A1917" s="12">
        <v>24360578</v>
      </c>
      <c r="B1917" s="13">
        <v>46274</v>
      </c>
      <c r="C1917" s="14">
        <v>0.89321759259259259</v>
      </c>
      <c r="D1917" s="15"/>
      <c r="E1917" s="16">
        <v>5213151136359</v>
      </c>
      <c r="F1917" s="15"/>
      <c r="G1917" s="15"/>
      <c r="H1917" s="17">
        <v>54816362153</v>
      </c>
      <c r="I1917" s="15"/>
      <c r="J1917" s="18"/>
      <c r="K1917" t="s">
        <v>58</v>
      </c>
      <c r="L1917" s="3">
        <v>4342.43</v>
      </c>
      <c r="N1917" s="3">
        <f t="shared" si="244"/>
        <v>1302.729</v>
      </c>
      <c r="O1917" s="3">
        <f t="shared" si="245"/>
        <v>169.45000000000073</v>
      </c>
      <c r="S1917" s="3" t="s">
        <v>204</v>
      </c>
      <c r="V1917" s="51">
        <v>0.4</v>
      </c>
    </row>
    <row r="1918" spans="1:25" hidden="1">
      <c r="A1918" s="12">
        <v>24360644</v>
      </c>
      <c r="B1918" s="13">
        <v>46274</v>
      </c>
      <c r="C1918" s="14">
        <v>0.89560185185185182</v>
      </c>
      <c r="D1918" s="15" t="s">
        <v>1836</v>
      </c>
      <c r="E1918" s="16">
        <v>5217773712849</v>
      </c>
      <c r="F1918" s="15"/>
      <c r="G1918" s="15" t="s">
        <v>1837</v>
      </c>
      <c r="H1918" s="17"/>
      <c r="I1918" s="15"/>
      <c r="J1918" s="18"/>
      <c r="K1918" t="s">
        <v>32</v>
      </c>
      <c r="N1918" s="3">
        <f t="shared" si="244"/>
        <v>0</v>
      </c>
      <c r="O1918" s="3">
        <f t="shared" si="245"/>
        <v>0</v>
      </c>
      <c r="S1918" s="3" t="s">
        <v>204</v>
      </c>
      <c r="V1918" s="51">
        <v>0.4</v>
      </c>
    </row>
    <row r="1919" spans="1:25" hidden="1">
      <c r="A1919" s="30">
        <v>24360818</v>
      </c>
      <c r="B1919" s="31">
        <v>46274</v>
      </c>
      <c r="C1919" s="32">
        <v>0.89993055555555557</v>
      </c>
      <c r="D1919" s="33"/>
      <c r="E1919" s="34">
        <v>5217715257176</v>
      </c>
      <c r="F1919" s="33"/>
      <c r="G1919" s="33"/>
      <c r="H1919" s="35">
        <v>13905801308</v>
      </c>
      <c r="I1919" s="33"/>
      <c r="J1919" s="36"/>
      <c r="K1919" t="s">
        <v>32</v>
      </c>
      <c r="N1919" s="3">
        <f t="shared" si="244"/>
        <v>0</v>
      </c>
      <c r="O1919" s="3">
        <f t="shared" si="245"/>
        <v>0</v>
      </c>
      <c r="S1919" s="3" t="s">
        <v>204</v>
      </c>
      <c r="V1919" s="51">
        <v>0.4</v>
      </c>
    </row>
    <row r="1920" spans="1:25" hidden="1">
      <c r="A1920" s="30">
        <v>24360840</v>
      </c>
      <c r="B1920" s="31">
        <v>46274</v>
      </c>
      <c r="C1920" s="32">
        <v>0.90649305555555559</v>
      </c>
      <c r="D1920" s="33" t="s">
        <v>1838</v>
      </c>
      <c r="E1920" s="34">
        <v>5212223572776</v>
      </c>
      <c r="F1920" s="33"/>
      <c r="G1920" s="33" t="s">
        <v>1839</v>
      </c>
      <c r="H1920" s="35"/>
      <c r="I1920" s="33"/>
      <c r="J1920" s="36"/>
      <c r="K1920" t="s">
        <v>32</v>
      </c>
      <c r="N1920" s="3">
        <f>L1920*0.3</f>
        <v>0</v>
      </c>
      <c r="O1920" s="3">
        <f>(IF(L1920&lt;4172.98,0,MIN(L1920*0.3,L1920-4172.98)))-M1920</f>
        <v>0</v>
      </c>
      <c r="S1920" s="3" t="s">
        <v>204</v>
      </c>
      <c r="V1920" s="51">
        <v>0.40069444444444446</v>
      </c>
    </row>
    <row r="1921" spans="1:25" hidden="1">
      <c r="A1921" s="12">
        <v>24361738</v>
      </c>
      <c r="B1921" s="13">
        <v>46274</v>
      </c>
      <c r="C1921" s="14">
        <v>0.97743055555555558</v>
      </c>
      <c r="D1921" s="15"/>
      <c r="E1921" s="16">
        <v>5213338449683</v>
      </c>
      <c r="F1921" s="15"/>
      <c r="G1921" s="15"/>
      <c r="H1921" s="17">
        <v>74897213224</v>
      </c>
      <c r="I1921" s="15"/>
      <c r="J1921" s="18"/>
      <c r="K1921" t="s">
        <v>30</v>
      </c>
      <c r="L1921" s="3">
        <v>4649.78</v>
      </c>
      <c r="M1921" s="3">
        <v>444.28</v>
      </c>
      <c r="N1921" s="3">
        <f t="shared" ref="N1921:N1929" si="246">L1921*0.3</f>
        <v>1394.934</v>
      </c>
      <c r="O1921" s="3">
        <f t="shared" ref="O1921:O1929" si="247">(IF(L1921&lt;4172.98,0,MIN(L1921*0.3,L1921-4172.98)))-M1921</f>
        <v>32.520000000000209</v>
      </c>
      <c r="P1921" s="6">
        <v>46447</v>
      </c>
      <c r="Q1921" t="s">
        <v>47</v>
      </c>
      <c r="R1921" s="3">
        <v>444.28</v>
      </c>
      <c r="S1921" s="3" t="s">
        <v>204</v>
      </c>
      <c r="V1921" s="51">
        <v>0.40208333333333335</v>
      </c>
    </row>
    <row r="1922" spans="1:25">
      <c r="A1922" s="12">
        <v>24361852</v>
      </c>
      <c r="B1922" s="13">
        <v>46274</v>
      </c>
      <c r="C1922" s="14">
        <v>0.98810185185185184</v>
      </c>
      <c r="D1922" s="15"/>
      <c r="E1922" s="16">
        <v>5216341056030</v>
      </c>
      <c r="F1922" s="15"/>
      <c r="G1922" s="15"/>
      <c r="H1922" s="17" t="s">
        <v>1840</v>
      </c>
      <c r="I1922" s="15"/>
      <c r="J1922" s="18"/>
      <c r="K1922" t="s">
        <v>54</v>
      </c>
      <c r="L1922" s="111">
        <v>25741.59</v>
      </c>
      <c r="M1922" s="111">
        <v>5968.93</v>
      </c>
      <c r="N1922" s="3">
        <f t="shared" si="246"/>
        <v>7722.4769999999999</v>
      </c>
      <c r="O1922" s="3">
        <f t="shared" si="247"/>
        <v>1753.5469999999996</v>
      </c>
      <c r="P1922" s="6">
        <v>46631</v>
      </c>
      <c r="Q1922" t="s">
        <v>80</v>
      </c>
      <c r="R1922" s="3">
        <v>2829.24</v>
      </c>
      <c r="S1922" s="3" t="s">
        <v>271</v>
      </c>
      <c r="T1922" s="48">
        <v>46275</v>
      </c>
      <c r="V1922" s="51">
        <v>0.40208333333333335</v>
      </c>
      <c r="W1922" s="51">
        <v>0.42916666666666664</v>
      </c>
      <c r="X1922" s="51">
        <v>0.43680555555555556</v>
      </c>
      <c r="Y1922" s="51">
        <v>0.44027777777777777</v>
      </c>
    </row>
    <row r="1923" spans="1:25">
      <c r="A1923" s="12">
        <v>24366842</v>
      </c>
      <c r="B1923" s="13">
        <v>46275</v>
      </c>
      <c r="C1923" s="14">
        <v>0.29446759259259259</v>
      </c>
      <c r="D1923" s="15"/>
      <c r="E1923" s="16">
        <v>5219992193419</v>
      </c>
      <c r="F1923" s="15"/>
      <c r="G1923" s="15" t="s">
        <v>1841</v>
      </c>
      <c r="H1923" s="17"/>
      <c r="I1923" s="15"/>
      <c r="J1923" s="18"/>
      <c r="K1923" t="s">
        <v>54</v>
      </c>
      <c r="L1923" s="3">
        <v>10636.54</v>
      </c>
      <c r="N1923" s="3">
        <f t="shared" si="246"/>
        <v>3190.962</v>
      </c>
      <c r="O1923" s="3">
        <f t="shared" si="247"/>
        <v>3190.962</v>
      </c>
      <c r="S1923" s="3" t="s">
        <v>1808</v>
      </c>
      <c r="T1923" s="48">
        <v>46275</v>
      </c>
      <c r="V1923" s="51">
        <v>0.40208333333333335</v>
      </c>
      <c r="W1923" s="51">
        <v>0.43055555555555558</v>
      </c>
      <c r="X1923" s="51">
        <v>0.43333333333333335</v>
      </c>
      <c r="Y1923" s="51">
        <v>0.43472222222222223</v>
      </c>
    </row>
    <row r="1924" spans="1:25" hidden="1">
      <c r="A1924" s="12">
        <v>24367554</v>
      </c>
      <c r="B1924" s="13">
        <v>46275</v>
      </c>
      <c r="C1924" s="14">
        <v>0.30657407407407405</v>
      </c>
      <c r="D1924" s="15"/>
      <c r="E1924" s="16">
        <v>5219512354303</v>
      </c>
      <c r="F1924" s="15"/>
      <c r="G1924" s="15"/>
      <c r="H1924" s="17">
        <v>62816348924</v>
      </c>
      <c r="I1924" s="15"/>
      <c r="J1924" s="18"/>
      <c r="K1924" t="s">
        <v>30</v>
      </c>
      <c r="L1924" s="111">
        <v>7920.51</v>
      </c>
      <c r="M1924" s="111">
        <v>2376.15</v>
      </c>
      <c r="N1924" s="3">
        <f t="shared" si="246"/>
        <v>2376.1529999999998</v>
      </c>
      <c r="O1924" s="3">
        <f t="shared" si="247"/>
        <v>2.9999999997016857E-3</v>
      </c>
      <c r="P1924" s="6">
        <v>46905</v>
      </c>
      <c r="Q1924" t="s">
        <v>43</v>
      </c>
      <c r="R1924" s="111">
        <v>2376.15</v>
      </c>
      <c r="S1924" s="3" t="s">
        <v>204</v>
      </c>
      <c r="V1924" s="51">
        <v>0.40208333333333335</v>
      </c>
    </row>
    <row r="1925" spans="1:25" hidden="1">
      <c r="A1925" s="12">
        <v>24368980</v>
      </c>
      <c r="B1925" s="13">
        <v>46275</v>
      </c>
      <c r="C1925" s="14">
        <v>0.34636574074074072</v>
      </c>
      <c r="D1925" s="15"/>
      <c r="E1925" s="16"/>
      <c r="F1925" s="15"/>
      <c r="G1925" s="15"/>
      <c r="H1925" s="17">
        <v>83068709464</v>
      </c>
      <c r="I1925" s="15"/>
      <c r="J1925" s="18"/>
      <c r="K1925" t="s">
        <v>51</v>
      </c>
      <c r="N1925" s="3">
        <f t="shared" si="246"/>
        <v>0</v>
      </c>
      <c r="O1925" s="3">
        <f t="shared" si="247"/>
        <v>0</v>
      </c>
      <c r="S1925" s="3" t="s">
        <v>204</v>
      </c>
      <c r="V1925" s="51">
        <v>0.40208333333333335</v>
      </c>
    </row>
    <row r="1926" spans="1:25" hidden="1">
      <c r="A1926" s="12">
        <v>24368232</v>
      </c>
      <c r="B1926" s="13">
        <v>46275</v>
      </c>
      <c r="C1926" s="14">
        <v>0.35555555555555557</v>
      </c>
      <c r="D1926" s="15"/>
      <c r="E1926" s="16"/>
      <c r="F1926" s="15"/>
      <c r="G1926" s="15"/>
      <c r="H1926" s="17">
        <v>17806230409</v>
      </c>
      <c r="I1926" s="15"/>
      <c r="J1926" s="18"/>
      <c r="K1926" t="s">
        <v>30</v>
      </c>
      <c r="L1926" s="111">
        <v>9070.89</v>
      </c>
      <c r="M1926" s="111">
        <v>2719.44</v>
      </c>
      <c r="N1926" s="3">
        <f t="shared" si="246"/>
        <v>2721.2669999999998</v>
      </c>
      <c r="O1926" s="3">
        <f t="shared" si="247"/>
        <v>1.8269999999997708</v>
      </c>
      <c r="P1926" s="6">
        <v>46874</v>
      </c>
      <c r="Q1926" t="s">
        <v>75</v>
      </c>
      <c r="R1926" s="3">
        <v>2612.44</v>
      </c>
      <c r="S1926" s="3" t="s">
        <v>204</v>
      </c>
      <c r="V1926" s="51">
        <v>0.40208333333333335</v>
      </c>
    </row>
    <row r="1927" spans="1:25">
      <c r="A1927" s="12">
        <v>24369632</v>
      </c>
      <c r="B1927" s="13">
        <v>46275</v>
      </c>
      <c r="C1927" s="14">
        <v>0.37491898148148151</v>
      </c>
      <c r="D1927" s="15"/>
      <c r="E1927" s="16">
        <v>5218662391867</v>
      </c>
      <c r="F1927" s="15"/>
      <c r="G1927" s="15"/>
      <c r="H1927" s="17">
        <v>32836328248</v>
      </c>
      <c r="I1927" s="15"/>
      <c r="J1927" s="18"/>
      <c r="K1927" t="s">
        <v>54</v>
      </c>
      <c r="L1927" s="111">
        <v>24178.05</v>
      </c>
      <c r="M1927" s="111">
        <v>600.37</v>
      </c>
      <c r="N1927" s="3">
        <f t="shared" si="246"/>
        <v>7253.415</v>
      </c>
      <c r="O1927" s="3">
        <f t="shared" si="247"/>
        <v>6653.0450000000001</v>
      </c>
      <c r="P1927" s="6">
        <v>46692</v>
      </c>
      <c r="Q1927" t="s">
        <v>57</v>
      </c>
      <c r="R1927" s="3">
        <v>600.37</v>
      </c>
      <c r="S1927" s="3" t="s">
        <v>95</v>
      </c>
      <c r="T1927" s="48">
        <v>46275</v>
      </c>
      <c r="V1927" s="51">
        <v>0.40208333333333335</v>
      </c>
      <c r="W1927" s="51">
        <v>0.43680555555555556</v>
      </c>
      <c r="X1927" s="51">
        <v>0.44027777777777777</v>
      </c>
      <c r="Y1927" s="51">
        <v>0.44166666666666665</v>
      </c>
    </row>
    <row r="1928" spans="1:25" hidden="1">
      <c r="A1928" s="12">
        <v>24370230</v>
      </c>
      <c r="B1928" s="13">
        <v>46275</v>
      </c>
      <c r="C1928" s="14">
        <v>0.39196759259259262</v>
      </c>
      <c r="D1928" s="15"/>
      <c r="E1928" s="16">
        <v>5216861633112</v>
      </c>
      <c r="F1928" s="15"/>
      <c r="G1928" s="15" t="s">
        <v>1842</v>
      </c>
      <c r="H1928" s="17"/>
      <c r="I1928" s="15"/>
      <c r="J1928" s="18"/>
      <c r="K1928" t="s">
        <v>32</v>
      </c>
      <c r="N1928" s="3">
        <f t="shared" si="246"/>
        <v>0</v>
      </c>
      <c r="O1928" s="3">
        <f t="shared" si="247"/>
        <v>0</v>
      </c>
      <c r="S1928" s="3" t="s">
        <v>204</v>
      </c>
      <c r="V1928" s="51">
        <v>0.40208333333333335</v>
      </c>
    </row>
    <row r="1929" spans="1:25" hidden="1">
      <c r="A1929" s="30">
        <v>24370646</v>
      </c>
      <c r="B1929" s="31">
        <v>46275</v>
      </c>
      <c r="C1929" s="32">
        <v>0.39953703703703702</v>
      </c>
      <c r="D1929" s="33"/>
      <c r="E1929" s="34">
        <v>5215633240578</v>
      </c>
      <c r="F1929" s="33"/>
      <c r="G1929" s="33"/>
      <c r="H1929" s="35" t="s">
        <v>1843</v>
      </c>
      <c r="I1929" s="33"/>
      <c r="J1929" s="36"/>
      <c r="K1929" t="s">
        <v>51</v>
      </c>
      <c r="N1929" s="3">
        <f t="shared" si="246"/>
        <v>0</v>
      </c>
      <c r="O1929" s="3">
        <f t="shared" si="247"/>
        <v>0</v>
      </c>
      <c r="S1929" s="3" t="s">
        <v>204</v>
      </c>
      <c r="V1929" s="51">
        <v>0.40208333333333335</v>
      </c>
    </row>
    <row r="1930" spans="1:25" hidden="1">
      <c r="A1930" s="12">
        <v>24371792</v>
      </c>
      <c r="B1930" s="13">
        <v>46275</v>
      </c>
      <c r="C1930" s="14">
        <v>0.424375</v>
      </c>
      <c r="D1930" s="15"/>
      <c r="E1930" s="16">
        <v>5217828297025</v>
      </c>
      <c r="F1930" s="15"/>
      <c r="G1930" s="15"/>
      <c r="H1930" s="17">
        <v>65695318231</v>
      </c>
      <c r="I1930" s="15"/>
      <c r="J1930" s="18"/>
      <c r="K1930" t="s">
        <v>58</v>
      </c>
      <c r="L1930" s="3">
        <v>3881.65</v>
      </c>
      <c r="N1930" s="3">
        <f t="shared" ref="N1930:N1931" si="248">L1930*0.3</f>
        <v>1164.4949999999999</v>
      </c>
      <c r="O1930" s="3">
        <f t="shared" ref="O1930:O1931" si="249">(IF(L1930&lt;4172.98,0,MIN(L1930*0.3,L1930-4172.98)))-M1930</f>
        <v>0</v>
      </c>
      <c r="S1930" s="3" t="s">
        <v>204</v>
      </c>
      <c r="V1930" s="51">
        <v>0.42708333333333331</v>
      </c>
    </row>
    <row r="1931" spans="1:25" hidden="1">
      <c r="A1931" s="30">
        <v>24371920</v>
      </c>
      <c r="B1931" s="31">
        <v>46275</v>
      </c>
      <c r="C1931" s="32">
        <v>0.43010416666666668</v>
      </c>
      <c r="D1931" s="33" t="s">
        <v>1844</v>
      </c>
      <c r="E1931" s="34">
        <v>5218671837614</v>
      </c>
      <c r="F1931" s="33"/>
      <c r="G1931" s="33" t="s">
        <v>1845</v>
      </c>
      <c r="H1931" s="35">
        <v>49896841308</v>
      </c>
      <c r="I1931" s="33"/>
      <c r="J1931" s="36"/>
      <c r="K1931" t="s">
        <v>58</v>
      </c>
      <c r="L1931" s="3">
        <v>1747.4</v>
      </c>
      <c r="M1931" s="3">
        <v>421</v>
      </c>
      <c r="N1931" s="3">
        <f t="shared" si="248"/>
        <v>524.22</v>
      </c>
      <c r="O1931" s="3">
        <f t="shared" si="249"/>
        <v>-421</v>
      </c>
      <c r="S1931" s="3" t="s">
        <v>204</v>
      </c>
      <c r="V1931" s="51">
        <v>0.43055555555555558</v>
      </c>
    </row>
    <row r="1932" spans="1:25" hidden="1">
      <c r="A1932" s="30">
        <v>24372314</v>
      </c>
      <c r="B1932" s="31">
        <v>46275</v>
      </c>
      <c r="C1932" s="32">
        <v>0.43215277777777777</v>
      </c>
      <c r="D1932" s="33"/>
      <c r="E1932" s="34">
        <v>5215518036600</v>
      </c>
      <c r="F1932" s="33"/>
      <c r="G1932" s="33"/>
      <c r="H1932" s="35">
        <v>11896940621</v>
      </c>
      <c r="I1932" s="33"/>
      <c r="J1932" s="36"/>
      <c r="K1932" t="s">
        <v>32</v>
      </c>
      <c r="N1932" s="3">
        <f>L1932*0.3</f>
        <v>0</v>
      </c>
      <c r="O1932" s="3">
        <f>(IF(L1932&lt;4172.98,0,MIN(L1932*0.3,L1932-4172.98)))-M1932</f>
        <v>0</v>
      </c>
      <c r="S1932" s="3" t="s">
        <v>204</v>
      </c>
      <c r="V1932" s="51">
        <v>0.43194444444444446</v>
      </c>
    </row>
    <row r="1933" spans="1:25" hidden="1">
      <c r="A1933" s="30">
        <v>24372700</v>
      </c>
      <c r="B1933" s="31">
        <v>46275</v>
      </c>
      <c r="C1933" s="32">
        <v>0.44571759259259258</v>
      </c>
      <c r="D1933" s="33"/>
      <c r="E1933" s="34">
        <v>5215538344355</v>
      </c>
      <c r="F1933" s="33"/>
      <c r="G1933" s="33" t="s">
        <v>1846</v>
      </c>
      <c r="H1933" s="35"/>
      <c r="I1933" s="33"/>
      <c r="J1933" s="36"/>
      <c r="K1933" t="s">
        <v>30</v>
      </c>
      <c r="L1933" s="111">
        <v>28065.759999999998</v>
      </c>
      <c r="M1933" s="111">
        <v>8417.08</v>
      </c>
      <c r="N1933" s="3">
        <f>L1933*0.3</f>
        <v>8419.7279999999992</v>
      </c>
      <c r="O1933" s="3">
        <f>(IF(L1933&lt;4172.98,0,MIN(L1933*0.3,L1933-4172.98)))-M1933</f>
        <v>2.6479999999992287</v>
      </c>
      <c r="P1933" s="6">
        <v>46600</v>
      </c>
      <c r="Q1933" t="s">
        <v>47</v>
      </c>
      <c r="R1933" s="3">
        <v>1804.75</v>
      </c>
      <c r="S1933" s="3" t="s">
        <v>204</v>
      </c>
      <c r="V1933" s="51">
        <v>0.44583333333333336</v>
      </c>
    </row>
    <row r="1934" spans="1:25" hidden="1">
      <c r="A1934" s="30">
        <v>24373566</v>
      </c>
      <c r="B1934" s="31">
        <v>46275</v>
      </c>
      <c r="C1934" s="32">
        <v>0.46752314814814816</v>
      </c>
      <c r="D1934" s="33"/>
      <c r="E1934" s="34">
        <v>5218113893777</v>
      </c>
      <c r="F1934" s="33"/>
      <c r="G1934" s="33" t="s">
        <v>1847</v>
      </c>
      <c r="H1934" s="35"/>
      <c r="I1934" s="33"/>
      <c r="J1934" s="36"/>
      <c r="K1934" t="s">
        <v>30</v>
      </c>
      <c r="L1934" s="111">
        <v>9081.52</v>
      </c>
      <c r="M1934" s="111">
        <v>2722.52</v>
      </c>
      <c r="N1934" s="3">
        <f>L1934*0.3</f>
        <v>2724.4560000000001</v>
      </c>
      <c r="O1934" s="3">
        <f>(IF(L1934&lt;4172.98,0,MIN(L1934*0.3,L1934-4172.98)))-M1934</f>
        <v>1.9360000000001492</v>
      </c>
      <c r="P1934" s="6">
        <v>46357</v>
      </c>
      <c r="Q1934" t="s">
        <v>44</v>
      </c>
      <c r="R1934" s="3">
        <v>2511.2399999999998</v>
      </c>
      <c r="S1934" s="3" t="s">
        <v>204</v>
      </c>
      <c r="V1934" s="51">
        <v>0.46805555555555556</v>
      </c>
    </row>
    <row r="1935" spans="1:25">
      <c r="A1935" s="30">
        <v>24373924</v>
      </c>
      <c r="B1935" s="31">
        <v>46275</v>
      </c>
      <c r="C1935" s="32">
        <v>0.4755671296296296</v>
      </c>
      <c r="D1935" s="33"/>
      <c r="E1935" s="34">
        <v>5213314765646</v>
      </c>
      <c r="F1935" s="33"/>
      <c r="G1935" s="33" t="s">
        <v>1848</v>
      </c>
      <c r="H1935" s="35"/>
      <c r="I1935" s="33"/>
      <c r="J1935" s="36"/>
      <c r="K1935" t="s">
        <v>54</v>
      </c>
      <c r="L1935" s="3">
        <v>10636.54</v>
      </c>
      <c r="N1935" s="3">
        <f>L1935*0.3</f>
        <v>3190.962</v>
      </c>
      <c r="O1935" s="3">
        <f>(IF(L1935&lt;4172.98,0,MIN(L1935*0.3,L1935-4172.98)))-M1935</f>
        <v>3190.962</v>
      </c>
      <c r="S1935" s="3" t="s">
        <v>62</v>
      </c>
      <c r="T1935" s="48">
        <v>46275</v>
      </c>
      <c r="V1935" s="51">
        <v>0.47569444444444442</v>
      </c>
      <c r="W1935" s="51">
        <v>0.48402777777777778</v>
      </c>
      <c r="X1935" s="51">
        <v>0.48680555555555555</v>
      </c>
      <c r="Y1935" s="51">
        <v>0.48749999999999999</v>
      </c>
    </row>
    <row r="1936" spans="1:25" hidden="1">
      <c r="A1936" s="30">
        <v>24373966</v>
      </c>
      <c r="B1936" s="31">
        <v>46275</v>
      </c>
      <c r="C1936" s="32">
        <v>0.47920138888888891</v>
      </c>
      <c r="D1936" s="33"/>
      <c r="E1936" s="34">
        <v>5216563769556</v>
      </c>
      <c r="F1936" s="33"/>
      <c r="G1936" s="33"/>
      <c r="H1936" s="35">
        <v>33836682097</v>
      </c>
      <c r="I1936" s="33"/>
      <c r="J1936" s="36"/>
      <c r="K1936" t="s">
        <v>58</v>
      </c>
      <c r="L1936" s="111">
        <v>2140.6799999999998</v>
      </c>
      <c r="M1936" s="111">
        <v>59</v>
      </c>
      <c r="N1936" s="3">
        <f>L1936*0.3</f>
        <v>642.20399999999995</v>
      </c>
      <c r="O1936" s="3">
        <f>(IF(L1936&lt;4172.98,0,MIN(L1936*0.3,L1936-4172.98)))-M1936</f>
        <v>-59</v>
      </c>
      <c r="S1936" s="3" t="s">
        <v>204</v>
      </c>
      <c r="V1936" s="51">
        <v>0.47916666666666669</v>
      </c>
    </row>
    <row r="1937" spans="1:25" hidden="1">
      <c r="A1937" s="30">
        <v>24374928</v>
      </c>
      <c r="B1937" s="31">
        <v>46275</v>
      </c>
      <c r="C1937" s="32">
        <v>0.4914236111111111</v>
      </c>
      <c r="D1937" s="33" t="s">
        <v>1849</v>
      </c>
      <c r="E1937" s="34">
        <v>5215610797372</v>
      </c>
      <c r="F1937" s="33"/>
      <c r="G1937" s="33"/>
      <c r="H1937" s="35">
        <v>11790655181</v>
      </c>
      <c r="I1937" s="33"/>
      <c r="J1937" s="36"/>
      <c r="K1937" t="s">
        <v>32</v>
      </c>
      <c r="N1937" s="3">
        <f>L1937*0.3</f>
        <v>0</v>
      </c>
      <c r="O1937" s="3">
        <f>(IF(L1937&lt;4172.98,0,MIN(L1937*0.3,L1937-4172.98)))-M1937</f>
        <v>0</v>
      </c>
      <c r="S1937" s="3" t="s">
        <v>204</v>
      </c>
      <c r="V1937" s="51">
        <v>0.49305555555555558</v>
      </c>
    </row>
    <row r="1938" spans="1:25" hidden="1">
      <c r="A1938" s="30">
        <v>24375074</v>
      </c>
      <c r="B1938" s="31">
        <v>46275</v>
      </c>
      <c r="C1938" s="32">
        <v>0.49315972222222221</v>
      </c>
      <c r="D1938" s="33" t="s">
        <v>1850</v>
      </c>
      <c r="E1938" s="34">
        <v>5217821141392</v>
      </c>
      <c r="F1938" s="33"/>
      <c r="G1938" s="33" t="s">
        <v>1851</v>
      </c>
      <c r="H1938" s="35"/>
      <c r="I1938" s="33"/>
      <c r="J1938" s="36"/>
      <c r="K1938" t="s">
        <v>32</v>
      </c>
      <c r="N1938" s="3">
        <f>L1938*0.3</f>
        <v>0</v>
      </c>
      <c r="O1938" s="3">
        <f>(IF(L1938&lt;4172.98,0,MIN(L1938*0.3,L1938-4172.98)))-M1938</f>
        <v>0</v>
      </c>
      <c r="S1938" s="3" t="s">
        <v>204</v>
      </c>
      <c r="V1938" s="51">
        <v>0.49444444444444446</v>
      </c>
    </row>
    <row r="1939" spans="1:25" hidden="1">
      <c r="A1939" s="30">
        <v>24374754</v>
      </c>
      <c r="B1939" s="31">
        <v>46275</v>
      </c>
      <c r="C1939" s="32">
        <v>0.49968750000000001</v>
      </c>
      <c r="D1939" s="33"/>
      <c r="E1939" s="34">
        <v>5216681220487</v>
      </c>
      <c r="F1939" s="33"/>
      <c r="G1939" s="33" t="s">
        <v>1852</v>
      </c>
      <c r="H1939" s="35"/>
      <c r="I1939" s="33"/>
      <c r="J1939" s="36"/>
      <c r="K1939" t="s">
        <v>30</v>
      </c>
      <c r="L1939" s="111">
        <v>22310.94</v>
      </c>
      <c r="M1939" s="111">
        <v>6433.84</v>
      </c>
      <c r="N1939" s="3">
        <f>L1939*0.3</f>
        <v>6693.2819999999992</v>
      </c>
      <c r="O1939" s="3">
        <f>(IF(L1939&lt;4172.98,0,MIN(L1939*0.3,L1939-4172.98)))-M1939</f>
        <v>259.4419999999991</v>
      </c>
      <c r="P1939" s="6">
        <v>46753</v>
      </c>
      <c r="Q1939" t="s">
        <v>75</v>
      </c>
      <c r="R1939" s="111">
        <v>6433.84</v>
      </c>
      <c r="S1939" s="3" t="s">
        <v>204</v>
      </c>
      <c r="V1939" s="51">
        <v>0.50069444444444444</v>
      </c>
    </row>
    <row r="1940" spans="1:25">
      <c r="A1940" s="30">
        <v>24375050</v>
      </c>
      <c r="B1940" s="31">
        <v>46275</v>
      </c>
      <c r="C1940" s="32">
        <v>0.50328703703703703</v>
      </c>
      <c r="D1940" s="33"/>
      <c r="E1940" s="34">
        <v>5214491091818</v>
      </c>
      <c r="F1940" s="33"/>
      <c r="G1940" s="33"/>
      <c r="H1940" s="35" t="s">
        <v>1853</v>
      </c>
      <c r="I1940" s="33"/>
      <c r="J1940" s="36"/>
      <c r="K1940" t="s">
        <v>34</v>
      </c>
      <c r="L1940" s="111">
        <v>37204.559999999998</v>
      </c>
      <c r="M1940" s="111">
        <v>10291.42</v>
      </c>
      <c r="N1940" s="3">
        <f>L1940*0.3</f>
        <v>11161.367999999999</v>
      </c>
      <c r="O1940" s="3">
        <f>(IF(L1940&lt;4172.98,0,MIN(L1940*0.3,L1940-4172.98)))-M1940</f>
        <v>869.9479999999985</v>
      </c>
      <c r="P1940" s="6">
        <v>45839</v>
      </c>
      <c r="Q1940" t="s">
        <v>43</v>
      </c>
      <c r="R1940" s="3">
        <v>7909.8</v>
      </c>
      <c r="S1940" s="3" t="s">
        <v>271</v>
      </c>
      <c r="T1940" s="48">
        <v>46275</v>
      </c>
      <c r="V1940" s="51">
        <v>0.50416666666666665</v>
      </c>
      <c r="W1940" s="51">
        <v>0.51527777777777772</v>
      </c>
      <c r="X1940" s="51">
        <v>0.52916666666666667</v>
      </c>
      <c r="Y1940" s="51">
        <v>0.53125</v>
      </c>
    </row>
    <row r="1941" spans="1:25" hidden="1">
      <c r="A1941" s="30">
        <v>24375472</v>
      </c>
      <c r="B1941" s="31">
        <v>46275</v>
      </c>
      <c r="C1941" s="32">
        <v>0.51981481481481484</v>
      </c>
      <c r="D1941" s="33"/>
      <c r="E1941" s="34">
        <v>5214131650532</v>
      </c>
      <c r="F1941" s="33"/>
      <c r="G1941" s="33"/>
      <c r="H1941" s="35">
        <v>1298042619</v>
      </c>
      <c r="I1941" s="33"/>
      <c r="J1941" s="36"/>
      <c r="K1941" t="s">
        <v>32</v>
      </c>
      <c r="N1941" s="3">
        <f>L1941*0.3</f>
        <v>0</v>
      </c>
      <c r="O1941" s="3">
        <f>(IF(L1941&lt;4172.98,0,MIN(L1941*0.3,L1941-4172.98)))-M1941</f>
        <v>0</v>
      </c>
      <c r="S1941" s="3" t="s">
        <v>204</v>
      </c>
      <c r="V1941" s="51">
        <v>0.52083333333333337</v>
      </c>
    </row>
    <row r="1942" spans="1:25">
      <c r="A1942" s="30">
        <v>24376922</v>
      </c>
      <c r="B1942" s="31">
        <v>46275</v>
      </c>
      <c r="C1942" s="32">
        <v>0.53749999999999998</v>
      </c>
      <c r="D1942" s="33"/>
      <c r="E1942" s="34">
        <v>5215531202405</v>
      </c>
      <c r="F1942" s="33"/>
      <c r="G1942" s="33"/>
      <c r="H1942" s="35" t="s">
        <v>1854</v>
      </c>
      <c r="I1942" s="33"/>
      <c r="J1942" s="36"/>
      <c r="K1942" t="s">
        <v>38</v>
      </c>
      <c r="L1942" s="111">
        <v>8242.3700000000008</v>
      </c>
      <c r="M1942" s="111">
        <f>1046+349</f>
        <v>1395</v>
      </c>
      <c r="N1942" s="3">
        <f>L1942*0.3</f>
        <v>2472.7110000000002</v>
      </c>
      <c r="O1942" s="3">
        <f>(IF(L1942&lt;4172.98,0,MIN(L1942*0.3,L1942-4172.98)))-M1942</f>
        <v>1077.7110000000002</v>
      </c>
      <c r="P1942" s="6">
        <v>46631</v>
      </c>
      <c r="Q1942" t="s">
        <v>77</v>
      </c>
      <c r="R1942" s="3">
        <v>1046</v>
      </c>
      <c r="S1942" s="3" t="s">
        <v>39</v>
      </c>
      <c r="T1942" s="48">
        <v>46275</v>
      </c>
      <c r="V1942" s="51">
        <v>0.53888888888888886</v>
      </c>
      <c r="W1942" s="51">
        <v>0.54166666666666663</v>
      </c>
      <c r="X1942" s="51">
        <v>0.54583333333333328</v>
      </c>
      <c r="Y1942" s="51">
        <v>0.55000000000000004</v>
      </c>
    </row>
    <row r="1943" spans="1:25" hidden="1">
      <c r="A1943" s="30">
        <v>24377316</v>
      </c>
      <c r="B1943" s="31">
        <v>46275</v>
      </c>
      <c r="C1943" s="32">
        <v>0.5446064814814815</v>
      </c>
      <c r="D1943" s="33"/>
      <c r="E1943" s="34">
        <v>5218129162303</v>
      </c>
      <c r="F1943" s="33"/>
      <c r="G1943" s="33"/>
      <c r="H1943" s="35">
        <v>47906808556</v>
      </c>
      <c r="I1943" s="33"/>
      <c r="J1943" s="36"/>
      <c r="K1943" t="s">
        <v>32</v>
      </c>
      <c r="N1943" s="3">
        <f>L1943*0.3</f>
        <v>0</v>
      </c>
      <c r="O1943" s="3">
        <f>(IF(L1943&lt;4172.98,0,MIN(L1943*0.3,L1943-4172.98)))-M1943</f>
        <v>0</v>
      </c>
      <c r="S1943" s="3" t="s">
        <v>204</v>
      </c>
      <c r="V1943" s="51">
        <v>0.5444444444444444</v>
      </c>
    </row>
    <row r="1944" spans="1:25">
      <c r="A1944" s="30">
        <v>24376924</v>
      </c>
      <c r="B1944" s="31">
        <v>46275</v>
      </c>
      <c r="C1944" s="32">
        <v>0.5455092592592593</v>
      </c>
      <c r="D1944" s="33"/>
      <c r="E1944" s="34">
        <v>5217445049343</v>
      </c>
      <c r="F1944" s="33"/>
      <c r="G1944" s="33" t="s">
        <v>1855</v>
      </c>
      <c r="H1944" s="35"/>
      <c r="I1944" s="33"/>
      <c r="J1944" s="36"/>
      <c r="K1944" t="s">
        <v>54</v>
      </c>
      <c r="L1944" s="111">
        <v>18499.66</v>
      </c>
      <c r="M1944" s="111">
        <v>879</v>
      </c>
      <c r="N1944" s="3">
        <f>L1944*0.3</f>
        <v>5549.8980000000001</v>
      </c>
      <c r="O1944" s="3">
        <f>(IF(L1944&lt;4172.98,0,MIN(L1944*0.3,L1944-4172.98)))-M1944</f>
        <v>4670.8980000000001</v>
      </c>
      <c r="S1944" s="3" t="s">
        <v>1808</v>
      </c>
      <c r="T1944" s="48">
        <v>46275</v>
      </c>
      <c r="V1944" s="51">
        <v>0.54513888888888884</v>
      </c>
      <c r="W1944" s="51">
        <v>0.55000000000000004</v>
      </c>
      <c r="X1944" s="51">
        <v>0.55208333333333337</v>
      </c>
      <c r="Y1944" s="51">
        <v>0.55347222222222225</v>
      </c>
    </row>
    <row r="1945" spans="1:25" hidden="1">
      <c r="A1945" s="30">
        <v>24377152</v>
      </c>
      <c r="B1945" s="31">
        <v>46275</v>
      </c>
      <c r="C1945" s="32">
        <v>0.55087962962962966</v>
      </c>
      <c r="D1945" s="33"/>
      <c r="E1945" s="34">
        <v>3338449683</v>
      </c>
      <c r="F1945" s="33"/>
      <c r="G1945" s="33"/>
      <c r="H1945" s="35">
        <v>74897213224</v>
      </c>
      <c r="I1945" s="33"/>
      <c r="J1945" s="36"/>
      <c r="K1945" t="s">
        <v>30</v>
      </c>
      <c r="L1945" s="111">
        <v>4649.78</v>
      </c>
      <c r="M1945" s="111">
        <v>444.28</v>
      </c>
      <c r="N1945" s="3">
        <f>L1945*0.3</f>
        <v>1394.934</v>
      </c>
      <c r="O1945" s="3">
        <f>(IF(L1945&lt;4172.98,0,MIN(L1945*0.3,L1945-4172.98)))-M1945</f>
        <v>32.520000000000209</v>
      </c>
      <c r="P1945" s="6">
        <v>46447</v>
      </c>
      <c r="Q1945" t="s">
        <v>47</v>
      </c>
      <c r="R1945" s="111">
        <v>444.28</v>
      </c>
      <c r="S1945" s="3" t="s">
        <v>204</v>
      </c>
      <c r="V1945" s="51">
        <v>0.55069444444444449</v>
      </c>
    </row>
    <row r="1946" spans="1:25" hidden="1">
      <c r="A1946" s="12">
        <v>24377682</v>
      </c>
      <c r="B1946" s="13">
        <v>46275</v>
      </c>
      <c r="C1946" s="14">
        <v>0.56142361111111116</v>
      </c>
      <c r="D1946" s="15"/>
      <c r="E1946" s="16">
        <v>5218123557075</v>
      </c>
      <c r="F1946" s="15"/>
      <c r="G1946" s="15"/>
      <c r="H1946" s="17" t="s">
        <v>1856</v>
      </c>
      <c r="I1946" s="15"/>
      <c r="J1946" s="18"/>
      <c r="K1946" t="s">
        <v>30</v>
      </c>
      <c r="L1946" s="111">
        <v>7920.51</v>
      </c>
      <c r="M1946" s="111">
        <v>2376.12</v>
      </c>
      <c r="N1946" s="3">
        <f t="shared" ref="N1946:N1947" si="250">L1946*0.3</f>
        <v>2376.1529999999998</v>
      </c>
      <c r="O1946" s="3">
        <f t="shared" ref="O1946:O1947" si="251">(IF(L1946&lt;4172.98,0,MIN(L1946*0.3,L1946-4172.98)))-M1946</f>
        <v>3.2999999999901775E-2</v>
      </c>
      <c r="P1946" s="6">
        <v>46966</v>
      </c>
      <c r="Q1946" t="s">
        <v>75</v>
      </c>
      <c r="R1946" s="111">
        <v>2376.12</v>
      </c>
      <c r="S1946" s="3" t="s">
        <v>204</v>
      </c>
      <c r="V1946" s="51">
        <v>0.5625</v>
      </c>
    </row>
    <row r="1947" spans="1:25" hidden="1">
      <c r="A1947" s="30">
        <v>24377672</v>
      </c>
      <c r="B1947" s="31">
        <v>46275</v>
      </c>
      <c r="C1947" s="32">
        <v>0.56172453703703706</v>
      </c>
      <c r="D1947" s="33"/>
      <c r="E1947" s="34">
        <v>5215632326495</v>
      </c>
      <c r="F1947" s="33"/>
      <c r="G1947" s="33"/>
      <c r="H1947" s="35">
        <v>37048611851</v>
      </c>
      <c r="I1947" s="33"/>
      <c r="J1947" s="36"/>
      <c r="K1947" t="s">
        <v>51</v>
      </c>
      <c r="N1947" s="3">
        <f t="shared" si="250"/>
        <v>0</v>
      </c>
      <c r="O1947" s="3">
        <f t="shared" si="251"/>
        <v>0</v>
      </c>
      <c r="S1947" s="3" t="s">
        <v>204</v>
      </c>
      <c r="V1947" s="51">
        <v>0.5625</v>
      </c>
    </row>
    <row r="1948" spans="1:25" hidden="1">
      <c r="A1948" s="30">
        <v>24377896</v>
      </c>
      <c r="B1948" s="31">
        <v>46275</v>
      </c>
      <c r="C1948" s="32">
        <v>0.5650115740740741</v>
      </c>
      <c r="D1948" s="33"/>
      <c r="E1948" s="34">
        <v>5215585377722</v>
      </c>
      <c r="F1948" s="33"/>
      <c r="G1948" s="33" t="s">
        <v>1857</v>
      </c>
      <c r="H1948" s="35"/>
      <c r="I1948" s="33"/>
      <c r="J1948" s="36"/>
      <c r="K1948" t="s">
        <v>32</v>
      </c>
      <c r="N1948" s="3">
        <f>L1948*0.3</f>
        <v>0</v>
      </c>
      <c r="O1948" s="3">
        <f>(IF(L1948&lt;4172.98,0,MIN(L1948*0.3,L1948-4172.98)))-M1948</f>
        <v>0</v>
      </c>
      <c r="S1948" s="3" t="s">
        <v>204</v>
      </c>
      <c r="V1948" s="51">
        <v>0.56666666666666665</v>
      </c>
    </row>
    <row r="1949" spans="1:25" hidden="1">
      <c r="A1949" s="30">
        <v>24377900</v>
      </c>
      <c r="B1949" s="31">
        <v>46275</v>
      </c>
      <c r="C1949" s="32">
        <v>0.5766782407407407</v>
      </c>
      <c r="D1949" s="33"/>
      <c r="E1949" s="34">
        <v>5214521546299</v>
      </c>
      <c r="F1949" s="33"/>
      <c r="G1949" s="33" t="s">
        <v>1858</v>
      </c>
      <c r="H1949" s="35"/>
      <c r="I1949" s="33"/>
      <c r="J1949" s="36"/>
      <c r="K1949" t="s">
        <v>58</v>
      </c>
      <c r="L1949" s="3">
        <v>3834.4</v>
      </c>
      <c r="N1949" s="3">
        <f>L1949*0.3</f>
        <v>1150.32</v>
      </c>
      <c r="O1949" s="3">
        <f>(IF(L1949&lt;4172.98,0,MIN(L1949*0.3,L1949-4172.98)))-M1949</f>
        <v>0</v>
      </c>
      <c r="S1949" s="3" t="s">
        <v>204</v>
      </c>
      <c r="V1949" s="51">
        <v>0.57777777777777772</v>
      </c>
    </row>
    <row r="1950" spans="1:25" hidden="1">
      <c r="A1950" s="30">
        <v>24378594</v>
      </c>
      <c r="B1950" s="31">
        <v>46275</v>
      </c>
      <c r="C1950" s="32">
        <v>0.58374999999999999</v>
      </c>
      <c r="D1950" s="33"/>
      <c r="E1950" s="34">
        <v>5216622985455</v>
      </c>
      <c r="F1950" s="33"/>
      <c r="G1950" s="33"/>
      <c r="H1950" s="35">
        <v>21786105516</v>
      </c>
      <c r="I1950" s="33"/>
      <c r="J1950" s="36"/>
      <c r="K1950" t="s">
        <v>30</v>
      </c>
      <c r="L1950" s="111">
        <v>11246.33</v>
      </c>
      <c r="M1950" s="111">
        <v>3366.46</v>
      </c>
      <c r="N1950" s="3">
        <f>L1950*0.3</f>
        <v>3373.8989999999999</v>
      </c>
      <c r="O1950" s="3">
        <f>(IF(L1950&lt;4172.98,0,MIN(L1950*0.3,L1950-4172.98)))-M1950</f>
        <v>7.4389999999998508</v>
      </c>
      <c r="P1950" s="6">
        <v>46569</v>
      </c>
      <c r="Q1950" t="s">
        <v>44</v>
      </c>
      <c r="R1950" s="3">
        <v>2045</v>
      </c>
      <c r="S1950" s="3" t="s">
        <v>204</v>
      </c>
      <c r="V1950" s="51">
        <v>0.58333333333333337</v>
      </c>
    </row>
    <row r="1951" spans="1:25" hidden="1">
      <c r="A1951" s="30">
        <v>24379180</v>
      </c>
      <c r="B1951" s="31">
        <v>46275</v>
      </c>
      <c r="C1951" s="32">
        <v>0.59896990740740741</v>
      </c>
      <c r="D1951" s="33"/>
      <c r="E1951" s="34">
        <v>5215578959914</v>
      </c>
      <c r="F1951" s="33"/>
      <c r="G1951" s="33"/>
      <c r="H1951" s="35" t="s">
        <v>1859</v>
      </c>
      <c r="I1951" s="33"/>
      <c r="J1951" s="36"/>
      <c r="K1951" t="s">
        <v>30</v>
      </c>
      <c r="L1951" s="125">
        <v>8539.89</v>
      </c>
      <c r="M1951" s="125">
        <v>2435.52</v>
      </c>
      <c r="N1951" s="3">
        <f>L1951*0.3</f>
        <v>2561.9669999999996</v>
      </c>
      <c r="O1951" s="3">
        <f>(IF(L1951&lt;4172.98,0,MIN(L1951*0.3,L1951-4172.98)))-M1951</f>
        <v>126.44699999999966</v>
      </c>
      <c r="P1951" s="6">
        <v>46661</v>
      </c>
      <c r="Q1951" t="s">
        <v>75</v>
      </c>
      <c r="R1951" s="125">
        <v>2435.52</v>
      </c>
      <c r="S1951" s="3" t="s">
        <v>204</v>
      </c>
      <c r="V1951" s="51">
        <v>0.59930555555555554</v>
      </c>
    </row>
    <row r="1952" spans="1:25" hidden="1">
      <c r="A1952" s="30">
        <v>24379048</v>
      </c>
      <c r="B1952" s="31">
        <v>46275</v>
      </c>
      <c r="C1952" s="32">
        <v>0.60119212962962965</v>
      </c>
      <c r="D1952" s="33"/>
      <c r="E1952" s="34">
        <v>5217551014274</v>
      </c>
      <c r="F1952" s="33"/>
      <c r="G1952" s="33" t="s">
        <v>1860</v>
      </c>
      <c r="H1952" s="35"/>
      <c r="I1952" s="33"/>
      <c r="J1952" s="36"/>
      <c r="K1952" t="s">
        <v>32</v>
      </c>
      <c r="N1952" s="3">
        <f>L1952*0.3</f>
        <v>0</v>
      </c>
      <c r="O1952" s="3">
        <f>(IF(L1952&lt;4172.98,0,MIN(L1952*0.3,L1952-4172.98)))-M1952</f>
        <v>0</v>
      </c>
      <c r="S1952" s="3" t="s">
        <v>204</v>
      </c>
      <c r="V1952" s="51">
        <v>0.60347222222222219</v>
      </c>
    </row>
    <row r="1953" spans="1:25" hidden="1">
      <c r="A1953" s="30">
        <v>24379264</v>
      </c>
      <c r="B1953" s="31">
        <v>46275</v>
      </c>
      <c r="C1953" s="32">
        <v>0.6039930555555556</v>
      </c>
      <c r="D1953" s="33"/>
      <c r="E1953" s="34">
        <v>5219711204371</v>
      </c>
      <c r="F1953" s="33"/>
      <c r="G1953" s="33"/>
      <c r="H1953" s="35">
        <v>78806103921</v>
      </c>
      <c r="I1953" s="33"/>
      <c r="J1953" s="36"/>
      <c r="K1953" t="s">
        <v>30</v>
      </c>
      <c r="L1953" s="125">
        <v>60854.65</v>
      </c>
      <c r="M1953" s="125">
        <v>18256.400000000001</v>
      </c>
      <c r="N1953" s="3">
        <f>L1953*0.3</f>
        <v>18256.395</v>
      </c>
      <c r="O1953" s="3">
        <f>(IF(L1953&lt;4172.98,0,MIN(L1953*0.3,L1953-4172.98)))-M1953</f>
        <v>-5.0000000010186341E-3</v>
      </c>
      <c r="P1953" s="6">
        <v>46447</v>
      </c>
      <c r="Q1953" t="s">
        <v>47</v>
      </c>
      <c r="R1953" s="3">
        <v>719.52</v>
      </c>
      <c r="S1953" s="3" t="s">
        <v>204</v>
      </c>
      <c r="V1953" s="51">
        <v>0.60486111111111107</v>
      </c>
    </row>
    <row r="1954" spans="1:25" hidden="1">
      <c r="A1954" s="30">
        <v>24379544</v>
      </c>
      <c r="B1954" s="31">
        <v>46275</v>
      </c>
      <c r="C1954" s="32">
        <v>0.61440972222222223</v>
      </c>
      <c r="D1954" s="33"/>
      <c r="E1954" s="34">
        <v>5212872361261</v>
      </c>
      <c r="F1954" s="33"/>
      <c r="G1954" s="33" t="s">
        <v>1861</v>
      </c>
      <c r="H1954" s="35"/>
      <c r="I1954" s="33"/>
      <c r="J1954" s="36"/>
      <c r="K1954" t="s">
        <v>32</v>
      </c>
      <c r="N1954" s="3">
        <f>L1954*0.3</f>
        <v>0</v>
      </c>
      <c r="O1954" s="3">
        <f>(IF(L1954&lt;4172.98,0,MIN(L1954*0.3,L1954-4172.98)))-M1954</f>
        <v>0</v>
      </c>
      <c r="S1954" s="3" t="s">
        <v>204</v>
      </c>
      <c r="V1954" s="51">
        <v>0.61527777777777781</v>
      </c>
    </row>
    <row r="1955" spans="1:25" hidden="1">
      <c r="A1955" s="30">
        <v>24379776</v>
      </c>
      <c r="B1955" s="31">
        <v>46275</v>
      </c>
      <c r="C1955" s="32">
        <v>0.62040509259259258</v>
      </c>
      <c r="D1955" s="33"/>
      <c r="E1955" s="34">
        <v>5214773936322</v>
      </c>
      <c r="F1955" s="33"/>
      <c r="G1955" s="33" t="s">
        <v>1862</v>
      </c>
      <c r="H1955" s="35"/>
      <c r="I1955" s="33"/>
      <c r="J1955" s="36"/>
      <c r="K1955" t="s">
        <v>189</v>
      </c>
      <c r="N1955" s="3">
        <f>L1955*0.3</f>
        <v>0</v>
      </c>
      <c r="O1955" s="3">
        <f>(IF(L1955&lt;4172.98,0,MIN(L1955*0.3,L1955-4172.98)))-M1955</f>
        <v>0</v>
      </c>
      <c r="S1955" s="3" t="s">
        <v>204</v>
      </c>
      <c r="V1955" s="51">
        <v>0.62013888888888891</v>
      </c>
    </row>
    <row r="1956" spans="1:25">
      <c r="A1956" s="30">
        <v>24379830</v>
      </c>
      <c r="B1956" s="31">
        <v>46275</v>
      </c>
      <c r="C1956" s="32">
        <v>0.6272106481481482</v>
      </c>
      <c r="D1956" s="33"/>
      <c r="E1956" s="34">
        <v>5212221158452</v>
      </c>
      <c r="F1956" s="33"/>
      <c r="G1956" s="33"/>
      <c r="H1956" s="35">
        <v>62876007345</v>
      </c>
      <c r="I1956" s="33"/>
      <c r="J1956" s="36"/>
      <c r="K1956" t="s">
        <v>27</v>
      </c>
      <c r="L1956" s="111">
        <v>9896.91</v>
      </c>
      <c r="M1956" s="111">
        <v>2743.59</v>
      </c>
      <c r="N1956" s="3">
        <f>L1956*0.3</f>
        <v>2969.0729999999999</v>
      </c>
      <c r="O1956" s="3">
        <f>(IF(L1956&lt;4172.98,0,MIN(L1956*0.3,L1956-4172.98)))-M1956</f>
        <v>225.48299999999972</v>
      </c>
      <c r="P1956" s="6">
        <v>46235</v>
      </c>
      <c r="Q1956" t="s">
        <v>75</v>
      </c>
      <c r="R1956" s="111">
        <v>2743.59</v>
      </c>
      <c r="S1956" s="3" t="s">
        <v>90</v>
      </c>
      <c r="V1956" s="51">
        <v>0.62847222222222221</v>
      </c>
    </row>
    <row r="1957" spans="1:25" hidden="1">
      <c r="A1957" s="12">
        <v>24380448</v>
      </c>
      <c r="B1957" s="13">
        <v>46275</v>
      </c>
      <c r="C1957" s="14">
        <v>0.64606481481481481</v>
      </c>
      <c r="D1957" s="15"/>
      <c r="E1957" s="16">
        <v>5215671273501</v>
      </c>
      <c r="F1957" s="15"/>
      <c r="G1957" s="15"/>
      <c r="H1957" s="17" t="s">
        <v>1863</v>
      </c>
      <c r="I1957" s="15"/>
      <c r="J1957" s="18"/>
      <c r="K1957" t="s">
        <v>30</v>
      </c>
      <c r="L1957" s="125">
        <v>7116.73</v>
      </c>
      <c r="M1957" s="125">
        <v>2053.7399999999998</v>
      </c>
      <c r="N1957" s="3">
        <f>L1957*0.3</f>
        <v>2135.0189999999998</v>
      </c>
      <c r="O1957" s="3">
        <f>(IF(L1957&lt;4172.98,0,MIN(L1957*0.3,L1957-4172.98)))-M1957</f>
        <v>81.278999999999996</v>
      </c>
      <c r="P1957" s="6">
        <v>46539</v>
      </c>
      <c r="Q1957" t="s">
        <v>43</v>
      </c>
      <c r="R1957" s="125">
        <v>2053.7399999999998</v>
      </c>
      <c r="S1957" s="3" t="s">
        <v>204</v>
      </c>
      <c r="V1957" s="51">
        <v>0.64652777777777781</v>
      </c>
    </row>
    <row r="1958" spans="1:25" hidden="1">
      <c r="A1958" s="12">
        <v>24380514</v>
      </c>
      <c r="B1958" s="13">
        <v>46275</v>
      </c>
      <c r="C1958" s="14">
        <v>0.64862268518518518</v>
      </c>
      <c r="D1958" s="15"/>
      <c r="E1958" s="16">
        <v>5215512945251</v>
      </c>
      <c r="F1958" s="15"/>
      <c r="G1958" s="15" t="s">
        <v>1864</v>
      </c>
      <c r="H1958" s="17"/>
      <c r="I1958" s="15"/>
      <c r="J1958" s="18"/>
      <c r="K1958" t="s">
        <v>30</v>
      </c>
      <c r="L1958" s="125">
        <v>9760.32</v>
      </c>
      <c r="M1958" s="125">
        <v>2928.1</v>
      </c>
      <c r="N1958" s="3">
        <f>L1958*0.3</f>
        <v>2928.096</v>
      </c>
      <c r="O1958" s="3">
        <f>(IF(L1958&lt;4172.98,0,MIN(L1958*0.3,L1958-4172.98)))-M1958</f>
        <v>-3.9999999999054126E-3</v>
      </c>
      <c r="P1958" s="6">
        <v>46844</v>
      </c>
      <c r="Q1958" t="s">
        <v>59</v>
      </c>
      <c r="R1958" s="3">
        <v>1999.66</v>
      </c>
      <c r="S1958" s="3" t="s">
        <v>204</v>
      </c>
      <c r="V1958" s="51">
        <v>0.64930555555555558</v>
      </c>
    </row>
    <row r="1959" spans="1:25" hidden="1">
      <c r="A1959" s="30">
        <v>24380640</v>
      </c>
      <c r="B1959" s="31">
        <v>46275</v>
      </c>
      <c r="C1959" s="32">
        <v>0.65194444444444444</v>
      </c>
      <c r="D1959" s="33"/>
      <c r="E1959" s="34">
        <v>6566073291</v>
      </c>
      <c r="F1959" s="33"/>
      <c r="G1959" s="183" t="s">
        <v>1865</v>
      </c>
      <c r="H1959" s="35"/>
      <c r="I1959" s="33"/>
      <c r="J1959" s="36"/>
      <c r="K1959" t="s">
        <v>30</v>
      </c>
      <c r="L1959" s="125">
        <v>7920.51</v>
      </c>
      <c r="M1959" s="125">
        <v>2376.0300000000002</v>
      </c>
      <c r="N1959" s="3">
        <f>L1959*0.3</f>
        <v>2376.1529999999998</v>
      </c>
      <c r="O1959" s="3">
        <f>(IF(L1959&lt;4172.98,0,MIN(L1959*0.3,L1959-4172.98)))-M1959</f>
        <v>0.12299999999959255</v>
      </c>
      <c r="P1959" s="6">
        <v>46874</v>
      </c>
      <c r="Q1959" t="s">
        <v>75</v>
      </c>
      <c r="R1959" s="125">
        <v>2376.0300000000002</v>
      </c>
      <c r="S1959" s="3" t="s">
        <v>204</v>
      </c>
      <c r="V1959" s="51">
        <v>0.65208333333333335</v>
      </c>
    </row>
    <row r="1960" spans="1:25">
      <c r="A1960" s="30">
        <v>24381168</v>
      </c>
      <c r="B1960" s="31">
        <v>46275</v>
      </c>
      <c r="C1960" s="32">
        <v>0.6713541666666667</v>
      </c>
      <c r="D1960" s="33"/>
      <c r="E1960" s="34">
        <v>5213412050673</v>
      </c>
      <c r="F1960" s="33"/>
      <c r="G1960" s="33"/>
      <c r="H1960" s="35" t="s">
        <v>1866</v>
      </c>
      <c r="I1960" s="33"/>
      <c r="J1960" s="36"/>
      <c r="K1960" t="s">
        <v>38</v>
      </c>
      <c r="L1960" s="3">
        <v>9581.0499999999993</v>
      </c>
      <c r="M1960" s="3">
        <v>1924.04</v>
      </c>
      <c r="N1960" s="3">
        <f>L1960*0.3</f>
        <v>2874.3149999999996</v>
      </c>
      <c r="O1960" s="3">
        <f>(IF(L1960&lt;4172.98,0,MIN(L1960*0.3,L1960-4172.98)))-M1960</f>
        <v>950.27499999999964</v>
      </c>
      <c r="P1960" s="6">
        <v>46722</v>
      </c>
      <c r="Q1960" t="s">
        <v>57</v>
      </c>
      <c r="R1960" s="3">
        <v>1924.04</v>
      </c>
      <c r="S1960" s="3" t="s">
        <v>39</v>
      </c>
      <c r="T1960" s="48">
        <v>46275</v>
      </c>
      <c r="V1960" s="51">
        <v>0.67152777777777772</v>
      </c>
      <c r="W1960" s="51">
        <v>0.67986111111111114</v>
      </c>
      <c r="X1960" s="51">
        <v>0.68263888888888891</v>
      </c>
      <c r="Y1960" s="51">
        <v>0.68958333333333333</v>
      </c>
    </row>
    <row r="1961" spans="1:25">
      <c r="A1961" s="30">
        <v>24381402</v>
      </c>
      <c r="B1961" s="31">
        <v>46275</v>
      </c>
      <c r="C1961" s="32">
        <v>0.68297453703703703</v>
      </c>
      <c r="D1961" s="33"/>
      <c r="E1961" s="34">
        <v>5216691970505</v>
      </c>
      <c r="F1961" s="33"/>
      <c r="G1961" s="33"/>
      <c r="H1961" s="35" t="s">
        <v>1867</v>
      </c>
      <c r="I1961" s="33"/>
      <c r="J1961" s="36"/>
      <c r="K1961" t="s">
        <v>54</v>
      </c>
      <c r="L1961" s="3">
        <v>10636.54</v>
      </c>
      <c r="N1961" s="3">
        <f>L1961*0.3</f>
        <v>3190.962</v>
      </c>
      <c r="O1961" s="3">
        <f>(IF(L1961&lt;4172.98,0,MIN(L1961*0.3,L1961-4172.98)))-M1961</f>
        <v>3190.962</v>
      </c>
      <c r="S1961" s="3" t="s">
        <v>1808</v>
      </c>
      <c r="T1961" s="48">
        <v>46275</v>
      </c>
      <c r="V1961" s="51">
        <v>0.68333333333333335</v>
      </c>
      <c r="W1961" s="51">
        <v>0.69097222222222221</v>
      </c>
      <c r="X1961" s="51">
        <v>0.69236111111111109</v>
      </c>
      <c r="Y1961" s="51">
        <v>0.69513888888888886</v>
      </c>
    </row>
    <row r="1962" spans="1:25" hidden="1">
      <c r="A1962" s="30">
        <v>24381532</v>
      </c>
      <c r="B1962" s="31">
        <v>46275</v>
      </c>
      <c r="C1962" s="32">
        <v>0.69156249999999997</v>
      </c>
      <c r="D1962" s="33"/>
      <c r="E1962" s="34">
        <v>5216865506756</v>
      </c>
      <c r="F1962" s="33"/>
      <c r="G1962" s="33" t="s">
        <v>1868</v>
      </c>
      <c r="H1962" s="35"/>
      <c r="I1962" s="33"/>
      <c r="J1962" s="36"/>
      <c r="K1962" t="s">
        <v>32</v>
      </c>
      <c r="N1962" s="3">
        <f>L1962*0.3</f>
        <v>0</v>
      </c>
      <c r="O1962" s="3">
        <f>(IF(L1962&lt;4172.98,0,MIN(L1962*0.3,L1962-4172.98)))-M1962</f>
        <v>0</v>
      </c>
      <c r="S1962" s="3" t="s">
        <v>204</v>
      </c>
      <c r="V1962" s="51">
        <v>0.69166666666666665</v>
      </c>
    </row>
    <row r="1963" spans="1:25" hidden="1">
      <c r="A1963" s="30">
        <v>24382448</v>
      </c>
      <c r="B1963" s="31">
        <v>46275</v>
      </c>
      <c r="C1963" s="32">
        <v>0.72218749999999998</v>
      </c>
      <c r="D1963" s="33"/>
      <c r="E1963" s="34">
        <v>5217352478588</v>
      </c>
      <c r="F1963" s="33"/>
      <c r="G1963" s="33"/>
      <c r="H1963" s="35" t="s">
        <v>1869</v>
      </c>
      <c r="I1963" s="33"/>
      <c r="J1963" s="36"/>
      <c r="K1963" t="s">
        <v>30</v>
      </c>
      <c r="L1963" s="111">
        <v>8780.4599999999991</v>
      </c>
      <c r="M1963" s="111">
        <v>2540.3000000000002</v>
      </c>
      <c r="N1963" s="3">
        <f>L1963*0.3</f>
        <v>2634.1379999999995</v>
      </c>
      <c r="O1963" s="3">
        <f>(IF(L1963&lt;4172.98,0,MIN(L1963*0.3,L1963-4172.98)))-M1963</f>
        <v>93.837999999999283</v>
      </c>
      <c r="P1963" s="6">
        <v>46539</v>
      </c>
      <c r="Q1963" t="s">
        <v>77</v>
      </c>
      <c r="R1963" s="3">
        <v>2371.4499999999998</v>
      </c>
      <c r="S1963" s="3" t="s">
        <v>204</v>
      </c>
      <c r="V1963" s="51">
        <v>0.72222222222222221</v>
      </c>
    </row>
    <row r="1964" spans="1:25">
      <c r="A1964" s="30">
        <v>24383030</v>
      </c>
      <c r="B1964" s="31">
        <v>46275</v>
      </c>
      <c r="C1964" s="32">
        <v>0.74879629629629629</v>
      </c>
      <c r="D1964" s="33" t="s">
        <v>1870</v>
      </c>
      <c r="E1964" s="34">
        <v>5216461966729</v>
      </c>
      <c r="F1964" s="33"/>
      <c r="G1964" s="33" t="s">
        <v>1871</v>
      </c>
      <c r="H1964" s="35" t="s">
        <v>1872</v>
      </c>
      <c r="I1964" s="33"/>
      <c r="J1964" s="36"/>
      <c r="K1964" t="s">
        <v>27</v>
      </c>
      <c r="L1964" s="111">
        <v>28184.67</v>
      </c>
      <c r="M1964" s="111">
        <v>8453.9599999999991</v>
      </c>
      <c r="N1964" s="3">
        <f>L1964*0.3</f>
        <v>8455.4009999999998</v>
      </c>
      <c r="O1964" s="3">
        <f>(IF(L1964&lt;4172.98,0,MIN(L1964*0.3,L1964-4172.98)))-M1964</f>
        <v>1.441000000000713</v>
      </c>
      <c r="P1964" s="6">
        <v>46266</v>
      </c>
      <c r="Q1964" t="s">
        <v>47</v>
      </c>
      <c r="R1964" s="111">
        <v>5886.11</v>
      </c>
      <c r="S1964" s="3" t="s">
        <v>90</v>
      </c>
      <c r="T1964" s="48">
        <v>46275</v>
      </c>
      <c r="V1964" s="51">
        <v>0.74930555555555556</v>
      </c>
      <c r="W1964" s="51">
        <v>0.75555555555555554</v>
      </c>
      <c r="X1964" s="51">
        <v>0.76111111111111107</v>
      </c>
      <c r="Y1964" s="51">
        <v>0.76180555555555551</v>
      </c>
    </row>
    <row r="1965" spans="1:25" hidden="1">
      <c r="A1965" s="30">
        <v>24383042</v>
      </c>
      <c r="B1965" s="31">
        <v>46275</v>
      </c>
      <c r="C1965" s="32">
        <v>0.75328703703703703</v>
      </c>
      <c r="D1965" s="33"/>
      <c r="E1965" s="34">
        <v>5213421126955</v>
      </c>
      <c r="F1965" s="33"/>
      <c r="G1965" s="33"/>
      <c r="H1965" s="35" t="s">
        <v>1873</v>
      </c>
      <c r="I1965" s="33"/>
      <c r="J1965" s="36"/>
      <c r="K1965" t="s">
        <v>51</v>
      </c>
      <c r="N1965" s="3">
        <f>L1965*0.3</f>
        <v>0</v>
      </c>
      <c r="O1965" s="3">
        <f>(IF(L1965&lt;4172.98,0,MIN(L1965*0.3,L1965-4172.98)))-M1965</f>
        <v>0</v>
      </c>
      <c r="S1965" s="3" t="s">
        <v>204</v>
      </c>
      <c r="V1965" s="51">
        <v>0.75416666666666665</v>
      </c>
    </row>
    <row r="1966" spans="1:25" hidden="1">
      <c r="A1966" s="30">
        <v>24383220</v>
      </c>
      <c r="B1966" s="31">
        <v>46275</v>
      </c>
      <c r="C1966" s="32">
        <v>0.7553819444444444</v>
      </c>
      <c r="D1966" s="33" t="s">
        <v>1874</v>
      </c>
      <c r="E1966" s="34">
        <v>5215654650720</v>
      </c>
      <c r="F1966" s="33"/>
      <c r="G1966" s="33"/>
      <c r="H1966" s="35" t="s">
        <v>1875</v>
      </c>
      <c r="I1966" s="33"/>
      <c r="J1966" s="36"/>
      <c r="K1966" t="s">
        <v>30</v>
      </c>
      <c r="L1966" s="111">
        <v>5617.63</v>
      </c>
      <c r="M1966" s="111">
        <v>1392.66</v>
      </c>
      <c r="N1966" s="3">
        <f>L1966*0.3</f>
        <v>1685.289</v>
      </c>
      <c r="O1966" s="3">
        <f>(IF(L1966&lt;4172.98,0,MIN(L1966*0.3,L1966-4172.98)))-M1966</f>
        <v>51.990000000000464</v>
      </c>
      <c r="P1966" s="6">
        <v>46722</v>
      </c>
      <c r="Q1966" t="s">
        <v>302</v>
      </c>
      <c r="R1966" s="3">
        <v>1254.54</v>
      </c>
      <c r="S1966" s="3" t="s">
        <v>204</v>
      </c>
      <c r="V1966" s="51">
        <v>0.75555555555555554</v>
      </c>
    </row>
    <row r="1967" spans="1:25">
      <c r="A1967" s="30">
        <v>24383244</v>
      </c>
      <c r="B1967" s="31">
        <v>46275</v>
      </c>
      <c r="C1967" s="32">
        <v>0.75969907407407411</v>
      </c>
      <c r="D1967" s="33"/>
      <c r="E1967" s="34" t="s">
        <v>1876</v>
      </c>
      <c r="F1967" s="33"/>
      <c r="G1967" s="33"/>
      <c r="H1967" s="35" t="s">
        <v>1877</v>
      </c>
      <c r="I1967" s="33"/>
      <c r="J1967" s="36"/>
      <c r="K1967" t="s">
        <v>27</v>
      </c>
      <c r="L1967" s="111">
        <v>26452.11</v>
      </c>
      <c r="M1967" s="111">
        <v>5546.55</v>
      </c>
      <c r="N1967" s="3">
        <f>L1967*0.3</f>
        <v>7935.6329999999998</v>
      </c>
      <c r="O1967" s="3">
        <f>(IF(L1967&lt;4172.98,0,MIN(L1967*0.3,L1967-4172.98)))-M1967</f>
        <v>2389.0829999999996</v>
      </c>
      <c r="P1967" s="6">
        <v>45597</v>
      </c>
      <c r="Q1967" t="s">
        <v>44</v>
      </c>
      <c r="R1967" s="111">
        <v>5546.55</v>
      </c>
      <c r="S1967" s="3" t="s">
        <v>90</v>
      </c>
      <c r="T1967" s="48">
        <v>46275</v>
      </c>
      <c r="U1967" s="85"/>
      <c r="V1967" s="51">
        <v>0.76041666666666663</v>
      </c>
      <c r="W1967" s="51">
        <v>0.76458333333333328</v>
      </c>
      <c r="X1967" s="51">
        <v>0.76527777777777772</v>
      </c>
      <c r="Y1967" s="51">
        <v>0.76736111111111116</v>
      </c>
    </row>
    <row r="1968" spans="1:25" hidden="1">
      <c r="A1968" s="12">
        <v>24383626</v>
      </c>
      <c r="B1968" s="13">
        <v>46275</v>
      </c>
      <c r="C1968" s="14">
        <v>0.77546296296296291</v>
      </c>
      <c r="D1968" s="15"/>
      <c r="E1968" s="16">
        <v>5215646985144</v>
      </c>
      <c r="F1968" s="15"/>
      <c r="G1968" s="15"/>
      <c r="H1968" s="17">
        <v>11765915019</v>
      </c>
      <c r="I1968" s="15"/>
      <c r="J1968" s="18"/>
      <c r="K1968" t="s">
        <v>30</v>
      </c>
      <c r="L1968" s="125">
        <v>4813.6899999999996</v>
      </c>
      <c r="M1968" s="125">
        <v>617.5</v>
      </c>
      <c r="N1968" s="3">
        <f t="shared" ref="N1968:N1982" si="252">L1968*0.3</f>
        <v>1444.1069999999997</v>
      </c>
      <c r="O1968" s="3">
        <f t="shared" ref="O1968:O1982" si="253">(IF(L1968&lt;4172.98,0,MIN(L1968*0.3,L1968-4172.98)))-M1968</f>
        <v>23.210000000000036</v>
      </c>
      <c r="P1968" s="6">
        <v>46539</v>
      </c>
      <c r="Q1968" t="s">
        <v>80</v>
      </c>
      <c r="R1968">
        <v>617.5</v>
      </c>
      <c r="S1968" s="3" t="s">
        <v>204</v>
      </c>
      <c r="V1968" s="51">
        <v>0.33333333333333331</v>
      </c>
    </row>
    <row r="1969" spans="1:25" hidden="1">
      <c r="A1969" s="12">
        <v>24383912</v>
      </c>
      <c r="B1969" s="13">
        <v>46275</v>
      </c>
      <c r="C1969" s="14">
        <v>0.78888888888888886</v>
      </c>
      <c r="D1969" s="15" t="s">
        <v>1878</v>
      </c>
      <c r="E1969" s="16">
        <v>5215613619761</v>
      </c>
      <c r="F1969" s="15"/>
      <c r="G1969" s="15" t="s">
        <v>1879</v>
      </c>
      <c r="H1969" s="17">
        <v>60826600151</v>
      </c>
      <c r="I1969" s="15"/>
      <c r="J1969" s="18"/>
      <c r="K1969" t="s">
        <v>32</v>
      </c>
      <c r="N1969" s="3">
        <f t="shared" si="252"/>
        <v>0</v>
      </c>
      <c r="O1969" s="3">
        <f t="shared" si="253"/>
        <v>0</v>
      </c>
      <c r="S1969" s="3" t="s">
        <v>204</v>
      </c>
      <c r="V1969" s="51">
        <v>0.33333333333333331</v>
      </c>
    </row>
    <row r="1970" spans="1:25" hidden="1">
      <c r="A1970" s="12">
        <v>24384040</v>
      </c>
      <c r="B1970" s="13">
        <v>46275</v>
      </c>
      <c r="C1970" s="14">
        <v>0.79520833333333329</v>
      </c>
      <c r="D1970" s="15"/>
      <c r="E1970" s="16">
        <v>5217823321252</v>
      </c>
      <c r="F1970" s="15"/>
      <c r="G1970" s="15"/>
      <c r="H1970" s="17" t="s">
        <v>1880</v>
      </c>
      <c r="I1970" s="15"/>
      <c r="J1970" s="18"/>
      <c r="K1970" t="s">
        <v>51</v>
      </c>
      <c r="N1970" s="3">
        <f t="shared" si="252"/>
        <v>0</v>
      </c>
      <c r="O1970" s="3">
        <f t="shared" si="253"/>
        <v>0</v>
      </c>
      <c r="S1970" s="3" t="s">
        <v>204</v>
      </c>
      <c r="V1970" s="51">
        <v>0.33333333333333331</v>
      </c>
    </row>
    <row r="1971" spans="1:25" hidden="1">
      <c r="A1971" s="12">
        <v>24384404</v>
      </c>
      <c r="B1971" s="13">
        <v>46275</v>
      </c>
      <c r="C1971" s="14">
        <v>0.81761574074074073</v>
      </c>
      <c r="D1971" s="15"/>
      <c r="E1971" s="16">
        <v>5213227286852</v>
      </c>
      <c r="F1971" s="15"/>
      <c r="G1971" s="15"/>
      <c r="H1971" s="17" t="s">
        <v>1881</v>
      </c>
      <c r="I1971" s="15"/>
      <c r="J1971" s="18"/>
      <c r="K1971" t="s">
        <v>51</v>
      </c>
      <c r="N1971" s="3">
        <f t="shared" si="252"/>
        <v>0</v>
      </c>
      <c r="O1971" s="3">
        <f t="shared" si="253"/>
        <v>0</v>
      </c>
      <c r="S1971" s="3" t="s">
        <v>204</v>
      </c>
      <c r="V1971" s="51">
        <v>0.33333333333333331</v>
      </c>
    </row>
    <row r="1972" spans="1:25">
      <c r="A1972" s="12">
        <v>24384428</v>
      </c>
      <c r="B1972" s="13">
        <v>46275</v>
      </c>
      <c r="C1972" s="14">
        <v>0.81812499999999999</v>
      </c>
      <c r="D1972" s="15"/>
      <c r="E1972" s="16">
        <v>5219841649168</v>
      </c>
      <c r="F1972" s="15"/>
      <c r="G1972" s="15" t="s">
        <v>1882</v>
      </c>
      <c r="H1972" s="17"/>
      <c r="I1972" s="15"/>
      <c r="J1972" s="18"/>
      <c r="K1972" t="s">
        <v>54</v>
      </c>
      <c r="L1972" s="3">
        <v>52978.84</v>
      </c>
      <c r="N1972" s="3">
        <f t="shared" si="252"/>
        <v>15893.651999999998</v>
      </c>
      <c r="O1972" s="3">
        <f t="shared" si="253"/>
        <v>15893.651999999998</v>
      </c>
      <c r="S1972" s="3" t="s">
        <v>1808</v>
      </c>
      <c r="T1972" s="48">
        <v>46276</v>
      </c>
      <c r="V1972" s="51">
        <v>0.33333333333333331</v>
      </c>
      <c r="W1972" s="51">
        <v>0.34861111111111109</v>
      </c>
      <c r="X1972" s="51">
        <v>0.36388888888888887</v>
      </c>
      <c r="Y1972" s="51">
        <v>0.36805555555555558</v>
      </c>
    </row>
    <row r="1973" spans="1:25">
      <c r="A1973" s="12">
        <v>24384604</v>
      </c>
      <c r="B1973" s="13">
        <v>46275</v>
      </c>
      <c r="C1973" s="14">
        <v>0.82775462962962965</v>
      </c>
      <c r="D1973" s="15"/>
      <c r="E1973" s="16">
        <v>5215586804133</v>
      </c>
      <c r="F1973" s="15"/>
      <c r="G1973" s="15"/>
      <c r="H1973" s="17">
        <v>89836204902</v>
      </c>
      <c r="I1973" s="15"/>
      <c r="J1973" s="18"/>
      <c r="K1973" t="s">
        <v>54</v>
      </c>
      <c r="L1973" s="3">
        <v>9129.5</v>
      </c>
      <c r="N1973" s="3">
        <f t="shared" si="252"/>
        <v>2738.85</v>
      </c>
      <c r="O1973" s="3">
        <f t="shared" si="253"/>
        <v>2738.85</v>
      </c>
      <c r="S1973" s="3" t="s">
        <v>266</v>
      </c>
      <c r="T1973" s="48">
        <v>46276</v>
      </c>
      <c r="V1973" s="51">
        <v>0.33333333333333331</v>
      </c>
      <c r="W1973" s="51">
        <v>0.35069444444444442</v>
      </c>
      <c r="X1973" s="51">
        <v>0.37152777777777779</v>
      </c>
      <c r="Y1973" s="51">
        <v>0.37430555555555556</v>
      </c>
    </row>
    <row r="1974" spans="1:25" hidden="1">
      <c r="A1974" s="12">
        <v>24385070</v>
      </c>
      <c r="B1974" s="13">
        <v>46275</v>
      </c>
      <c r="C1974" s="14">
        <v>0.8550578703703704</v>
      </c>
      <c r="D1974" s="15"/>
      <c r="E1974" s="16">
        <v>31846200322</v>
      </c>
      <c r="F1974" s="15"/>
      <c r="G1974" s="15"/>
      <c r="H1974" s="17">
        <v>31846200322</v>
      </c>
      <c r="I1974" s="15"/>
      <c r="J1974" s="18"/>
      <c r="K1974" t="s">
        <v>30</v>
      </c>
      <c r="L1974" s="125">
        <v>8953.2099999999991</v>
      </c>
      <c r="M1974" s="125">
        <v>2485.73</v>
      </c>
      <c r="N1974" s="3">
        <f t="shared" si="252"/>
        <v>2685.9629999999997</v>
      </c>
      <c r="O1974" s="3">
        <f t="shared" si="253"/>
        <v>200.23299999999972</v>
      </c>
      <c r="P1974" s="6">
        <v>46357</v>
      </c>
      <c r="Q1974" t="s">
        <v>141</v>
      </c>
      <c r="R1974" s="125">
        <v>2485.73</v>
      </c>
      <c r="S1974" s="3" t="s">
        <v>204</v>
      </c>
      <c r="V1974" s="51">
        <v>0.33333333333333331</v>
      </c>
    </row>
    <row r="1975" spans="1:25">
      <c r="A1975" s="12">
        <v>24385330</v>
      </c>
      <c r="B1975" s="13">
        <v>46275</v>
      </c>
      <c r="C1975" s="14">
        <v>0.86918981481481483</v>
      </c>
      <c r="D1975" s="15"/>
      <c r="E1975" s="16">
        <v>5218662091998</v>
      </c>
      <c r="F1975" s="15"/>
      <c r="G1975" s="15"/>
      <c r="H1975" s="17">
        <v>43846660793</v>
      </c>
      <c r="I1975" s="15"/>
      <c r="J1975" s="18"/>
      <c r="K1975" t="s">
        <v>54</v>
      </c>
      <c r="L1975" s="3">
        <v>10636.54</v>
      </c>
      <c r="N1975" s="3">
        <f t="shared" si="252"/>
        <v>3190.962</v>
      </c>
      <c r="O1975" s="3">
        <f t="shared" si="253"/>
        <v>3190.962</v>
      </c>
      <c r="S1975" s="3" t="s">
        <v>62</v>
      </c>
      <c r="T1975" s="48">
        <v>46276</v>
      </c>
      <c r="V1975" s="51">
        <v>0.33333333333333331</v>
      </c>
      <c r="W1975" s="51">
        <v>0.35208333333333336</v>
      </c>
      <c r="X1975" s="51">
        <v>0.35833333333333334</v>
      </c>
      <c r="Y1975" s="51">
        <v>0.36041666666666666</v>
      </c>
    </row>
    <row r="1976" spans="1:25" hidden="1">
      <c r="A1976" s="12">
        <v>24385440</v>
      </c>
      <c r="B1976" s="13">
        <v>46275</v>
      </c>
      <c r="C1976" s="14">
        <v>0.87802083333333336</v>
      </c>
      <c r="D1976" s="15"/>
      <c r="E1976" s="16">
        <v>5214691078429</v>
      </c>
      <c r="F1976" s="15"/>
      <c r="G1976" s="15"/>
      <c r="H1976" s="17">
        <v>12876612214</v>
      </c>
      <c r="I1976" s="15"/>
      <c r="J1976" s="18"/>
      <c r="K1976" t="s">
        <v>30</v>
      </c>
      <c r="L1976" s="125">
        <v>5006.2</v>
      </c>
      <c r="M1976" s="125">
        <f>322.45+1030.58</f>
        <v>1353.03</v>
      </c>
      <c r="N1976" s="3">
        <f t="shared" si="252"/>
        <v>1501.86</v>
      </c>
      <c r="O1976" s="3">
        <f t="shared" si="253"/>
        <v>-519.80999999999972</v>
      </c>
      <c r="P1976" s="6">
        <v>46447</v>
      </c>
      <c r="Q1976" t="s">
        <v>184</v>
      </c>
      <c r="R1976" s="3">
        <v>322.45</v>
      </c>
      <c r="S1976" s="3" t="s">
        <v>204</v>
      </c>
      <c r="V1976" s="51">
        <v>0.33333333333333331</v>
      </c>
    </row>
    <row r="1977" spans="1:25" hidden="1">
      <c r="A1977" s="12">
        <v>24385770</v>
      </c>
      <c r="B1977" s="13">
        <v>46275</v>
      </c>
      <c r="C1977" s="14">
        <v>0.89918981481481486</v>
      </c>
      <c r="D1977" s="15"/>
      <c r="E1977" s="16">
        <v>5214426336250</v>
      </c>
      <c r="F1977" s="15"/>
      <c r="G1977" s="15"/>
      <c r="H1977" s="17">
        <v>12108615985</v>
      </c>
      <c r="I1977" s="15"/>
      <c r="J1977" s="18"/>
      <c r="K1977" t="s">
        <v>32</v>
      </c>
      <c r="L1977" s="125"/>
      <c r="M1977" s="125"/>
      <c r="P1977" s="6"/>
      <c r="R1977"/>
      <c r="S1977" s="3" t="s">
        <v>204</v>
      </c>
      <c r="V1977" s="51">
        <v>0.33333333333333331</v>
      </c>
    </row>
    <row r="1978" spans="1:25" hidden="1">
      <c r="A1978" s="12">
        <v>24385864</v>
      </c>
      <c r="B1978" s="13">
        <v>46275</v>
      </c>
      <c r="C1978" s="14">
        <v>0.90784722222222225</v>
      </c>
      <c r="D1978" s="15"/>
      <c r="E1978" s="16">
        <v>5215629072021</v>
      </c>
      <c r="F1978" s="15"/>
      <c r="G1978" s="15"/>
      <c r="H1978" s="17">
        <v>30896100242</v>
      </c>
      <c r="I1978" s="15"/>
      <c r="J1978" s="18"/>
      <c r="K1978" t="s">
        <v>30</v>
      </c>
      <c r="L1978" s="125">
        <v>9081.52</v>
      </c>
      <c r="M1978" s="125">
        <v>2724.39</v>
      </c>
      <c r="N1978" s="3">
        <f t="shared" ref="N1978" si="254">L1978*0.3</f>
        <v>2724.4560000000001</v>
      </c>
      <c r="O1978" s="3">
        <f t="shared" ref="O1978" si="255">(IF(L1978&lt;4172.98,0,MIN(L1978*0.3,L1978-4172.98)))-M1978</f>
        <v>6.6000000000258296E-2</v>
      </c>
      <c r="P1978" s="6">
        <v>46631</v>
      </c>
      <c r="Q1978" t="s">
        <v>59</v>
      </c>
      <c r="R1978">
        <v>2627.39</v>
      </c>
      <c r="S1978" s="3" t="s">
        <v>204</v>
      </c>
      <c r="V1978" s="51">
        <v>0.33333333333333331</v>
      </c>
    </row>
    <row r="1979" spans="1:25">
      <c r="A1979" s="12">
        <v>24386148</v>
      </c>
      <c r="B1979" s="13">
        <v>46275</v>
      </c>
      <c r="C1979" s="14">
        <v>0.91983796296296294</v>
      </c>
      <c r="D1979" s="15"/>
      <c r="E1979" s="16">
        <v>5216142718403</v>
      </c>
      <c r="F1979" s="15"/>
      <c r="G1979" s="15"/>
      <c r="H1979" s="17">
        <v>33775611305</v>
      </c>
      <c r="I1979" s="15"/>
      <c r="J1979" s="18"/>
      <c r="K1979" t="s">
        <v>27</v>
      </c>
      <c r="L1979" s="125">
        <v>12598.42</v>
      </c>
      <c r="M1979" s="125">
        <v>3410.24</v>
      </c>
      <c r="N1979" s="3">
        <f t="shared" si="252"/>
        <v>3779.5259999999998</v>
      </c>
      <c r="O1979" s="3">
        <f t="shared" si="253"/>
        <v>369.28600000000006</v>
      </c>
      <c r="P1979" s="6">
        <v>46266</v>
      </c>
      <c r="Q1979" t="s">
        <v>59</v>
      </c>
      <c r="R1979" s="125">
        <v>3410.24</v>
      </c>
      <c r="S1979" s="3" t="s">
        <v>55</v>
      </c>
      <c r="T1979" s="48">
        <v>46276</v>
      </c>
      <c r="V1979" s="51">
        <v>0.33333333333333331</v>
      </c>
      <c r="W1979" s="51">
        <v>0.36388888888888887</v>
      </c>
      <c r="X1979" s="51">
        <v>0.37847222222222221</v>
      </c>
      <c r="Y1979" s="51">
        <v>0.38055555555555554</v>
      </c>
    </row>
    <row r="1980" spans="1:25" hidden="1">
      <c r="A1980" s="12">
        <v>24386318</v>
      </c>
      <c r="B1980" s="13">
        <v>46275</v>
      </c>
      <c r="C1980" s="14">
        <v>0.92483796296296295</v>
      </c>
      <c r="D1980" s="15" t="s">
        <v>1883</v>
      </c>
      <c r="E1980" s="16">
        <v>5217201382593</v>
      </c>
      <c r="F1980" s="15"/>
      <c r="G1980" s="15"/>
      <c r="H1980" s="17">
        <v>16987601602</v>
      </c>
      <c r="I1980" s="15"/>
      <c r="J1980" s="18"/>
      <c r="K1980" t="s">
        <v>58</v>
      </c>
      <c r="L1980" s="3">
        <v>4472.37</v>
      </c>
      <c r="N1980" s="3">
        <f t="shared" si="252"/>
        <v>1341.711</v>
      </c>
      <c r="O1980" s="3">
        <f t="shared" si="253"/>
        <v>299.39000000000033</v>
      </c>
      <c r="S1980" s="3" t="s">
        <v>204</v>
      </c>
      <c r="V1980" s="51">
        <v>0.33333333333333331</v>
      </c>
    </row>
    <row r="1981" spans="1:25" hidden="1">
      <c r="A1981" s="12">
        <v>24387886</v>
      </c>
      <c r="B1981" s="13">
        <v>46275</v>
      </c>
      <c r="C1981" s="14">
        <v>0.99236111111111114</v>
      </c>
      <c r="D1981" s="15"/>
      <c r="E1981" s="16">
        <v>5219191930280</v>
      </c>
      <c r="F1981" s="15"/>
      <c r="G1981" s="15" t="s">
        <v>1884</v>
      </c>
      <c r="H1981" s="17"/>
      <c r="I1981" s="15"/>
      <c r="J1981" s="18"/>
      <c r="K1981" t="s">
        <v>32</v>
      </c>
      <c r="N1981" s="3">
        <f t="shared" si="252"/>
        <v>0</v>
      </c>
      <c r="O1981" s="3">
        <f t="shared" si="253"/>
        <v>0</v>
      </c>
      <c r="S1981" s="3" t="s">
        <v>204</v>
      </c>
      <c r="V1981" s="51">
        <v>0.33333333333333331</v>
      </c>
    </row>
    <row r="1982" spans="1:25" hidden="1">
      <c r="A1982" s="30">
        <v>24387970</v>
      </c>
      <c r="B1982" s="31">
        <v>46276</v>
      </c>
      <c r="C1982" s="32">
        <v>3.9120370370370368E-3</v>
      </c>
      <c r="D1982" s="33" t="s">
        <v>1885</v>
      </c>
      <c r="E1982" s="34">
        <v>5216862025503</v>
      </c>
      <c r="F1982" s="33"/>
      <c r="G1982" s="33" t="s">
        <v>1886</v>
      </c>
      <c r="H1982" s="35">
        <v>23907347217</v>
      </c>
      <c r="I1982" s="33"/>
      <c r="J1982" s="36"/>
      <c r="K1982" t="s">
        <v>30</v>
      </c>
      <c r="L1982" s="125">
        <v>9582.4699999999993</v>
      </c>
      <c r="M1982" s="125">
        <v>2874.74</v>
      </c>
      <c r="N1982" s="3">
        <f t="shared" si="252"/>
        <v>2874.7409999999995</v>
      </c>
      <c r="O1982" s="3">
        <f t="shared" si="253"/>
        <v>9.9999999974897946E-4</v>
      </c>
      <c r="P1982" s="6">
        <v>46905</v>
      </c>
      <c r="Q1982" t="s">
        <v>57</v>
      </c>
      <c r="R1982" s="125">
        <v>2874.74</v>
      </c>
      <c r="S1982" s="3" t="s">
        <v>204</v>
      </c>
      <c r="V1982" s="51">
        <v>0.33333333333333331</v>
      </c>
    </row>
    <row r="1983" spans="1:25" hidden="1">
      <c r="A1983" s="12">
        <v>24394094</v>
      </c>
      <c r="B1983" s="13">
        <v>46276</v>
      </c>
      <c r="C1983" s="14">
        <v>0.34660879629629632</v>
      </c>
      <c r="D1983" s="15" t="s">
        <v>1887</v>
      </c>
      <c r="E1983" s="16">
        <v>5216568608441</v>
      </c>
      <c r="F1983" s="15"/>
      <c r="G1983" s="15" t="s">
        <v>1888</v>
      </c>
      <c r="H1983" s="17">
        <v>83826425023</v>
      </c>
      <c r="I1983" s="15"/>
      <c r="J1983" s="18"/>
      <c r="K1983" t="s">
        <v>30</v>
      </c>
      <c r="L1983" s="125">
        <v>9081.52</v>
      </c>
      <c r="M1983" s="125">
        <v>2627.5</v>
      </c>
      <c r="N1983" s="3">
        <f>L1983*0.3</f>
        <v>2724.4560000000001</v>
      </c>
      <c r="O1983" s="3">
        <f>(IF(L1983&lt;4172.98,0,MIN(L1983*0.3,L1983-4172.98)))-M1983</f>
        <v>96.956000000000131</v>
      </c>
      <c r="P1983" s="6">
        <v>46661</v>
      </c>
      <c r="Q1983" t="s">
        <v>44</v>
      </c>
      <c r="R1983" s="125">
        <v>2627.5</v>
      </c>
      <c r="S1983" s="3" t="s">
        <v>204</v>
      </c>
      <c r="V1983" s="51">
        <v>0.34722222222222221</v>
      </c>
    </row>
    <row r="1984" spans="1:25" hidden="1">
      <c r="A1984" s="30">
        <v>24394960</v>
      </c>
      <c r="B1984" s="31">
        <v>46276</v>
      </c>
      <c r="C1984" s="32">
        <v>0.36211805555555554</v>
      </c>
      <c r="D1984" s="33"/>
      <c r="E1984" s="34">
        <v>5215586215481</v>
      </c>
      <c r="F1984" s="33"/>
      <c r="G1984" s="33" t="s">
        <v>1889</v>
      </c>
      <c r="H1984" s="35"/>
      <c r="I1984" s="33"/>
      <c r="J1984" s="36"/>
      <c r="K1984" t="s">
        <v>30</v>
      </c>
      <c r="L1984" s="125">
        <v>9081.52</v>
      </c>
      <c r="M1984" s="125">
        <v>2627.47</v>
      </c>
      <c r="N1984" s="3">
        <f>L1984*0.3</f>
        <v>2724.4560000000001</v>
      </c>
      <c r="O1984" s="3">
        <f>(IF(L1984&lt;4172.98,0,MIN(L1984*0.3,L1984-4172.98)))-M1984</f>
        <v>96.986000000000331</v>
      </c>
      <c r="P1984" s="6">
        <v>46447</v>
      </c>
      <c r="Q1984" t="s">
        <v>77</v>
      </c>
      <c r="R1984" s="3">
        <v>2627.47</v>
      </c>
      <c r="S1984" s="3" t="s">
        <v>204</v>
      </c>
      <c r="V1984" s="51">
        <v>0.36249999999999999</v>
      </c>
    </row>
    <row r="1985" spans="1:25">
      <c r="A1985" s="30">
        <v>24395512</v>
      </c>
      <c r="B1985" s="31">
        <v>46276</v>
      </c>
      <c r="C1985" s="32">
        <v>0.38138888888888889</v>
      </c>
      <c r="D1985" s="33"/>
      <c r="E1985" s="34">
        <v>5218117888000</v>
      </c>
      <c r="F1985" s="33"/>
      <c r="G1985" s="33"/>
      <c r="H1985" s="35">
        <v>32806409705</v>
      </c>
      <c r="I1985" s="33"/>
      <c r="J1985" s="36"/>
      <c r="K1985" t="s">
        <v>54</v>
      </c>
      <c r="L1985" s="3">
        <f>21577.02-10548</f>
        <v>11029.02</v>
      </c>
      <c r="M1985" s="3">
        <v>848</v>
      </c>
      <c r="N1985" s="3">
        <f>L1985*0.3</f>
        <v>3308.7060000000001</v>
      </c>
      <c r="O1985" s="3">
        <f>(IF(L1985&lt;4172.98,0,MIN(L1985*0.3,L1985-4172.98)))-M1985</f>
        <v>2460.7060000000001</v>
      </c>
      <c r="S1985" s="3" t="s">
        <v>95</v>
      </c>
      <c r="T1985" s="48">
        <v>46276</v>
      </c>
      <c r="V1985" s="51">
        <v>0.38194444444444442</v>
      </c>
      <c r="W1985" s="51">
        <v>0.38750000000000001</v>
      </c>
      <c r="X1985" s="51">
        <v>0.39374999999999999</v>
      </c>
      <c r="Y1985" s="51">
        <v>0.39861111111111114</v>
      </c>
    </row>
    <row r="1986" spans="1:25" hidden="1">
      <c r="A1986" s="30">
        <v>24395810</v>
      </c>
      <c r="B1986" s="31">
        <v>46276</v>
      </c>
      <c r="C1986" s="32">
        <v>0.3900925925925926</v>
      </c>
      <c r="D1986" s="33"/>
      <c r="E1986" s="34">
        <v>5219934333610</v>
      </c>
      <c r="F1986" s="33"/>
      <c r="G1986" s="33" t="s">
        <v>1890</v>
      </c>
      <c r="H1986" s="35"/>
      <c r="I1986" s="33"/>
      <c r="J1986" s="36"/>
      <c r="K1986" t="s">
        <v>1891</v>
      </c>
      <c r="N1986" s="3">
        <f>L1986*0.3</f>
        <v>0</v>
      </c>
      <c r="O1986" s="3">
        <f>(IF(L1986&lt;4172.98,0,MIN(L1986*0.3,L1986-4172.98)))-M1986</f>
        <v>0</v>
      </c>
      <c r="S1986" s="3" t="s">
        <v>1892</v>
      </c>
      <c r="V1986" s="51">
        <v>0.39027777777777778</v>
      </c>
    </row>
    <row r="1987" spans="1:25" hidden="1">
      <c r="A1987" s="12">
        <v>24396686</v>
      </c>
      <c r="B1987" s="13">
        <v>46276</v>
      </c>
      <c r="C1987" s="14">
        <v>0.42216435185185186</v>
      </c>
      <c r="D1987" s="15" t="s">
        <v>1893</v>
      </c>
      <c r="E1987" s="16"/>
      <c r="F1987" s="15"/>
      <c r="G1987" s="15" t="s">
        <v>1894</v>
      </c>
      <c r="H1987" s="17"/>
      <c r="I1987" s="15"/>
      <c r="J1987" s="18"/>
      <c r="K1987" t="s">
        <v>30</v>
      </c>
      <c r="L1987" s="111">
        <v>9081.52</v>
      </c>
      <c r="M1987" s="111">
        <v>2724.24</v>
      </c>
      <c r="N1987" s="3">
        <f t="shared" ref="N1987:N1988" si="256">L1987*0.3</f>
        <v>2724.4560000000001</v>
      </c>
      <c r="O1987" s="3">
        <f t="shared" ref="O1987:O1988" si="257">(IF(L1987&lt;4172.98,0,MIN(L1987*0.3,L1987-4172.98)))-M1987</f>
        <v>0.21600000000034925</v>
      </c>
      <c r="P1987" t="s">
        <v>1895</v>
      </c>
      <c r="Q1987" t="s">
        <v>44</v>
      </c>
      <c r="R1987" s="3">
        <v>2027.26</v>
      </c>
      <c r="S1987" s="3" t="s">
        <v>204</v>
      </c>
      <c r="V1987" s="51">
        <v>0.42291666666666666</v>
      </c>
    </row>
    <row r="1988" spans="1:25" hidden="1">
      <c r="A1988" s="30">
        <v>24396858</v>
      </c>
      <c r="B1988" s="31">
        <v>46276</v>
      </c>
      <c r="C1988" s="32">
        <v>0.42274305555555558</v>
      </c>
      <c r="D1988" s="33"/>
      <c r="E1988" s="34">
        <v>5215546494886</v>
      </c>
      <c r="F1988" s="33"/>
      <c r="G1988" s="33"/>
      <c r="H1988" s="35">
        <v>88856401141</v>
      </c>
      <c r="I1988" s="33"/>
      <c r="J1988" s="36"/>
      <c r="K1988" t="s">
        <v>30</v>
      </c>
      <c r="L1988" s="111">
        <v>9081.52</v>
      </c>
      <c r="M1988" s="111">
        <v>2724.46</v>
      </c>
      <c r="N1988" s="3">
        <f t="shared" si="256"/>
        <v>2724.4560000000001</v>
      </c>
      <c r="O1988" s="3">
        <f t="shared" si="257"/>
        <v>-3.9999999999054126E-3</v>
      </c>
      <c r="P1988" s="6">
        <v>46357</v>
      </c>
      <c r="Q1988" t="s">
        <v>75</v>
      </c>
      <c r="R1988" s="3">
        <v>2521</v>
      </c>
      <c r="S1988" s="3" t="s">
        <v>204</v>
      </c>
      <c r="V1988" s="51">
        <v>0.42291666666666666</v>
      </c>
    </row>
    <row r="1989" spans="1:25">
      <c r="A1989" s="12">
        <v>24397300</v>
      </c>
      <c r="B1989" s="13">
        <v>46276</v>
      </c>
      <c r="C1989" s="14">
        <v>0.42974537037037036</v>
      </c>
      <c r="D1989" s="15" t="s">
        <v>1896</v>
      </c>
      <c r="E1989" s="16">
        <v>5218129271733</v>
      </c>
      <c r="F1989" s="15"/>
      <c r="G1989" s="15"/>
      <c r="H1989" s="17" t="s">
        <v>1897</v>
      </c>
      <c r="I1989" s="15"/>
      <c r="J1989" s="18"/>
      <c r="K1989" t="s">
        <v>54</v>
      </c>
      <c r="L1989" s="111">
        <v>11029.03</v>
      </c>
      <c r="M1989" s="111">
        <f>367.68+367.99</f>
        <v>735.67000000000007</v>
      </c>
      <c r="N1989" s="3">
        <f t="shared" ref="N1989:N1990" si="258">L1989*0.3</f>
        <v>3308.7090000000003</v>
      </c>
      <c r="O1989" s="3">
        <f t="shared" ref="O1989:O1990" si="259">(IF(L1989&lt;4172.98,0,MIN(L1989*0.3,L1989-4172.98)))-M1989</f>
        <v>2573.0390000000002</v>
      </c>
      <c r="P1989" s="6">
        <v>46966</v>
      </c>
      <c r="Q1989" t="s">
        <v>44</v>
      </c>
      <c r="R1989" s="3">
        <v>367.68</v>
      </c>
      <c r="S1989" s="3" t="s">
        <v>95</v>
      </c>
      <c r="T1989" s="48">
        <v>46276</v>
      </c>
      <c r="V1989" s="51">
        <v>0.42986111111111114</v>
      </c>
      <c r="W1989" s="51">
        <v>0.43541666666666667</v>
      </c>
      <c r="X1989" s="51">
        <v>0.43611111111111112</v>
      </c>
      <c r="Y1989" s="51">
        <v>0.43680555555555556</v>
      </c>
    </row>
    <row r="1990" spans="1:25">
      <c r="A1990" s="30">
        <v>24397116</v>
      </c>
      <c r="B1990" s="31">
        <v>46276</v>
      </c>
      <c r="C1990" s="32">
        <v>0.4302199074074074</v>
      </c>
      <c r="D1990" s="33"/>
      <c r="E1990" s="34">
        <v>5213311268820</v>
      </c>
      <c r="F1990" s="33"/>
      <c r="G1990" s="33" t="s">
        <v>1898</v>
      </c>
      <c r="H1990" s="35"/>
      <c r="I1990" s="33"/>
      <c r="J1990" s="36"/>
      <c r="K1990" t="s">
        <v>54</v>
      </c>
      <c r="L1990" s="3">
        <v>37876.07</v>
      </c>
      <c r="N1990" s="3">
        <f t="shared" si="258"/>
        <v>11362.821</v>
      </c>
      <c r="O1990" s="3">
        <f t="shared" si="259"/>
        <v>11362.821</v>
      </c>
      <c r="S1990" s="3" t="s">
        <v>1808</v>
      </c>
      <c r="T1990" s="48">
        <v>46276</v>
      </c>
      <c r="V1990" s="51">
        <v>0.42986111111111114</v>
      </c>
      <c r="W1990" s="51">
        <v>0.43472222222222223</v>
      </c>
      <c r="X1990" s="51">
        <v>0.43819444444444444</v>
      </c>
      <c r="Y1990" s="51">
        <v>0.43888888888888888</v>
      </c>
    </row>
    <row r="1991" spans="1:25" hidden="1">
      <c r="A1991" s="30">
        <v>24398070</v>
      </c>
      <c r="B1991" s="31">
        <v>46276</v>
      </c>
      <c r="C1991" s="32">
        <v>0.45956018518518521</v>
      </c>
      <c r="D1991" s="33" t="s">
        <v>1899</v>
      </c>
      <c r="E1991" s="34">
        <v>5215516522751</v>
      </c>
      <c r="F1991" s="33"/>
      <c r="G1991" s="33" t="s">
        <v>1900</v>
      </c>
      <c r="H1991" s="35" t="s">
        <v>1901</v>
      </c>
      <c r="I1991" s="33"/>
      <c r="J1991" s="36"/>
      <c r="K1991" t="s">
        <v>30</v>
      </c>
      <c r="L1991" s="111">
        <v>5617.63</v>
      </c>
      <c r="M1991" s="111">
        <v>1444</v>
      </c>
      <c r="N1991" s="3">
        <f>L1991*0.3</f>
        <v>1685.289</v>
      </c>
      <c r="O1991" s="3">
        <f>(IF(L1991&lt;4172.98,0,MIN(L1991*0.3,L1991-4172.98)))-M1991</f>
        <v>0.6500000000005457</v>
      </c>
      <c r="P1991" s="6">
        <v>46905</v>
      </c>
      <c r="Q1991" t="s">
        <v>210</v>
      </c>
      <c r="R1991" s="111">
        <v>1444</v>
      </c>
      <c r="S1991" s="3" t="s">
        <v>204</v>
      </c>
      <c r="V1991" s="51">
        <v>0.4597222222222222</v>
      </c>
    </row>
    <row r="1992" spans="1:25" hidden="1">
      <c r="A1992" s="30">
        <v>24398230</v>
      </c>
      <c r="B1992" s="31">
        <v>46276</v>
      </c>
      <c r="C1992" s="32">
        <v>0.46846064814814814</v>
      </c>
      <c r="D1992" s="33" t="s">
        <v>1902</v>
      </c>
      <c r="E1992" s="34">
        <v>5216862449248</v>
      </c>
      <c r="F1992" s="33"/>
      <c r="G1992" s="33"/>
      <c r="H1992" s="35">
        <v>25907232257</v>
      </c>
      <c r="I1992" s="33"/>
      <c r="J1992" s="36"/>
      <c r="K1992" t="s">
        <v>30</v>
      </c>
      <c r="L1992" s="111">
        <v>9163.2800000000007</v>
      </c>
      <c r="M1992" s="111">
        <v>2651.16</v>
      </c>
      <c r="N1992" s="3">
        <f>L1992*0.3</f>
        <v>2748.9839999999999</v>
      </c>
      <c r="O1992" s="3">
        <f>(IF(L1992&lt;4172.98,0,MIN(L1992*0.3,L1992-4172.98)))-M1992</f>
        <v>97.824000000000069</v>
      </c>
      <c r="P1992" s="6">
        <v>46569</v>
      </c>
      <c r="Q1992" t="s">
        <v>44</v>
      </c>
      <c r="R1992" s="111">
        <v>2651.16</v>
      </c>
      <c r="S1992" s="3" t="s">
        <v>204</v>
      </c>
      <c r="V1992" s="51">
        <v>0.46805555555555556</v>
      </c>
    </row>
    <row r="1993" spans="1:25" hidden="1">
      <c r="A1993" s="30">
        <v>24398278</v>
      </c>
      <c r="B1993" s="31">
        <v>46276</v>
      </c>
      <c r="C1993" s="32">
        <v>0.46880787037037036</v>
      </c>
      <c r="D1993" s="33"/>
      <c r="E1993" s="34">
        <v>5212411714742</v>
      </c>
      <c r="F1993" s="33"/>
      <c r="G1993" s="33" t="s">
        <v>1903</v>
      </c>
      <c r="H1993" s="35"/>
      <c r="I1993" s="33"/>
      <c r="J1993" s="36"/>
      <c r="K1993" t="s">
        <v>30</v>
      </c>
      <c r="L1993" s="111">
        <v>9081.52</v>
      </c>
      <c r="M1993" s="111">
        <v>2627.47</v>
      </c>
      <c r="N1993" s="3">
        <f>L1993*0.3</f>
        <v>2724.4560000000001</v>
      </c>
      <c r="O1993" s="3">
        <f>(IF(L1993&lt;4172.98,0,MIN(L1993*0.3,L1993-4172.98)))-M1993</f>
        <v>96.986000000000331</v>
      </c>
      <c r="P1993" s="6">
        <v>46447</v>
      </c>
      <c r="Q1993" t="s">
        <v>77</v>
      </c>
      <c r="R1993" s="111">
        <v>2627.47</v>
      </c>
      <c r="S1993" s="3" t="s">
        <v>204</v>
      </c>
      <c r="V1993" s="51">
        <v>0.46875</v>
      </c>
    </row>
    <row r="1994" spans="1:25" hidden="1">
      <c r="A1994" s="30">
        <v>24398640</v>
      </c>
      <c r="B1994" s="31">
        <v>46276</v>
      </c>
      <c r="C1994" s="32">
        <v>0.48363425925925924</v>
      </c>
      <c r="D1994" s="33"/>
      <c r="E1994" s="34">
        <v>5216682199410</v>
      </c>
      <c r="F1994" s="33"/>
      <c r="G1994" s="33"/>
      <c r="H1994" s="35" t="s">
        <v>1904</v>
      </c>
      <c r="I1994" s="33"/>
      <c r="J1994" s="36"/>
      <c r="K1994" t="s">
        <v>30</v>
      </c>
      <c r="L1994" s="111">
        <v>9760.32</v>
      </c>
      <c r="M1994" s="111">
        <v>2927.74</v>
      </c>
      <c r="N1994" s="3">
        <f>L1994*0.3</f>
        <v>2928.096</v>
      </c>
      <c r="O1994" s="3">
        <f>(IF(L1994&lt;4172.98,0,MIN(L1994*0.3,L1994-4172.98)))-M1994</f>
        <v>0.35600000000022192</v>
      </c>
      <c r="P1994" s="6">
        <v>46692</v>
      </c>
      <c r="Q1994" t="s">
        <v>141</v>
      </c>
      <c r="R1994">
        <v>2823.74</v>
      </c>
      <c r="S1994" t="s">
        <v>204</v>
      </c>
      <c r="V1994" s="51">
        <v>0.4861111111111111</v>
      </c>
    </row>
    <row r="1995" spans="1:25" hidden="1">
      <c r="A1995" s="30">
        <v>24398876</v>
      </c>
      <c r="B1995" s="31">
        <v>46276</v>
      </c>
      <c r="C1995" s="32">
        <v>0.48880787037037038</v>
      </c>
      <c r="D1995" s="33"/>
      <c r="E1995" s="34">
        <v>5216561645078</v>
      </c>
      <c r="F1995" s="33"/>
      <c r="G1995" s="33" t="s">
        <v>1905</v>
      </c>
      <c r="H1995" s="35" t="s">
        <v>1906</v>
      </c>
      <c r="I1995" s="33"/>
      <c r="J1995" s="36"/>
      <c r="K1995" t="s">
        <v>30</v>
      </c>
      <c r="L1995" s="111">
        <v>7214.69</v>
      </c>
      <c r="M1995" s="111">
        <v>2161.7600000000002</v>
      </c>
      <c r="N1995" s="3">
        <f>L1995*0.3</f>
        <v>2164.4069999999997</v>
      </c>
      <c r="O1995" s="3">
        <f>(IF(L1995&lt;4172.98,0,MIN(L1995*0.3,L1995-4172.98)))-M1995</f>
        <v>2.6469999999994798</v>
      </c>
      <c r="P1995" s="6">
        <v>46935</v>
      </c>
      <c r="Q1995" t="s">
        <v>141</v>
      </c>
      <c r="R1995" s="111">
        <v>2161.7600000000002</v>
      </c>
      <c r="S1995" s="3" t="s">
        <v>204</v>
      </c>
      <c r="V1995" s="51">
        <v>0.48958333333333331</v>
      </c>
    </row>
    <row r="1996" spans="1:25" hidden="1">
      <c r="A1996" s="30">
        <v>24399066</v>
      </c>
      <c r="B1996" s="31">
        <v>46276</v>
      </c>
      <c r="C1996" s="32">
        <v>0.49991898148148151</v>
      </c>
      <c r="D1996" s="33" t="s">
        <v>1907</v>
      </c>
      <c r="E1996" s="34">
        <v>5214776018356</v>
      </c>
      <c r="F1996" s="33"/>
      <c r="G1996" s="33" t="s">
        <v>1908</v>
      </c>
      <c r="H1996" s="35"/>
      <c r="I1996" s="33"/>
      <c r="J1996" s="36"/>
      <c r="K1996" t="s">
        <v>51</v>
      </c>
      <c r="N1996" s="3">
        <f>L1996*0.3</f>
        <v>0</v>
      </c>
      <c r="O1996" s="3">
        <f>(IF(L1996&lt;4172.98,0,MIN(L1996*0.3,L1996-4172.98)))-M1996</f>
        <v>0</v>
      </c>
      <c r="S1996" s="3" t="s">
        <v>204</v>
      </c>
      <c r="V1996" s="51">
        <v>0.5</v>
      </c>
    </row>
    <row r="1997" spans="1:25" hidden="1">
      <c r="A1997" s="30">
        <v>24398846</v>
      </c>
      <c r="B1997" s="31">
        <v>46276</v>
      </c>
      <c r="C1997" s="32">
        <v>0.50796296296296295</v>
      </c>
      <c r="D1997" s="33"/>
      <c r="E1997" s="34">
        <v>8445076962</v>
      </c>
      <c r="F1997" s="33"/>
      <c r="G1997" s="33" t="s">
        <v>1909</v>
      </c>
      <c r="H1997" s="35">
        <v>32816166410</v>
      </c>
      <c r="I1997" s="33"/>
      <c r="J1997" s="36"/>
      <c r="K1997" t="s">
        <v>30</v>
      </c>
      <c r="L1997" s="111">
        <v>14893.98</v>
      </c>
      <c r="M1997" s="111">
        <v>4468.1899999999996</v>
      </c>
      <c r="N1997" s="3">
        <f>L1997*0.3</f>
        <v>4468.1939999999995</v>
      </c>
      <c r="O1997" s="3">
        <f>(IF(L1997&lt;4172.98,0,MIN(L1997*0.3,L1997-4172.98)))-M1997</f>
        <v>3.9999999999054126E-3</v>
      </c>
      <c r="P1997" s="6">
        <v>46447</v>
      </c>
      <c r="Q1997" t="s">
        <v>59</v>
      </c>
      <c r="R1997" s="3">
        <v>3398.73</v>
      </c>
      <c r="S1997" s="3" t="s">
        <v>204</v>
      </c>
      <c r="V1997" s="51">
        <v>0.5083333333333333</v>
      </c>
    </row>
    <row r="1998" spans="1:25">
      <c r="A1998" s="30">
        <v>24399386</v>
      </c>
      <c r="B1998" s="31">
        <v>46276</v>
      </c>
      <c r="C1998" s="32">
        <v>0.50913194444444443</v>
      </c>
      <c r="D1998" s="33"/>
      <c r="E1998" s="34">
        <v>5214421267377</v>
      </c>
      <c r="F1998" s="33"/>
      <c r="G1998" s="33"/>
      <c r="H1998" s="35">
        <v>14836603986</v>
      </c>
      <c r="I1998" s="33"/>
      <c r="J1998" s="36"/>
      <c r="K1998" t="s">
        <v>54</v>
      </c>
      <c r="L1998" s="3">
        <v>10636.54</v>
      </c>
      <c r="N1998" s="3">
        <f>L1998*0.3</f>
        <v>3190.962</v>
      </c>
      <c r="O1998" s="3">
        <f>(IF(L1998&lt;4172.98,0,MIN(L1998*0.3,L1998-4172.98)))-M1998</f>
        <v>3190.962</v>
      </c>
      <c r="S1998" s="3" t="s">
        <v>266</v>
      </c>
      <c r="T1998" s="48">
        <v>46276</v>
      </c>
      <c r="V1998" s="51">
        <v>0.50902777777777775</v>
      </c>
      <c r="W1998" s="51">
        <v>0.51111111111111107</v>
      </c>
      <c r="X1998" s="51">
        <v>0.52083333333333337</v>
      </c>
      <c r="Y1998" s="51">
        <v>0.52222222222222225</v>
      </c>
    </row>
    <row r="1999" spans="1:25">
      <c r="A1999" s="30">
        <v>24399642</v>
      </c>
      <c r="B1999" s="31">
        <v>46276</v>
      </c>
      <c r="C1999" s="32">
        <v>0.5096180555555555</v>
      </c>
      <c r="D1999" s="33"/>
      <c r="E1999" s="34">
        <v>5214443238566</v>
      </c>
      <c r="F1999" s="33"/>
      <c r="G1999" s="33"/>
      <c r="H1999" s="35">
        <v>42806299865</v>
      </c>
      <c r="I1999" s="33"/>
      <c r="J1999" s="36"/>
      <c r="K1999" t="s">
        <v>54</v>
      </c>
      <c r="L1999" s="3">
        <f>12326.97+879</f>
        <v>13205.97</v>
      </c>
      <c r="M1999" s="3">
        <v>879</v>
      </c>
      <c r="N1999" s="3">
        <f>L1999*0.3</f>
        <v>3961.7909999999997</v>
      </c>
      <c r="O1999" s="3">
        <f>(IF(L1999&lt;4172.98,0,MIN(L1999*0.3,L1999-4172.98)))-M1999</f>
        <v>3082.7909999999997</v>
      </c>
      <c r="S1999" s="3" t="s">
        <v>1910</v>
      </c>
      <c r="T1999" s="48">
        <v>46276</v>
      </c>
      <c r="V1999" s="51">
        <v>0.50902777777777775</v>
      </c>
      <c r="W1999" s="51">
        <v>0.51180555555555551</v>
      </c>
      <c r="X1999" s="51">
        <v>0.52222222222222225</v>
      </c>
      <c r="Y1999" s="51">
        <v>0.52569444444444446</v>
      </c>
    </row>
    <row r="2000" spans="1:25">
      <c r="A2000" s="30">
        <v>24399864</v>
      </c>
      <c r="B2000" s="31">
        <v>46276</v>
      </c>
      <c r="C2000" s="32">
        <v>0.52576388888888892</v>
      </c>
      <c r="D2000" s="33"/>
      <c r="E2000" s="34">
        <v>5218991644510</v>
      </c>
      <c r="F2000" s="33"/>
      <c r="G2000" s="33" t="s">
        <v>1911</v>
      </c>
      <c r="H2000" s="35"/>
      <c r="I2000" s="33"/>
      <c r="J2000" s="36"/>
      <c r="K2000" t="s">
        <v>38</v>
      </c>
      <c r="L2000" s="3">
        <v>4603.22</v>
      </c>
      <c r="N2000" s="3">
        <f>L2000*0.3</f>
        <v>1380.9660000000001</v>
      </c>
      <c r="O2000" s="3">
        <f>(IF(L2000&lt;4172.98,0,MIN(L2000*0.3,L2000-4172.98)))-M2000</f>
        <v>430.24000000000069</v>
      </c>
      <c r="S2000" s="3" t="s">
        <v>39</v>
      </c>
      <c r="T2000" s="48">
        <v>46276</v>
      </c>
      <c r="V2000" s="51">
        <v>0.52638888888888891</v>
      </c>
      <c r="W2000" s="51">
        <v>0.52986111111111112</v>
      </c>
      <c r="X2000" s="51">
        <v>0.53333333333333333</v>
      </c>
      <c r="Y2000" s="51">
        <v>0.53472222222222221</v>
      </c>
    </row>
    <row r="2001" spans="1:25" hidden="1">
      <c r="A2001" s="30">
        <v>24400004</v>
      </c>
      <c r="B2001" s="31">
        <v>46276</v>
      </c>
      <c r="C2001" s="32">
        <v>0.5278356481481481</v>
      </c>
      <c r="D2001" s="33"/>
      <c r="E2001" s="34">
        <v>5215522618741</v>
      </c>
      <c r="F2001" s="33"/>
      <c r="G2001" s="33" t="s">
        <v>1912</v>
      </c>
      <c r="H2001" s="35"/>
      <c r="I2001" s="33"/>
      <c r="J2001" s="36"/>
      <c r="K2001" t="s">
        <v>30</v>
      </c>
      <c r="L2001" s="111">
        <v>10171.24</v>
      </c>
      <c r="M2001" s="111">
        <v>2942.77</v>
      </c>
      <c r="N2001" s="3">
        <f>L2001*0.3</f>
        <v>3051.3719999999998</v>
      </c>
      <c r="O2001" s="3">
        <f>(IF(L2001&lt;4172.98,0,MIN(L2001*0.3,L2001-4172.98)))-M2001</f>
        <v>108.60199999999986</v>
      </c>
      <c r="P2001" s="6">
        <v>46508</v>
      </c>
      <c r="Q2001" t="s">
        <v>75</v>
      </c>
      <c r="R2001" s="111">
        <v>2942.77</v>
      </c>
      <c r="S2001" s="3" t="s">
        <v>204</v>
      </c>
      <c r="V2001" s="51">
        <v>0.52777777777777779</v>
      </c>
    </row>
    <row r="2002" spans="1:25" hidden="1">
      <c r="A2002" s="30">
        <v>24400232</v>
      </c>
      <c r="B2002" s="31">
        <v>46276</v>
      </c>
      <c r="C2002" s="32">
        <v>0.52972222222222221</v>
      </c>
      <c r="D2002" s="33"/>
      <c r="E2002" s="34">
        <v>5218662118618</v>
      </c>
      <c r="F2002" s="33"/>
      <c r="G2002" s="33" t="s">
        <v>1913</v>
      </c>
      <c r="H2002" s="35"/>
      <c r="I2002" s="33"/>
      <c r="J2002" s="36"/>
      <c r="K2002" t="s">
        <v>30</v>
      </c>
      <c r="L2002" s="111">
        <v>6407.78</v>
      </c>
      <c r="M2002" s="111">
        <v>1912.43</v>
      </c>
      <c r="N2002" s="3">
        <f>L2002*0.3</f>
        <v>1922.3339999999998</v>
      </c>
      <c r="O2002" s="3">
        <f>(IF(L2002&lt;4172.98,0,MIN(L2002*0.3,L2002-4172.98)))-M2002</f>
        <v>9.903999999999769</v>
      </c>
      <c r="P2002" s="6">
        <v>46997</v>
      </c>
      <c r="Q2002" t="s">
        <v>57</v>
      </c>
      <c r="R2002" s="111">
        <v>1912.43</v>
      </c>
      <c r="S2002" s="3" t="s">
        <v>204</v>
      </c>
      <c r="V2002" s="51">
        <v>0.52986111111111112</v>
      </c>
    </row>
    <row r="2003" spans="1:25" hidden="1">
      <c r="A2003" s="30">
        <v>24400852</v>
      </c>
      <c r="B2003" s="31">
        <v>46276</v>
      </c>
      <c r="C2003" s="32">
        <v>0.55214120370370368</v>
      </c>
      <c r="D2003" s="33"/>
      <c r="E2003" s="34">
        <v>5215587879619</v>
      </c>
      <c r="F2003" s="33"/>
      <c r="G2003" s="33" t="s">
        <v>1914</v>
      </c>
      <c r="H2003" s="35"/>
      <c r="I2003" s="33"/>
      <c r="J2003" s="36"/>
      <c r="K2003" t="s">
        <v>30</v>
      </c>
      <c r="L2003" s="111">
        <v>7116.73</v>
      </c>
      <c r="M2003" s="111">
        <v>1980</v>
      </c>
      <c r="N2003" s="3">
        <f>L2003*0.3</f>
        <v>2135.0189999999998</v>
      </c>
      <c r="O2003" s="3">
        <f>(IF(L2003&lt;4172.98,0,MIN(L2003*0.3,L2003-4172.98)))-M2003</f>
        <v>155.01899999999978</v>
      </c>
      <c r="P2003" s="6">
        <v>46874</v>
      </c>
      <c r="Q2003" t="s">
        <v>77</v>
      </c>
      <c r="R2003" s="111">
        <v>1980</v>
      </c>
      <c r="S2003" s="3" t="s">
        <v>204</v>
      </c>
      <c r="V2003" s="51">
        <v>0.55208333333333337</v>
      </c>
    </row>
    <row r="2004" spans="1:25" hidden="1">
      <c r="A2004" s="30">
        <v>24401308</v>
      </c>
      <c r="B2004" s="31">
        <v>46276</v>
      </c>
      <c r="C2004" s="32">
        <v>0.56123842592592588</v>
      </c>
      <c r="D2004" s="33"/>
      <c r="E2004" s="34">
        <v>5216442178050</v>
      </c>
      <c r="F2004" s="33"/>
      <c r="G2004" s="33" t="s">
        <v>1915</v>
      </c>
      <c r="H2004" s="35"/>
      <c r="I2004" s="33"/>
      <c r="J2004" s="36"/>
      <c r="K2004" t="s">
        <v>30</v>
      </c>
      <c r="L2004" s="111">
        <v>8539.89</v>
      </c>
      <c r="M2004" s="111">
        <v>2470.04</v>
      </c>
      <c r="N2004" s="3">
        <f>L2004*0.3</f>
        <v>2561.9669999999996</v>
      </c>
      <c r="O2004" s="3">
        <f>(IF(L2004&lt;4172.98,0,MIN(L2004*0.3,L2004-4172.98)))-M2004</f>
        <v>91.92699999999968</v>
      </c>
      <c r="P2004" s="6">
        <v>46631</v>
      </c>
      <c r="Q2004" t="s">
        <v>59</v>
      </c>
      <c r="R2004" s="3">
        <v>1477</v>
      </c>
      <c r="S2004" s="3" t="s">
        <v>204</v>
      </c>
      <c r="V2004" s="51">
        <v>0.56111111111111112</v>
      </c>
    </row>
    <row r="2005" spans="1:25">
      <c r="A2005" s="30">
        <v>24401380</v>
      </c>
      <c r="B2005" s="31">
        <v>46276</v>
      </c>
      <c r="C2005" s="32">
        <v>0.56185185185185182</v>
      </c>
      <c r="D2005" s="33"/>
      <c r="E2005" s="34">
        <v>5216641191293</v>
      </c>
      <c r="F2005" s="33"/>
      <c r="G2005" s="33"/>
      <c r="H2005" s="35" t="s">
        <v>1916</v>
      </c>
      <c r="I2005" s="33"/>
      <c r="J2005" s="36"/>
      <c r="K2005" t="s">
        <v>54</v>
      </c>
      <c r="L2005" s="3">
        <v>9081.52</v>
      </c>
      <c r="N2005" s="3">
        <f>L2005*0.3</f>
        <v>2724.4560000000001</v>
      </c>
      <c r="O2005" s="3">
        <f>(IF(L2005&lt;4172.98,0,MIN(L2005*0.3,L2005-4172.98)))-M2005</f>
        <v>2724.4560000000001</v>
      </c>
      <c r="S2005" s="3" t="s">
        <v>348</v>
      </c>
      <c r="T2005" s="48">
        <v>46276</v>
      </c>
      <c r="V2005" s="51">
        <v>0.56319444444444444</v>
      </c>
      <c r="W2005" s="51">
        <v>0.56944444444444442</v>
      </c>
      <c r="X2005" s="51">
        <v>0.57638888888888884</v>
      </c>
      <c r="Y2005" s="51">
        <v>0.57708333333333328</v>
      </c>
    </row>
    <row r="2006" spans="1:25" hidden="1">
      <c r="A2006" s="30">
        <v>24401438</v>
      </c>
      <c r="B2006" s="31">
        <v>46276</v>
      </c>
      <c r="C2006" s="32">
        <v>0.575775462962963</v>
      </c>
      <c r="D2006" s="33"/>
      <c r="E2006" s="34">
        <v>5216561102521</v>
      </c>
      <c r="F2006" s="33"/>
      <c r="G2006" s="33" t="s">
        <v>1917</v>
      </c>
      <c r="H2006" s="35"/>
      <c r="I2006" s="33"/>
      <c r="J2006" s="36"/>
      <c r="K2006" t="s">
        <v>30</v>
      </c>
      <c r="L2006" s="111">
        <v>7116.73</v>
      </c>
      <c r="M2006" s="111">
        <v>2056.9</v>
      </c>
      <c r="N2006" s="3">
        <f>L2006*0.3</f>
        <v>2135.0189999999998</v>
      </c>
      <c r="O2006" s="3">
        <f>(IF(L2006&lt;4172.98,0,MIN(L2006*0.3,L2006-4172.98)))-M2006</f>
        <v>78.118999999999687</v>
      </c>
      <c r="P2006" s="6">
        <v>46784</v>
      </c>
      <c r="Q2006" t="s">
        <v>57</v>
      </c>
      <c r="R2006" s="111">
        <v>2056.9</v>
      </c>
      <c r="S2006" s="3" t="s">
        <v>204</v>
      </c>
      <c r="V2006" s="51">
        <v>0.57777777777777772</v>
      </c>
    </row>
    <row r="2007" spans="1:25" hidden="1">
      <c r="A2007" s="30">
        <v>24402056</v>
      </c>
      <c r="B2007" s="31">
        <v>46276</v>
      </c>
      <c r="C2007" s="32">
        <v>0.58600694444444446</v>
      </c>
      <c r="D2007" s="33"/>
      <c r="E2007" s="34">
        <v>5216441391402</v>
      </c>
      <c r="F2007" s="33"/>
      <c r="G2007" s="33"/>
      <c r="H2007" s="35">
        <v>24786034850</v>
      </c>
      <c r="I2007" s="33"/>
      <c r="J2007" s="36"/>
      <c r="K2007" t="s">
        <v>30</v>
      </c>
      <c r="L2007" s="111">
        <v>6262.86</v>
      </c>
      <c r="M2007" s="111">
        <v>1878.86</v>
      </c>
      <c r="N2007" s="3">
        <f>L2007*0.3</f>
        <v>1878.8579999999997</v>
      </c>
      <c r="O2007" s="3">
        <f>(IF(L2007&lt;4172.98,0,MIN(L2007*0.3,L2007-4172.98)))-M2007</f>
        <v>-2.00000000018008E-3</v>
      </c>
      <c r="P2007" s="6">
        <v>46447</v>
      </c>
      <c r="Q2007" t="s">
        <v>59</v>
      </c>
      <c r="R2007" s="3">
        <v>839</v>
      </c>
      <c r="S2007" s="3" t="s">
        <v>204</v>
      </c>
      <c r="V2007" s="51">
        <v>0.58611111111111114</v>
      </c>
    </row>
    <row r="2008" spans="1:25" hidden="1">
      <c r="A2008" s="30">
        <v>24402520</v>
      </c>
      <c r="B2008" s="31">
        <v>46276</v>
      </c>
      <c r="C2008" s="32">
        <v>0.59211805555555552</v>
      </c>
      <c r="D2008" s="33"/>
      <c r="E2008" s="34">
        <v>5215577925656</v>
      </c>
      <c r="F2008" s="33"/>
      <c r="G2008" s="33"/>
      <c r="H2008" s="35" t="s">
        <v>1918</v>
      </c>
      <c r="I2008" s="33"/>
      <c r="J2008" s="36"/>
      <c r="K2008" t="s">
        <v>30</v>
      </c>
      <c r="L2008" s="111">
        <v>9081.52</v>
      </c>
      <c r="M2008" s="111">
        <v>2517.31</v>
      </c>
      <c r="N2008" s="3">
        <f>L2008*0.3</f>
        <v>2724.4560000000001</v>
      </c>
      <c r="O2008" s="3">
        <f>(IF(L2008&lt;4172.98,0,MIN(L2008*0.3,L2008-4172.98)))-M2008</f>
        <v>207.14600000000019</v>
      </c>
      <c r="P2008" s="6">
        <v>46327</v>
      </c>
      <c r="Q2008" t="s">
        <v>77</v>
      </c>
      <c r="R2008" s="111">
        <v>9081.52</v>
      </c>
      <c r="S2008" s="3" t="s">
        <v>204</v>
      </c>
      <c r="V2008" s="51">
        <v>0.59236111111111112</v>
      </c>
    </row>
    <row r="2009" spans="1:25">
      <c r="A2009" s="30">
        <v>24402748</v>
      </c>
      <c r="B2009" s="31">
        <v>46276</v>
      </c>
      <c r="C2009" s="32">
        <v>0.59876157407407404</v>
      </c>
      <c r="D2009" s="33" t="s">
        <v>1919</v>
      </c>
      <c r="E2009" s="34">
        <v>5219383193397</v>
      </c>
      <c r="F2009" s="33"/>
      <c r="G2009" s="33"/>
      <c r="H2009" s="35" t="s">
        <v>1920</v>
      </c>
      <c r="I2009" s="33"/>
      <c r="J2009" s="36"/>
      <c r="K2009" t="s">
        <v>38</v>
      </c>
      <c r="L2009" s="111">
        <v>9081.52</v>
      </c>
      <c r="M2009" s="111">
        <v>2417.86</v>
      </c>
      <c r="N2009" s="3">
        <f>L2009*0.3</f>
        <v>2724.4560000000001</v>
      </c>
      <c r="O2009" s="3">
        <f>(IF(L2009&lt;4172.98,0,MIN(L2009*0.3,L2009-4172.98)))-M2009</f>
        <v>306.596</v>
      </c>
      <c r="P2009" s="6">
        <v>46296</v>
      </c>
      <c r="Q2009" t="s">
        <v>44</v>
      </c>
      <c r="R2009" s="111">
        <v>2417.86</v>
      </c>
      <c r="S2009" s="3" t="s">
        <v>1921</v>
      </c>
      <c r="T2009" s="48">
        <v>46276</v>
      </c>
      <c r="V2009" s="51">
        <v>0.59861111111111109</v>
      </c>
      <c r="W2009" s="51">
        <v>0.60138888888888886</v>
      </c>
      <c r="X2009" s="51">
        <v>0.60555555555555551</v>
      </c>
      <c r="Y2009" s="51">
        <v>0.62361111111111112</v>
      </c>
    </row>
    <row r="2010" spans="1:25" hidden="1">
      <c r="A2010" s="30">
        <v>24402750</v>
      </c>
      <c r="B2010" s="31">
        <v>46276</v>
      </c>
      <c r="C2010" s="32">
        <v>0.59996527777777775</v>
      </c>
      <c r="D2010" s="33" t="s">
        <v>1922</v>
      </c>
      <c r="E2010" s="34">
        <v>5219131111114</v>
      </c>
      <c r="F2010" s="33"/>
      <c r="G2010" s="33" t="s">
        <v>1923</v>
      </c>
      <c r="H2010" s="35"/>
      <c r="I2010" s="33"/>
      <c r="J2010" s="36"/>
      <c r="K2010" t="s">
        <v>32</v>
      </c>
      <c r="N2010" s="3">
        <f>L2010*0.3</f>
        <v>0</v>
      </c>
      <c r="O2010" s="3">
        <f>(IF(L2010&lt;4172.98,0,MIN(L2010*0.3,L2010-4172.98)))-M2010</f>
        <v>0</v>
      </c>
      <c r="S2010" s="3" t="s">
        <v>204</v>
      </c>
      <c r="V2010" s="51">
        <v>0.6020833333333333</v>
      </c>
    </row>
    <row r="2011" spans="1:25" hidden="1">
      <c r="A2011" s="12">
        <v>24403538</v>
      </c>
      <c r="B2011" s="13">
        <v>46276</v>
      </c>
      <c r="C2011" s="14">
        <v>0.6287152777777778</v>
      </c>
      <c r="D2011" s="15"/>
      <c r="E2011" s="16">
        <v>5214411162385</v>
      </c>
      <c r="F2011" s="15"/>
      <c r="G2011" s="15"/>
      <c r="H2011" s="17">
        <v>14936505214</v>
      </c>
      <c r="I2011" s="15"/>
      <c r="J2011" s="18"/>
      <c r="K2011" t="s">
        <v>189</v>
      </c>
      <c r="N2011" s="3">
        <f>L2011*0.3</f>
        <v>0</v>
      </c>
      <c r="O2011" s="3">
        <f>(IF(L2011&lt;4172.98,0,MIN(L2011*0.3,L2011-4172.98)))-M2011</f>
        <v>0</v>
      </c>
      <c r="S2011" s="3" t="s">
        <v>204</v>
      </c>
      <c r="V2011" s="51">
        <v>0.62986111111111109</v>
      </c>
    </row>
    <row r="2012" spans="1:25" hidden="1">
      <c r="A2012" s="30">
        <v>24403504</v>
      </c>
      <c r="B2012" s="31">
        <v>46276</v>
      </c>
      <c r="C2012" s="32">
        <v>0.62962962962962965</v>
      </c>
      <c r="D2012" s="33"/>
      <c r="E2012" s="34">
        <v>5214495786106</v>
      </c>
      <c r="F2012" s="33"/>
      <c r="G2012" s="33"/>
      <c r="H2012" s="35">
        <v>51755902064</v>
      </c>
      <c r="I2012" s="33"/>
      <c r="J2012" s="36"/>
      <c r="K2012" t="s">
        <v>32</v>
      </c>
      <c r="N2012" s="3">
        <f>L2012*0.3</f>
        <v>0</v>
      </c>
      <c r="O2012" s="3">
        <f>(IF(L2012&lt;4172.98,0,MIN(L2012*0.3,L2012-4172.98)))-M2012</f>
        <v>0</v>
      </c>
      <c r="S2012" s="3" t="s">
        <v>204</v>
      </c>
      <c r="V2012" s="51">
        <v>0.62986111111111109</v>
      </c>
    </row>
    <row r="2013" spans="1:25">
      <c r="A2013" s="30">
        <v>24403692</v>
      </c>
      <c r="B2013" s="31">
        <v>46276</v>
      </c>
      <c r="C2013" s="32">
        <v>0.63292824074074072</v>
      </c>
      <c r="D2013" s="33"/>
      <c r="E2013" s="34">
        <v>5219981180584</v>
      </c>
      <c r="F2013" s="33"/>
      <c r="G2013" s="33"/>
      <c r="H2013" s="35">
        <v>81856605902</v>
      </c>
      <c r="I2013" s="33"/>
      <c r="J2013" s="36"/>
      <c r="K2013" t="s">
        <v>54</v>
      </c>
      <c r="L2013" s="3">
        <v>10636.54</v>
      </c>
      <c r="N2013" s="3">
        <f>L2013*0.3</f>
        <v>3190.962</v>
      </c>
      <c r="O2013" s="3">
        <f>(IF(L2013&lt;4172.98,0,MIN(L2013*0.3,L2013-4172.98)))-M2013</f>
        <v>3190.962</v>
      </c>
      <c r="S2013" s="3" t="s">
        <v>348</v>
      </c>
      <c r="T2013" s="48">
        <v>46276</v>
      </c>
      <c r="V2013" s="51">
        <v>0.6333333333333333</v>
      </c>
      <c r="W2013" s="51">
        <v>0.64583333333333337</v>
      </c>
      <c r="X2013" s="51">
        <v>0.6479166666666667</v>
      </c>
      <c r="Y2013" s="51">
        <v>0.64861111111111114</v>
      </c>
    </row>
    <row r="2014" spans="1:25" hidden="1">
      <c r="A2014" s="30">
        <v>24404098</v>
      </c>
      <c r="B2014" s="31">
        <v>46276</v>
      </c>
      <c r="C2014" s="32">
        <v>0.64629629629629626</v>
      </c>
      <c r="D2014" s="33"/>
      <c r="E2014" s="34">
        <v>5213931082728</v>
      </c>
      <c r="F2014" s="33"/>
      <c r="G2014" s="33" t="s">
        <v>1924</v>
      </c>
      <c r="H2014" s="35"/>
      <c r="I2014" s="15"/>
      <c r="J2014" s="18"/>
      <c r="K2014" t="s">
        <v>51</v>
      </c>
      <c r="N2014" s="3">
        <f>L2014*0.3</f>
        <v>0</v>
      </c>
      <c r="O2014" s="3">
        <f>(IF(L2014&lt;4172.98,0,MIN(L2014*0.3,L2014-4172.98)))-M2014</f>
        <v>0</v>
      </c>
      <c r="S2014" s="3" t="s">
        <v>204</v>
      </c>
      <c r="V2014" s="51">
        <v>0.64652777777777781</v>
      </c>
    </row>
    <row r="2015" spans="1:25" hidden="1">
      <c r="A2015" s="97">
        <v>24404072</v>
      </c>
      <c r="B2015" s="196">
        <v>46276</v>
      </c>
      <c r="C2015" s="197">
        <v>0.64799768518518519</v>
      </c>
      <c r="D2015" s="97"/>
      <c r="E2015" s="192">
        <v>5218781118694</v>
      </c>
      <c r="F2015" s="97"/>
      <c r="G2015" s="97"/>
      <c r="H2015" s="180">
        <v>32825807392</v>
      </c>
      <c r="I2015" s="30"/>
      <c r="J2015" s="36"/>
      <c r="K2015" t="s">
        <v>30</v>
      </c>
      <c r="L2015" s="125">
        <v>17141.07</v>
      </c>
      <c r="M2015" s="125">
        <v>5142.32</v>
      </c>
      <c r="N2015" s="3">
        <f>L2015*0.3</f>
        <v>5142.3209999999999</v>
      </c>
      <c r="O2015" s="3">
        <f>(IF(L2015&lt;4172.98,0,MIN(L2015*0.3,L2015-4172.98)))-M2015</f>
        <v>1.0000000002037268E-3</v>
      </c>
      <c r="P2015" s="6">
        <v>46753</v>
      </c>
      <c r="Q2015" t="s">
        <v>44</v>
      </c>
      <c r="R2015" s="3">
        <v>2570.41</v>
      </c>
      <c r="S2015" s="3" t="s">
        <v>204</v>
      </c>
      <c r="V2015" s="51">
        <v>0.64930555555555558</v>
      </c>
    </row>
    <row r="2016" spans="1:25" hidden="1">
      <c r="A2016" s="97">
        <v>24404464</v>
      </c>
      <c r="B2016" s="196">
        <v>46276</v>
      </c>
      <c r="C2016" s="197">
        <v>0.65921296296296295</v>
      </c>
      <c r="D2016" s="97"/>
      <c r="E2016" s="97">
        <v>5217712651898</v>
      </c>
      <c r="F2016" s="97"/>
      <c r="G2016" s="97"/>
      <c r="H2016" s="97" t="s">
        <v>1925</v>
      </c>
      <c r="I2016" s="30"/>
      <c r="J2016" s="36"/>
      <c r="K2016" t="s">
        <v>51</v>
      </c>
      <c r="N2016" s="3">
        <f>L2016*0.3</f>
        <v>0</v>
      </c>
      <c r="O2016" s="3">
        <f>(IF(L2016&lt;4172.98,0,MIN(L2016*0.3,L2016-4172.98)))-M2016</f>
        <v>0</v>
      </c>
      <c r="S2016" s="3" t="s">
        <v>204</v>
      </c>
      <c r="V2016" s="51">
        <v>0.65972222222222221</v>
      </c>
    </row>
    <row r="2017" spans="1:25" hidden="1">
      <c r="A2017" s="97">
        <v>24404298</v>
      </c>
      <c r="B2017" s="196">
        <v>46276</v>
      </c>
      <c r="C2017" s="197">
        <v>0.66589120370370369</v>
      </c>
      <c r="D2017" s="97"/>
      <c r="E2017" s="192">
        <v>5219332901444</v>
      </c>
      <c r="F2017" s="97"/>
      <c r="G2017" s="97" t="s">
        <v>1926</v>
      </c>
      <c r="H2017" s="180" t="s">
        <v>1927</v>
      </c>
      <c r="I2017" s="30"/>
      <c r="J2017" s="36"/>
      <c r="K2017" t="s">
        <v>51</v>
      </c>
      <c r="N2017" s="3">
        <f>L2017*0.3</f>
        <v>0</v>
      </c>
      <c r="O2017" s="3">
        <f>(IF(L2017&lt;4172.98,0,MIN(L2017*0.3,L2017-4172.98)))-M2017</f>
        <v>0</v>
      </c>
      <c r="S2017" s="3" t="s">
        <v>204</v>
      </c>
      <c r="V2017" s="51">
        <v>0.66597222222222219</v>
      </c>
    </row>
    <row r="2018" spans="1:25" hidden="1">
      <c r="A2018" s="193">
        <v>24404620</v>
      </c>
      <c r="B2018" s="194">
        <v>46276</v>
      </c>
      <c r="C2018" s="195">
        <v>0.66989583333333336</v>
      </c>
      <c r="D2018" s="97"/>
      <c r="E2018" s="192">
        <v>5218712207541</v>
      </c>
      <c r="F2018" s="97"/>
      <c r="G2018" s="97" t="s">
        <v>1928</v>
      </c>
      <c r="H2018" s="180">
        <v>32806405158</v>
      </c>
      <c r="I2018" s="30"/>
      <c r="J2018" s="36"/>
      <c r="K2018" t="s">
        <v>30</v>
      </c>
      <c r="L2018" s="111">
        <v>9760.32</v>
      </c>
      <c r="M2018" s="111">
        <v>2823</v>
      </c>
      <c r="N2018" s="3">
        <f>L2018*0.3</f>
        <v>2928.096</v>
      </c>
      <c r="O2018" s="3">
        <f>(IF(L2018&lt;4172.98,0,MIN(L2018*0.3,L2018-4172.98)))-M2018</f>
        <v>105.096</v>
      </c>
      <c r="P2018" s="6">
        <v>46508</v>
      </c>
      <c r="Q2018" t="s">
        <v>75</v>
      </c>
      <c r="R2018" s="111">
        <v>2823</v>
      </c>
      <c r="S2018" s="3" t="s">
        <v>204</v>
      </c>
      <c r="V2018" s="51">
        <v>0.67013888888888884</v>
      </c>
    </row>
    <row r="2019" spans="1:25">
      <c r="A2019" s="30">
        <v>24404874</v>
      </c>
      <c r="B2019" s="31">
        <v>46276</v>
      </c>
      <c r="C2019" s="32">
        <v>0.68059027777777781</v>
      </c>
      <c r="D2019" s="33"/>
      <c r="E2019" s="34">
        <v>5215577606294</v>
      </c>
      <c r="F2019" s="33"/>
      <c r="G2019" s="33" t="s">
        <v>1929</v>
      </c>
      <c r="H2019" s="35"/>
      <c r="I2019" s="33"/>
      <c r="J2019" s="36"/>
      <c r="K2019" t="s">
        <v>27</v>
      </c>
      <c r="L2019" s="111">
        <v>6262.86</v>
      </c>
      <c r="M2019" s="111">
        <v>1810.99</v>
      </c>
      <c r="N2019" s="3">
        <f>L2019*0.3</f>
        <v>1878.8579999999997</v>
      </c>
      <c r="O2019" s="3">
        <f>(IF(L2019&lt;4172.98,0,MIN(L2019*0.3,L2019-4172.98)))-M2019</f>
        <v>67.867999999999711</v>
      </c>
      <c r="P2019" s="6">
        <v>46266</v>
      </c>
      <c r="Q2019" t="s">
        <v>1930</v>
      </c>
      <c r="R2019" s="111">
        <v>1359.7</v>
      </c>
      <c r="S2019" s="3" t="s">
        <v>1910</v>
      </c>
      <c r="T2019" s="48">
        <v>46276</v>
      </c>
      <c r="V2019" s="51">
        <v>0.68055555555555558</v>
      </c>
      <c r="W2019" s="51">
        <v>0.68888888888888888</v>
      </c>
      <c r="X2019" s="51">
        <v>0.69513888888888886</v>
      </c>
      <c r="Y2019" s="51">
        <v>0.71111111111111114</v>
      </c>
    </row>
    <row r="2020" spans="1:25">
      <c r="A2020" s="30">
        <v>24405060</v>
      </c>
      <c r="B2020" s="31">
        <v>46276</v>
      </c>
      <c r="C2020" s="32">
        <v>0.68509259259259259</v>
      </c>
      <c r="D2020" s="33"/>
      <c r="E2020" s="34">
        <v>5218112306541</v>
      </c>
      <c r="F2020" s="33"/>
      <c r="G2020" s="33"/>
      <c r="H2020" s="35">
        <v>64836510640</v>
      </c>
      <c r="I2020" s="33"/>
      <c r="J2020" s="36"/>
      <c r="K2020" t="s">
        <v>54</v>
      </c>
      <c r="L2020" s="3">
        <v>46457.15</v>
      </c>
      <c r="N2020" s="3">
        <f>L2020*0.3</f>
        <v>13937.145</v>
      </c>
      <c r="O2020" s="3">
        <f>(IF(L2020&lt;4172.98,0,MIN(L2020*0.3,L2020-4172.98)))-M2020</f>
        <v>13937.145</v>
      </c>
      <c r="S2020" s="3" t="s">
        <v>327</v>
      </c>
      <c r="T2020" s="48">
        <v>46276</v>
      </c>
      <c r="V2020" s="51">
        <v>0.68472222222222223</v>
      </c>
      <c r="W2020" s="51">
        <v>0.69305555555555554</v>
      </c>
      <c r="X2020" s="51">
        <v>0.70138888888888884</v>
      </c>
      <c r="Y2020" s="51">
        <v>0.70902777777777781</v>
      </c>
    </row>
    <row r="2021" spans="1:25">
      <c r="A2021" s="30">
        <v>24405264</v>
      </c>
      <c r="B2021" s="31">
        <v>46276</v>
      </c>
      <c r="C2021" s="32">
        <v>0.69949074074074069</v>
      </c>
      <c r="D2021" s="33"/>
      <c r="E2021" s="34">
        <v>5218110601326</v>
      </c>
      <c r="F2021" s="33"/>
      <c r="G2021" s="33"/>
      <c r="H2021" s="35">
        <v>43836160051</v>
      </c>
      <c r="I2021" s="33"/>
      <c r="J2021" s="36"/>
      <c r="K2021" t="s">
        <v>38</v>
      </c>
      <c r="L2021" s="111">
        <v>7202.28</v>
      </c>
      <c r="M2021" s="111">
        <v>1687.52</v>
      </c>
      <c r="N2021" s="3">
        <f>L2021*0.3</f>
        <v>2160.6839999999997</v>
      </c>
      <c r="O2021" s="3">
        <f>(IF(L2021&lt;4172.98,0,MIN(L2021*0.3,L2021-4172.98)))-M2021</f>
        <v>473.16399999999976</v>
      </c>
      <c r="P2021" s="6">
        <v>46600</v>
      </c>
      <c r="Q2021" t="s">
        <v>59</v>
      </c>
      <c r="R2021" s="111">
        <v>1687.52</v>
      </c>
      <c r="S2021" s="3" t="s">
        <v>39</v>
      </c>
      <c r="T2021" s="48">
        <v>46276</v>
      </c>
      <c r="V2021" s="51">
        <v>0.70138888888888884</v>
      </c>
      <c r="W2021" s="51">
        <v>0.7104166666666667</v>
      </c>
      <c r="X2021" s="51">
        <v>0.71319444444444446</v>
      </c>
      <c r="Y2021" s="51">
        <v>0.71458333333333335</v>
      </c>
    </row>
    <row r="2022" spans="1:25" hidden="1">
      <c r="A2022" s="30">
        <v>24405604</v>
      </c>
      <c r="B2022" s="31">
        <v>46276</v>
      </c>
      <c r="C2022" s="32">
        <v>0.71418981481481481</v>
      </c>
      <c r="D2022" s="33"/>
      <c r="E2022" s="34">
        <v>5212299585998</v>
      </c>
      <c r="F2022" s="33"/>
      <c r="G2022" s="33"/>
      <c r="H2022" s="35" t="s">
        <v>1931</v>
      </c>
      <c r="I2022" s="33"/>
      <c r="J2022" s="36"/>
      <c r="K2022" t="s">
        <v>30</v>
      </c>
      <c r="L2022" s="111">
        <v>11703.17</v>
      </c>
      <c r="M2022" s="111">
        <v>3498.5</v>
      </c>
      <c r="N2022" s="3">
        <f>L2022*0.3</f>
        <v>3510.951</v>
      </c>
      <c r="O2022" s="3">
        <f>(IF(L2022&lt;4172.98,0,MIN(L2022*0.3,L2022-4172.98)))-M2022</f>
        <v>12.451000000000022</v>
      </c>
      <c r="P2022" s="6">
        <v>46447</v>
      </c>
      <c r="Q2022" t="s">
        <v>75</v>
      </c>
      <c r="R2022" s="3">
        <v>2900</v>
      </c>
      <c r="S2022" s="3" t="s">
        <v>204</v>
      </c>
      <c r="V2022" s="51">
        <v>0.71388888888888891</v>
      </c>
    </row>
    <row r="2023" spans="1:25" hidden="1">
      <c r="A2023" s="30">
        <v>24405484</v>
      </c>
      <c r="B2023" s="31">
        <v>46276</v>
      </c>
      <c r="C2023" s="32">
        <v>0.72214120370370372</v>
      </c>
      <c r="D2023" s="33" t="s">
        <v>1932</v>
      </c>
      <c r="E2023" s="34">
        <v>5215523017697</v>
      </c>
      <c r="F2023" s="33"/>
      <c r="G2023" s="33" t="s">
        <v>1933</v>
      </c>
      <c r="H2023" s="35" t="s">
        <v>1934</v>
      </c>
      <c r="I2023" s="33"/>
      <c r="J2023" s="36"/>
      <c r="K2023" t="s">
        <v>30</v>
      </c>
      <c r="L2023" s="111">
        <v>9081.52</v>
      </c>
      <c r="M2023" s="111">
        <v>2721.34</v>
      </c>
      <c r="N2023" s="3">
        <f>L2023*0.3</f>
        <v>2724.4560000000001</v>
      </c>
      <c r="O2023" s="3">
        <f>(IF(L2023&lt;4172.98,0,MIN(L2023*0.3,L2023-4172.98)))-M2023</f>
        <v>3.1159999999999854</v>
      </c>
      <c r="P2023" s="6">
        <v>46722</v>
      </c>
      <c r="Q2023" t="s">
        <v>57</v>
      </c>
      <c r="R2023" s="3">
        <v>1800.79</v>
      </c>
      <c r="S2023" s="3" t="s">
        <v>204</v>
      </c>
      <c r="V2023" s="51">
        <v>0.72222222222222221</v>
      </c>
    </row>
    <row r="2024" spans="1:25" hidden="1">
      <c r="A2024" s="30">
        <v>24405888</v>
      </c>
      <c r="B2024" s="31">
        <v>46276</v>
      </c>
      <c r="C2024" s="32">
        <v>0.72906249999999995</v>
      </c>
      <c r="D2024" s="33" t="s">
        <v>1935</v>
      </c>
      <c r="E2024" s="34">
        <v>5214662762646</v>
      </c>
      <c r="F2024" s="33"/>
      <c r="G2024" s="33" t="s">
        <v>1936</v>
      </c>
      <c r="H2024" s="35">
        <v>12904702045</v>
      </c>
      <c r="I2024" s="33"/>
      <c r="J2024" s="36"/>
      <c r="K2024" t="s">
        <v>58</v>
      </c>
      <c r="L2024" s="111">
        <v>3895.73</v>
      </c>
      <c r="M2024" s="111">
        <v>848</v>
      </c>
      <c r="N2024" s="3">
        <f>L2024*0.3</f>
        <v>1168.7190000000001</v>
      </c>
      <c r="O2024" s="3">
        <f>(IF(L2024&lt;4172.98,0,MIN(L2024*0.3,L2024-4172.98)))-M2024</f>
        <v>-848</v>
      </c>
      <c r="S2024" s="3" t="s">
        <v>204</v>
      </c>
      <c r="V2024" s="51">
        <v>0.73611111111111116</v>
      </c>
    </row>
    <row r="2025" spans="1:25">
      <c r="A2025" s="30">
        <v>24405918</v>
      </c>
      <c r="B2025" s="31">
        <v>46276</v>
      </c>
      <c r="C2025" s="32">
        <v>0.74486111111111108</v>
      </c>
      <c r="D2025" s="33"/>
      <c r="E2025" s="34">
        <v>5219983469074</v>
      </c>
      <c r="F2025" s="33"/>
      <c r="G2025" s="33"/>
      <c r="H2025" s="35">
        <v>81856605902</v>
      </c>
      <c r="I2025" s="33"/>
      <c r="J2025" s="36"/>
      <c r="K2025" t="s">
        <v>54</v>
      </c>
      <c r="L2025" s="3">
        <v>10636.54</v>
      </c>
      <c r="N2025" s="3">
        <f>L2025*0.3</f>
        <v>3190.962</v>
      </c>
      <c r="O2025" s="3">
        <f>(IF(L2025&lt;4172.98,0,MIN(L2025*0.3,L2025-4172.98)))-M2025</f>
        <v>3190.962</v>
      </c>
      <c r="S2025" s="3" t="s">
        <v>548</v>
      </c>
      <c r="T2025" s="48">
        <v>46276</v>
      </c>
      <c r="U2025" s="85"/>
      <c r="V2025" s="51">
        <v>0.74513888888888891</v>
      </c>
      <c r="W2025" s="51">
        <v>0.75138888888888888</v>
      </c>
      <c r="X2025" s="51">
        <v>0.76111111111111107</v>
      </c>
      <c r="Y2025" s="51">
        <v>0.76597222222222228</v>
      </c>
    </row>
    <row r="2026" spans="1:25">
      <c r="A2026" s="30">
        <v>24406010</v>
      </c>
      <c r="B2026" s="31">
        <v>46276</v>
      </c>
      <c r="C2026" s="32">
        <v>0.77376157407407409</v>
      </c>
      <c r="D2026" s="33"/>
      <c r="E2026" s="34">
        <v>8332597594</v>
      </c>
      <c r="F2026" s="33"/>
      <c r="G2026" s="33"/>
      <c r="H2026" s="35">
        <v>49916516427</v>
      </c>
      <c r="I2026" s="33"/>
      <c r="J2026" s="36"/>
      <c r="K2026" t="s">
        <v>54</v>
      </c>
      <c r="L2026" s="3">
        <v>9760.32</v>
      </c>
      <c r="N2026" s="3">
        <f>L2026*0.3</f>
        <v>2928.096</v>
      </c>
      <c r="O2026" s="3">
        <f>(IF(L2026&lt;4172.98,0,MIN(L2026*0.3,L2026-4172.98)))-M2026</f>
        <v>2928.096</v>
      </c>
      <c r="S2026" s="3" t="s">
        <v>28</v>
      </c>
      <c r="T2026" s="48">
        <v>46277</v>
      </c>
      <c r="V2026" s="51">
        <v>0.77777777777777779</v>
      </c>
      <c r="W2026" s="51">
        <v>0.36180555555555555</v>
      </c>
      <c r="X2026" s="51">
        <v>0.38611111111111113</v>
      </c>
      <c r="Y2026" s="51">
        <v>0.38750000000000001</v>
      </c>
    </row>
    <row r="2027" spans="1:25">
      <c r="A2027" s="12">
        <v>24406940</v>
      </c>
      <c r="B2027" s="13">
        <v>46276</v>
      </c>
      <c r="C2027" s="14">
        <v>0.79817129629629635</v>
      </c>
      <c r="D2027" s="15"/>
      <c r="E2027" s="16">
        <v>5216121675806</v>
      </c>
      <c r="F2027" s="15"/>
      <c r="G2027" s="15" t="s">
        <v>1937</v>
      </c>
      <c r="H2027" s="17">
        <v>22917001913</v>
      </c>
      <c r="I2027" s="15"/>
      <c r="J2027" s="18"/>
      <c r="K2027" t="s">
        <v>107</v>
      </c>
      <c r="L2027" s="111">
        <v>25090.23</v>
      </c>
      <c r="M2027" s="111">
        <v>7509.52</v>
      </c>
      <c r="N2027" s="3">
        <f t="shared" ref="N2027:N2031" si="260">L2027*0.3</f>
        <v>7527.0689999999995</v>
      </c>
      <c r="O2027" s="3">
        <f t="shared" ref="O2027:O2031" si="261">(IF(L2027&lt;4172.98,0,MIN(L2027*0.3,L2027-4172.98)))-M2027</f>
        <v>17.548999999999069</v>
      </c>
      <c r="P2027" s="6">
        <v>46082</v>
      </c>
      <c r="Q2027" t="s">
        <v>334</v>
      </c>
      <c r="R2027">
        <v>317.10000000000002</v>
      </c>
      <c r="S2027" s="3" t="s">
        <v>1921</v>
      </c>
      <c r="T2027" s="48">
        <v>46277</v>
      </c>
      <c r="V2027" s="51">
        <v>0.33750000000000002</v>
      </c>
      <c r="W2027" s="51">
        <v>0.37013888888888891</v>
      </c>
      <c r="X2027" s="51">
        <v>0.38124999999999998</v>
      </c>
      <c r="Y2027" s="51">
        <v>0.38680555555555557</v>
      </c>
    </row>
    <row r="2028" spans="1:25" hidden="1">
      <c r="A2028" s="12">
        <v>24407234</v>
      </c>
      <c r="B2028" s="13">
        <v>46276</v>
      </c>
      <c r="C2028" s="14">
        <v>0.8168981481481481</v>
      </c>
      <c r="D2028" s="15"/>
      <c r="E2028" s="16">
        <v>5216121391378</v>
      </c>
      <c r="F2028" s="15"/>
      <c r="G2028" s="15"/>
      <c r="H2028" s="17" t="s">
        <v>1938</v>
      </c>
      <c r="I2028" s="15"/>
      <c r="J2028" s="18"/>
      <c r="K2028" t="s">
        <v>58</v>
      </c>
      <c r="L2028" s="3">
        <v>3882.85</v>
      </c>
      <c r="N2028" s="3">
        <f t="shared" si="260"/>
        <v>1164.855</v>
      </c>
      <c r="O2028" s="3">
        <f t="shared" si="261"/>
        <v>0</v>
      </c>
      <c r="S2028" s="3" t="s">
        <v>204</v>
      </c>
      <c r="V2028" s="51">
        <v>0.33750000000000002</v>
      </c>
    </row>
    <row r="2029" spans="1:25">
      <c r="A2029" s="12">
        <v>24407458</v>
      </c>
      <c r="B2029" s="13">
        <v>46276</v>
      </c>
      <c r="C2029" s="14">
        <v>0.82042824074074072</v>
      </c>
      <c r="D2029" s="15" t="s">
        <v>1939</v>
      </c>
      <c r="E2029" s="16">
        <v>5216151344160</v>
      </c>
      <c r="F2029" s="15"/>
      <c r="G2029" s="15" t="s">
        <v>1940</v>
      </c>
      <c r="H2029" s="17" t="s">
        <v>1941</v>
      </c>
      <c r="I2029" s="15"/>
      <c r="J2029" s="18"/>
      <c r="K2029" t="s">
        <v>107</v>
      </c>
      <c r="L2029" s="111">
        <v>6988.79</v>
      </c>
      <c r="M2029" s="111">
        <v>2020.98</v>
      </c>
      <c r="N2029" s="3">
        <f t="shared" si="260"/>
        <v>2096.6369999999997</v>
      </c>
      <c r="O2029" s="3">
        <f t="shared" si="261"/>
        <v>75.656999999999698</v>
      </c>
      <c r="P2029" s="6">
        <v>46082</v>
      </c>
      <c r="Q2029" t="s">
        <v>47</v>
      </c>
      <c r="R2029" s="3">
        <v>870.98</v>
      </c>
      <c r="S2029" s="3" t="s">
        <v>1921</v>
      </c>
      <c r="T2029" s="48">
        <v>46277</v>
      </c>
      <c r="V2029" s="51">
        <v>0.33750000000000002</v>
      </c>
      <c r="W2029" s="51">
        <v>0.37222222222222223</v>
      </c>
      <c r="X2029" s="51">
        <v>0.38194444444444442</v>
      </c>
      <c r="Y2029" s="51">
        <v>0.38611111111111113</v>
      </c>
    </row>
    <row r="2030" spans="1:25" hidden="1">
      <c r="A2030" s="12">
        <v>24407576</v>
      </c>
      <c r="B2030" s="13">
        <v>46276</v>
      </c>
      <c r="C2030" s="14">
        <v>0.82469907407407406</v>
      </c>
      <c r="D2030" s="15"/>
      <c r="E2030" s="16">
        <v>5216645021928</v>
      </c>
      <c r="F2030" s="15"/>
      <c r="G2030" s="15"/>
      <c r="H2030" s="17">
        <v>20895801361</v>
      </c>
      <c r="I2030" s="15"/>
      <c r="J2030" s="18"/>
      <c r="K2030" t="s">
        <v>32</v>
      </c>
      <c r="N2030" s="3">
        <f t="shared" si="260"/>
        <v>0</v>
      </c>
      <c r="O2030" s="3">
        <f t="shared" si="261"/>
        <v>0</v>
      </c>
      <c r="S2030" s="3" t="s">
        <v>204</v>
      </c>
      <c r="V2030" s="51">
        <v>0.33750000000000002</v>
      </c>
    </row>
    <row r="2031" spans="1:25">
      <c r="A2031" s="30">
        <v>24407724</v>
      </c>
      <c r="B2031" s="31">
        <v>46276</v>
      </c>
      <c r="C2031" s="32">
        <v>0.83664351851851848</v>
      </c>
      <c r="D2031" s="33"/>
      <c r="E2031" s="34">
        <v>5215561682753</v>
      </c>
      <c r="F2031" s="33"/>
      <c r="G2031" s="33"/>
      <c r="H2031" s="35">
        <v>11836414588</v>
      </c>
      <c r="I2031" s="33"/>
      <c r="J2031" s="36"/>
      <c r="K2031" t="s">
        <v>54</v>
      </c>
      <c r="L2031" s="3">
        <v>11029.03</v>
      </c>
      <c r="N2031" s="3">
        <f t="shared" si="260"/>
        <v>3308.7090000000003</v>
      </c>
      <c r="O2031" s="3">
        <f t="shared" si="261"/>
        <v>3308.7090000000003</v>
      </c>
      <c r="S2031" s="3" t="s">
        <v>1808</v>
      </c>
      <c r="T2031" s="48">
        <v>46277</v>
      </c>
      <c r="V2031" s="51">
        <v>0.33750000000000002</v>
      </c>
      <c r="W2031" s="51">
        <v>0.36249999999999999</v>
      </c>
      <c r="X2031" s="51">
        <v>0.36666666666666664</v>
      </c>
      <c r="Y2031" s="51">
        <v>0.36736111111111114</v>
      </c>
    </row>
    <row r="2032" spans="1:25">
      <c r="A2032" s="12">
        <v>24407912</v>
      </c>
      <c r="B2032" s="13">
        <v>46276</v>
      </c>
      <c r="C2032" s="14">
        <v>0.85936342592592596</v>
      </c>
      <c r="D2032" s="15" t="s">
        <v>1942</v>
      </c>
      <c r="E2032" s="16">
        <v>5217227551247</v>
      </c>
      <c r="F2032" s="15"/>
      <c r="G2032" s="15" t="s">
        <v>1943</v>
      </c>
      <c r="H2032" s="17"/>
      <c r="I2032" s="15"/>
      <c r="J2032" s="18"/>
      <c r="K2032" t="s">
        <v>54</v>
      </c>
      <c r="L2032" s="3">
        <v>32869.06</v>
      </c>
      <c r="N2032" s="3">
        <f t="shared" ref="N2032:N2038" si="262">L2032*0.3</f>
        <v>9860.7179999999989</v>
      </c>
      <c r="O2032" s="3">
        <f t="shared" ref="O2032:O2038" si="263">(IF(L2032&lt;4172.98,0,MIN(L2032*0.3,L2032-4172.98)))-M2032</f>
        <v>9860.7179999999989</v>
      </c>
      <c r="S2032" s="3" t="s">
        <v>28</v>
      </c>
      <c r="T2032" s="48">
        <v>46277</v>
      </c>
      <c r="V2032" s="51">
        <v>0.33958333333333335</v>
      </c>
      <c r="W2032" s="51">
        <v>0.36319444444444443</v>
      </c>
      <c r="X2032" s="51">
        <v>0.37430555555555556</v>
      </c>
      <c r="Y2032" s="51">
        <v>0.375</v>
      </c>
    </row>
    <row r="2033" spans="1:25" hidden="1">
      <c r="A2033" s="12">
        <v>24408558</v>
      </c>
      <c r="B2033" s="13">
        <v>46276</v>
      </c>
      <c r="C2033" s="14">
        <v>0.89465277777777774</v>
      </c>
      <c r="D2033" s="15"/>
      <c r="E2033" s="16">
        <v>5215535006891</v>
      </c>
      <c r="F2033" s="15"/>
      <c r="G2033" s="15"/>
      <c r="H2033" s="17">
        <v>42806150076</v>
      </c>
      <c r="I2033" s="15"/>
      <c r="J2033" s="18"/>
      <c r="K2033" t="s">
        <v>30</v>
      </c>
      <c r="L2033" s="111">
        <v>10770.18</v>
      </c>
      <c r="M2033" s="111">
        <v>2987.08</v>
      </c>
      <c r="N2033" s="3">
        <f t="shared" si="262"/>
        <v>3231.0540000000001</v>
      </c>
      <c r="O2033" s="3">
        <f t="shared" si="263"/>
        <v>243.97400000000016</v>
      </c>
      <c r="P2033" s="6">
        <v>46388</v>
      </c>
      <c r="Q2033" t="s">
        <v>75</v>
      </c>
      <c r="R2033" s="111">
        <v>2987.08</v>
      </c>
      <c r="S2033" s="3" t="s">
        <v>204</v>
      </c>
      <c r="V2033" s="51">
        <v>0.33958333333333335</v>
      </c>
    </row>
    <row r="2034" spans="1:25" hidden="1">
      <c r="A2034" s="12">
        <v>24408686</v>
      </c>
      <c r="B2034" s="13">
        <v>46276</v>
      </c>
      <c r="C2034" s="14">
        <v>0.90534722222222219</v>
      </c>
      <c r="D2034" s="15"/>
      <c r="E2034" s="16">
        <v>5216861559529</v>
      </c>
      <c r="F2034" s="15"/>
      <c r="G2034" s="15" t="s">
        <v>1944</v>
      </c>
      <c r="H2034" s="17"/>
      <c r="I2034" s="15"/>
      <c r="J2034" s="18"/>
      <c r="K2034" t="s">
        <v>30</v>
      </c>
      <c r="L2034" s="111">
        <v>8910.2900000000009</v>
      </c>
      <c r="M2034" s="111">
        <v>2576.79</v>
      </c>
      <c r="N2034" s="3">
        <f t="shared" si="262"/>
        <v>2673.087</v>
      </c>
      <c r="O2034" s="3">
        <f t="shared" si="263"/>
        <v>96.297000000000025</v>
      </c>
      <c r="P2034" s="6">
        <v>46357</v>
      </c>
      <c r="Q2034" t="s">
        <v>73</v>
      </c>
      <c r="R2034" s="3">
        <v>2223.38</v>
      </c>
      <c r="S2034" s="3" t="s">
        <v>204</v>
      </c>
      <c r="V2034" s="51">
        <v>0.33958333333333335</v>
      </c>
    </row>
    <row r="2035" spans="1:25" hidden="1">
      <c r="A2035" s="12">
        <v>24408644</v>
      </c>
      <c r="B2035" s="13">
        <v>46276</v>
      </c>
      <c r="C2035" s="14">
        <v>0.91656249999999995</v>
      </c>
      <c r="D2035" s="15"/>
      <c r="E2035" s="16">
        <v>5216182088431</v>
      </c>
      <c r="F2035" s="15"/>
      <c r="G2035" s="15"/>
      <c r="H2035" s="17">
        <v>31755802506</v>
      </c>
      <c r="I2035" s="15"/>
      <c r="J2035" s="18"/>
      <c r="K2035" t="s">
        <v>58</v>
      </c>
      <c r="L2035" s="3">
        <f>3494.43+848</f>
        <v>4342.43</v>
      </c>
      <c r="M2035" s="3">
        <v>848</v>
      </c>
      <c r="N2035" s="3">
        <f t="shared" si="262"/>
        <v>1302.729</v>
      </c>
      <c r="O2035" s="3">
        <f t="shared" si="263"/>
        <v>-678.54999999999927</v>
      </c>
      <c r="S2035" s="3" t="s">
        <v>204</v>
      </c>
      <c r="V2035" s="51">
        <v>0.33958333333333335</v>
      </c>
    </row>
    <row r="2036" spans="1:25" hidden="1">
      <c r="A2036" s="12">
        <v>24409012</v>
      </c>
      <c r="B2036" s="13">
        <v>46276</v>
      </c>
      <c r="C2036" s="14">
        <v>0.94738425925925929</v>
      </c>
      <c r="D2036" s="15"/>
      <c r="E2036" s="16">
        <v>5218442445427</v>
      </c>
      <c r="F2036" s="15"/>
      <c r="G2036" s="15"/>
      <c r="H2036" s="17">
        <v>32816548559</v>
      </c>
      <c r="I2036" s="15"/>
      <c r="J2036" s="18"/>
      <c r="K2036" t="s">
        <v>30</v>
      </c>
      <c r="L2036" s="111">
        <v>13730.31</v>
      </c>
      <c r="M2036" s="111">
        <v>3972.42</v>
      </c>
      <c r="N2036" s="3">
        <f t="shared" si="262"/>
        <v>4119.0929999999998</v>
      </c>
      <c r="O2036" s="3">
        <f t="shared" si="263"/>
        <v>146.67299999999977</v>
      </c>
      <c r="P2036" s="6">
        <v>46600</v>
      </c>
      <c r="Q2036" t="s">
        <v>77</v>
      </c>
      <c r="R2036" s="111">
        <v>3972.42</v>
      </c>
      <c r="S2036" s="3" t="s">
        <v>204</v>
      </c>
      <c r="V2036" s="51">
        <v>0.33958333333333335</v>
      </c>
    </row>
    <row r="2037" spans="1:25">
      <c r="A2037" s="12">
        <v>24409570</v>
      </c>
      <c r="B2037" s="13">
        <v>46277</v>
      </c>
      <c r="C2037" s="14">
        <v>6.4837962962962958E-2</v>
      </c>
      <c r="D2037" s="15"/>
      <c r="E2037" s="16">
        <v>5212351010476</v>
      </c>
      <c r="F2037" s="15"/>
      <c r="G2037" s="15" t="s">
        <v>1945</v>
      </c>
      <c r="H2037" s="17"/>
      <c r="I2037" s="15"/>
      <c r="J2037" s="18"/>
      <c r="K2037" t="s">
        <v>54</v>
      </c>
      <c r="L2037" s="3">
        <v>10636.54</v>
      </c>
      <c r="N2037" s="3">
        <f t="shared" si="262"/>
        <v>3190.962</v>
      </c>
      <c r="O2037" s="3">
        <f t="shared" si="263"/>
        <v>3190.962</v>
      </c>
      <c r="S2037" s="3" t="s">
        <v>1946</v>
      </c>
      <c r="T2037" s="48">
        <v>46277</v>
      </c>
      <c r="V2037" s="51">
        <v>0.33958333333333335</v>
      </c>
      <c r="W2037" s="51">
        <v>0.36527777777777776</v>
      </c>
      <c r="X2037" s="51">
        <v>0.37708333333333333</v>
      </c>
      <c r="Y2037" s="51">
        <v>0.37916666666666665</v>
      </c>
    </row>
    <row r="2038" spans="1:25" hidden="1">
      <c r="A2038" s="30">
        <v>24413028</v>
      </c>
      <c r="B2038" s="31">
        <v>46277</v>
      </c>
      <c r="C2038" s="32">
        <v>0.33574074074074073</v>
      </c>
      <c r="D2038" s="33"/>
      <c r="E2038" s="34">
        <v>5218334504186</v>
      </c>
      <c r="F2038" s="33"/>
      <c r="G2038" s="33"/>
      <c r="H2038" s="35">
        <v>31685016755</v>
      </c>
      <c r="I2038" s="33"/>
      <c r="J2038" s="36"/>
      <c r="K2038" t="s">
        <v>58</v>
      </c>
      <c r="L2038" s="3">
        <v>3855.42</v>
      </c>
      <c r="N2038" s="3">
        <f t="shared" si="262"/>
        <v>1156.626</v>
      </c>
      <c r="O2038" s="3">
        <f t="shared" si="263"/>
        <v>0</v>
      </c>
      <c r="S2038" s="3" t="s">
        <v>204</v>
      </c>
      <c r="V2038" s="51">
        <v>0.33958333333333335</v>
      </c>
    </row>
    <row r="2039" spans="1:25" hidden="1">
      <c r="A2039" s="30">
        <v>24413890</v>
      </c>
      <c r="B2039" s="31">
        <v>46277</v>
      </c>
      <c r="C2039" s="32">
        <v>0.36942129629629628</v>
      </c>
      <c r="D2039" s="33" t="s">
        <v>1947</v>
      </c>
      <c r="E2039" s="34">
        <v>5212281386365</v>
      </c>
      <c r="F2039" s="33"/>
      <c r="G2039" s="33" t="s">
        <v>1948</v>
      </c>
      <c r="H2039" s="35" t="s">
        <v>1949</v>
      </c>
      <c r="I2039" s="33"/>
      <c r="J2039" s="36"/>
      <c r="K2039" t="s">
        <v>58</v>
      </c>
      <c r="L2039" s="111">
        <f>3701.04+879</f>
        <v>4580.04</v>
      </c>
      <c r="M2039" s="111">
        <v>879</v>
      </c>
      <c r="N2039" s="3">
        <f>L2039*0.3</f>
        <v>1374.0119999999999</v>
      </c>
      <c r="O2039" s="3">
        <f>(IF(L2039&lt;4172.98,0,MIN(L2039*0.3,L2039-4172.98)))-M2039</f>
        <v>-471.9399999999996</v>
      </c>
      <c r="S2039" s="3" t="s">
        <v>204</v>
      </c>
      <c r="V2039" s="51">
        <v>0.36944444444444446</v>
      </c>
    </row>
    <row r="2040" spans="1:25" hidden="1">
      <c r="A2040" s="30">
        <v>24414516</v>
      </c>
      <c r="B2040" s="31">
        <v>46277</v>
      </c>
      <c r="C2040" s="32">
        <v>0.38636574074074076</v>
      </c>
      <c r="D2040" s="33"/>
      <c r="E2040" s="34">
        <v>5213317775419</v>
      </c>
      <c r="F2040" s="33"/>
      <c r="G2040" s="33"/>
      <c r="H2040" s="35" t="s">
        <v>1950</v>
      </c>
      <c r="I2040" s="33"/>
      <c r="J2040" s="36"/>
      <c r="K2040" t="s">
        <v>32</v>
      </c>
      <c r="N2040" s="3">
        <f>L2040*0.3</f>
        <v>0</v>
      </c>
      <c r="O2040" s="3">
        <f>(IF(L2040&lt;4172.98,0,MIN(L2040*0.3,L2040-4172.98)))-M2040</f>
        <v>0</v>
      </c>
      <c r="S2040" s="3" t="s">
        <v>204</v>
      </c>
      <c r="V2040" s="51">
        <v>0.38680555555555557</v>
      </c>
    </row>
    <row r="2041" spans="1:25" hidden="1">
      <c r="A2041" s="30">
        <v>24414688</v>
      </c>
      <c r="B2041" s="31">
        <v>46277</v>
      </c>
      <c r="C2041" s="32">
        <v>0.39471064814814816</v>
      </c>
      <c r="D2041" s="33"/>
      <c r="E2041" s="34">
        <v>5216621422461</v>
      </c>
      <c r="F2041" s="33"/>
      <c r="G2041" s="33"/>
      <c r="H2041" s="35">
        <v>31843522303</v>
      </c>
      <c r="I2041" s="33"/>
      <c r="J2041" s="36"/>
      <c r="K2041" t="s">
        <v>32</v>
      </c>
      <c r="N2041" s="3">
        <f>L2041*0.3</f>
        <v>0</v>
      </c>
      <c r="O2041" s="3">
        <f>(IF(L2041&lt;4172.98,0,MIN(L2041*0.3,L2041-4172.98)))-M2041</f>
        <v>0</v>
      </c>
      <c r="S2041" s="3" t="s">
        <v>204</v>
      </c>
      <c r="V2041" s="51">
        <v>0.39513888888888887</v>
      </c>
    </row>
    <row r="2042" spans="1:25" hidden="1">
      <c r="A2042" s="30">
        <v>24414776</v>
      </c>
      <c r="B2042" s="31">
        <v>46277</v>
      </c>
      <c r="C2042" s="32">
        <v>0.40707175925925926</v>
      </c>
      <c r="D2042" s="33"/>
      <c r="E2042" s="34">
        <v>5212285477859</v>
      </c>
      <c r="F2042" s="33"/>
      <c r="G2042" s="33" t="s">
        <v>1951</v>
      </c>
      <c r="H2042" s="35"/>
      <c r="I2042" s="33"/>
      <c r="J2042" s="36"/>
      <c r="K2042" t="s">
        <v>32</v>
      </c>
      <c r="N2042" s="3">
        <f>L2042*0.3</f>
        <v>0</v>
      </c>
      <c r="O2042" s="3">
        <f>(IF(L2042&lt;4172.98,0,MIN(L2042*0.3,L2042-4172.98)))-M2042</f>
        <v>0</v>
      </c>
      <c r="S2042" s="3" t="s">
        <v>204</v>
      </c>
      <c r="V2042" s="51">
        <v>0.40833333333333333</v>
      </c>
    </row>
    <row r="2043" spans="1:25">
      <c r="A2043" s="30">
        <v>24415840</v>
      </c>
      <c r="B2043" s="31">
        <v>46277</v>
      </c>
      <c r="C2043" s="32">
        <v>0.44237268518518519</v>
      </c>
      <c r="D2043" s="33"/>
      <c r="E2043" s="34">
        <v>5215578360089</v>
      </c>
      <c r="F2043" s="33"/>
      <c r="G2043" s="33"/>
      <c r="H2043" s="35" t="s">
        <v>1952</v>
      </c>
      <c r="I2043" s="33"/>
      <c r="J2043" s="36"/>
      <c r="K2043" t="s">
        <v>54</v>
      </c>
      <c r="L2043" s="3">
        <v>9572.89</v>
      </c>
      <c r="N2043" s="3">
        <f>L2043*0.3</f>
        <v>2871.8669999999997</v>
      </c>
      <c r="O2043" s="3">
        <f>(IF(L2043&lt;4172.98,0,MIN(L2043*0.3,L2043-4172.98)))-M2043</f>
        <v>2871.8669999999997</v>
      </c>
      <c r="S2043" s="3" t="s">
        <v>1808</v>
      </c>
      <c r="T2043" s="48">
        <v>46277</v>
      </c>
      <c r="V2043" s="51">
        <v>0.44236111111111109</v>
      </c>
      <c r="W2043" s="51">
        <v>0.44513888888888886</v>
      </c>
      <c r="X2043" s="51">
        <v>0.44791666666666669</v>
      </c>
      <c r="Y2043" s="51">
        <v>0.44930555555555557</v>
      </c>
    </row>
    <row r="2044" spans="1:25" hidden="1">
      <c r="A2044" s="30">
        <v>24416082</v>
      </c>
      <c r="B2044" s="31">
        <v>46277</v>
      </c>
      <c r="C2044" s="32">
        <v>0.45917824074074076</v>
      </c>
      <c r="D2044" s="33"/>
      <c r="E2044" s="34">
        <v>5213111067436</v>
      </c>
      <c r="F2044" s="33"/>
      <c r="G2044" s="33"/>
      <c r="H2044" s="35" t="s">
        <v>1953</v>
      </c>
      <c r="I2044" s="33"/>
      <c r="J2044" s="36"/>
      <c r="K2044" t="s">
        <v>51</v>
      </c>
      <c r="N2044" s="3">
        <f>L2044*0.3</f>
        <v>0</v>
      </c>
      <c r="O2044" s="3">
        <f>(IF(L2044&lt;4172.98,0,MIN(L2044*0.3,L2044-4172.98)))-M2044</f>
        <v>0</v>
      </c>
      <c r="S2044" s="3" t="s">
        <v>204</v>
      </c>
      <c r="V2044" s="51">
        <v>0.4597222222222222</v>
      </c>
    </row>
    <row r="2045" spans="1:25">
      <c r="A2045" s="30">
        <v>24416444</v>
      </c>
      <c r="B2045" s="31">
        <v>46277</v>
      </c>
      <c r="C2045" s="32">
        <v>0.47302083333333333</v>
      </c>
      <c r="D2045" s="33"/>
      <c r="E2045" s="34">
        <v>5215585437079</v>
      </c>
      <c r="F2045" s="33"/>
      <c r="G2045" s="33" t="s">
        <v>1954</v>
      </c>
      <c r="H2045" s="35"/>
      <c r="I2045" s="33"/>
      <c r="J2045" s="36"/>
      <c r="K2045" t="s">
        <v>54</v>
      </c>
      <c r="L2045" s="3">
        <v>23392.23</v>
      </c>
      <c r="N2045" s="3">
        <f>L2045*0.3</f>
        <v>7017.6689999999999</v>
      </c>
      <c r="O2045" s="3">
        <f>(IF(L2045&lt;4172.98,0,MIN(L2045*0.3,L2045-4172.98)))-M2045</f>
        <v>7017.6689999999999</v>
      </c>
      <c r="S2045" s="3" t="s">
        <v>28</v>
      </c>
      <c r="T2045" s="48">
        <v>46277</v>
      </c>
      <c r="V2045" s="51">
        <v>0.47361111111111109</v>
      </c>
      <c r="W2045" s="51">
        <v>0.48194444444444445</v>
      </c>
      <c r="X2045" s="51">
        <v>0.48333333333333334</v>
      </c>
      <c r="Y2045" s="51">
        <v>0.48402777777777778</v>
      </c>
    </row>
    <row r="2046" spans="1:25">
      <c r="A2046" s="30">
        <v>24416696</v>
      </c>
      <c r="B2046" s="31">
        <v>46277</v>
      </c>
      <c r="C2046" s="32">
        <v>0.48692129629629627</v>
      </c>
      <c r="D2046" s="33"/>
      <c r="E2046" s="34">
        <v>5214681057347</v>
      </c>
      <c r="F2046" s="33"/>
      <c r="G2046" s="33"/>
      <c r="H2046" s="35">
        <v>41816422798</v>
      </c>
      <c r="I2046" s="33"/>
      <c r="J2046" s="36"/>
      <c r="K2046" t="s">
        <v>38</v>
      </c>
      <c r="L2046" s="111">
        <v>30215.45</v>
      </c>
      <c r="M2046" s="111">
        <v>8742.0499999999993</v>
      </c>
      <c r="N2046" s="3">
        <f>L2046*0.3</f>
        <v>9064.6350000000002</v>
      </c>
      <c r="O2046" s="3">
        <f>(IF(L2046&lt;4172.98,0,MIN(L2046*0.3,L2046-4172.98)))-M2046</f>
        <v>322.58500000000095</v>
      </c>
      <c r="P2046" s="6">
        <v>46753</v>
      </c>
      <c r="Q2046" t="s">
        <v>141</v>
      </c>
      <c r="R2046" s="111">
        <v>8742.0499999999993</v>
      </c>
      <c r="S2046" s="3" t="s">
        <v>1921</v>
      </c>
      <c r="T2046" s="48">
        <v>46277</v>
      </c>
      <c r="V2046" s="51">
        <v>0.48749999999999999</v>
      </c>
      <c r="W2046" s="51">
        <v>0.49166666666666664</v>
      </c>
      <c r="X2046" s="51">
        <v>0.49444444444444446</v>
      </c>
      <c r="Y2046" s="51">
        <v>0.5131944444444444</v>
      </c>
    </row>
    <row r="2047" spans="1:25" hidden="1">
      <c r="A2047" s="30">
        <v>24416728</v>
      </c>
      <c r="B2047" s="31">
        <v>46277</v>
      </c>
      <c r="C2047" s="32">
        <v>0.48876157407407406</v>
      </c>
      <c r="D2047" s="33"/>
      <c r="E2047" s="34">
        <v>5212721818583</v>
      </c>
      <c r="F2047" s="33"/>
      <c r="G2047" s="33" t="s">
        <v>1955</v>
      </c>
      <c r="H2047" s="35"/>
      <c r="I2047" s="33"/>
      <c r="J2047" s="36"/>
      <c r="K2047" t="s">
        <v>32</v>
      </c>
      <c r="N2047" s="3">
        <f>L2047*0.3</f>
        <v>0</v>
      </c>
      <c r="O2047" s="3">
        <f>(IF(L2047&lt;4172.98,0,MIN(L2047*0.3,L2047-4172.98)))-M2047</f>
        <v>0</v>
      </c>
      <c r="S2047" s="3" t="s">
        <v>204</v>
      </c>
      <c r="V2047" s="51">
        <v>0.48888888888888887</v>
      </c>
    </row>
    <row r="2048" spans="1:25" hidden="1">
      <c r="A2048" s="30">
        <v>24416758</v>
      </c>
      <c r="B2048" s="31">
        <v>46277</v>
      </c>
      <c r="C2048" s="32">
        <v>0.49627314814814816</v>
      </c>
      <c r="D2048" s="33"/>
      <c r="E2048" s="34">
        <v>5218114853704</v>
      </c>
      <c r="F2048" s="33"/>
      <c r="G2048" s="33" t="s">
        <v>1956</v>
      </c>
      <c r="H2048" s="35"/>
      <c r="I2048" s="33"/>
      <c r="J2048" s="36"/>
      <c r="K2048" t="s">
        <v>32</v>
      </c>
      <c r="N2048" s="3">
        <f>L2048*0.3</f>
        <v>0</v>
      </c>
      <c r="O2048" s="3">
        <f>(IF(L2048&lt;4172.98,0,MIN(L2048*0.3,L2048-4172.98)))-M2048</f>
        <v>0</v>
      </c>
      <c r="S2048" s="3" t="s">
        <v>204</v>
      </c>
      <c r="V2048" s="51">
        <v>0.49652777777777779</v>
      </c>
    </row>
    <row r="2049" spans="1:25" hidden="1">
      <c r="A2049" s="30">
        <v>24416898</v>
      </c>
      <c r="B2049" s="31">
        <v>46277</v>
      </c>
      <c r="C2049" s="32">
        <v>0.49853009259259257</v>
      </c>
      <c r="D2049" s="33"/>
      <c r="E2049" s="34">
        <v>5212821614797</v>
      </c>
      <c r="F2049" s="33"/>
      <c r="G2049" s="33"/>
      <c r="H2049" s="35" t="s">
        <v>1957</v>
      </c>
      <c r="I2049" s="33"/>
      <c r="J2049" s="36"/>
      <c r="K2049" t="s">
        <v>30</v>
      </c>
      <c r="L2049" s="111">
        <v>9081.52</v>
      </c>
      <c r="M2049" s="111">
        <v>2627.36</v>
      </c>
      <c r="N2049" s="3">
        <f>L2049*0.3</f>
        <v>2724.4560000000001</v>
      </c>
      <c r="O2049" s="3">
        <f>(IF(L2049&lt;4172.98,0,MIN(L2049*0.3,L2049-4172.98)))-M2049</f>
        <v>97.096000000000004</v>
      </c>
      <c r="P2049" s="6">
        <v>46569</v>
      </c>
      <c r="Q2049" t="s">
        <v>75</v>
      </c>
      <c r="R2049" s="3">
        <v>1226.93</v>
      </c>
      <c r="S2049" s="3" t="s">
        <v>204</v>
      </c>
      <c r="V2049" s="51">
        <v>0.5</v>
      </c>
    </row>
    <row r="2050" spans="1:25" hidden="1">
      <c r="A2050" s="30">
        <v>24416910</v>
      </c>
      <c r="B2050" s="31">
        <v>46277</v>
      </c>
      <c r="C2050" s="32">
        <v>0.50938657407407406</v>
      </c>
      <c r="D2050" s="33"/>
      <c r="E2050" s="34">
        <v>5218123309106</v>
      </c>
      <c r="F2050" s="33"/>
      <c r="G2050" s="33"/>
      <c r="H2050" s="35">
        <v>43938002235</v>
      </c>
      <c r="I2050" s="33"/>
      <c r="J2050" s="36"/>
      <c r="K2050" t="s">
        <v>30</v>
      </c>
      <c r="L2050" s="111">
        <v>7135.6</v>
      </c>
      <c r="M2050" s="111">
        <v>2013.83</v>
      </c>
      <c r="N2050" s="3">
        <f>L2050*0.3</f>
        <v>2140.6799999999998</v>
      </c>
      <c r="O2050" s="3">
        <f>(IF(L2050&lt;4172.98,0,MIN(L2050*0.3,L2050-4172.98)))-M2050</f>
        <v>126.84999999999991</v>
      </c>
      <c r="P2050" s="6">
        <v>46722</v>
      </c>
      <c r="Q2050" t="s">
        <v>75</v>
      </c>
      <c r="R2050" s="3">
        <v>2013.83</v>
      </c>
      <c r="S2050" s="3" t="s">
        <v>204</v>
      </c>
      <c r="V2050" s="51">
        <v>0.50902777777777775</v>
      </c>
    </row>
    <row r="2051" spans="1:25">
      <c r="A2051" s="30">
        <v>24417490</v>
      </c>
      <c r="B2051" s="31">
        <v>46277</v>
      </c>
      <c r="C2051" s="32">
        <v>0.52739583333333329</v>
      </c>
      <c r="D2051" s="33"/>
      <c r="E2051" s="34">
        <v>5219611754892</v>
      </c>
      <c r="F2051" s="33"/>
      <c r="G2051" s="33" t="s">
        <v>1958</v>
      </c>
      <c r="H2051" s="35"/>
      <c r="I2051" s="33"/>
      <c r="J2051" s="36"/>
      <c r="K2051" t="s">
        <v>54</v>
      </c>
      <c r="L2051" s="3">
        <f>8223.52+848</f>
        <v>9071.52</v>
      </c>
      <c r="M2051" s="3">
        <v>848</v>
      </c>
      <c r="N2051" s="3">
        <f>L2051*0.3</f>
        <v>2721.4560000000001</v>
      </c>
      <c r="O2051" s="3">
        <f>(IF(L2051&lt;4172.98,0,MIN(L2051*0.3,L2051-4172.98)))-M2051</f>
        <v>1873.4560000000001</v>
      </c>
      <c r="S2051" s="3" t="s">
        <v>1808</v>
      </c>
      <c r="T2051" s="48">
        <v>46277</v>
      </c>
      <c r="V2051" s="51">
        <v>0.52777777777777779</v>
      </c>
      <c r="W2051" s="51">
        <v>0.53125</v>
      </c>
      <c r="X2051" s="51">
        <v>0.53333333333333333</v>
      </c>
      <c r="Y2051" s="51">
        <v>0.53472222222222221</v>
      </c>
    </row>
    <row r="2052" spans="1:25">
      <c r="A2052" s="12">
        <v>24417622</v>
      </c>
      <c r="B2052" s="13">
        <v>46277</v>
      </c>
      <c r="C2052" s="14">
        <v>0.53232638888888884</v>
      </c>
      <c r="D2052" s="15"/>
      <c r="E2052" s="16">
        <v>5213223825931</v>
      </c>
      <c r="F2052" s="15"/>
      <c r="G2052" s="15"/>
      <c r="H2052" s="17">
        <v>54877083318</v>
      </c>
      <c r="I2052" s="15"/>
      <c r="J2052" s="18"/>
      <c r="K2052" t="s">
        <v>54</v>
      </c>
      <c r="L2052" s="3">
        <v>6411.47</v>
      </c>
      <c r="N2052" s="3">
        <f t="shared" ref="N2052:N2053" si="264">L2052*0.3</f>
        <v>1923.441</v>
      </c>
      <c r="O2052" s="3">
        <f t="shared" ref="O2052:O2053" si="265">(IF(L2052&lt;4172.98,0,MIN(L2052*0.3,L2052-4172.98)))-M2052</f>
        <v>1923.441</v>
      </c>
      <c r="S2052" s="3" t="s">
        <v>1946</v>
      </c>
      <c r="T2052" s="48">
        <v>46277</v>
      </c>
      <c r="V2052" s="51">
        <v>0.53402777777777777</v>
      </c>
      <c r="W2052" s="51">
        <v>0.53541666666666665</v>
      </c>
      <c r="X2052" s="51">
        <v>0.53611111111111109</v>
      </c>
      <c r="Y2052" s="51">
        <v>0.5395833333333333</v>
      </c>
    </row>
    <row r="2053" spans="1:25" hidden="1">
      <c r="A2053" s="30">
        <v>24417456</v>
      </c>
      <c r="B2053" s="31">
        <v>46277</v>
      </c>
      <c r="C2053" s="32">
        <v>0.53281250000000002</v>
      </c>
      <c r="D2053" s="33"/>
      <c r="E2053" s="34">
        <v>5214771889333</v>
      </c>
      <c r="F2053" s="33"/>
      <c r="G2053" s="33"/>
      <c r="H2053" s="35">
        <v>12806354630</v>
      </c>
      <c r="I2053" s="33"/>
      <c r="J2053" s="36"/>
      <c r="K2053" t="s">
        <v>30</v>
      </c>
      <c r="L2053" s="111">
        <v>11472.38</v>
      </c>
      <c r="M2053" s="111">
        <v>3430.55</v>
      </c>
      <c r="N2053" s="3">
        <f t="shared" si="264"/>
        <v>3441.7139999999995</v>
      </c>
      <c r="O2053" s="3">
        <f t="shared" si="265"/>
        <v>11.163999999999305</v>
      </c>
      <c r="P2053" s="6">
        <v>46813</v>
      </c>
      <c r="Q2053" t="s">
        <v>141</v>
      </c>
      <c r="R2053" s="111">
        <v>3430.55</v>
      </c>
      <c r="S2053" s="3" t="s">
        <v>204</v>
      </c>
      <c r="V2053" s="51">
        <v>0.53402777777777777</v>
      </c>
    </row>
    <row r="2054" spans="1:25">
      <c r="A2054" s="12">
        <v>24417710</v>
      </c>
      <c r="B2054" s="13">
        <v>46277</v>
      </c>
      <c r="C2054" s="14">
        <v>0.53943287037037035</v>
      </c>
      <c r="D2054" s="15"/>
      <c r="E2054" s="16">
        <v>5218110219261</v>
      </c>
      <c r="F2054" s="15"/>
      <c r="G2054" s="15" t="s">
        <v>1959</v>
      </c>
      <c r="H2054" s="17"/>
      <c r="I2054" s="15"/>
      <c r="J2054" s="18"/>
      <c r="K2054" t="s">
        <v>54</v>
      </c>
      <c r="L2054" s="3">
        <v>6262.86</v>
      </c>
      <c r="N2054" s="3">
        <f t="shared" ref="N2054:N2055" si="266">L2054*0.3</f>
        <v>1878.8579999999997</v>
      </c>
      <c r="O2054" s="3">
        <f t="shared" ref="O2054:O2055" si="267">(IF(L2054&lt;4172.98,0,MIN(L2054*0.3,L2054-4172.98)))-M2054</f>
        <v>1878.8579999999997</v>
      </c>
      <c r="S2054" s="3" t="s">
        <v>62</v>
      </c>
      <c r="T2054" s="48">
        <v>46277</v>
      </c>
      <c r="V2054" s="51">
        <v>0.54097222222222219</v>
      </c>
      <c r="W2054" s="51">
        <v>0.55000000000000004</v>
      </c>
      <c r="X2054" s="51">
        <v>0.55277777777777781</v>
      </c>
      <c r="Y2054" s="51">
        <v>0.55347222222222225</v>
      </c>
    </row>
    <row r="2055" spans="1:25" hidden="1">
      <c r="A2055" s="30">
        <v>24417802</v>
      </c>
      <c r="B2055" s="31">
        <v>46277</v>
      </c>
      <c r="C2055" s="32">
        <v>0.54033564814814816</v>
      </c>
      <c r="D2055" s="33" t="s">
        <v>207</v>
      </c>
      <c r="E2055" s="34">
        <v>5216612420502</v>
      </c>
      <c r="F2055" s="33"/>
      <c r="G2055" s="33" t="s">
        <v>1960</v>
      </c>
      <c r="H2055" s="35"/>
      <c r="I2055" s="33"/>
      <c r="J2055" s="36"/>
      <c r="K2055" t="s">
        <v>32</v>
      </c>
      <c r="N2055" s="3">
        <f t="shared" si="266"/>
        <v>0</v>
      </c>
      <c r="O2055" s="3">
        <f t="shared" si="267"/>
        <v>0</v>
      </c>
      <c r="R2055" s="111"/>
      <c r="S2055" s="3" t="s">
        <v>204</v>
      </c>
      <c r="V2055" s="51">
        <v>0.54097222222222219</v>
      </c>
    </row>
    <row r="2056" spans="1:25" hidden="1">
      <c r="A2056" s="30">
        <v>24418012</v>
      </c>
      <c r="B2056" s="31">
        <v>46277</v>
      </c>
      <c r="C2056" s="32">
        <v>0.55960648148148151</v>
      </c>
      <c r="D2056" s="33"/>
      <c r="E2056" s="34">
        <v>5212227948139</v>
      </c>
      <c r="F2056" s="33"/>
      <c r="G2056" s="33" t="s">
        <v>1961</v>
      </c>
      <c r="H2056" s="35"/>
      <c r="I2056" s="33"/>
      <c r="J2056" s="36"/>
      <c r="K2056" t="s">
        <v>30</v>
      </c>
      <c r="L2056" s="111">
        <v>7920.51</v>
      </c>
      <c r="M2056" s="111">
        <v>2361.73</v>
      </c>
      <c r="N2056" s="3">
        <f>L2056*0.3</f>
        <v>2376.1529999999998</v>
      </c>
      <c r="O2056" s="3">
        <f>(IF(L2056&lt;4172.98,0,MIN(L2056*0.3,L2056-4172.98)))-M2056</f>
        <v>14.422999999999774</v>
      </c>
      <c r="P2056" s="6">
        <v>46966</v>
      </c>
      <c r="Q2056" t="s">
        <v>141</v>
      </c>
      <c r="R2056" s="111">
        <v>2361.73</v>
      </c>
      <c r="S2056" s="3" t="s">
        <v>204</v>
      </c>
      <c r="V2056" s="51">
        <v>0.55972222222222223</v>
      </c>
    </row>
    <row r="2057" spans="1:25" hidden="1">
      <c r="A2057" s="30">
        <v>24418100</v>
      </c>
      <c r="B2057" s="31">
        <v>46277</v>
      </c>
      <c r="C2057" s="32">
        <v>0.56229166666666663</v>
      </c>
      <c r="D2057" s="33"/>
      <c r="E2057" s="34">
        <v>5213513509387</v>
      </c>
      <c r="F2057" s="33"/>
      <c r="G2057" s="33"/>
      <c r="H2057" s="35">
        <v>53866520140</v>
      </c>
      <c r="I2057" s="33"/>
      <c r="J2057" s="36"/>
      <c r="K2057" t="s">
        <v>30</v>
      </c>
      <c r="L2057" s="111">
        <v>9760.32</v>
      </c>
      <c r="M2057" s="111">
        <v>2820.17</v>
      </c>
      <c r="N2057" s="3">
        <f>L2057*0.3</f>
        <v>2928.096</v>
      </c>
      <c r="O2057" s="3">
        <f>(IF(L2057&lt;4172.98,0,MIN(L2057*0.3,L2057-4172.98)))-M2057</f>
        <v>107.92599999999993</v>
      </c>
      <c r="P2057" s="6">
        <v>46722</v>
      </c>
      <c r="Q2057" t="s">
        <v>47</v>
      </c>
      <c r="R2057" s="111">
        <v>2820.17</v>
      </c>
      <c r="S2057" s="3" t="s">
        <v>204</v>
      </c>
      <c r="V2057" s="51">
        <v>0.5625</v>
      </c>
    </row>
    <row r="2058" spans="1:25">
      <c r="A2058" s="30">
        <v>24418172</v>
      </c>
      <c r="B2058" s="31">
        <v>46277</v>
      </c>
      <c r="C2058" s="32">
        <v>0.56645833333333329</v>
      </c>
      <c r="D2058" s="33"/>
      <c r="E2058" s="34">
        <v>5212219706361</v>
      </c>
      <c r="F2058" s="33"/>
      <c r="G2058" s="33" t="s">
        <v>1962</v>
      </c>
      <c r="H2058" s="35"/>
      <c r="I2058" s="33"/>
      <c r="J2058" s="36"/>
      <c r="K2058" t="s">
        <v>27</v>
      </c>
      <c r="L2058" s="111">
        <v>6883.36</v>
      </c>
      <c r="M2058" s="111">
        <v>1815.3</v>
      </c>
      <c r="N2058" s="3">
        <f>L2058*0.3</f>
        <v>2065.0079999999998</v>
      </c>
      <c r="O2058" s="3">
        <f>(IF(L2058&lt;4172.98,0,MIN(L2058*0.3,L2058-4172.98)))-M2058</f>
        <v>249.70799999999986</v>
      </c>
      <c r="P2058" s="6">
        <v>46143</v>
      </c>
      <c r="Q2058" t="s">
        <v>332</v>
      </c>
      <c r="R2058" s="3">
        <v>1815.3</v>
      </c>
      <c r="S2058" s="3" t="s">
        <v>1080</v>
      </c>
      <c r="T2058" s="48">
        <v>46277</v>
      </c>
      <c r="V2058" s="51">
        <v>0.56666666666666665</v>
      </c>
      <c r="W2058" s="51">
        <v>0.5756944444444444</v>
      </c>
      <c r="X2058" s="51">
        <v>0.58125000000000004</v>
      </c>
      <c r="Y2058" s="51">
        <v>0.58472222222222225</v>
      </c>
    </row>
    <row r="2059" spans="1:25" hidden="1">
      <c r="A2059" s="30">
        <v>24418164</v>
      </c>
      <c r="B2059" s="31">
        <v>46277</v>
      </c>
      <c r="C2059" s="32">
        <v>0.5725810185185185</v>
      </c>
      <c r="D2059" s="33"/>
      <c r="E2059" s="34">
        <v>5213322598242</v>
      </c>
      <c r="F2059" s="33"/>
      <c r="G2059" s="33" t="s">
        <v>1963</v>
      </c>
      <c r="H2059" s="35" t="s">
        <v>1964</v>
      </c>
      <c r="I2059" s="33"/>
      <c r="J2059" s="36"/>
      <c r="K2059" t="s">
        <v>32</v>
      </c>
      <c r="N2059" s="3">
        <f>L2059*0.3</f>
        <v>0</v>
      </c>
      <c r="O2059" s="3">
        <f>(IF(L2059&lt;4172.98,0,MIN(L2059*0.3,L2059-4172.98)))-M2059</f>
        <v>0</v>
      </c>
      <c r="S2059" s="3" t="s">
        <v>204</v>
      </c>
      <c r="U2059" s="85"/>
      <c r="V2059" s="51">
        <v>0.57499999999999996</v>
      </c>
    </row>
    <row r="2060" spans="1:25" hidden="1">
      <c r="A2060" s="12">
        <v>24418358</v>
      </c>
      <c r="B2060" s="13">
        <v>46277</v>
      </c>
      <c r="C2060" s="14">
        <v>0.57912037037037034</v>
      </c>
      <c r="D2060" s="15"/>
      <c r="E2060" s="16">
        <v>5212214087016</v>
      </c>
      <c r="F2060" s="15"/>
      <c r="G2060" s="15" t="s">
        <v>1965</v>
      </c>
      <c r="H2060" s="17"/>
      <c r="I2060" s="15"/>
      <c r="J2060" s="18"/>
      <c r="K2060" t="s">
        <v>32</v>
      </c>
      <c r="N2060" s="3">
        <f t="shared" ref="N2060:N2092" si="268">L2060*0.3</f>
        <v>0</v>
      </c>
      <c r="O2060" s="3">
        <f t="shared" ref="O2060:O2092" si="269">(IF(L2060&lt;4172.98,0,MIN(L2060*0.3,L2060-4172.98)))-M2060</f>
        <v>0</v>
      </c>
      <c r="S2060" s="3" t="s">
        <v>204</v>
      </c>
      <c r="V2060" s="172" t="s">
        <v>1966</v>
      </c>
    </row>
    <row r="2061" spans="1:25" hidden="1">
      <c r="A2061" s="12">
        <v>24418342</v>
      </c>
      <c r="B2061" s="13">
        <v>46277</v>
      </c>
      <c r="C2061" s="14">
        <v>0.57932870370370371</v>
      </c>
      <c r="D2061" s="15"/>
      <c r="E2061" s="16">
        <v>5214497532496</v>
      </c>
      <c r="F2061" s="15"/>
      <c r="G2061" s="15"/>
      <c r="H2061" s="17">
        <v>51855700293</v>
      </c>
      <c r="I2061" s="15"/>
      <c r="J2061" s="18"/>
      <c r="K2061" t="s">
        <v>30</v>
      </c>
      <c r="L2061" s="111">
        <v>5514.29</v>
      </c>
      <c r="M2061" s="111">
        <v>1594.29</v>
      </c>
      <c r="N2061" s="3">
        <f t="shared" si="268"/>
        <v>1654.287</v>
      </c>
      <c r="O2061" s="3">
        <f t="shared" si="269"/>
        <v>-252.97999999999956</v>
      </c>
      <c r="P2061" s="6">
        <v>46357</v>
      </c>
      <c r="Q2061" t="s">
        <v>75</v>
      </c>
      <c r="R2061" s="3">
        <v>747.29</v>
      </c>
      <c r="S2061" s="3" t="s">
        <v>204</v>
      </c>
      <c r="V2061" s="172" t="s">
        <v>1966</v>
      </c>
    </row>
    <row r="2062" spans="1:25">
      <c r="A2062" s="12">
        <v>24418314</v>
      </c>
      <c r="B2062" s="13">
        <v>46277</v>
      </c>
      <c r="C2062" s="14">
        <v>0.58509259259259261</v>
      </c>
      <c r="D2062" s="15"/>
      <c r="E2062" s="16">
        <v>5216624153339</v>
      </c>
      <c r="F2062" s="15"/>
      <c r="G2062" s="15"/>
      <c r="H2062" s="17">
        <v>24786101964</v>
      </c>
      <c r="I2062" s="15"/>
      <c r="J2062" s="18"/>
      <c r="K2062" t="s">
        <v>38</v>
      </c>
      <c r="L2062" s="111">
        <v>11768.24</v>
      </c>
      <c r="M2062" s="111">
        <v>2687.84</v>
      </c>
      <c r="N2062" s="3">
        <f t="shared" si="268"/>
        <v>3530.4719999999998</v>
      </c>
      <c r="O2062" s="3">
        <f t="shared" si="269"/>
        <v>842.63199999999961</v>
      </c>
      <c r="P2062" s="6">
        <v>46661</v>
      </c>
      <c r="Q2062" t="s">
        <v>77</v>
      </c>
      <c r="R2062" s="111">
        <v>2687.84</v>
      </c>
      <c r="S2062" s="3" t="s">
        <v>39</v>
      </c>
      <c r="T2062" s="48">
        <v>46278</v>
      </c>
      <c r="V2062" s="172" t="s">
        <v>1966</v>
      </c>
    </row>
    <row r="2063" spans="1:25" hidden="1">
      <c r="A2063" s="12">
        <v>24418728</v>
      </c>
      <c r="B2063" s="13">
        <v>46277</v>
      </c>
      <c r="C2063" s="14">
        <v>0.6013425925925926</v>
      </c>
      <c r="D2063" s="15"/>
      <c r="E2063" s="16"/>
      <c r="F2063" s="15"/>
      <c r="G2063" s="15" t="s">
        <v>1967</v>
      </c>
      <c r="H2063" s="17">
        <v>11745766599</v>
      </c>
      <c r="I2063" s="15"/>
      <c r="J2063" s="18"/>
      <c r="K2063" t="s">
        <v>58</v>
      </c>
      <c r="L2063" s="3">
        <v>4342.43</v>
      </c>
      <c r="N2063" s="3">
        <f t="shared" si="268"/>
        <v>1302.729</v>
      </c>
      <c r="O2063" s="3">
        <f t="shared" si="269"/>
        <v>169.45000000000073</v>
      </c>
      <c r="S2063" s="3" t="s">
        <v>204</v>
      </c>
      <c r="V2063" s="172" t="s">
        <v>1966</v>
      </c>
    </row>
    <row r="2064" spans="1:25" hidden="1">
      <c r="A2064" s="12">
        <v>24418780</v>
      </c>
      <c r="B2064" s="13">
        <v>46277</v>
      </c>
      <c r="C2064" s="14">
        <v>0.60162037037037042</v>
      </c>
      <c r="D2064" s="15"/>
      <c r="E2064" s="16">
        <v>5215527458851</v>
      </c>
      <c r="F2064" s="15"/>
      <c r="G2064" s="15" t="s">
        <v>1968</v>
      </c>
      <c r="H2064" s="17"/>
      <c r="I2064" s="15"/>
      <c r="J2064" s="18"/>
      <c r="K2064" t="s">
        <v>32</v>
      </c>
      <c r="N2064" s="3">
        <f t="shared" si="268"/>
        <v>0</v>
      </c>
      <c r="O2064" s="3">
        <f t="shared" si="269"/>
        <v>0</v>
      </c>
      <c r="S2064" s="3" t="s">
        <v>204</v>
      </c>
      <c r="V2064" s="172" t="s">
        <v>1966</v>
      </c>
    </row>
    <row r="2065" spans="1:22">
      <c r="A2065" s="12">
        <v>24419064</v>
      </c>
      <c r="B2065" s="13">
        <v>46277</v>
      </c>
      <c r="C2065" s="14">
        <v>0.62201388888888887</v>
      </c>
      <c r="D2065" s="15"/>
      <c r="E2065" s="16">
        <v>3115121977</v>
      </c>
      <c r="F2065" s="15"/>
      <c r="G2065" s="15" t="s">
        <v>1969</v>
      </c>
      <c r="H2065" s="17"/>
      <c r="I2065" s="15"/>
      <c r="J2065" s="18"/>
      <c r="K2065" t="s">
        <v>107</v>
      </c>
      <c r="L2065" s="111">
        <v>5971.2</v>
      </c>
      <c r="M2065" s="111">
        <v>741.2</v>
      </c>
      <c r="N2065" s="3">
        <f t="shared" si="268"/>
        <v>1791.36</v>
      </c>
      <c r="O2065" s="3">
        <f t="shared" si="269"/>
        <v>1050.1599999999999</v>
      </c>
      <c r="P2065" s="6">
        <v>45383</v>
      </c>
      <c r="Q2065" t="s">
        <v>1970</v>
      </c>
      <c r="R2065" s="111">
        <v>741.2</v>
      </c>
      <c r="S2065" s="3" t="s">
        <v>39</v>
      </c>
      <c r="T2065" s="48">
        <v>46278</v>
      </c>
      <c r="V2065" s="172" t="s">
        <v>1966</v>
      </c>
    </row>
    <row r="2066" spans="1:22" hidden="1">
      <c r="A2066" s="12">
        <v>24419116</v>
      </c>
      <c r="B2066" s="13">
        <v>46277</v>
      </c>
      <c r="C2066" s="14">
        <v>0.6253009259259259</v>
      </c>
      <c r="D2066" s="15" t="s">
        <v>1971</v>
      </c>
      <c r="E2066" s="16">
        <v>5218123939908</v>
      </c>
      <c r="F2066" s="15"/>
      <c r="G2066" s="15" t="s">
        <v>1972</v>
      </c>
      <c r="H2066" s="17">
        <v>43776056400</v>
      </c>
      <c r="I2066" s="15"/>
      <c r="J2066" s="18"/>
      <c r="K2066" t="s">
        <v>30</v>
      </c>
      <c r="L2066" s="111">
        <v>18292.38</v>
      </c>
      <c r="M2066" s="111">
        <v>5487.67</v>
      </c>
      <c r="N2066" s="3">
        <f t="shared" si="268"/>
        <v>5487.7139999999999</v>
      </c>
      <c r="O2066" s="3">
        <f t="shared" si="269"/>
        <v>4.3999999999869033E-2</v>
      </c>
      <c r="P2066" s="6">
        <v>46692</v>
      </c>
      <c r="Q2066" t="s">
        <v>75</v>
      </c>
      <c r="R2066" s="3">
        <v>4847.13</v>
      </c>
      <c r="S2066" s="3" t="s">
        <v>204</v>
      </c>
      <c r="V2066" s="172" t="s">
        <v>1966</v>
      </c>
    </row>
    <row r="2067" spans="1:22" hidden="1">
      <c r="A2067" s="12">
        <v>24419238</v>
      </c>
      <c r="B2067" s="13">
        <v>46277</v>
      </c>
      <c r="C2067" s="14">
        <v>0.63041666666666663</v>
      </c>
      <c r="D2067" s="15"/>
      <c r="E2067" s="16">
        <v>5214681144141</v>
      </c>
      <c r="F2067" s="15"/>
      <c r="G2067" s="15" t="s">
        <v>1973</v>
      </c>
      <c r="H2067" s="17"/>
      <c r="I2067" s="15"/>
      <c r="J2067" s="18"/>
      <c r="K2067" t="s">
        <v>32</v>
      </c>
      <c r="N2067" s="3">
        <f t="shared" si="268"/>
        <v>0</v>
      </c>
      <c r="O2067" s="3">
        <f t="shared" si="269"/>
        <v>0</v>
      </c>
      <c r="S2067" s="3" t="s">
        <v>204</v>
      </c>
      <c r="V2067" s="172" t="s">
        <v>1966</v>
      </c>
    </row>
    <row r="2068" spans="1:22">
      <c r="A2068" s="12">
        <v>24419216</v>
      </c>
      <c r="B2068" s="13">
        <v>46277</v>
      </c>
      <c r="C2068" s="14">
        <v>0.6420717592592593</v>
      </c>
      <c r="D2068" s="15"/>
      <c r="E2068" s="16">
        <v>5216647660045</v>
      </c>
      <c r="F2068" s="15"/>
      <c r="G2068" s="15"/>
      <c r="H2068" s="17">
        <v>24856517842</v>
      </c>
      <c r="I2068" s="15"/>
      <c r="J2068" s="18"/>
      <c r="K2068" t="s">
        <v>54</v>
      </c>
      <c r="L2068" s="3">
        <f>214876.11-196768.6</f>
        <v>18107.50999999998</v>
      </c>
      <c r="N2068" s="3">
        <f t="shared" si="268"/>
        <v>5432.2529999999942</v>
      </c>
      <c r="O2068" s="3">
        <f t="shared" si="269"/>
        <v>5432.2529999999942</v>
      </c>
      <c r="S2068" s="3" t="s">
        <v>95</v>
      </c>
      <c r="T2068" s="48">
        <v>46278</v>
      </c>
      <c r="V2068" s="172" t="s">
        <v>1966</v>
      </c>
    </row>
    <row r="2069" spans="1:22">
      <c r="A2069" s="12">
        <v>24419506</v>
      </c>
      <c r="B2069" s="13">
        <v>46277</v>
      </c>
      <c r="C2069" s="14">
        <v>0.64987268518518515</v>
      </c>
      <c r="D2069" s="15"/>
      <c r="E2069" s="16">
        <v>5216699298432</v>
      </c>
      <c r="F2069" s="15"/>
      <c r="G2069" s="15" t="s">
        <v>1974</v>
      </c>
      <c r="H2069" s="17"/>
      <c r="I2069" s="15"/>
      <c r="J2069" s="18"/>
      <c r="K2069" t="s">
        <v>54</v>
      </c>
      <c r="L2069" s="111">
        <v>13393.44</v>
      </c>
      <c r="M2069" s="111">
        <v>2063.14</v>
      </c>
      <c r="N2069" s="3">
        <f t="shared" si="268"/>
        <v>4018.0320000000002</v>
      </c>
      <c r="O2069" s="3">
        <f t="shared" si="269"/>
        <v>1954.8920000000003</v>
      </c>
      <c r="P2069" s="6">
        <v>46874</v>
      </c>
      <c r="Q2069" t="s">
        <v>59</v>
      </c>
      <c r="R2069" s="3">
        <v>1587.03</v>
      </c>
      <c r="S2069" s="3" t="s">
        <v>1910</v>
      </c>
      <c r="T2069" s="48">
        <v>46278</v>
      </c>
      <c r="V2069" s="172" t="s">
        <v>1966</v>
      </c>
    </row>
    <row r="2070" spans="1:22" hidden="1">
      <c r="A2070" s="12">
        <v>24419532</v>
      </c>
      <c r="B2070" s="13">
        <v>46277</v>
      </c>
      <c r="C2070" s="14">
        <v>0.65072916666666669</v>
      </c>
      <c r="D2070" s="15" t="s">
        <v>1975</v>
      </c>
      <c r="E2070" s="16">
        <v>5218445381439</v>
      </c>
      <c r="F2070" s="15"/>
      <c r="G2070" s="15" t="s">
        <v>1976</v>
      </c>
      <c r="H2070" s="17">
        <v>31755508061</v>
      </c>
      <c r="I2070" s="15"/>
      <c r="J2070" s="18"/>
      <c r="K2070" t="s">
        <v>58</v>
      </c>
      <c r="L2070" s="111">
        <v>4199.87</v>
      </c>
      <c r="M2070" s="111">
        <v>879</v>
      </c>
      <c r="N2070" s="3">
        <f t="shared" si="268"/>
        <v>1259.961</v>
      </c>
      <c r="O2070" s="3">
        <f t="shared" si="269"/>
        <v>-852.10999999999967</v>
      </c>
      <c r="S2070" s="3" t="s">
        <v>204</v>
      </c>
      <c r="V2070" s="172" t="s">
        <v>1966</v>
      </c>
    </row>
    <row r="2071" spans="1:22">
      <c r="A2071" s="12">
        <v>24419538</v>
      </c>
      <c r="B2071" s="13">
        <v>46277</v>
      </c>
      <c r="C2071" s="14">
        <v>0.6522337962962963</v>
      </c>
      <c r="D2071" s="15"/>
      <c r="E2071" s="16">
        <v>5218182506455</v>
      </c>
      <c r="F2071" s="15"/>
      <c r="G2071" s="15"/>
      <c r="H2071" s="17">
        <v>43816286447</v>
      </c>
      <c r="I2071" s="15"/>
      <c r="J2071" s="18"/>
      <c r="K2071" t="s">
        <v>54</v>
      </c>
      <c r="L2071" s="111">
        <v>12862.44</v>
      </c>
      <c r="M2071" s="111">
        <v>1712.6</v>
      </c>
      <c r="N2071" s="3">
        <f t="shared" si="268"/>
        <v>3858.732</v>
      </c>
      <c r="O2071" s="3">
        <f t="shared" si="269"/>
        <v>2146.1320000000001</v>
      </c>
      <c r="P2071" s="6">
        <v>46266</v>
      </c>
      <c r="Q2071" t="s">
        <v>421</v>
      </c>
      <c r="R2071" s="111">
        <v>765.08</v>
      </c>
      <c r="S2071" s="3" t="s">
        <v>95</v>
      </c>
      <c r="T2071" s="48">
        <v>46278</v>
      </c>
      <c r="V2071" s="172" t="s">
        <v>1966</v>
      </c>
    </row>
    <row r="2072" spans="1:22" hidden="1">
      <c r="A2072" s="12">
        <v>24419600</v>
      </c>
      <c r="B2072" s="13">
        <v>46277</v>
      </c>
      <c r="C2072" s="14">
        <v>0.66335648148148152</v>
      </c>
      <c r="D2072" s="15"/>
      <c r="E2072" s="16">
        <v>5218110684228</v>
      </c>
      <c r="F2072" s="15"/>
      <c r="G2072" s="15" t="s">
        <v>1977</v>
      </c>
      <c r="H2072" s="17"/>
      <c r="I2072" s="15"/>
      <c r="J2072" s="18"/>
      <c r="K2072" t="s">
        <v>32</v>
      </c>
      <c r="N2072" s="3">
        <f t="shared" si="268"/>
        <v>0</v>
      </c>
      <c r="O2072" s="3">
        <f t="shared" si="269"/>
        <v>0</v>
      </c>
      <c r="S2072" s="3" t="s">
        <v>204</v>
      </c>
      <c r="V2072" s="172" t="s">
        <v>1966</v>
      </c>
    </row>
    <row r="2073" spans="1:22">
      <c r="A2073" s="12">
        <v>24419792</v>
      </c>
      <c r="B2073" s="13">
        <v>46277</v>
      </c>
      <c r="C2073" s="14">
        <v>0.67377314814814815</v>
      </c>
      <c r="D2073" s="15"/>
      <c r="E2073" s="16">
        <v>5218121599310</v>
      </c>
      <c r="F2073" s="15"/>
      <c r="G2073" s="15"/>
      <c r="H2073" s="17">
        <v>43826410045</v>
      </c>
      <c r="I2073" s="15"/>
      <c r="J2073" s="18"/>
      <c r="K2073" t="s">
        <v>54</v>
      </c>
      <c r="L2073" s="111">
        <v>32068.38</v>
      </c>
      <c r="M2073" s="111">
        <v>6796.2</v>
      </c>
      <c r="N2073" s="3">
        <f t="shared" si="268"/>
        <v>9620.5139999999992</v>
      </c>
      <c r="O2073" s="3">
        <f t="shared" si="269"/>
        <v>2824.3139999999994</v>
      </c>
      <c r="P2073" s="6">
        <v>46600</v>
      </c>
      <c r="Q2073" t="s">
        <v>75</v>
      </c>
      <c r="R2073" s="111">
        <v>6796.2</v>
      </c>
      <c r="S2073" s="3" t="s">
        <v>95</v>
      </c>
      <c r="T2073" s="48">
        <v>46278</v>
      </c>
      <c r="V2073" s="172" t="s">
        <v>1966</v>
      </c>
    </row>
    <row r="2074" spans="1:22">
      <c r="A2074" s="12">
        <v>24420904</v>
      </c>
      <c r="B2074" s="13">
        <v>46277</v>
      </c>
      <c r="C2074" s="14">
        <v>0.68309027777777775</v>
      </c>
      <c r="D2074" s="15"/>
      <c r="E2074" s="16">
        <v>5216621732543</v>
      </c>
      <c r="F2074" s="15"/>
      <c r="G2074" s="15"/>
      <c r="H2074" s="17">
        <v>24836557165</v>
      </c>
      <c r="I2074" s="15"/>
      <c r="J2074" s="18"/>
      <c r="K2074" t="s">
        <v>54</v>
      </c>
      <c r="L2074" s="3">
        <v>11029.03</v>
      </c>
      <c r="N2074" s="3">
        <f t="shared" si="268"/>
        <v>3308.7090000000003</v>
      </c>
      <c r="O2074" s="3">
        <f t="shared" si="269"/>
        <v>3308.7090000000003</v>
      </c>
      <c r="S2074" s="3" t="s">
        <v>879</v>
      </c>
      <c r="T2074" s="48">
        <v>46278</v>
      </c>
      <c r="V2074" s="172" t="s">
        <v>1966</v>
      </c>
    </row>
    <row r="2075" spans="1:22" hidden="1">
      <c r="A2075" s="12">
        <v>24420992</v>
      </c>
      <c r="B2075" s="13">
        <v>46277</v>
      </c>
      <c r="C2075" s="14">
        <v>0.68664351851851857</v>
      </c>
      <c r="D2075" s="15"/>
      <c r="E2075" s="16">
        <v>5219936225289</v>
      </c>
      <c r="F2075" s="15"/>
      <c r="G2075" s="15" t="s">
        <v>1978</v>
      </c>
      <c r="H2075" s="17"/>
      <c r="I2075" s="15"/>
      <c r="J2075" s="18"/>
      <c r="K2075" t="s">
        <v>32</v>
      </c>
      <c r="N2075" s="3">
        <f t="shared" si="268"/>
        <v>0</v>
      </c>
      <c r="O2075" s="3">
        <f t="shared" si="269"/>
        <v>0</v>
      </c>
      <c r="S2075" s="3" t="s">
        <v>204</v>
      </c>
      <c r="V2075" s="172" t="s">
        <v>1966</v>
      </c>
    </row>
    <row r="2076" spans="1:22" hidden="1">
      <c r="A2076" s="12">
        <v>24421322</v>
      </c>
      <c r="B2076" s="13">
        <v>46277</v>
      </c>
      <c r="C2076" s="14">
        <v>0.7095717592592593</v>
      </c>
      <c r="D2076" s="15"/>
      <c r="E2076" s="16">
        <v>5218993040293</v>
      </c>
      <c r="F2076" s="15"/>
      <c r="G2076" s="15" t="s">
        <v>1979</v>
      </c>
      <c r="H2076" s="17"/>
      <c r="I2076" s="15"/>
      <c r="J2076" s="18"/>
      <c r="K2076" t="s">
        <v>30</v>
      </c>
      <c r="L2076" s="111">
        <v>9081.52</v>
      </c>
      <c r="M2076" s="111">
        <v>2723.35</v>
      </c>
      <c r="N2076" s="3">
        <f t="shared" si="268"/>
        <v>2724.4560000000001</v>
      </c>
      <c r="O2076" s="3">
        <f t="shared" si="269"/>
        <v>1.1060000000002219</v>
      </c>
      <c r="P2076" s="6">
        <v>46997</v>
      </c>
      <c r="Q2076" t="s">
        <v>59</v>
      </c>
      <c r="R2076" s="111">
        <v>2723.35</v>
      </c>
      <c r="S2076" s="3" t="s">
        <v>204</v>
      </c>
      <c r="V2076" s="172" t="s">
        <v>1966</v>
      </c>
    </row>
    <row r="2077" spans="1:22" hidden="1">
      <c r="A2077" s="12">
        <v>24421690</v>
      </c>
      <c r="B2077" s="13">
        <v>46277</v>
      </c>
      <c r="C2077" s="14">
        <v>0.73583333333333334</v>
      </c>
      <c r="D2077" s="15"/>
      <c r="E2077" s="16">
        <v>5219934296008</v>
      </c>
      <c r="F2077" s="15"/>
      <c r="G2077" s="15" t="s">
        <v>1980</v>
      </c>
      <c r="H2077" s="17"/>
      <c r="I2077" s="15"/>
      <c r="J2077" s="18"/>
      <c r="K2077" t="s">
        <v>32</v>
      </c>
      <c r="N2077" s="3">
        <f t="shared" si="268"/>
        <v>0</v>
      </c>
      <c r="O2077" s="3">
        <f t="shared" si="269"/>
        <v>0</v>
      </c>
      <c r="S2077" s="3" t="s">
        <v>204</v>
      </c>
      <c r="V2077" s="172" t="s">
        <v>1966</v>
      </c>
    </row>
    <row r="2078" spans="1:22">
      <c r="A2078" s="12">
        <v>24421730</v>
      </c>
      <c r="B2078" s="13">
        <v>46277</v>
      </c>
      <c r="C2078" s="14">
        <v>0.74184027777777772</v>
      </c>
      <c r="D2078" s="15"/>
      <c r="E2078" s="16">
        <v>5215591031012</v>
      </c>
      <c r="F2078" s="15"/>
      <c r="G2078" s="15" t="s">
        <v>1981</v>
      </c>
      <c r="H2078" s="17"/>
      <c r="I2078" s="15"/>
      <c r="J2078" s="18"/>
      <c r="K2078" t="s">
        <v>27</v>
      </c>
      <c r="L2078" s="111">
        <v>10875.92</v>
      </c>
      <c r="M2078" s="111">
        <v>3145.88</v>
      </c>
      <c r="N2078" s="3">
        <f t="shared" si="268"/>
        <v>3262.7759999999998</v>
      </c>
      <c r="O2078" s="3">
        <f t="shared" si="269"/>
        <v>116.89599999999973</v>
      </c>
      <c r="P2078" s="6">
        <v>46204</v>
      </c>
      <c r="Q2078" t="s">
        <v>1982</v>
      </c>
      <c r="R2078" s="111">
        <v>3018.88</v>
      </c>
      <c r="S2078" s="3" t="s">
        <v>1080</v>
      </c>
      <c r="T2078" s="48">
        <v>46278</v>
      </c>
      <c r="V2078" s="172" t="s">
        <v>1966</v>
      </c>
    </row>
    <row r="2079" spans="1:22" hidden="1">
      <c r="A2079" s="12">
        <v>24421812</v>
      </c>
      <c r="B2079" s="13">
        <v>46277</v>
      </c>
      <c r="C2079" s="14">
        <v>0.74539351851851854</v>
      </c>
      <c r="D2079" s="15" t="s">
        <v>1983</v>
      </c>
      <c r="E2079" s="16">
        <v>5216679028480</v>
      </c>
      <c r="F2079" s="15"/>
      <c r="G2079" s="15"/>
      <c r="H2079" s="17">
        <v>23745700064</v>
      </c>
      <c r="I2079" s="15"/>
      <c r="J2079" s="18"/>
      <c r="K2079" t="s">
        <v>58</v>
      </c>
      <c r="L2079" s="111">
        <v>4994.38</v>
      </c>
      <c r="M2079" s="111">
        <v>848</v>
      </c>
      <c r="N2079" s="3">
        <f t="shared" si="268"/>
        <v>1498.3140000000001</v>
      </c>
      <c r="O2079" s="3">
        <f t="shared" si="269"/>
        <v>-26.599999999999454</v>
      </c>
      <c r="S2079" s="3" t="s">
        <v>204</v>
      </c>
      <c r="V2079" s="172" t="s">
        <v>1966</v>
      </c>
    </row>
    <row r="2080" spans="1:22" hidden="1">
      <c r="A2080" s="12">
        <v>24422118</v>
      </c>
      <c r="B2080" s="13">
        <v>46277</v>
      </c>
      <c r="C2080" s="14">
        <v>0.76754629629629634</v>
      </c>
      <c r="D2080" s="15"/>
      <c r="E2080" s="16">
        <v>5216462402087</v>
      </c>
      <c r="F2080" s="15"/>
      <c r="G2080" s="15" t="s">
        <v>1984</v>
      </c>
      <c r="H2080" s="17">
        <v>24775815442</v>
      </c>
      <c r="I2080" s="15"/>
      <c r="J2080" s="18"/>
      <c r="K2080" t="s">
        <v>58</v>
      </c>
      <c r="L2080" s="3">
        <v>4342.43</v>
      </c>
      <c r="N2080" s="3">
        <f t="shared" si="268"/>
        <v>1302.729</v>
      </c>
      <c r="O2080" s="3">
        <f t="shared" si="269"/>
        <v>169.45000000000073</v>
      </c>
      <c r="S2080" s="3" t="s">
        <v>204</v>
      </c>
      <c r="V2080" s="172" t="s">
        <v>1966</v>
      </c>
    </row>
    <row r="2081" spans="1:22" hidden="1">
      <c r="A2081" s="12">
        <v>24422406</v>
      </c>
      <c r="B2081" s="13">
        <v>46277</v>
      </c>
      <c r="C2081" s="14">
        <v>0.78806712962962966</v>
      </c>
      <c r="D2081" s="15"/>
      <c r="E2081" s="16">
        <v>5215571283132</v>
      </c>
      <c r="F2081" s="15"/>
      <c r="G2081" s="15"/>
      <c r="H2081" s="17">
        <v>42856655016</v>
      </c>
      <c r="I2081" s="15"/>
      <c r="J2081" s="18"/>
      <c r="K2081" t="s">
        <v>30</v>
      </c>
      <c r="L2081" s="111">
        <v>10636.54</v>
      </c>
      <c r="M2081" s="111">
        <v>3189.2</v>
      </c>
      <c r="N2081" s="3">
        <f t="shared" si="268"/>
        <v>3190.962</v>
      </c>
      <c r="O2081" s="3">
        <f t="shared" si="269"/>
        <v>1.762000000000171</v>
      </c>
      <c r="P2081" s="6">
        <v>46905</v>
      </c>
      <c r="Q2081" t="s">
        <v>421</v>
      </c>
      <c r="R2081" s="111">
        <v>3189.2</v>
      </c>
      <c r="S2081" s="3" t="s">
        <v>204</v>
      </c>
      <c r="V2081" s="172" t="s">
        <v>1966</v>
      </c>
    </row>
    <row r="2082" spans="1:22">
      <c r="A2082" s="12">
        <v>24422500</v>
      </c>
      <c r="B2082" s="13">
        <v>46277</v>
      </c>
      <c r="C2082" s="14">
        <v>0.79964120370370373</v>
      </c>
      <c r="D2082" s="15"/>
      <c r="E2082" s="16">
        <v>5218110734416</v>
      </c>
      <c r="F2082" s="15"/>
      <c r="G2082" s="15" t="s">
        <v>1985</v>
      </c>
      <c r="H2082" s="17"/>
      <c r="I2082" s="15"/>
      <c r="J2082" s="18"/>
      <c r="K2082" t="s">
        <v>54</v>
      </c>
      <c r="L2082" s="3">
        <v>10758.97</v>
      </c>
      <c r="N2082" s="3">
        <f t="shared" si="268"/>
        <v>3227.6909999999998</v>
      </c>
      <c r="O2082" s="3">
        <f t="shared" si="269"/>
        <v>3227.6909999999998</v>
      </c>
      <c r="S2082" s="3" t="s">
        <v>886</v>
      </c>
      <c r="T2082" s="48">
        <v>46278</v>
      </c>
      <c r="V2082" s="172" t="s">
        <v>1966</v>
      </c>
    </row>
    <row r="2083" spans="1:22" hidden="1">
      <c r="A2083" s="12">
        <v>24422590</v>
      </c>
      <c r="B2083" s="13">
        <v>46277</v>
      </c>
      <c r="C2083" s="14">
        <v>0.80664351851851857</v>
      </c>
      <c r="D2083" s="15"/>
      <c r="E2083" s="16">
        <v>5216121340053</v>
      </c>
      <c r="F2083" s="15"/>
      <c r="G2083" s="15" t="s">
        <v>1986</v>
      </c>
      <c r="H2083" s="17"/>
      <c r="I2083" s="15"/>
      <c r="J2083" s="18"/>
      <c r="K2083" t="s">
        <v>32</v>
      </c>
      <c r="N2083" s="3">
        <f t="shared" si="268"/>
        <v>0</v>
      </c>
      <c r="O2083" s="3">
        <f t="shared" si="269"/>
        <v>0</v>
      </c>
      <c r="S2083" s="3" t="s">
        <v>204</v>
      </c>
      <c r="V2083" s="172" t="s">
        <v>1966</v>
      </c>
    </row>
    <row r="2084" spans="1:22" hidden="1">
      <c r="A2084" s="12">
        <v>24422768</v>
      </c>
      <c r="B2084" s="13">
        <v>46277</v>
      </c>
      <c r="C2084" s="14">
        <v>0.82005787037037037</v>
      </c>
      <c r="D2084" s="15"/>
      <c r="E2084" s="16">
        <v>5217831468545</v>
      </c>
      <c r="F2084" s="15"/>
      <c r="G2084" s="15" t="s">
        <v>1987</v>
      </c>
      <c r="H2084" s="17"/>
      <c r="I2084" s="15"/>
      <c r="J2084" s="18"/>
      <c r="K2084" t="s">
        <v>32</v>
      </c>
      <c r="N2084" s="3">
        <f t="shared" si="268"/>
        <v>0</v>
      </c>
      <c r="O2084" s="3">
        <f t="shared" si="269"/>
        <v>0</v>
      </c>
      <c r="S2084" s="3" t="s">
        <v>204</v>
      </c>
      <c r="V2084" s="172" t="s">
        <v>1966</v>
      </c>
    </row>
    <row r="2085" spans="1:22" hidden="1">
      <c r="A2085" s="12">
        <v>24422830</v>
      </c>
      <c r="B2085" s="13">
        <v>46277</v>
      </c>
      <c r="C2085" s="14">
        <v>0.8259143518518518</v>
      </c>
      <c r="D2085" s="15"/>
      <c r="E2085" s="16">
        <v>5218180955339</v>
      </c>
      <c r="F2085" s="15"/>
      <c r="G2085" s="15" t="s">
        <v>1988</v>
      </c>
      <c r="H2085" s="17"/>
      <c r="I2085" s="15"/>
      <c r="J2085" s="18"/>
      <c r="K2085" t="s">
        <v>58</v>
      </c>
      <c r="L2085" s="3">
        <v>3338.39</v>
      </c>
      <c r="N2085" s="3">
        <f t="shared" si="268"/>
        <v>1001.5169999999999</v>
      </c>
      <c r="O2085" s="3">
        <f t="shared" si="269"/>
        <v>0</v>
      </c>
      <c r="S2085" s="3" t="s">
        <v>204</v>
      </c>
      <c r="V2085" s="172" t="s">
        <v>1966</v>
      </c>
    </row>
    <row r="2086" spans="1:22" hidden="1">
      <c r="A2086" s="12">
        <v>24423238</v>
      </c>
      <c r="B2086" s="13">
        <v>46277</v>
      </c>
      <c r="C2086" s="14">
        <v>0.86871527777777779</v>
      </c>
      <c r="D2086" s="15"/>
      <c r="E2086" s="16">
        <v>5213314897015</v>
      </c>
      <c r="F2086" s="15"/>
      <c r="G2086" s="15" t="s">
        <v>1989</v>
      </c>
      <c r="H2086" s="17"/>
      <c r="I2086" s="15"/>
      <c r="J2086" s="18"/>
      <c r="K2086" t="s">
        <v>58</v>
      </c>
      <c r="L2086" s="3">
        <v>4441.53</v>
      </c>
      <c r="N2086" s="3">
        <f t="shared" si="268"/>
        <v>1332.4589999999998</v>
      </c>
      <c r="O2086" s="3">
        <f t="shared" si="269"/>
        <v>268.55000000000018</v>
      </c>
      <c r="S2086" s="3" t="s">
        <v>204</v>
      </c>
      <c r="V2086" s="172" t="s">
        <v>1966</v>
      </c>
    </row>
    <row r="2087" spans="1:22" hidden="1">
      <c r="A2087" s="12">
        <v>24423634</v>
      </c>
      <c r="B2087" s="13">
        <v>46277</v>
      </c>
      <c r="C2087" s="14">
        <v>0.92721064814814813</v>
      </c>
      <c r="D2087" s="15"/>
      <c r="E2087" s="16">
        <v>5216632140785</v>
      </c>
      <c r="F2087" s="15"/>
      <c r="G2087" s="15"/>
      <c r="H2087" s="17">
        <v>21007946011</v>
      </c>
      <c r="I2087" s="15"/>
      <c r="J2087" s="18"/>
      <c r="K2087" t="s">
        <v>51</v>
      </c>
      <c r="N2087" s="3">
        <f t="shared" si="268"/>
        <v>0</v>
      </c>
      <c r="O2087" s="3">
        <f t="shared" si="269"/>
        <v>0</v>
      </c>
      <c r="S2087" s="3" t="s">
        <v>204</v>
      </c>
      <c r="V2087" s="172" t="s">
        <v>1966</v>
      </c>
    </row>
    <row r="2088" spans="1:22" hidden="1">
      <c r="A2088" s="12">
        <v>24423934</v>
      </c>
      <c r="B2088" s="13">
        <v>46277</v>
      </c>
      <c r="C2088" s="14">
        <v>0.97769675925925925</v>
      </c>
      <c r="D2088" s="15"/>
      <c r="E2088" s="16">
        <v>5212721685979</v>
      </c>
      <c r="F2088" s="15"/>
      <c r="G2088" s="15"/>
      <c r="H2088" s="17">
        <v>30906913600</v>
      </c>
      <c r="I2088" s="15"/>
      <c r="J2088" s="18"/>
      <c r="K2088" t="s">
        <v>58</v>
      </c>
      <c r="L2088" s="3">
        <f>2646.87+848</f>
        <v>3494.87</v>
      </c>
      <c r="N2088" s="3">
        <f t="shared" si="268"/>
        <v>1048.461</v>
      </c>
      <c r="O2088" s="3">
        <f t="shared" si="269"/>
        <v>0</v>
      </c>
      <c r="S2088" s="3" t="s">
        <v>204</v>
      </c>
      <c r="V2088" s="172" t="s">
        <v>1966</v>
      </c>
    </row>
    <row r="2089" spans="1:22">
      <c r="A2089" s="12">
        <v>24424020</v>
      </c>
      <c r="B2089" s="13">
        <v>46277</v>
      </c>
      <c r="C2089" s="14">
        <v>0.99223379629629627</v>
      </c>
      <c r="D2089" s="15"/>
      <c r="E2089" s="16">
        <v>5212297819008</v>
      </c>
      <c r="F2089" s="15"/>
      <c r="G2089" s="15"/>
      <c r="H2089" s="17">
        <v>65816106721</v>
      </c>
      <c r="I2089" s="15"/>
      <c r="J2089" s="18"/>
      <c r="K2089" t="s">
        <v>27</v>
      </c>
      <c r="L2089" s="111">
        <v>13648.64</v>
      </c>
      <c r="M2089" s="111">
        <v>4094.59</v>
      </c>
      <c r="N2089" s="3">
        <f t="shared" si="268"/>
        <v>4094.5919999999996</v>
      </c>
      <c r="O2089" s="3">
        <f t="shared" si="269"/>
        <v>1.9999999994979589E-3</v>
      </c>
      <c r="P2089" s="6">
        <v>46266</v>
      </c>
      <c r="Q2089" t="s">
        <v>75</v>
      </c>
      <c r="R2089" s="111">
        <v>3524.37</v>
      </c>
      <c r="S2089" s="3" t="s">
        <v>1080</v>
      </c>
      <c r="T2089" s="48">
        <v>46278</v>
      </c>
      <c r="V2089" s="172" t="s">
        <v>1966</v>
      </c>
    </row>
    <row r="2090" spans="1:22">
      <c r="A2090" s="12">
        <v>24424798</v>
      </c>
      <c r="B2090" s="13">
        <v>46278</v>
      </c>
      <c r="C2090" s="14">
        <v>0.22458333333333333</v>
      </c>
      <c r="D2090" s="15"/>
      <c r="E2090" s="16">
        <v>5217298751421</v>
      </c>
      <c r="F2090" s="15"/>
      <c r="G2090" s="15"/>
      <c r="H2090" s="17">
        <v>13957824405</v>
      </c>
      <c r="I2090" s="15"/>
      <c r="J2090" s="18"/>
      <c r="K2090" t="s">
        <v>54</v>
      </c>
      <c r="L2090" s="3">
        <v>8784.2900000000009</v>
      </c>
      <c r="N2090" s="3">
        <f t="shared" si="268"/>
        <v>2635.2870000000003</v>
      </c>
      <c r="O2090" s="3">
        <f t="shared" si="269"/>
        <v>2635.2870000000003</v>
      </c>
      <c r="S2090" s="3" t="s">
        <v>879</v>
      </c>
      <c r="T2090" s="48">
        <v>46278</v>
      </c>
      <c r="V2090" s="172" t="s">
        <v>1966</v>
      </c>
    </row>
    <row r="2091" spans="1:22" hidden="1">
      <c r="A2091" s="12">
        <v>24425802</v>
      </c>
      <c r="B2091" s="13">
        <v>46278</v>
      </c>
      <c r="C2091" s="14">
        <v>0.33019675925925923</v>
      </c>
      <c r="D2091" s="15"/>
      <c r="E2091" s="16">
        <v>5219833334464</v>
      </c>
      <c r="F2091" s="15"/>
      <c r="G2091" s="15" t="s">
        <v>1990</v>
      </c>
      <c r="H2091" s="17">
        <v>82846102265</v>
      </c>
      <c r="I2091" s="15"/>
      <c r="J2091" s="18"/>
      <c r="K2091" t="s">
        <v>32</v>
      </c>
      <c r="N2091" s="3">
        <f t="shared" si="268"/>
        <v>0</v>
      </c>
      <c r="O2091" s="3">
        <f t="shared" si="269"/>
        <v>0</v>
      </c>
      <c r="S2091" s="3" t="s">
        <v>204</v>
      </c>
      <c r="V2091" s="172" t="s">
        <v>1966</v>
      </c>
    </row>
    <row r="2092" spans="1:22" hidden="1">
      <c r="A2092" s="30">
        <v>24426194</v>
      </c>
      <c r="B2092" s="31">
        <v>46278</v>
      </c>
      <c r="C2092" s="32">
        <v>0.36189814814814814</v>
      </c>
      <c r="D2092" s="33"/>
      <c r="E2092" s="34">
        <v>5218621107627</v>
      </c>
      <c r="F2092" s="33"/>
      <c r="G2092" s="33" t="s">
        <v>1991</v>
      </c>
      <c r="H2092" s="35"/>
      <c r="I2092" s="33"/>
      <c r="J2092" s="36"/>
      <c r="K2092" t="s">
        <v>30</v>
      </c>
      <c r="L2092" s="3">
        <f>10443.97+1475.97+3000</f>
        <v>14919.939999999999</v>
      </c>
      <c r="M2092" s="3">
        <f>1475.97+3000</f>
        <v>4475.97</v>
      </c>
      <c r="N2092" s="3">
        <f t="shared" si="268"/>
        <v>4475.9819999999991</v>
      </c>
      <c r="O2092" s="3">
        <f t="shared" si="269"/>
        <v>1.1999999998806743E-2</v>
      </c>
      <c r="P2092" s="6">
        <v>46388</v>
      </c>
      <c r="Q2092" t="s">
        <v>44</v>
      </c>
      <c r="R2092" s="3">
        <v>3000</v>
      </c>
      <c r="S2092" s="3" t="s">
        <v>204</v>
      </c>
      <c r="V2092" s="172" t="s">
        <v>1966</v>
      </c>
    </row>
    <row r="2093" spans="1:22" hidden="1">
      <c r="A2093" s="30">
        <v>24427254</v>
      </c>
      <c r="B2093" s="31">
        <v>46278</v>
      </c>
      <c r="C2093" s="32">
        <v>0.43214120370370368</v>
      </c>
      <c r="D2093" s="33"/>
      <c r="E2093" s="34">
        <v>5217131147990</v>
      </c>
      <c r="F2093" s="33"/>
      <c r="G2093" s="33"/>
      <c r="H2093" s="35">
        <v>16058314135</v>
      </c>
      <c r="I2093" s="33"/>
      <c r="J2093" s="36"/>
      <c r="K2093" t="s">
        <v>51</v>
      </c>
      <c r="N2093" s="3">
        <f>L2093*0.3</f>
        <v>0</v>
      </c>
      <c r="O2093" s="3">
        <f>(IF(L2093&lt;4172.98,0,MIN(L2093*0.3,L2093-4172.98)))-M2093</f>
        <v>0</v>
      </c>
      <c r="S2093" s="3" t="s">
        <v>204</v>
      </c>
      <c r="V2093" s="172" t="s">
        <v>1966</v>
      </c>
    </row>
    <row r="2094" spans="1:22" hidden="1">
      <c r="A2094" s="30">
        <v>24427574</v>
      </c>
      <c r="B2094" s="31">
        <v>46278</v>
      </c>
      <c r="C2094" s="32">
        <v>0.45028935185185187</v>
      </c>
      <c r="D2094" s="33"/>
      <c r="E2094" s="34">
        <v>5219221142710</v>
      </c>
      <c r="F2094" s="33"/>
      <c r="G2094" s="33"/>
      <c r="H2094" s="35">
        <v>67786124809</v>
      </c>
      <c r="I2094" s="33"/>
      <c r="J2094" s="36"/>
      <c r="K2094" t="s">
        <v>30</v>
      </c>
      <c r="L2094" s="3">
        <f>9089.04+3699.18</f>
        <v>12788.220000000001</v>
      </c>
      <c r="M2094" s="3">
        <v>3699.18</v>
      </c>
      <c r="N2094" s="3">
        <f>L2094*0.3</f>
        <v>3836.4660000000003</v>
      </c>
      <c r="O2094" s="3">
        <f>(IF(L2094&lt;4172.98,0,MIN(L2094*0.3,L2094-4172.98)))-M2094</f>
        <v>137.28600000000051</v>
      </c>
      <c r="P2094" s="6">
        <v>46753</v>
      </c>
      <c r="Q2094" t="s">
        <v>47</v>
      </c>
      <c r="R2094" s="3">
        <v>3699.18</v>
      </c>
      <c r="S2094" s="3" t="s">
        <v>204</v>
      </c>
      <c r="V2094" s="172" t="s">
        <v>1966</v>
      </c>
    </row>
    <row r="2095" spans="1:22" hidden="1">
      <c r="A2095" s="12">
        <v>24428752</v>
      </c>
      <c r="B2095" s="13">
        <v>46278</v>
      </c>
      <c r="C2095" s="14">
        <v>0.52579861111111115</v>
      </c>
      <c r="D2095" s="15"/>
      <c r="E2095" s="16">
        <v>5218781146562</v>
      </c>
      <c r="F2095" s="15"/>
      <c r="G2095" s="15" t="s">
        <v>1992</v>
      </c>
      <c r="H2095" s="17"/>
      <c r="I2095" s="15"/>
      <c r="J2095" s="18"/>
      <c r="K2095" t="s">
        <v>32</v>
      </c>
      <c r="N2095" s="3">
        <f t="shared" ref="N2095:N2096" si="270">L2095*0.3</f>
        <v>0</v>
      </c>
      <c r="O2095" s="3">
        <f t="shared" ref="O2095:O2096" si="271">(IF(L2095&lt;4172.98,0,MIN(L2095*0.3,L2095-4172.98)))-M2095</f>
        <v>0</v>
      </c>
      <c r="S2095" s="3" t="s">
        <v>204</v>
      </c>
      <c r="V2095" s="172" t="s">
        <v>1966</v>
      </c>
    </row>
    <row r="2096" spans="1:22" hidden="1">
      <c r="A2096" s="30">
        <v>24428790</v>
      </c>
      <c r="B2096" s="31">
        <v>46278</v>
      </c>
      <c r="C2096" s="32">
        <v>0.52795138888888893</v>
      </c>
      <c r="D2096" s="33"/>
      <c r="E2096" s="34">
        <v>6672060611</v>
      </c>
      <c r="F2096" s="33"/>
      <c r="G2096" s="33"/>
      <c r="H2096" s="35">
        <v>23805908331</v>
      </c>
      <c r="I2096" s="33"/>
      <c r="J2096" s="36"/>
      <c r="K2096" t="s">
        <v>32</v>
      </c>
      <c r="N2096" s="3">
        <f t="shared" si="270"/>
        <v>0</v>
      </c>
      <c r="O2096" s="3">
        <f t="shared" si="271"/>
        <v>0</v>
      </c>
      <c r="S2096" s="3" t="s">
        <v>204</v>
      </c>
      <c r="V2096" s="172" t="s">
        <v>1966</v>
      </c>
    </row>
    <row r="2097" spans="1:25">
      <c r="A2097" s="12">
        <v>24429104</v>
      </c>
      <c r="B2097" s="13">
        <v>46278</v>
      </c>
      <c r="C2097" s="14">
        <v>0.54853009259259256</v>
      </c>
      <c r="D2097" s="15"/>
      <c r="E2097" s="16">
        <v>5219811027273</v>
      </c>
      <c r="F2097" s="15"/>
      <c r="G2097" s="15"/>
      <c r="H2097" s="17">
        <v>81866500796</v>
      </c>
      <c r="I2097" s="15"/>
      <c r="J2097" s="18"/>
      <c r="K2097" t="s">
        <v>54</v>
      </c>
      <c r="L2097" s="3">
        <v>19479</v>
      </c>
      <c r="N2097" s="3">
        <f t="shared" ref="N2097:N2098" si="272">L2097*0.3</f>
        <v>5843.7</v>
      </c>
      <c r="O2097" s="3">
        <f t="shared" ref="O2097:O2098" si="273">(IF(L2097&lt;4172.98,0,MIN(L2097*0.3,L2097-4172.98)))-M2097</f>
        <v>5843.7</v>
      </c>
      <c r="S2097" s="3" t="s">
        <v>1808</v>
      </c>
      <c r="T2097" s="48">
        <v>46279</v>
      </c>
      <c r="V2097" s="172" t="s">
        <v>1966</v>
      </c>
      <c r="W2097" s="51">
        <v>0.34791666666666665</v>
      </c>
      <c r="X2097" s="51">
        <v>0.3611111111111111</v>
      </c>
      <c r="Y2097" s="51">
        <v>0.36736111111111114</v>
      </c>
    </row>
    <row r="2098" spans="1:25" hidden="1">
      <c r="A2098" s="30">
        <v>24429048</v>
      </c>
      <c r="B2098" s="31">
        <v>46278</v>
      </c>
      <c r="C2098" s="32">
        <v>0.55510416666666662</v>
      </c>
      <c r="D2098" s="33" t="s">
        <v>1993</v>
      </c>
      <c r="E2098" s="34">
        <v>5216261238975</v>
      </c>
      <c r="F2098" s="33"/>
      <c r="G2098" s="33"/>
      <c r="H2098" s="35">
        <v>33886540054</v>
      </c>
      <c r="I2098" s="33"/>
      <c r="J2098" s="36"/>
      <c r="K2098" t="s">
        <v>30</v>
      </c>
      <c r="L2098" s="111">
        <v>7663.94</v>
      </c>
      <c r="M2098" s="111">
        <v>2298.1799999999998</v>
      </c>
      <c r="N2098" s="3">
        <f t="shared" si="272"/>
        <v>2299.1819999999998</v>
      </c>
      <c r="O2098" s="3">
        <f t="shared" si="273"/>
        <v>1.0019999999999527</v>
      </c>
      <c r="P2098" s="6">
        <v>46113</v>
      </c>
      <c r="Q2098" t="s">
        <v>210</v>
      </c>
      <c r="R2098" s="111">
        <v>2298.1799999999998</v>
      </c>
      <c r="S2098" s="3" t="s">
        <v>204</v>
      </c>
      <c r="V2098" s="172" t="s">
        <v>1966</v>
      </c>
    </row>
    <row r="2099" spans="1:25" hidden="1">
      <c r="A2099" s="30">
        <v>24429082</v>
      </c>
      <c r="B2099" s="31">
        <v>46278</v>
      </c>
      <c r="C2099" s="32">
        <v>0.55846064814814811</v>
      </c>
      <c r="D2099" s="33"/>
      <c r="E2099" s="34">
        <v>5218312417173</v>
      </c>
      <c r="F2099" s="33"/>
      <c r="G2099" s="33" t="s">
        <v>1994</v>
      </c>
      <c r="H2099" s="35"/>
      <c r="I2099" s="33"/>
      <c r="J2099" s="36"/>
      <c r="K2099" t="s">
        <v>30</v>
      </c>
      <c r="L2099" s="111">
        <v>10277.75</v>
      </c>
      <c r="M2099" s="111">
        <v>3071.74</v>
      </c>
      <c r="N2099" s="3">
        <f>L2099*0.3</f>
        <v>3083.3249999999998</v>
      </c>
      <c r="O2099" s="3">
        <f>(IF(L2099&lt;4172.98,0,MIN(L2099*0.3,L2099-4172.98)))-M2099</f>
        <v>11.585000000000036</v>
      </c>
      <c r="P2099" s="6">
        <v>46661</v>
      </c>
      <c r="Q2099" t="s">
        <v>906</v>
      </c>
      <c r="R2099" s="3">
        <v>2538.4699999999998</v>
      </c>
      <c r="S2099" s="3" t="s">
        <v>204</v>
      </c>
      <c r="V2099" s="172" t="s">
        <v>1966</v>
      </c>
    </row>
    <row r="2100" spans="1:25">
      <c r="A2100" s="12">
        <v>24429576</v>
      </c>
      <c r="B2100" s="13">
        <v>46278</v>
      </c>
      <c r="C2100" s="14">
        <v>0.58040509259259254</v>
      </c>
      <c r="D2100" s="15"/>
      <c r="E2100" s="16">
        <v>5218139873889</v>
      </c>
      <c r="F2100" s="15"/>
      <c r="G2100" s="15" t="s">
        <v>1995</v>
      </c>
      <c r="H2100" s="17">
        <v>43796227635</v>
      </c>
      <c r="I2100" s="15"/>
      <c r="J2100" s="18"/>
      <c r="K2100" t="s">
        <v>107</v>
      </c>
      <c r="L2100" s="111">
        <v>10523.34</v>
      </c>
      <c r="M2100" s="111">
        <v>3044.07</v>
      </c>
      <c r="N2100" s="3">
        <f t="shared" ref="N2100:N2114" si="274">L2100*0.3</f>
        <v>3157.002</v>
      </c>
      <c r="O2100" s="3">
        <f t="shared" ref="O2100:O2114" si="275">(IF(L2100&lt;4172.98,0,MIN(L2100*0.3,L2100-4172.98)))-M2100</f>
        <v>112.93199999999979</v>
      </c>
      <c r="P2100" s="6">
        <v>46143</v>
      </c>
      <c r="Q2100" t="s">
        <v>334</v>
      </c>
      <c r="R2100" s="3">
        <v>580.49</v>
      </c>
      <c r="S2100" s="3" t="s">
        <v>39</v>
      </c>
      <c r="T2100" s="48">
        <v>46279</v>
      </c>
      <c r="V2100" s="172" t="s">
        <v>1966</v>
      </c>
      <c r="W2100" s="51">
        <v>0.35486111111111113</v>
      </c>
      <c r="X2100" s="51">
        <v>0.36805555555555558</v>
      </c>
      <c r="Y2100" s="51">
        <v>0.37152777777777779</v>
      </c>
    </row>
    <row r="2101" spans="1:25">
      <c r="A2101" s="12">
        <v>24429448</v>
      </c>
      <c r="B2101" s="13">
        <v>46278</v>
      </c>
      <c r="C2101" s="14">
        <v>0.58053240740740741</v>
      </c>
      <c r="D2101" s="15"/>
      <c r="E2101" s="16">
        <v>5214793208194</v>
      </c>
      <c r="F2101" s="15"/>
      <c r="G2101" s="15" t="s">
        <v>1996</v>
      </c>
      <c r="H2101" s="17"/>
      <c r="I2101" s="15"/>
      <c r="J2101" s="18"/>
      <c r="K2101" t="s">
        <v>54</v>
      </c>
      <c r="L2101" s="111">
        <v>25379.86</v>
      </c>
      <c r="M2101" s="111">
        <v>4092.75</v>
      </c>
      <c r="N2101" s="3">
        <f t="shared" si="274"/>
        <v>7613.9579999999996</v>
      </c>
      <c r="O2101" s="3">
        <f t="shared" si="275"/>
        <v>3521.2079999999996</v>
      </c>
      <c r="P2101" s="6">
        <v>46054</v>
      </c>
      <c r="Q2101" t="s">
        <v>1997</v>
      </c>
      <c r="R2101" s="111">
        <v>789.87</v>
      </c>
      <c r="S2101" s="3" t="s">
        <v>1808</v>
      </c>
      <c r="T2101" s="48">
        <v>46279</v>
      </c>
      <c r="V2101" s="172" t="s">
        <v>1966</v>
      </c>
      <c r="W2101" s="51">
        <v>0.35833333333333334</v>
      </c>
      <c r="X2101" s="51">
        <v>0.36319444444444443</v>
      </c>
      <c r="Y2101" s="51">
        <v>0.36875000000000002</v>
      </c>
    </row>
    <row r="2102" spans="1:25" hidden="1">
      <c r="A2102" s="12">
        <v>24429998</v>
      </c>
      <c r="B2102" s="13">
        <v>46278</v>
      </c>
      <c r="C2102" s="14">
        <v>0.61092592592592587</v>
      </c>
      <c r="D2102" s="15"/>
      <c r="E2102" s="16">
        <v>5216871178911</v>
      </c>
      <c r="F2102" s="15"/>
      <c r="G2102" s="15"/>
      <c r="H2102" s="17">
        <v>23684213392</v>
      </c>
      <c r="I2102" s="15"/>
      <c r="J2102" s="18"/>
      <c r="K2102" t="s">
        <v>30</v>
      </c>
      <c r="L2102" s="111">
        <v>4461.5200000000004</v>
      </c>
      <c r="M2102" s="111">
        <v>678.62</v>
      </c>
      <c r="N2102" s="3">
        <f t="shared" si="274"/>
        <v>1338.4560000000001</v>
      </c>
      <c r="O2102" s="3">
        <f t="shared" si="275"/>
        <v>-390.07999999999913</v>
      </c>
      <c r="P2102" s="6">
        <v>46539</v>
      </c>
      <c r="Q2102" t="s">
        <v>47</v>
      </c>
      <c r="R2102" s="111">
        <v>678.62</v>
      </c>
      <c r="S2102" s="3" t="s">
        <v>204</v>
      </c>
      <c r="V2102" s="172" t="s">
        <v>1966</v>
      </c>
    </row>
    <row r="2103" spans="1:25" hidden="1">
      <c r="A2103" s="12">
        <v>24430170</v>
      </c>
      <c r="B2103" s="13">
        <v>46278</v>
      </c>
      <c r="C2103" s="14">
        <v>0.62097222222222226</v>
      </c>
      <c r="D2103" s="15"/>
      <c r="E2103" s="16">
        <v>5212281016185</v>
      </c>
      <c r="F2103" s="15"/>
      <c r="G2103" s="15"/>
      <c r="H2103" s="17">
        <v>65845021321</v>
      </c>
      <c r="I2103" s="15"/>
      <c r="J2103" s="18"/>
      <c r="K2103" t="s">
        <v>30</v>
      </c>
      <c r="L2103" s="111">
        <v>5214.13</v>
      </c>
      <c r="M2103" s="111">
        <v>1004.1</v>
      </c>
      <c r="N2103" s="3">
        <f t="shared" si="274"/>
        <v>1564.239</v>
      </c>
      <c r="O2103" s="3">
        <f t="shared" si="275"/>
        <v>37.050000000000523</v>
      </c>
      <c r="P2103" s="6">
        <v>46539</v>
      </c>
      <c r="Q2103" t="s">
        <v>44</v>
      </c>
      <c r="R2103" s="111">
        <v>1004.1</v>
      </c>
      <c r="S2103" s="3" t="s">
        <v>204</v>
      </c>
      <c r="V2103" s="172" t="s">
        <v>1966</v>
      </c>
    </row>
    <row r="2104" spans="1:25" hidden="1">
      <c r="A2104" s="12">
        <v>24430234</v>
      </c>
      <c r="B2104" s="13">
        <v>46278</v>
      </c>
      <c r="C2104" s="14">
        <v>0.62347222222222221</v>
      </c>
      <c r="D2104" s="15" t="s">
        <v>1998</v>
      </c>
      <c r="E2104" s="16">
        <v>5218443528989</v>
      </c>
      <c r="F2104" s="15"/>
      <c r="G2104" s="15" t="s">
        <v>1999</v>
      </c>
      <c r="H2104" s="17"/>
      <c r="I2104" s="15"/>
      <c r="J2104" s="18"/>
      <c r="K2104" t="s">
        <v>30</v>
      </c>
      <c r="L2104" s="111">
        <v>9760.32</v>
      </c>
      <c r="M2104" s="111">
        <v>2792.71</v>
      </c>
      <c r="N2104" s="3">
        <f t="shared" si="274"/>
        <v>2928.096</v>
      </c>
      <c r="O2104" s="3">
        <f t="shared" si="275"/>
        <v>135.38599999999997</v>
      </c>
      <c r="P2104" s="6">
        <v>46722</v>
      </c>
      <c r="Q2104" t="s">
        <v>141</v>
      </c>
      <c r="R2104" s="111">
        <v>2792.71</v>
      </c>
      <c r="S2104" s="3" t="s">
        <v>204</v>
      </c>
      <c r="V2104" s="172" t="s">
        <v>1966</v>
      </c>
    </row>
    <row r="2105" spans="1:25" hidden="1">
      <c r="A2105" s="12">
        <v>24430284</v>
      </c>
      <c r="B2105" s="13">
        <v>46278</v>
      </c>
      <c r="C2105" s="14">
        <v>0.62793981481481487</v>
      </c>
      <c r="D2105" s="15"/>
      <c r="E2105" s="16">
        <v>5218333139361</v>
      </c>
      <c r="F2105" s="15"/>
      <c r="G2105" s="15"/>
      <c r="H2105" s="17">
        <v>49765511735</v>
      </c>
      <c r="I2105" s="15"/>
      <c r="J2105" s="18"/>
      <c r="K2105" t="s">
        <v>58</v>
      </c>
      <c r="L2105" s="3">
        <f>3003.85+879</f>
        <v>3882.85</v>
      </c>
      <c r="N2105" s="3">
        <f t="shared" si="274"/>
        <v>1164.855</v>
      </c>
      <c r="O2105" s="3">
        <f t="shared" si="275"/>
        <v>0</v>
      </c>
      <c r="S2105" s="3" t="s">
        <v>204</v>
      </c>
      <c r="V2105" s="172" t="s">
        <v>1966</v>
      </c>
    </row>
    <row r="2106" spans="1:25">
      <c r="A2106" s="12">
        <v>24430662</v>
      </c>
      <c r="B2106" s="13">
        <v>46278</v>
      </c>
      <c r="C2106" s="14">
        <v>0.65141203703703698</v>
      </c>
      <c r="D2106" s="15"/>
      <c r="E2106" s="16">
        <v>5212226743811</v>
      </c>
      <c r="F2106" s="15"/>
      <c r="G2106" s="15" t="s">
        <v>2000</v>
      </c>
      <c r="H2106" s="17"/>
      <c r="I2106" s="15"/>
      <c r="J2106" s="18"/>
      <c r="K2106" t="s">
        <v>54</v>
      </c>
      <c r="L2106" s="3">
        <v>11029.03</v>
      </c>
      <c r="N2106" s="3">
        <f t="shared" si="274"/>
        <v>3308.7090000000003</v>
      </c>
      <c r="O2106" s="3">
        <f t="shared" si="275"/>
        <v>3308.7090000000003</v>
      </c>
      <c r="S2106" s="3" t="s">
        <v>1910</v>
      </c>
      <c r="T2106" s="48">
        <v>46279</v>
      </c>
      <c r="V2106" s="172" t="s">
        <v>1966</v>
      </c>
      <c r="W2106" s="51">
        <v>0.35416666666666669</v>
      </c>
      <c r="X2106" s="51">
        <v>0.3659722222222222</v>
      </c>
      <c r="Y2106" s="51">
        <v>0.36666666666666664</v>
      </c>
    </row>
    <row r="2107" spans="1:25" hidden="1">
      <c r="A2107" s="12">
        <v>24431458</v>
      </c>
      <c r="B2107" s="13">
        <v>46278</v>
      </c>
      <c r="C2107" s="14">
        <v>0.71879629629629627</v>
      </c>
      <c r="D2107" s="15" t="s">
        <v>2001</v>
      </c>
      <c r="E2107" s="16">
        <v>5213121229995</v>
      </c>
      <c r="F2107" s="15"/>
      <c r="G2107" s="15" t="s">
        <v>2002</v>
      </c>
      <c r="H2107" s="17">
        <v>52735514276</v>
      </c>
      <c r="I2107" s="15"/>
      <c r="J2107" s="18"/>
      <c r="K2107" t="s">
        <v>30</v>
      </c>
      <c r="L2107" s="111">
        <v>10636.54</v>
      </c>
      <c r="M2107" s="111">
        <v>2978.81</v>
      </c>
      <c r="N2107" s="3">
        <f t="shared" si="274"/>
        <v>3190.962</v>
      </c>
      <c r="O2107" s="3">
        <f t="shared" si="275"/>
        <v>212.15200000000004</v>
      </c>
      <c r="P2107" s="6">
        <v>46935</v>
      </c>
      <c r="Q2107" t="s">
        <v>57</v>
      </c>
      <c r="R2107" s="111">
        <v>2978.81</v>
      </c>
      <c r="S2107" s="3" t="s">
        <v>204</v>
      </c>
      <c r="V2107" s="172" t="s">
        <v>1966</v>
      </c>
    </row>
    <row r="2108" spans="1:25" hidden="1">
      <c r="A2108" s="12">
        <v>24431480</v>
      </c>
      <c r="B2108" s="13">
        <v>46278</v>
      </c>
      <c r="C2108" s="14">
        <v>0.72032407407407406</v>
      </c>
      <c r="D2108" s="15"/>
      <c r="E2108" s="16">
        <v>5216633162960</v>
      </c>
      <c r="F2108" s="15"/>
      <c r="G2108" s="15" t="s">
        <v>2003</v>
      </c>
      <c r="H2108" s="17">
        <v>25947766652</v>
      </c>
      <c r="I2108" s="15"/>
      <c r="J2108" s="18"/>
      <c r="K2108" t="s">
        <v>30</v>
      </c>
      <c r="L2108" s="111">
        <v>8784.09</v>
      </c>
      <c r="M2108" s="111">
        <v>2544.0500000000002</v>
      </c>
      <c r="N2108" s="3">
        <f t="shared" si="274"/>
        <v>2635.2269999999999</v>
      </c>
      <c r="O2108" s="3">
        <f t="shared" si="275"/>
        <v>91.17699999999968</v>
      </c>
      <c r="P2108" s="6">
        <v>46508</v>
      </c>
      <c r="Q2108" t="s">
        <v>44</v>
      </c>
      <c r="R2108" s="111">
        <v>2544.0500000000002</v>
      </c>
      <c r="S2108" s="3" t="s">
        <v>204</v>
      </c>
      <c r="V2108" s="172" t="s">
        <v>1966</v>
      </c>
    </row>
    <row r="2109" spans="1:25">
      <c r="A2109" s="12">
        <v>24432582</v>
      </c>
      <c r="B2109" s="13">
        <v>46278</v>
      </c>
      <c r="C2109" s="14">
        <v>0.78754629629629624</v>
      </c>
      <c r="D2109" s="15"/>
      <c r="E2109" s="16">
        <v>5218715790811</v>
      </c>
      <c r="F2109" s="15"/>
      <c r="G2109" s="15"/>
      <c r="H2109" s="17">
        <v>32816502044</v>
      </c>
      <c r="I2109" s="15"/>
      <c r="J2109" s="18"/>
      <c r="K2109" t="s">
        <v>107</v>
      </c>
      <c r="L2109" s="111">
        <v>4813.6899999999996</v>
      </c>
      <c r="M2109" s="111">
        <v>368.49</v>
      </c>
      <c r="N2109" s="3">
        <f t="shared" si="274"/>
        <v>1444.1069999999997</v>
      </c>
      <c r="O2109" s="3">
        <f t="shared" si="275"/>
        <v>272.22000000000003</v>
      </c>
      <c r="P2109" s="6">
        <v>45323</v>
      </c>
      <c r="Q2109" t="s">
        <v>493</v>
      </c>
      <c r="R2109" s="111">
        <v>368.49</v>
      </c>
      <c r="S2109" s="3" t="s">
        <v>39</v>
      </c>
      <c r="T2109" s="48">
        <v>46279</v>
      </c>
      <c r="V2109" s="172" t="s">
        <v>1966</v>
      </c>
      <c r="W2109" s="51">
        <v>0.37152777777777779</v>
      </c>
      <c r="X2109" s="51">
        <v>0.37430555555555556</v>
      </c>
      <c r="Y2109" s="51">
        <v>0.38194444444444442</v>
      </c>
    </row>
    <row r="2110" spans="1:25">
      <c r="A2110" s="12">
        <v>24432588</v>
      </c>
      <c r="B2110" s="13">
        <v>46278</v>
      </c>
      <c r="C2110" s="14">
        <v>0.80347222222222225</v>
      </c>
      <c r="D2110" s="15"/>
      <c r="E2110" s="16">
        <v>5213111774962</v>
      </c>
      <c r="F2110" s="15"/>
      <c r="G2110" s="15"/>
      <c r="H2110" s="17">
        <v>55825904984</v>
      </c>
      <c r="I2110" s="15"/>
      <c r="J2110" s="18"/>
      <c r="K2110" t="s">
        <v>54</v>
      </c>
      <c r="L2110" s="3">
        <v>7116.73</v>
      </c>
      <c r="N2110" s="3">
        <f t="shared" si="274"/>
        <v>2135.0189999999998</v>
      </c>
      <c r="O2110" s="3">
        <f t="shared" si="275"/>
        <v>2135.0189999999998</v>
      </c>
      <c r="S2110" s="3" t="s">
        <v>1910</v>
      </c>
      <c r="T2110" s="48">
        <v>46279</v>
      </c>
      <c r="V2110" s="172" t="s">
        <v>1966</v>
      </c>
      <c r="W2110" s="51">
        <v>0.3527777777777778</v>
      </c>
      <c r="X2110" s="51">
        <v>0.36249999999999999</v>
      </c>
      <c r="Y2110" s="51">
        <v>0.36527777777777776</v>
      </c>
    </row>
    <row r="2111" spans="1:25" hidden="1">
      <c r="A2111" s="12">
        <v>24432736</v>
      </c>
      <c r="B2111" s="13">
        <v>46278</v>
      </c>
      <c r="C2111" s="14">
        <v>0.80751157407407403</v>
      </c>
      <c r="D2111" s="15"/>
      <c r="E2111" s="16">
        <v>5213143384837</v>
      </c>
      <c r="F2111" s="15"/>
      <c r="G2111" s="15"/>
      <c r="H2111" s="17">
        <v>52835800948</v>
      </c>
      <c r="I2111" s="15"/>
      <c r="J2111" s="18"/>
      <c r="K2111" t="s">
        <v>58</v>
      </c>
      <c r="L2111" s="3">
        <f>14890.43-10548</f>
        <v>4342.43</v>
      </c>
      <c r="N2111" s="3">
        <f t="shared" si="274"/>
        <v>1302.729</v>
      </c>
      <c r="O2111" s="3">
        <f t="shared" si="275"/>
        <v>169.45000000000073</v>
      </c>
      <c r="S2111" s="3" t="s">
        <v>204</v>
      </c>
      <c r="V2111" s="172" t="s">
        <v>1966</v>
      </c>
    </row>
    <row r="2112" spans="1:25" hidden="1">
      <c r="A2112" s="12">
        <v>24433080</v>
      </c>
      <c r="B2112" s="13">
        <v>46278</v>
      </c>
      <c r="C2112" s="14">
        <v>0.82353009259259258</v>
      </c>
      <c r="D2112" s="15"/>
      <c r="E2112" s="16">
        <v>5214424799100</v>
      </c>
      <c r="F2112" s="15"/>
      <c r="G2112" s="15"/>
      <c r="H2112" s="17" t="s">
        <v>2004</v>
      </c>
      <c r="I2112" s="15"/>
      <c r="J2112" s="18"/>
      <c r="K2112" t="s">
        <v>58</v>
      </c>
      <c r="L2112" s="3">
        <f>3027.93+848</f>
        <v>3875.93</v>
      </c>
      <c r="N2112" s="3">
        <f t="shared" si="274"/>
        <v>1162.779</v>
      </c>
      <c r="O2112" s="3">
        <f t="shared" si="275"/>
        <v>0</v>
      </c>
      <c r="S2112" s="3" t="s">
        <v>204</v>
      </c>
      <c r="V2112" s="172" t="s">
        <v>1966</v>
      </c>
    </row>
    <row r="2113" spans="1:25" hidden="1">
      <c r="A2113" s="12">
        <v>24433116</v>
      </c>
      <c r="B2113" s="13">
        <v>46278</v>
      </c>
      <c r="C2113" s="14">
        <v>0.83168981481481485</v>
      </c>
      <c r="D2113" s="15"/>
      <c r="E2113" s="16">
        <v>5218130534685</v>
      </c>
      <c r="F2113" s="15"/>
      <c r="G2113" s="15" t="s">
        <v>2005</v>
      </c>
      <c r="H2113" s="17">
        <v>42705340040</v>
      </c>
      <c r="I2113" s="15"/>
      <c r="J2113" s="18"/>
      <c r="K2113" t="s">
        <v>58</v>
      </c>
      <c r="L2113" s="111">
        <v>4890.3999999999996</v>
      </c>
      <c r="M2113" s="111">
        <v>879</v>
      </c>
      <c r="N2113" s="3">
        <f t="shared" si="274"/>
        <v>1467.12</v>
      </c>
      <c r="O2113" s="3">
        <f t="shared" si="275"/>
        <v>-161.57999999999993</v>
      </c>
      <c r="S2113" s="3" t="s">
        <v>204</v>
      </c>
      <c r="V2113" s="172" t="s">
        <v>1966</v>
      </c>
    </row>
    <row r="2114" spans="1:25" hidden="1">
      <c r="A2114" s="30">
        <v>24433122</v>
      </c>
      <c r="B2114" s="31">
        <v>46278</v>
      </c>
      <c r="C2114" s="32">
        <v>0.83211805555555551</v>
      </c>
      <c r="D2114" s="33"/>
      <c r="E2114" s="34">
        <v>5219631681184</v>
      </c>
      <c r="F2114" s="33"/>
      <c r="G2114" s="33" t="s">
        <v>2006</v>
      </c>
      <c r="H2114" s="35"/>
      <c r="I2114" s="33"/>
      <c r="J2114" s="36"/>
      <c r="K2114" t="s">
        <v>32</v>
      </c>
      <c r="N2114" s="3">
        <f t="shared" si="274"/>
        <v>0</v>
      </c>
      <c r="O2114" s="3">
        <f t="shared" si="275"/>
        <v>0</v>
      </c>
      <c r="S2114" s="3" t="s">
        <v>204</v>
      </c>
      <c r="V2114" s="172" t="s">
        <v>1966</v>
      </c>
    </row>
    <row r="2115" spans="1:25" hidden="1">
      <c r="A2115" s="12">
        <v>24433682</v>
      </c>
      <c r="B2115" s="13">
        <v>46278</v>
      </c>
      <c r="C2115" s="14">
        <v>0.88493055555555555</v>
      </c>
      <c r="D2115" s="15"/>
      <c r="E2115" s="16">
        <v>5219631472140</v>
      </c>
      <c r="F2115" s="15"/>
      <c r="G2115" s="15" t="s">
        <v>2007</v>
      </c>
      <c r="H2115" s="17"/>
      <c r="I2115" s="15"/>
      <c r="J2115" s="18"/>
      <c r="K2115" t="s">
        <v>32</v>
      </c>
      <c r="N2115" s="3">
        <f t="shared" ref="N2115:N2122" si="276">L2115*0.3</f>
        <v>0</v>
      </c>
      <c r="O2115" s="3">
        <f t="shared" ref="O2115:O2122" si="277">(IF(L2115&lt;4172.98,0,MIN(L2115*0.3,L2115-4172.98)))-M2115</f>
        <v>0</v>
      </c>
      <c r="S2115" s="3" t="s">
        <v>204</v>
      </c>
      <c r="V2115" s="172" t="s">
        <v>1966</v>
      </c>
    </row>
    <row r="2116" spans="1:25" hidden="1">
      <c r="A2116" s="12">
        <v>24434020</v>
      </c>
      <c r="B2116" s="13">
        <v>46278</v>
      </c>
      <c r="C2116" s="14">
        <v>0.91717592592592589</v>
      </c>
      <c r="D2116" s="15"/>
      <c r="E2116" s="16">
        <v>5219381057880</v>
      </c>
      <c r="F2116" s="15"/>
      <c r="G2116" s="15" t="s">
        <v>2008</v>
      </c>
      <c r="H2116" s="17"/>
      <c r="I2116" s="15"/>
      <c r="J2116" s="18"/>
      <c r="K2116" t="s">
        <v>30</v>
      </c>
      <c r="L2116" s="111">
        <v>9081.52</v>
      </c>
      <c r="M2116" s="111">
        <v>2521.35</v>
      </c>
      <c r="N2116" s="3">
        <f t="shared" si="276"/>
        <v>2724.4560000000001</v>
      </c>
      <c r="O2116" s="3">
        <f t="shared" si="277"/>
        <v>203.10600000000022</v>
      </c>
      <c r="P2116" s="6">
        <v>46327</v>
      </c>
      <c r="Q2116" t="s">
        <v>44</v>
      </c>
      <c r="R2116" s="111">
        <v>2521.35</v>
      </c>
      <c r="S2116" s="3" t="s">
        <v>204</v>
      </c>
      <c r="V2116" s="172" t="s">
        <v>1966</v>
      </c>
    </row>
    <row r="2117" spans="1:25" hidden="1">
      <c r="A2117" s="12">
        <v>24435726</v>
      </c>
      <c r="B2117" s="13">
        <v>46278</v>
      </c>
      <c r="C2117" s="14">
        <v>0.98252314814814812</v>
      </c>
      <c r="D2117" s="15"/>
      <c r="E2117" s="16">
        <v>5213346853906</v>
      </c>
      <c r="F2117" s="15"/>
      <c r="G2117" s="15"/>
      <c r="H2117" s="17" t="s">
        <v>2009</v>
      </c>
      <c r="I2117" s="15"/>
      <c r="J2117" s="18"/>
      <c r="K2117" t="s">
        <v>58</v>
      </c>
      <c r="L2117" s="3">
        <v>2832.77</v>
      </c>
      <c r="N2117" s="3">
        <f t="shared" si="276"/>
        <v>849.83100000000002</v>
      </c>
      <c r="O2117" s="3">
        <f t="shared" si="277"/>
        <v>0</v>
      </c>
      <c r="S2117" s="3" t="s">
        <v>204</v>
      </c>
      <c r="V2117" s="172" t="s">
        <v>1966</v>
      </c>
    </row>
    <row r="2118" spans="1:25" hidden="1">
      <c r="A2118" s="12">
        <v>24435742</v>
      </c>
      <c r="B2118" s="13">
        <v>46278</v>
      </c>
      <c r="C2118" s="14">
        <v>0.98831018518518521</v>
      </c>
      <c r="D2118" s="15"/>
      <c r="E2118" s="16">
        <v>5219616598710</v>
      </c>
      <c r="F2118" s="15"/>
      <c r="G2118" s="15" t="s">
        <v>2010</v>
      </c>
      <c r="H2118" s="17">
        <v>78886208913</v>
      </c>
      <c r="I2118" s="15"/>
      <c r="J2118" s="18"/>
      <c r="K2118" t="s">
        <v>30</v>
      </c>
      <c r="L2118" s="111">
        <v>9081.52</v>
      </c>
      <c r="M2118" s="111">
        <v>2627.5</v>
      </c>
      <c r="N2118" s="3">
        <f t="shared" si="276"/>
        <v>2724.4560000000001</v>
      </c>
      <c r="O2118" s="3">
        <f t="shared" si="277"/>
        <v>96.956000000000131</v>
      </c>
      <c r="P2118" s="6">
        <v>46508</v>
      </c>
      <c r="Q2118" t="s">
        <v>75</v>
      </c>
      <c r="R2118" s="111">
        <v>2627.5</v>
      </c>
      <c r="S2118" s="3" t="s">
        <v>204</v>
      </c>
      <c r="V2118" s="172" t="s">
        <v>1966</v>
      </c>
    </row>
    <row r="2119" spans="1:25" hidden="1">
      <c r="A2119" s="12">
        <v>24439464</v>
      </c>
      <c r="B2119" s="13">
        <v>46279</v>
      </c>
      <c r="C2119" s="14">
        <v>0.245</v>
      </c>
      <c r="D2119" s="15"/>
      <c r="E2119" s="16">
        <v>5219341347679</v>
      </c>
      <c r="F2119" s="15"/>
      <c r="G2119" s="15" t="s">
        <v>2011</v>
      </c>
      <c r="H2119" s="17">
        <v>71947467016</v>
      </c>
      <c r="I2119" s="15"/>
      <c r="J2119" s="18"/>
      <c r="K2119" t="s">
        <v>58</v>
      </c>
      <c r="L2119" s="3">
        <v>1636.09</v>
      </c>
      <c r="N2119" s="3">
        <f t="shared" si="276"/>
        <v>490.82699999999994</v>
      </c>
      <c r="O2119" s="3">
        <f t="shared" si="277"/>
        <v>0</v>
      </c>
      <c r="S2119" s="3" t="s">
        <v>204</v>
      </c>
      <c r="V2119" s="172" t="s">
        <v>1966</v>
      </c>
    </row>
    <row r="2120" spans="1:25" hidden="1">
      <c r="A2120" s="12">
        <v>24440722</v>
      </c>
      <c r="B2120" s="13">
        <v>46279</v>
      </c>
      <c r="C2120" s="14">
        <v>0.29578703703703701</v>
      </c>
      <c r="D2120" s="15"/>
      <c r="E2120" s="16">
        <v>5215548592839</v>
      </c>
      <c r="F2120" s="15"/>
      <c r="G2120" s="15"/>
      <c r="H2120" s="17">
        <v>63806023154</v>
      </c>
      <c r="I2120" s="15"/>
      <c r="J2120" s="18"/>
      <c r="K2120" t="s">
        <v>51</v>
      </c>
      <c r="N2120" s="3">
        <f t="shared" si="276"/>
        <v>0</v>
      </c>
      <c r="O2120" s="3">
        <f t="shared" si="277"/>
        <v>0</v>
      </c>
      <c r="S2120" s="3" t="s">
        <v>204</v>
      </c>
      <c r="V2120" s="172" t="s">
        <v>1966</v>
      </c>
    </row>
    <row r="2121" spans="1:25" hidden="1">
      <c r="A2121" s="12">
        <v>24441010</v>
      </c>
      <c r="B2121" s="13">
        <v>46279</v>
      </c>
      <c r="C2121" s="14">
        <v>0.30559027777777775</v>
      </c>
      <c r="D2121" s="15"/>
      <c r="E2121" s="16">
        <v>5214431696725</v>
      </c>
      <c r="F2121" s="15"/>
      <c r="G2121" s="15"/>
      <c r="H2121" s="17">
        <v>53795621282</v>
      </c>
      <c r="I2121" s="15"/>
      <c r="J2121" s="18"/>
      <c r="K2121" t="s">
        <v>30</v>
      </c>
      <c r="L2121" s="3">
        <f>5995.92+2222.98</f>
        <v>8218.9</v>
      </c>
      <c r="M2121" s="3">
        <v>2222.98</v>
      </c>
      <c r="N2121" s="3">
        <f t="shared" si="276"/>
        <v>2465.6699999999996</v>
      </c>
      <c r="O2121" s="3">
        <f t="shared" si="277"/>
        <v>242.6899999999996</v>
      </c>
      <c r="S2121" s="3" t="s">
        <v>204</v>
      </c>
      <c r="V2121" s="172" t="s">
        <v>1966</v>
      </c>
    </row>
    <row r="2122" spans="1:25" hidden="1">
      <c r="A2122" s="30">
        <v>24441674</v>
      </c>
      <c r="B2122" s="31">
        <v>46279</v>
      </c>
      <c r="C2122" s="32">
        <v>0.31591435185185185</v>
      </c>
      <c r="D2122" s="33"/>
      <c r="E2122" s="34">
        <v>5212712661541</v>
      </c>
      <c r="F2122" s="33"/>
      <c r="G2122" s="33"/>
      <c r="H2122" s="35">
        <v>67785800789</v>
      </c>
      <c r="I2122" s="33"/>
      <c r="J2122" s="36"/>
      <c r="K2122" t="s">
        <v>30</v>
      </c>
      <c r="L2122" s="3">
        <f>4196.69+617</f>
        <v>4813.6899999999996</v>
      </c>
      <c r="M2122" s="3">
        <v>617</v>
      </c>
      <c r="N2122" s="3">
        <f t="shared" si="276"/>
        <v>1444.1069999999997</v>
      </c>
      <c r="O2122" s="3">
        <f t="shared" si="277"/>
        <v>23.710000000000036</v>
      </c>
      <c r="S2122" s="3" t="s">
        <v>204</v>
      </c>
      <c r="V2122" s="172" t="s">
        <v>1966</v>
      </c>
    </row>
    <row r="2123" spans="1:25">
      <c r="A2123" s="12">
        <v>24443470</v>
      </c>
      <c r="B2123" s="13">
        <v>46279</v>
      </c>
      <c r="C2123" s="14">
        <v>0.37065972222222221</v>
      </c>
      <c r="D2123" s="15"/>
      <c r="E2123" s="16">
        <v>5212282843488</v>
      </c>
      <c r="F2123" s="15"/>
      <c r="G2123" s="15"/>
      <c r="H2123" s="17">
        <v>65886400335</v>
      </c>
      <c r="I2123" s="15"/>
      <c r="J2123" s="18"/>
      <c r="K2123" t="s">
        <v>54</v>
      </c>
      <c r="L2123" s="3">
        <v>10824.73</v>
      </c>
      <c r="N2123" s="3">
        <f t="shared" ref="N2123:N2124" si="278">L2123*0.3</f>
        <v>3247.4189999999999</v>
      </c>
      <c r="O2123" s="3">
        <f t="shared" ref="O2123:O2124" si="279">(IF(L2123&lt;4172.98,0,MIN(L2123*0.3,L2123-4172.98)))-M2123</f>
        <v>3247.4189999999999</v>
      </c>
      <c r="S2123" s="3" t="s">
        <v>35</v>
      </c>
      <c r="T2123" s="48">
        <v>46279</v>
      </c>
      <c r="V2123" s="172" t="s">
        <v>1966</v>
      </c>
      <c r="W2123" s="51">
        <v>0.39930555555555558</v>
      </c>
      <c r="X2123" s="51">
        <v>0.40138888888888891</v>
      </c>
      <c r="Y2123" s="51">
        <v>0.41875000000000001</v>
      </c>
    </row>
    <row r="2124" spans="1:25" hidden="1">
      <c r="A2124" s="30">
        <v>24443928</v>
      </c>
      <c r="B2124" s="31">
        <v>46279</v>
      </c>
      <c r="C2124" s="32">
        <v>0.37498842592592591</v>
      </c>
      <c r="D2124" s="33"/>
      <c r="E2124" s="34">
        <v>5219331325696</v>
      </c>
      <c r="F2124" s="33"/>
      <c r="G2124" s="33" t="s">
        <v>2012</v>
      </c>
      <c r="H2124" s="35">
        <v>83805702947</v>
      </c>
      <c r="I2124" s="33"/>
      <c r="J2124" s="36"/>
      <c r="K2124" t="s">
        <v>30</v>
      </c>
      <c r="L2124" s="125">
        <v>5850.96</v>
      </c>
      <c r="M2124" s="125">
        <v>1613.78</v>
      </c>
      <c r="N2124" s="3">
        <f t="shared" si="278"/>
        <v>1755.288</v>
      </c>
      <c r="O2124" s="3">
        <f t="shared" si="279"/>
        <v>64.2000000000005</v>
      </c>
      <c r="P2124" s="6">
        <v>46478</v>
      </c>
      <c r="Q2124" t="s">
        <v>421</v>
      </c>
      <c r="R2124" s="3">
        <v>1391.42</v>
      </c>
      <c r="S2124" s="3" t="s">
        <v>204</v>
      </c>
      <c r="V2124" s="172" t="s">
        <v>1966</v>
      </c>
    </row>
    <row r="2125" spans="1:25" hidden="1">
      <c r="A2125" s="30">
        <v>24443994</v>
      </c>
      <c r="B2125" s="31">
        <v>46279</v>
      </c>
      <c r="C2125" s="32">
        <v>0.38490740740740742</v>
      </c>
      <c r="D2125" s="33" t="s">
        <v>2013</v>
      </c>
      <c r="E2125" s="34">
        <v>5219878785867</v>
      </c>
      <c r="F2125" s="33"/>
      <c r="G2125" s="33" t="s">
        <v>2014</v>
      </c>
      <c r="H2125" s="35">
        <v>82724700198</v>
      </c>
      <c r="I2125" s="33"/>
      <c r="J2125" s="36"/>
      <c r="K2125" t="s">
        <v>58</v>
      </c>
      <c r="L2125" s="125">
        <v>3895.43</v>
      </c>
      <c r="M2125" s="125">
        <v>879</v>
      </c>
      <c r="N2125" s="3">
        <f>L2125*0.3</f>
        <v>1168.6289999999999</v>
      </c>
      <c r="O2125" s="3">
        <f>(IF(L2125&lt;4172.98,0,MIN(L2125*0.3,L2125-4172.98)))-M2125</f>
        <v>-879</v>
      </c>
      <c r="S2125" s="3" t="s">
        <v>204</v>
      </c>
      <c r="V2125" s="172" t="s">
        <v>1966</v>
      </c>
    </row>
    <row r="2126" spans="1:25" hidden="1">
      <c r="A2126" s="30">
        <v>24445514</v>
      </c>
      <c r="B2126" s="31">
        <v>46279</v>
      </c>
      <c r="C2126" s="32">
        <v>0.42248842592592595</v>
      </c>
      <c r="D2126" s="33"/>
      <c r="E2126" s="34">
        <v>5218443925819</v>
      </c>
      <c r="F2126" s="33"/>
      <c r="G2126" s="33"/>
      <c r="H2126" s="35">
        <v>32745638158</v>
      </c>
      <c r="I2126" s="33"/>
      <c r="J2126" s="36"/>
      <c r="K2126" t="s">
        <v>58</v>
      </c>
      <c r="L2126" s="125">
        <v>3882.85</v>
      </c>
      <c r="M2126" s="125">
        <v>879</v>
      </c>
      <c r="N2126" s="3">
        <f>L2126*0.3</f>
        <v>1164.855</v>
      </c>
      <c r="O2126" s="3">
        <f>(IF(L2126&lt;4172.98,0,MIN(L2126*0.3,L2126-4172.98)))-M2126</f>
        <v>-879</v>
      </c>
      <c r="S2126" s="3" t="s">
        <v>204</v>
      </c>
      <c r="V2126" s="51">
        <v>0.42499999999999999</v>
      </c>
    </row>
    <row r="2127" spans="1:25">
      <c r="A2127" s="30">
        <v>24445634</v>
      </c>
      <c r="B2127" s="31">
        <v>46279</v>
      </c>
      <c r="C2127" s="32">
        <v>0.43048611111111112</v>
      </c>
      <c r="D2127" s="33"/>
      <c r="E2127" s="34">
        <v>5218125621203</v>
      </c>
      <c r="F2127" s="33"/>
      <c r="G2127" s="33"/>
      <c r="H2127" s="35">
        <v>43856634373</v>
      </c>
      <c r="I2127" s="33"/>
      <c r="J2127" s="36"/>
      <c r="K2127" t="s">
        <v>54</v>
      </c>
      <c r="L2127" s="3">
        <v>10636.54</v>
      </c>
      <c r="N2127" s="3">
        <f>L2127*0.3</f>
        <v>3190.962</v>
      </c>
      <c r="O2127" s="3">
        <f>(IF(L2127&lt;4172.98,0,MIN(L2127*0.3,L2127-4172.98)))-M2127</f>
        <v>3190.962</v>
      </c>
      <c r="S2127" s="3" t="s">
        <v>1946</v>
      </c>
      <c r="T2127" s="48">
        <v>46279</v>
      </c>
      <c r="V2127" s="51">
        <v>0.43125000000000002</v>
      </c>
      <c r="W2127" s="51">
        <v>0.43888888888888888</v>
      </c>
      <c r="X2127" s="51">
        <v>0.44097222222222221</v>
      </c>
      <c r="Y2127" s="51">
        <v>0.44374999999999998</v>
      </c>
    </row>
    <row r="2128" spans="1:25" hidden="1">
      <c r="A2128" s="30">
        <v>24445996</v>
      </c>
      <c r="B2128" s="31">
        <v>46279</v>
      </c>
      <c r="C2128" s="32">
        <v>0.43681712962962965</v>
      </c>
      <c r="D2128" s="33"/>
      <c r="E2128" s="34">
        <v>5214443334414</v>
      </c>
      <c r="F2128" s="33"/>
      <c r="G2128" s="33" t="s">
        <v>2015</v>
      </c>
      <c r="H2128" s="35"/>
      <c r="I2128" s="33"/>
      <c r="J2128" s="36"/>
      <c r="K2128" t="s">
        <v>30</v>
      </c>
      <c r="L2128" s="125">
        <v>11029.03</v>
      </c>
      <c r="M2128" s="125">
        <v>3308.44</v>
      </c>
      <c r="N2128" s="3">
        <f>L2128*0.3</f>
        <v>3308.7090000000003</v>
      </c>
      <c r="O2128" s="3">
        <f>(IF(L2128&lt;4172.98,0,MIN(L2128*0.3,L2128-4172.98)))-M2128</f>
        <v>0.26900000000023283</v>
      </c>
      <c r="P2128" s="6">
        <v>46874</v>
      </c>
      <c r="Q2128" t="s">
        <v>43</v>
      </c>
      <c r="R2128" s="125">
        <v>3308.44</v>
      </c>
      <c r="S2128" s="3" t="s">
        <v>204</v>
      </c>
      <c r="V2128" s="51">
        <v>0.4375</v>
      </c>
    </row>
    <row r="2129" spans="1:25" hidden="1">
      <c r="A2129" s="30">
        <v>24446148</v>
      </c>
      <c r="B2129" s="31">
        <v>46279</v>
      </c>
      <c r="C2129" s="32">
        <v>0.44056712962962963</v>
      </c>
      <c r="D2129" s="33" t="s">
        <v>2016</v>
      </c>
      <c r="E2129" s="34">
        <v>5219511808372</v>
      </c>
      <c r="F2129" s="33"/>
      <c r="G2129" s="33" t="s">
        <v>2017</v>
      </c>
      <c r="H2129" s="35"/>
      <c r="I2129" s="33"/>
      <c r="J2129" s="36"/>
      <c r="K2129" t="s">
        <v>32</v>
      </c>
      <c r="N2129" s="3">
        <f>L2129*0.3</f>
        <v>0</v>
      </c>
      <c r="O2129" s="3">
        <f>(IF(L2129&lt;4172.98,0,MIN(L2129*0.3,L2129-4172.98)))-M2129</f>
        <v>0</v>
      </c>
      <c r="S2129" s="3" t="s">
        <v>204</v>
      </c>
      <c r="V2129" s="51">
        <v>0.44305555555555554</v>
      </c>
    </row>
    <row r="2130" spans="1:25" hidden="1">
      <c r="A2130" s="30">
        <v>24446196</v>
      </c>
      <c r="B2130" s="31">
        <v>46279</v>
      </c>
      <c r="C2130" s="32">
        <v>0.44336805555555553</v>
      </c>
      <c r="D2130" s="33"/>
      <c r="E2130" s="34">
        <v>5216624683848</v>
      </c>
      <c r="F2130" s="33"/>
      <c r="G2130" s="33" t="s">
        <v>2018</v>
      </c>
      <c r="H2130" s="35"/>
      <c r="I2130" s="33"/>
      <c r="J2130" s="36"/>
      <c r="K2130" t="s">
        <v>51</v>
      </c>
      <c r="N2130" s="3">
        <f>L2130*0.3</f>
        <v>0</v>
      </c>
      <c r="O2130" s="3">
        <f>(IF(L2130&lt;4172.98,0,MIN(L2130*0.3,L2130-4172.98)))-M2130</f>
        <v>0</v>
      </c>
      <c r="S2130" s="3" t="s">
        <v>204</v>
      </c>
      <c r="V2130" s="51">
        <v>0.44513888888888886</v>
      </c>
    </row>
    <row r="2131" spans="1:25">
      <c r="A2131" s="12">
        <v>24446296</v>
      </c>
      <c r="B2131" s="13">
        <v>46279</v>
      </c>
      <c r="C2131" s="14">
        <v>0.4498611111111111</v>
      </c>
      <c r="D2131" s="15"/>
      <c r="E2131" s="16">
        <v>5216871250081</v>
      </c>
      <c r="F2131" s="15"/>
      <c r="G2131" s="15" t="s">
        <v>2019</v>
      </c>
      <c r="H2131" s="17"/>
      <c r="I2131" s="15"/>
      <c r="J2131" s="18"/>
      <c r="K2131" t="s">
        <v>54</v>
      </c>
      <c r="L2131" s="125">
        <v>9760.32</v>
      </c>
      <c r="M2131" s="125">
        <v>879</v>
      </c>
      <c r="N2131" s="3">
        <f>L2131*0.3</f>
        <v>2928.096</v>
      </c>
      <c r="O2131" s="3">
        <f>(IF(L2131&lt;4172.98,0,MIN(L2131*0.3,L2131-4172.98)))-M2131</f>
        <v>2049.096</v>
      </c>
      <c r="S2131" s="3" t="s">
        <v>55</v>
      </c>
      <c r="T2131" s="48">
        <v>46279</v>
      </c>
      <c r="V2131" s="51">
        <v>0.45069444444444445</v>
      </c>
      <c r="W2131" s="51">
        <v>0.45555555555555555</v>
      </c>
      <c r="X2131" s="51">
        <v>0.46180555555555558</v>
      </c>
      <c r="Y2131" s="51">
        <v>0.46319444444444446</v>
      </c>
    </row>
    <row r="2132" spans="1:25" hidden="1">
      <c r="A2132" s="12">
        <v>24446664</v>
      </c>
      <c r="B2132" s="13">
        <v>46279</v>
      </c>
      <c r="C2132" s="14">
        <v>0.45063657407407409</v>
      </c>
      <c r="D2132" s="15"/>
      <c r="E2132" s="16">
        <v>5218120991511</v>
      </c>
      <c r="F2132" s="15"/>
      <c r="G2132" s="15"/>
      <c r="H2132" s="17" t="s">
        <v>2020</v>
      </c>
      <c r="I2132" s="15"/>
      <c r="J2132" s="18"/>
      <c r="K2132" t="s">
        <v>30</v>
      </c>
      <c r="L2132" s="125">
        <v>4653.76</v>
      </c>
      <c r="M2132" s="125">
        <v>480.77</v>
      </c>
      <c r="N2132" s="3">
        <f>L2132*0.3</f>
        <v>1396.1279999999999</v>
      </c>
      <c r="O2132" s="3">
        <f>(IF(L2132&lt;4172.98,0,MIN(L2132*0.3,L2132-4172.98)))-M2132</f>
        <v>1.0000000000673026E-2</v>
      </c>
      <c r="P2132" s="6">
        <v>46874</v>
      </c>
      <c r="Q2132" t="s">
        <v>75</v>
      </c>
      <c r="R2132" s="125">
        <v>480.77</v>
      </c>
      <c r="S2132" s="3" t="s">
        <v>204</v>
      </c>
      <c r="V2132" s="51">
        <v>0.45069444444444445</v>
      </c>
    </row>
    <row r="2133" spans="1:25">
      <c r="A2133" s="30">
        <v>24446686</v>
      </c>
      <c r="B2133" s="31">
        <v>46279</v>
      </c>
      <c r="C2133" s="32">
        <v>0.45086805555555554</v>
      </c>
      <c r="D2133" s="33"/>
      <c r="E2133" s="34">
        <v>5217443263138</v>
      </c>
      <c r="F2133" s="33"/>
      <c r="G2133" s="33"/>
      <c r="H2133" s="35">
        <v>52755713301</v>
      </c>
      <c r="I2133" s="33"/>
      <c r="J2133" s="36"/>
      <c r="K2133" t="s">
        <v>54</v>
      </c>
      <c r="L2133" s="3">
        <v>11029.03</v>
      </c>
      <c r="N2133" s="3">
        <f>L2133*0.3</f>
        <v>3308.7090000000003</v>
      </c>
      <c r="O2133" s="3">
        <f>(IF(L2133&lt;4172.98,0,MIN(L2133*0.3,L2133-4172.98)))-M2133</f>
        <v>3308.7090000000003</v>
      </c>
      <c r="S2133" s="3" t="s">
        <v>327</v>
      </c>
      <c r="T2133" s="48">
        <v>46279</v>
      </c>
      <c r="V2133" s="51">
        <v>0.45069444444444445</v>
      </c>
      <c r="W2133" s="51">
        <v>0.46597222222222223</v>
      </c>
      <c r="X2133" s="51">
        <v>0.46944444444444444</v>
      </c>
      <c r="Y2133" s="51">
        <v>0.47916666666666669</v>
      </c>
    </row>
    <row r="2134" spans="1:25">
      <c r="A2134" s="12">
        <v>24447340</v>
      </c>
      <c r="B2134" s="13">
        <v>46279</v>
      </c>
      <c r="C2134" s="14">
        <v>0.47378472222222223</v>
      </c>
      <c r="D2134" s="15"/>
      <c r="E2134" s="16">
        <v>5214641172789</v>
      </c>
      <c r="F2134" s="15"/>
      <c r="G2134" s="15" t="s">
        <v>2021</v>
      </c>
      <c r="H2134" s="17" t="s">
        <v>2022</v>
      </c>
      <c r="I2134" s="15"/>
      <c r="J2134" s="18"/>
      <c r="K2134" t="s">
        <v>54</v>
      </c>
      <c r="L2134" s="3">
        <v>7125.15</v>
      </c>
      <c r="N2134" s="3">
        <f>L2134*0.3</f>
        <v>2137.5449999999996</v>
      </c>
      <c r="O2134" s="3">
        <f>(IF(L2134&lt;4172.98,0,MIN(L2134*0.3,L2134-4172.98)))-M2134</f>
        <v>2137.5449999999996</v>
      </c>
      <c r="S2134" s="3" t="s">
        <v>1091</v>
      </c>
      <c r="T2134" s="48">
        <v>46279</v>
      </c>
      <c r="V2134" s="51">
        <v>0.47430555555555554</v>
      </c>
      <c r="W2134" s="51">
        <v>0.47847222222222224</v>
      </c>
      <c r="X2134" s="51">
        <v>0.47916666666666669</v>
      </c>
      <c r="Y2134" s="51">
        <v>0.47986111111111113</v>
      </c>
    </row>
    <row r="2135" spans="1:25" hidden="1">
      <c r="A2135" s="30">
        <v>24447618</v>
      </c>
      <c r="B2135" s="31">
        <v>46279</v>
      </c>
      <c r="C2135" s="32">
        <v>0.48311342592592593</v>
      </c>
      <c r="D2135" s="33"/>
      <c r="E2135" s="34">
        <v>5214442931152</v>
      </c>
      <c r="F2135" s="33"/>
      <c r="G2135" s="33"/>
      <c r="H2135" s="35" t="s">
        <v>2023</v>
      </c>
      <c r="I2135" s="33"/>
      <c r="J2135" s="36"/>
      <c r="K2135" t="s">
        <v>58</v>
      </c>
      <c r="L2135" s="125">
        <v>4336.66</v>
      </c>
      <c r="M2135" s="125">
        <v>879</v>
      </c>
      <c r="N2135" s="3">
        <f>L2135*0.3</f>
        <v>1300.9979999999998</v>
      </c>
      <c r="O2135" s="3">
        <f>(IF(L2135&lt;4172.98,0,MIN(L2135*0.3,L2135-4172.98)))-M2135</f>
        <v>-715.31999999999971</v>
      </c>
      <c r="S2135" s="3" t="s">
        <v>204</v>
      </c>
      <c r="V2135" s="51">
        <v>0.48472222222222222</v>
      </c>
    </row>
    <row r="2136" spans="1:25" hidden="1">
      <c r="A2136" s="30">
        <v>24447642</v>
      </c>
      <c r="B2136" s="31">
        <v>46279</v>
      </c>
      <c r="C2136" s="32">
        <v>0.48488425925925926</v>
      </c>
      <c r="D2136" s="33" t="s">
        <v>2024</v>
      </c>
      <c r="E2136" s="34">
        <v>5219818141113</v>
      </c>
      <c r="F2136" s="33"/>
      <c r="G2136" s="33" t="s">
        <v>2025</v>
      </c>
      <c r="H2136" s="35" t="s">
        <v>2026</v>
      </c>
      <c r="I2136" s="33"/>
      <c r="J2136" s="36"/>
      <c r="K2136" t="s">
        <v>30</v>
      </c>
      <c r="L2136" s="125">
        <v>9581.02</v>
      </c>
      <c r="M2136" s="125">
        <v>2872.72</v>
      </c>
      <c r="N2136" s="3">
        <f>L2136*0.3</f>
        <v>2874.306</v>
      </c>
      <c r="O2136" s="3">
        <f>(IF(L2136&lt;4172.98,0,MIN(L2136*0.3,L2136-4172.98)))-M2136</f>
        <v>1.5860000000002401</v>
      </c>
      <c r="P2136" s="6">
        <v>46327</v>
      </c>
      <c r="Q2136" t="s">
        <v>47</v>
      </c>
      <c r="R2136" s="3">
        <v>2658.44</v>
      </c>
      <c r="S2136" s="3" t="s">
        <v>204</v>
      </c>
      <c r="V2136" s="51">
        <v>0.48472222222222222</v>
      </c>
    </row>
    <row r="2137" spans="1:25" hidden="1">
      <c r="A2137" s="12">
        <v>24448286</v>
      </c>
      <c r="B2137" s="13">
        <v>46279</v>
      </c>
      <c r="C2137" s="14">
        <v>0.49774305555555554</v>
      </c>
      <c r="D2137" s="15"/>
      <c r="E2137" s="16">
        <v>5216562137075</v>
      </c>
      <c r="F2137" s="15"/>
      <c r="G2137" s="15"/>
      <c r="H2137" s="17" t="s">
        <v>2027</v>
      </c>
      <c r="I2137" s="15"/>
      <c r="J2137" s="18"/>
      <c r="K2137" t="s">
        <v>58</v>
      </c>
      <c r="L2137" s="125">
        <v>4199.87</v>
      </c>
      <c r="M2137" s="125">
        <v>848</v>
      </c>
      <c r="N2137" s="3">
        <f>L2137*0.3</f>
        <v>1259.961</v>
      </c>
      <c r="O2137" s="3">
        <f>(IF(L2137&lt;4172.98,0,MIN(L2137*0.3,L2137-4172.98)))-M2137</f>
        <v>-821.10999999999967</v>
      </c>
      <c r="S2137" s="3" t="s">
        <v>204</v>
      </c>
      <c r="V2137" s="51">
        <v>0.49930555555555556</v>
      </c>
    </row>
    <row r="2138" spans="1:25" hidden="1">
      <c r="A2138" s="12">
        <v>24448356</v>
      </c>
      <c r="B2138" s="13">
        <v>46279</v>
      </c>
      <c r="C2138" s="14">
        <v>0.49905092592592593</v>
      </c>
      <c r="D2138" s="15"/>
      <c r="E2138" s="16">
        <v>5218181386671</v>
      </c>
      <c r="F2138" s="15"/>
      <c r="G2138" s="15"/>
      <c r="H2138" s="17">
        <v>43765847280</v>
      </c>
      <c r="I2138" s="15"/>
      <c r="J2138" s="18"/>
      <c r="K2138" t="s">
        <v>30</v>
      </c>
      <c r="L2138" s="125">
        <v>20994.06</v>
      </c>
      <c r="M2138" s="125">
        <v>6297.31</v>
      </c>
      <c r="N2138" s="3">
        <f>L2138*0.3</f>
        <v>6298.2179999999998</v>
      </c>
      <c r="O2138" s="3">
        <f>(IF(L2138&lt;4172.98,0,MIN(L2138*0.3,L2138-4172.98)))-M2138</f>
        <v>0.90799999999944703</v>
      </c>
      <c r="P2138" s="6">
        <v>46419</v>
      </c>
      <c r="Q2138" t="s">
        <v>44</v>
      </c>
      <c r="R2138" s="3">
        <v>932.8</v>
      </c>
      <c r="S2138" s="3" t="s">
        <v>204</v>
      </c>
      <c r="V2138" s="51">
        <v>0.49930555555555556</v>
      </c>
    </row>
    <row r="2139" spans="1:25">
      <c r="A2139" s="30">
        <v>24448318</v>
      </c>
      <c r="B2139" s="31">
        <v>46279</v>
      </c>
      <c r="C2139" s="32">
        <v>0.4992476851851852</v>
      </c>
      <c r="D2139" s="33"/>
      <c r="E2139" s="34">
        <v>5216471216531</v>
      </c>
      <c r="F2139" s="33"/>
      <c r="G2139" s="33" t="s">
        <v>2028</v>
      </c>
      <c r="H2139" s="35"/>
      <c r="I2139" s="33"/>
      <c r="J2139" s="36"/>
      <c r="K2139" t="s">
        <v>27</v>
      </c>
      <c r="L2139" s="125">
        <v>7116.73</v>
      </c>
      <c r="M2139" s="125">
        <v>1887.3</v>
      </c>
      <c r="N2139" s="3">
        <f>L2139*0.3</f>
        <v>2135.0189999999998</v>
      </c>
      <c r="O2139" s="3">
        <f>(IF(L2139&lt;4172.98,0,MIN(L2139*0.3,L2139-4172.98)))-M2139</f>
        <v>247.71899999999982</v>
      </c>
      <c r="P2139" s="6">
        <v>46054</v>
      </c>
      <c r="Q2139" t="s">
        <v>2029</v>
      </c>
      <c r="R2139" s="125">
        <v>1887.3</v>
      </c>
      <c r="S2139" s="3" t="s">
        <v>90</v>
      </c>
      <c r="T2139" s="48">
        <v>46279</v>
      </c>
      <c r="V2139" s="51">
        <v>0.49930555555555556</v>
      </c>
      <c r="W2139" s="51">
        <v>0.5131944444444444</v>
      </c>
      <c r="X2139" s="51">
        <v>0.51458333333333328</v>
      </c>
      <c r="Y2139" s="51">
        <v>0.51875000000000004</v>
      </c>
    </row>
    <row r="2140" spans="1:25" hidden="1">
      <c r="A2140" s="30">
        <v>24448342</v>
      </c>
      <c r="B2140" s="31">
        <v>46279</v>
      </c>
      <c r="C2140" s="32">
        <v>0.50105324074074076</v>
      </c>
      <c r="D2140" s="33" t="s">
        <v>2030</v>
      </c>
      <c r="E2140" s="34">
        <v>5218143949750</v>
      </c>
      <c r="F2140" s="33"/>
      <c r="G2140" s="33" t="s">
        <v>2031</v>
      </c>
      <c r="H2140" s="35">
        <v>54816328022</v>
      </c>
      <c r="I2140" s="33"/>
      <c r="J2140" s="36"/>
      <c r="K2140" t="s">
        <v>30</v>
      </c>
      <c r="L2140" s="125">
        <v>7920.51</v>
      </c>
      <c r="M2140" s="125">
        <v>2361.94</v>
      </c>
      <c r="N2140" s="3">
        <f>L2140*0.3</f>
        <v>2376.1529999999998</v>
      </c>
      <c r="O2140" s="3">
        <f>(IF(L2140&lt;4172.98,0,MIN(L2140*0.3,L2140-4172.98)))-M2140</f>
        <v>14.212999999999738</v>
      </c>
      <c r="P2140" s="6">
        <v>46966</v>
      </c>
      <c r="Q2140" t="s">
        <v>43</v>
      </c>
      <c r="R2140" s="125">
        <v>2361.94</v>
      </c>
      <c r="S2140" s="3" t="s">
        <v>204</v>
      </c>
      <c r="V2140" s="51">
        <v>0.50902777777777775</v>
      </c>
    </row>
    <row r="2141" spans="1:25">
      <c r="A2141" s="30">
        <v>24449076</v>
      </c>
      <c r="B2141" s="31">
        <v>46279</v>
      </c>
      <c r="C2141" s="32">
        <v>0.51862268518518517</v>
      </c>
      <c r="D2141" s="33"/>
      <c r="E2141" s="34">
        <v>5218341413096</v>
      </c>
      <c r="F2141" s="33"/>
      <c r="G2141" s="33" t="s">
        <v>2032</v>
      </c>
      <c r="H2141" s="35"/>
      <c r="I2141" s="33"/>
      <c r="J2141" s="36"/>
      <c r="K2141" t="s">
        <v>107</v>
      </c>
      <c r="L2141" s="125">
        <v>21624.76</v>
      </c>
      <c r="M2141" s="125">
        <f>6413.63+80</f>
        <v>6493.63</v>
      </c>
      <c r="N2141" s="3">
        <f>L2141*0.3</f>
        <v>6487.427999999999</v>
      </c>
      <c r="O2141" s="3">
        <f>(IF(L2141&lt;4172.98,0,MIN(L2141*0.3,L2141-4172.98)))-M2141</f>
        <v>-6.202000000001135</v>
      </c>
      <c r="P2141" s="6">
        <v>46266</v>
      </c>
      <c r="Q2141" t="s">
        <v>2033</v>
      </c>
      <c r="R2141" s="125">
        <v>633.92999999999995</v>
      </c>
      <c r="S2141" s="3" t="s">
        <v>39</v>
      </c>
      <c r="T2141" s="48">
        <v>46279</v>
      </c>
      <c r="V2141" s="51">
        <v>0.51875000000000004</v>
      </c>
      <c r="W2141" s="51">
        <v>0.52430555555555558</v>
      </c>
      <c r="X2141" s="51">
        <v>0.53472222222222221</v>
      </c>
      <c r="Y2141" s="51">
        <v>0.55694444444444446</v>
      </c>
    </row>
    <row r="2142" spans="1:25">
      <c r="A2142" s="30">
        <v>24448734</v>
      </c>
      <c r="B2142" s="31">
        <v>46279</v>
      </c>
      <c r="C2142" s="32">
        <v>0.51952546296296298</v>
      </c>
      <c r="D2142" s="33"/>
      <c r="E2142" s="34">
        <v>5215524362708</v>
      </c>
      <c r="F2142" s="33"/>
      <c r="G2142" s="33"/>
      <c r="H2142" s="35">
        <v>10856558019</v>
      </c>
      <c r="I2142" s="33"/>
      <c r="J2142" s="36"/>
      <c r="K2142" t="s">
        <v>54</v>
      </c>
      <c r="L2142" s="125">
        <v>9760.32</v>
      </c>
      <c r="M2142" s="125">
        <v>879</v>
      </c>
      <c r="N2142" s="3">
        <f>L2142*0.3</f>
        <v>2928.096</v>
      </c>
      <c r="O2142" s="3">
        <f>(IF(L2142&lt;4172.98,0,MIN(L2142*0.3,L2142-4172.98)))-M2142</f>
        <v>2049.096</v>
      </c>
      <c r="S2142" s="3" t="s">
        <v>348</v>
      </c>
      <c r="T2142" s="48">
        <v>46279</v>
      </c>
      <c r="V2142" s="51">
        <v>0.52013888888888893</v>
      </c>
      <c r="W2142" s="51">
        <v>0.52569444444444446</v>
      </c>
      <c r="X2142" s="51">
        <v>0.52638888888888891</v>
      </c>
      <c r="Y2142" s="51">
        <v>0.53333333333333333</v>
      </c>
    </row>
    <row r="2143" spans="1:25">
      <c r="A2143" s="30">
        <v>24449412</v>
      </c>
      <c r="B2143" s="31">
        <v>46279</v>
      </c>
      <c r="C2143" s="32">
        <v>0.52179398148148148</v>
      </c>
      <c r="D2143" s="33"/>
      <c r="E2143" s="34">
        <v>5216621147767</v>
      </c>
      <c r="F2143" s="33"/>
      <c r="G2143" s="33"/>
      <c r="H2143" s="35">
        <v>32745533672</v>
      </c>
      <c r="I2143" s="33"/>
      <c r="J2143" s="36"/>
      <c r="K2143" t="s">
        <v>34</v>
      </c>
      <c r="L2143" s="125">
        <v>25646.53</v>
      </c>
      <c r="M2143" s="125">
        <v>5567.25</v>
      </c>
      <c r="N2143" s="3">
        <f>L2143*0.3</f>
        <v>7693.9589999999989</v>
      </c>
      <c r="O2143" s="3">
        <f>(IF(L2143&lt;4172.98,0,MIN(L2143*0.3,L2143-4172.98)))-M2143</f>
        <v>2126.7089999999989</v>
      </c>
      <c r="P2143" s="6">
        <v>45689</v>
      </c>
      <c r="Q2143" t="s">
        <v>2034</v>
      </c>
      <c r="R2143" s="125">
        <v>5567.25</v>
      </c>
      <c r="S2143" s="3" t="s">
        <v>271</v>
      </c>
      <c r="T2143" s="48">
        <v>46279</v>
      </c>
      <c r="V2143" s="51">
        <v>0.52152777777777781</v>
      </c>
      <c r="W2143" s="51">
        <v>0.52847222222222223</v>
      </c>
      <c r="X2143" s="51">
        <v>0.53263888888888888</v>
      </c>
      <c r="Y2143" s="51">
        <v>0.54861111111111116</v>
      </c>
    </row>
    <row r="2144" spans="1:25" hidden="1">
      <c r="A2144" s="30">
        <v>24449854</v>
      </c>
      <c r="B2144" s="31">
        <v>46279</v>
      </c>
      <c r="C2144" s="32">
        <v>0.53263888888888888</v>
      </c>
      <c r="D2144" s="33"/>
      <c r="E2144" s="34">
        <v>5215561276667</v>
      </c>
      <c r="F2144" s="33"/>
      <c r="G2144" s="33"/>
      <c r="H2144" s="35">
        <v>10866116998</v>
      </c>
      <c r="I2144" s="33"/>
      <c r="J2144" s="36"/>
      <c r="K2144" t="s">
        <v>30</v>
      </c>
      <c r="L2144" s="125">
        <v>11343.35</v>
      </c>
      <c r="M2144" s="125">
        <v>3400.02</v>
      </c>
      <c r="N2144" s="3">
        <f>L2144*0.3</f>
        <v>3403.0050000000001</v>
      </c>
      <c r="O2144" s="3">
        <f>(IF(L2144&lt;4172.98,0,MIN(L2144*0.3,L2144-4172.98)))-M2144</f>
        <v>2.9850000000001273</v>
      </c>
      <c r="P2144" s="6">
        <v>46631</v>
      </c>
      <c r="Q2144" t="s">
        <v>75</v>
      </c>
      <c r="R2144" s="3">
        <v>3049.76</v>
      </c>
      <c r="S2144" s="3" t="s">
        <v>204</v>
      </c>
      <c r="V2144" s="51">
        <v>0.53263888888888888</v>
      </c>
    </row>
    <row r="2145" spans="1:25" hidden="1">
      <c r="A2145" s="12">
        <v>24431408</v>
      </c>
      <c r="B2145" s="13">
        <v>46279</v>
      </c>
      <c r="C2145" s="14">
        <v>0.54065972222222225</v>
      </c>
      <c r="D2145" s="15" t="s">
        <v>2035</v>
      </c>
      <c r="E2145" s="16">
        <v>5219214488004</v>
      </c>
      <c r="F2145" s="15"/>
      <c r="G2145" s="15" t="s">
        <v>2036</v>
      </c>
      <c r="H2145" s="17"/>
      <c r="I2145" s="15"/>
      <c r="J2145" s="18"/>
      <c r="K2145" t="s">
        <v>58</v>
      </c>
      <c r="L2145" s="111">
        <v>3900.89</v>
      </c>
      <c r="M2145" s="111">
        <v>848</v>
      </c>
      <c r="N2145" s="3">
        <f t="shared" ref="N2145:N2146" si="280">L2145*0.3</f>
        <v>1170.2669999999998</v>
      </c>
      <c r="O2145" s="3">
        <f t="shared" ref="O2145:O2146" si="281">(IF(L2145&lt;4172.98,0,MIN(L2145*0.3,L2145-4172.98)))-M2145</f>
        <v>-848</v>
      </c>
      <c r="S2145" s="3" t="s">
        <v>204</v>
      </c>
      <c r="V2145" s="51">
        <v>0.54583333333333328</v>
      </c>
    </row>
    <row r="2146" spans="1:25" hidden="1">
      <c r="A2146" s="30">
        <v>24449760</v>
      </c>
      <c r="B2146" s="31">
        <v>46279</v>
      </c>
      <c r="C2146" s="32">
        <v>0.54537037037037039</v>
      </c>
      <c r="D2146" s="33"/>
      <c r="E2146" s="34">
        <v>5216959563906</v>
      </c>
      <c r="F2146" s="33"/>
      <c r="G2146" s="33"/>
      <c r="H2146" s="35">
        <v>73018404779</v>
      </c>
      <c r="I2146" s="33"/>
      <c r="J2146" s="36"/>
      <c r="K2146" t="s">
        <v>51</v>
      </c>
      <c r="N2146" s="3">
        <f t="shared" si="280"/>
        <v>0</v>
      </c>
      <c r="O2146" s="3">
        <f t="shared" si="281"/>
        <v>0</v>
      </c>
      <c r="S2146" s="3" t="s">
        <v>204</v>
      </c>
      <c r="V2146" s="51">
        <v>0.54583333333333328</v>
      </c>
    </row>
    <row r="2147" spans="1:25" hidden="1">
      <c r="A2147" s="12">
        <v>24450736</v>
      </c>
      <c r="B2147" s="13">
        <v>46279</v>
      </c>
      <c r="C2147" s="14">
        <v>0.55939814814814814</v>
      </c>
      <c r="D2147" s="15"/>
      <c r="E2147" s="16">
        <v>5218113010422</v>
      </c>
      <c r="F2147" s="15"/>
      <c r="G2147" s="15"/>
      <c r="H2147" s="17">
        <v>43926522723</v>
      </c>
      <c r="I2147" s="15"/>
      <c r="J2147" s="18"/>
      <c r="K2147" t="s">
        <v>58</v>
      </c>
      <c r="L2147" s="3">
        <v>3614.23</v>
      </c>
      <c r="N2147" s="3">
        <f t="shared" ref="N2147:N2148" si="282">L2147*0.3</f>
        <v>1084.269</v>
      </c>
      <c r="O2147" s="3">
        <f t="shared" ref="O2147:O2148" si="283">(IF(L2147&lt;4172.98,0,MIN(L2147*0.3,L2147-4172.98)))-M2147</f>
        <v>0</v>
      </c>
      <c r="S2147" s="3" t="s">
        <v>204</v>
      </c>
      <c r="V2147" s="51">
        <v>0.56111111111111112</v>
      </c>
    </row>
    <row r="2148" spans="1:25" hidden="1">
      <c r="A2148" s="30">
        <v>24450474</v>
      </c>
      <c r="B2148" s="31">
        <v>46279</v>
      </c>
      <c r="C2148" s="32">
        <v>0.56030092592592595</v>
      </c>
      <c r="D2148" s="33"/>
      <c r="E2148" s="34">
        <v>5216692720377</v>
      </c>
      <c r="F2148" s="33"/>
      <c r="G2148" s="33"/>
      <c r="H2148" s="35">
        <v>23846532267</v>
      </c>
      <c r="I2148" s="33"/>
      <c r="J2148" s="36"/>
      <c r="K2148" t="s">
        <v>30</v>
      </c>
      <c r="L2148" s="111">
        <v>9760.32</v>
      </c>
      <c r="M2148" s="111">
        <v>2928.07</v>
      </c>
      <c r="N2148" s="3">
        <f t="shared" si="282"/>
        <v>2928.096</v>
      </c>
      <c r="O2148" s="3">
        <f t="shared" si="283"/>
        <v>2.5999999999839929E-2</v>
      </c>
      <c r="P2148" s="6">
        <v>46844</v>
      </c>
      <c r="Q2148" t="s">
        <v>57</v>
      </c>
      <c r="R2148" s="3">
        <v>2015.87</v>
      </c>
      <c r="S2148" s="3" t="s">
        <v>204</v>
      </c>
      <c r="V2148" s="51">
        <v>0.56111111111111112</v>
      </c>
    </row>
    <row r="2149" spans="1:25">
      <c r="A2149" s="30">
        <v>24450946</v>
      </c>
      <c r="B2149" s="31">
        <v>46279</v>
      </c>
      <c r="C2149" s="32">
        <v>0.56165509259259261</v>
      </c>
      <c r="D2149" s="33"/>
      <c r="E2149" s="34">
        <v>5215572108697</v>
      </c>
      <c r="F2149" s="33"/>
      <c r="G2149" s="33" t="s">
        <v>2037</v>
      </c>
      <c r="H2149" s="35"/>
      <c r="I2149" s="33"/>
      <c r="J2149" s="36"/>
      <c r="K2149" t="s">
        <v>54</v>
      </c>
      <c r="L2149" s="3">
        <v>15439.89</v>
      </c>
      <c r="N2149" s="3">
        <f>L2149*0.3</f>
        <v>4631.9669999999996</v>
      </c>
      <c r="O2149" s="3">
        <f>(IF(L2149&lt;4172.98,0,MIN(L2149*0.3,L2149-4172.98)))-M2149</f>
        <v>4631.9669999999996</v>
      </c>
      <c r="S2149" s="3" t="s">
        <v>1946</v>
      </c>
      <c r="T2149" s="48">
        <v>46279</v>
      </c>
      <c r="V2149" s="51">
        <v>0.56180555555555556</v>
      </c>
      <c r="W2149" s="51">
        <v>0.5708333333333333</v>
      </c>
      <c r="X2149" s="51">
        <v>0.57222222222222219</v>
      </c>
      <c r="Y2149" s="51">
        <v>0.57291666666666663</v>
      </c>
    </row>
    <row r="2150" spans="1:25" hidden="1">
      <c r="A2150" s="30">
        <v>24450874</v>
      </c>
      <c r="B2150" s="31">
        <v>46279</v>
      </c>
      <c r="C2150" s="32">
        <v>0.56853009259259257</v>
      </c>
      <c r="D2150" s="33"/>
      <c r="E2150" s="34">
        <v>5216641906141</v>
      </c>
      <c r="F2150" s="33"/>
      <c r="G2150" s="33"/>
      <c r="H2150" s="35">
        <v>23745710899</v>
      </c>
      <c r="I2150" s="33"/>
      <c r="J2150" s="36"/>
      <c r="K2150" t="s">
        <v>30</v>
      </c>
      <c r="L2150" s="111">
        <v>7964.58</v>
      </c>
      <c r="M2150" s="111">
        <v>2301.71</v>
      </c>
      <c r="N2150" s="3">
        <f>L2150*0.3</f>
        <v>2389.3739999999998</v>
      </c>
      <c r="O2150" s="3">
        <f>(IF(L2150&lt;4172.98,0,MIN(L2150*0.3,L2150-4172.98)))-M2150</f>
        <v>87.66399999999976</v>
      </c>
      <c r="P2150" s="6">
        <v>46478</v>
      </c>
      <c r="Q2150" t="s">
        <v>421</v>
      </c>
      <c r="R2150" s="111">
        <v>2301.71</v>
      </c>
      <c r="S2150" s="3" t="s">
        <v>204</v>
      </c>
      <c r="V2150" s="51">
        <v>0.56944444444444442</v>
      </c>
    </row>
    <row r="2151" spans="1:25" hidden="1">
      <c r="A2151" s="30">
        <v>24451862</v>
      </c>
      <c r="B2151" s="31">
        <v>46279</v>
      </c>
      <c r="C2151" s="32">
        <v>0.58726851851851847</v>
      </c>
      <c r="D2151" s="33"/>
      <c r="E2151" s="34">
        <v>5213331154284</v>
      </c>
      <c r="F2151" s="33"/>
      <c r="G2151" s="33"/>
      <c r="H2151" s="35">
        <v>42886104761</v>
      </c>
      <c r="I2151" s="33"/>
      <c r="J2151" s="36"/>
      <c r="K2151" t="s">
        <v>30</v>
      </c>
      <c r="L2151" s="3">
        <f>9810.31+1200+443.06+349.31+300.99+299.87+1397.24</f>
        <v>13800.779999999999</v>
      </c>
      <c r="M2151" s="3">
        <f>1200+443.06+349.31+300.99+299.87+1397.24</f>
        <v>3990.4699999999993</v>
      </c>
      <c r="N2151" s="3">
        <f>L2151*0.3</f>
        <v>4140.2339999999995</v>
      </c>
      <c r="O2151" s="3">
        <f>(IF(L2151&lt;4172.98,0,MIN(L2151*0.3,L2151-4172.98)))-M2151</f>
        <v>149.76400000000012</v>
      </c>
      <c r="P2151" s="6">
        <v>46327</v>
      </c>
      <c r="Q2151" t="s">
        <v>421</v>
      </c>
      <c r="R2151" s="3">
        <v>1200</v>
      </c>
      <c r="S2151" s="3" t="s">
        <v>204</v>
      </c>
      <c r="V2151" s="51">
        <v>0.58958333333333335</v>
      </c>
    </row>
    <row r="2152" spans="1:25">
      <c r="A2152" s="12">
        <v>24451954</v>
      </c>
      <c r="B2152" s="13">
        <v>46279</v>
      </c>
      <c r="C2152" s="14">
        <v>0.5929861111111111</v>
      </c>
      <c r="D2152" s="15"/>
      <c r="E2152" s="16">
        <v>5216141230342</v>
      </c>
      <c r="F2152" s="15"/>
      <c r="G2152" s="15" t="s">
        <v>2038</v>
      </c>
      <c r="H2152" s="17"/>
      <c r="I2152" s="15"/>
      <c r="J2152" s="18"/>
      <c r="K2152" t="s">
        <v>54</v>
      </c>
      <c r="L2152" s="3">
        <v>7116.73</v>
      </c>
      <c r="N2152" s="3">
        <f t="shared" ref="N2152:N2153" si="284">L2152*0.3</f>
        <v>2135.0189999999998</v>
      </c>
      <c r="O2152" s="3">
        <f t="shared" ref="O2152:O2153" si="285">(IF(L2152&lt;4172.98,0,MIN(L2152*0.3,L2152-4172.98)))-M2152</f>
        <v>2135.0189999999998</v>
      </c>
      <c r="S2152" s="3" t="s">
        <v>55</v>
      </c>
      <c r="T2152" s="48">
        <v>46279</v>
      </c>
      <c r="V2152" s="51">
        <v>0.59305555555555556</v>
      </c>
      <c r="W2152" s="51">
        <v>0.60972222222222228</v>
      </c>
      <c r="X2152" s="51">
        <v>0.61458333333333337</v>
      </c>
      <c r="Y2152" s="51">
        <v>0.6166666666666667</v>
      </c>
    </row>
    <row r="2153" spans="1:25">
      <c r="A2153" s="30">
        <v>24452056</v>
      </c>
      <c r="B2153" s="31">
        <v>46279</v>
      </c>
      <c r="C2153" s="32">
        <v>0.59326388888888892</v>
      </c>
      <c r="D2153" s="33"/>
      <c r="E2153" s="34">
        <v>5215515920524</v>
      </c>
      <c r="F2153" s="33"/>
      <c r="G2153" s="33"/>
      <c r="H2153" s="35" t="s">
        <v>2039</v>
      </c>
      <c r="I2153" s="33"/>
      <c r="J2153" s="36"/>
      <c r="K2153" t="s">
        <v>54</v>
      </c>
      <c r="L2153" s="3">
        <f>7691.89+848</f>
        <v>8539.89</v>
      </c>
      <c r="M2153" s="3">
        <v>848</v>
      </c>
      <c r="N2153" s="3">
        <f t="shared" si="284"/>
        <v>2561.9669999999996</v>
      </c>
      <c r="O2153" s="3">
        <f t="shared" si="285"/>
        <v>1713.9669999999996</v>
      </c>
      <c r="S2153" s="3" t="s">
        <v>358</v>
      </c>
      <c r="T2153" s="48">
        <v>46279</v>
      </c>
      <c r="V2153" s="51">
        <v>0.59305555555555556</v>
      </c>
      <c r="W2153" s="51">
        <v>0.61041666666666672</v>
      </c>
      <c r="X2153" s="51">
        <v>0.61111111111111116</v>
      </c>
      <c r="Y2153" s="51">
        <v>0.61319444444444449</v>
      </c>
    </row>
    <row r="2154" spans="1:25">
      <c r="A2154" s="30">
        <v>24452028</v>
      </c>
      <c r="B2154" s="31">
        <v>46279</v>
      </c>
      <c r="C2154" s="32">
        <v>0.59535879629629629</v>
      </c>
      <c r="D2154" s="33"/>
      <c r="E2154" s="34">
        <v>5219821297947</v>
      </c>
      <c r="F2154" s="33"/>
      <c r="G2154" s="33"/>
      <c r="H2154" s="35">
        <v>81796003358</v>
      </c>
      <c r="I2154" s="33"/>
      <c r="J2154" s="36"/>
      <c r="K2154" t="s">
        <v>38</v>
      </c>
      <c r="L2154" s="3">
        <v>4494.1000000000004</v>
      </c>
      <c r="N2154" s="3">
        <f>L2154*0.3</f>
        <v>1348.23</v>
      </c>
      <c r="O2154" s="3">
        <f>(IF(L2154&lt;4172.98,0,MIN(L2154*0.3,L2154-4172.98)))-M2154</f>
        <v>321.1200000000008</v>
      </c>
      <c r="S2154" s="3" t="s">
        <v>39</v>
      </c>
      <c r="T2154" s="48">
        <v>46279</v>
      </c>
      <c r="V2154" s="51">
        <v>0.59583333333333333</v>
      </c>
      <c r="W2154" s="51">
        <v>0.61111111111111116</v>
      </c>
      <c r="X2154" s="51">
        <v>0.61875000000000002</v>
      </c>
      <c r="Y2154" s="51">
        <v>0.65694444444444444</v>
      </c>
    </row>
    <row r="2155" spans="1:25">
      <c r="A2155" s="30">
        <v>24452484</v>
      </c>
      <c r="B2155" s="31">
        <v>46279</v>
      </c>
      <c r="C2155" s="32">
        <v>0.61148148148148151</v>
      </c>
      <c r="D2155" s="33" t="s">
        <v>2040</v>
      </c>
      <c r="E2155" s="34">
        <v>5214921118828</v>
      </c>
      <c r="F2155" s="33"/>
      <c r="G2155" s="33" t="s">
        <v>2041</v>
      </c>
      <c r="H2155" s="35">
        <v>34816410533</v>
      </c>
      <c r="I2155" s="33"/>
      <c r="J2155" s="36"/>
      <c r="K2155" t="s">
        <v>54</v>
      </c>
      <c r="L2155" s="3">
        <f>6653.86+985.81</f>
        <v>7639.67</v>
      </c>
      <c r="M2155" s="3">
        <v>985.71</v>
      </c>
      <c r="N2155" s="3">
        <f>L2155*0.3</f>
        <v>2291.9009999999998</v>
      </c>
      <c r="O2155" s="3">
        <f>(IF(L2155&lt;4172.98,0,MIN(L2155*0.3,L2155-4172.98)))-M2155</f>
        <v>1306.1909999999998</v>
      </c>
      <c r="P2155" s="6">
        <v>46600</v>
      </c>
      <c r="Q2155" t="s">
        <v>75</v>
      </c>
      <c r="R2155" s="3">
        <v>985.71</v>
      </c>
      <c r="S2155" s="3" t="s">
        <v>358</v>
      </c>
      <c r="T2155" s="48">
        <v>46279</v>
      </c>
      <c r="V2155" s="51">
        <v>0.61111111111111116</v>
      </c>
      <c r="W2155" s="51">
        <v>0.62152777777777779</v>
      </c>
      <c r="X2155" s="51">
        <v>0.62430555555555556</v>
      </c>
      <c r="Y2155" s="51">
        <v>0.62569444444444444</v>
      </c>
    </row>
    <row r="2156" spans="1:25" hidden="1">
      <c r="A2156" s="30">
        <v>24452632</v>
      </c>
      <c r="B2156" s="31">
        <v>46279</v>
      </c>
      <c r="C2156" s="32">
        <v>0.61269675925925926</v>
      </c>
      <c r="D2156" s="33"/>
      <c r="E2156" s="34">
        <v>5214623373195</v>
      </c>
      <c r="F2156" s="33"/>
      <c r="G2156" s="33"/>
      <c r="H2156" s="35">
        <v>12866008866</v>
      </c>
      <c r="I2156" s="33"/>
      <c r="J2156" s="36"/>
      <c r="K2156" t="s">
        <v>30</v>
      </c>
      <c r="L2156" s="3">
        <f>4172.99+1444.64</f>
        <v>5617.63</v>
      </c>
      <c r="M2156" s="3">
        <v>1444.64</v>
      </c>
      <c r="N2156" s="3">
        <f>L2156*0.3</f>
        <v>1685.289</v>
      </c>
      <c r="O2156" s="3">
        <f>(IF(L2156&lt;4172.98,0,MIN(L2156*0.3,L2156-4172.98)))-M2156</f>
        <v>1.0000000000445652E-2</v>
      </c>
      <c r="P2156" s="6">
        <v>46935</v>
      </c>
      <c r="Q2156" t="s">
        <v>302</v>
      </c>
      <c r="R2156" s="3">
        <v>1444.64</v>
      </c>
      <c r="S2156" s="3" t="s">
        <v>204</v>
      </c>
      <c r="V2156" s="51">
        <v>0.61250000000000004</v>
      </c>
    </row>
    <row r="2157" spans="1:25" hidden="1">
      <c r="A2157" s="30">
        <v>24453090</v>
      </c>
      <c r="B2157" s="31">
        <v>46279</v>
      </c>
      <c r="C2157" s="32">
        <v>0.63020833333333337</v>
      </c>
      <c r="D2157" s="33"/>
      <c r="E2157" s="34">
        <v>5215572052482</v>
      </c>
      <c r="F2157" s="33"/>
      <c r="G2157" s="33" t="s">
        <v>2042</v>
      </c>
      <c r="H2157" s="35"/>
      <c r="I2157" s="33"/>
      <c r="J2157" s="36"/>
      <c r="K2157" t="s">
        <v>58</v>
      </c>
      <c r="L2157" s="125">
        <v>3882.85</v>
      </c>
      <c r="M2157" s="125">
        <v>879</v>
      </c>
      <c r="N2157" s="3">
        <f>L2157*0.3</f>
        <v>1164.855</v>
      </c>
      <c r="O2157" s="3">
        <f>(IF(L2157&lt;4172.98,0,MIN(L2157*0.3,L2157-4172.98)))-M2157</f>
        <v>-879</v>
      </c>
      <c r="S2157" s="3" t="s">
        <v>204</v>
      </c>
      <c r="V2157" s="51">
        <v>0.63194444444444442</v>
      </c>
    </row>
    <row r="2158" spans="1:25" hidden="1">
      <c r="A2158" s="30">
        <v>24453710</v>
      </c>
      <c r="B2158" s="31">
        <v>46279</v>
      </c>
      <c r="C2158" s="32">
        <v>0.65336805555555555</v>
      </c>
      <c r="D2158" s="33"/>
      <c r="E2158" s="34">
        <v>5216441156875</v>
      </c>
      <c r="F2158" s="33"/>
      <c r="G2158" s="33"/>
      <c r="H2158" s="123">
        <v>24887319010</v>
      </c>
      <c r="I2158" s="33"/>
      <c r="J2158" s="36"/>
      <c r="K2158" t="s">
        <v>189</v>
      </c>
      <c r="N2158" s="3">
        <f>L2158*0.3</f>
        <v>0</v>
      </c>
      <c r="O2158" s="3">
        <f>(IF(L2158&lt;4172.98,0,MIN(L2158*0.3,L2158-4172.98)))-M2158</f>
        <v>0</v>
      </c>
      <c r="S2158" s="3" t="s">
        <v>204</v>
      </c>
      <c r="V2158" s="51">
        <v>0.65347222222222223</v>
      </c>
    </row>
    <row r="2159" spans="1:25" hidden="1">
      <c r="A2159" s="30">
        <v>24447348</v>
      </c>
      <c r="B2159" s="31">
        <v>46279</v>
      </c>
      <c r="C2159" s="32">
        <v>0.6755902777777778</v>
      </c>
      <c r="D2159" s="33"/>
      <c r="E2159" s="34">
        <v>5217641050076</v>
      </c>
      <c r="F2159" s="33"/>
      <c r="G2159" s="33"/>
      <c r="H2159" s="35">
        <v>48008246679</v>
      </c>
      <c r="I2159" s="33"/>
      <c r="J2159" s="36"/>
      <c r="K2159" t="s">
        <v>32</v>
      </c>
      <c r="N2159" s="3">
        <f>L2159*0.3</f>
        <v>0</v>
      </c>
      <c r="O2159" s="3">
        <f>(IF(L2159&lt;4172.98,0,MIN(L2159*0.3,L2159-4172.98)))-M2159</f>
        <v>0</v>
      </c>
      <c r="S2159" s="53" t="s">
        <v>204</v>
      </c>
      <c r="V2159" s="51">
        <v>0.67500000000000004</v>
      </c>
    </row>
    <row r="2160" spans="1:25">
      <c r="A2160" s="30">
        <v>24455152</v>
      </c>
      <c r="B2160" s="31">
        <v>46279</v>
      </c>
      <c r="C2160" s="32">
        <v>0.67531249999999998</v>
      </c>
      <c r="D2160" s="33" t="s">
        <v>2043</v>
      </c>
      <c r="E2160" s="34">
        <v>5215632766207</v>
      </c>
      <c r="F2160" s="33"/>
      <c r="G2160" s="33" t="s">
        <v>2044</v>
      </c>
      <c r="H2160" s="35" t="s">
        <v>2045</v>
      </c>
      <c r="I2160" s="33"/>
      <c r="J2160" s="36"/>
      <c r="K2160" t="s">
        <v>107</v>
      </c>
      <c r="L2160" s="111">
        <v>6660.74</v>
      </c>
      <c r="M2160" s="111">
        <v>1042.33</v>
      </c>
      <c r="N2160" s="3">
        <f>L2160*0.3</f>
        <v>1998.2219999999998</v>
      </c>
      <c r="O2160" s="3">
        <f>(IF(L2160&lt;4172.98,0,MIN(L2160*0.3,L2160-4172.98)))-M2160</f>
        <v>955.89199999999983</v>
      </c>
      <c r="P2160" s="6">
        <v>45778</v>
      </c>
      <c r="Q2160" t="s">
        <v>421</v>
      </c>
      <c r="R2160" s="111">
        <v>1042.33</v>
      </c>
      <c r="S2160" s="3" t="s">
        <v>39</v>
      </c>
      <c r="T2160" s="48">
        <v>46279</v>
      </c>
      <c r="V2160" s="51">
        <v>0.67638888888888893</v>
      </c>
      <c r="W2160" s="51">
        <v>0.70277777777777772</v>
      </c>
      <c r="X2160" s="51">
        <v>0.70902777777777781</v>
      </c>
      <c r="Y2160" s="51">
        <v>0.7104166666666667</v>
      </c>
    </row>
    <row r="2161" spans="1:25" hidden="1">
      <c r="A2161" s="12">
        <v>24455250</v>
      </c>
      <c r="B2161" s="13">
        <v>46279</v>
      </c>
      <c r="C2161" s="14">
        <v>0.68216435185185187</v>
      </c>
      <c r="D2161" s="15"/>
      <c r="E2161" s="16">
        <v>5219711548529</v>
      </c>
      <c r="F2161" s="15"/>
      <c r="G2161" s="15"/>
      <c r="H2161" s="17">
        <v>78877119020</v>
      </c>
      <c r="I2161" s="15"/>
      <c r="J2161" s="18"/>
      <c r="K2161" t="s">
        <v>58</v>
      </c>
      <c r="L2161" s="3">
        <v>3547.06</v>
      </c>
      <c r="N2161" s="3">
        <f t="shared" ref="N2161:N2162" si="286">L2161*0.3</f>
        <v>1064.1179999999999</v>
      </c>
      <c r="O2161" s="3">
        <f t="shared" ref="O2161:O2162" si="287">(IF(L2161&lt;4172.98,0,MIN(L2161*0.3,L2161-4172.98)))-M2161</f>
        <v>0</v>
      </c>
      <c r="S2161" s="3" t="s">
        <v>204</v>
      </c>
      <c r="V2161" s="51">
        <v>0.68333333333333335</v>
      </c>
    </row>
    <row r="2162" spans="1:25">
      <c r="A2162" s="30">
        <v>24455384</v>
      </c>
      <c r="B2162" s="31">
        <v>46279</v>
      </c>
      <c r="C2162" s="32">
        <v>0.68376157407407412</v>
      </c>
      <c r="D2162" s="33"/>
      <c r="E2162" s="34">
        <v>5215610928838</v>
      </c>
      <c r="F2162" s="33"/>
      <c r="G2162" s="33"/>
      <c r="H2162" s="35">
        <v>19776034068</v>
      </c>
      <c r="I2162" s="33"/>
      <c r="J2162" s="36"/>
      <c r="K2162" t="s">
        <v>27</v>
      </c>
      <c r="L2162" s="111">
        <v>6262.86</v>
      </c>
      <c r="M2162" s="111">
        <v>1738.79</v>
      </c>
      <c r="N2162" s="3">
        <f t="shared" si="286"/>
        <v>1878.8579999999997</v>
      </c>
      <c r="O2162" s="3">
        <f t="shared" si="287"/>
        <v>140.06799999999976</v>
      </c>
      <c r="P2162" s="6">
        <v>46204</v>
      </c>
      <c r="Q2162" t="s">
        <v>75</v>
      </c>
      <c r="R2162" s="111">
        <v>1738.79</v>
      </c>
      <c r="S2162" s="3" t="s">
        <v>98</v>
      </c>
      <c r="T2162" s="48">
        <v>46279</v>
      </c>
      <c r="V2162" s="51">
        <v>0.68333333333333335</v>
      </c>
      <c r="W2162" s="51">
        <v>0.70416666666666672</v>
      </c>
      <c r="X2162" s="51">
        <v>0.71736111111111112</v>
      </c>
      <c r="Y2162" s="51">
        <v>0.74097222222222225</v>
      </c>
    </row>
    <row r="2163" spans="1:25">
      <c r="A2163" s="30">
        <v>24442632</v>
      </c>
      <c r="B2163" s="31">
        <v>46279</v>
      </c>
      <c r="C2163" s="32">
        <v>0.68653935185185189</v>
      </c>
      <c r="D2163" s="33" t="s">
        <v>2046</v>
      </c>
      <c r="E2163" s="34">
        <v>5215516007113</v>
      </c>
      <c r="F2163" s="33"/>
      <c r="G2163" s="33" t="s">
        <v>2047</v>
      </c>
      <c r="H2163" s="35"/>
      <c r="I2163" s="33"/>
      <c r="J2163" s="36"/>
      <c r="K2163" t="s">
        <v>54</v>
      </c>
      <c r="L2163" s="3">
        <v>11029.03</v>
      </c>
      <c r="N2163" s="3">
        <f>L2163*0.3</f>
        <v>3308.7090000000003</v>
      </c>
      <c r="O2163" s="3">
        <f>(IF(L2163&lt;4172.98,0,MIN(L2163*0.3,L2163-4172.98)))-M2163</f>
        <v>3308.7090000000003</v>
      </c>
      <c r="S2163" s="53" t="s">
        <v>28</v>
      </c>
      <c r="T2163" s="48">
        <v>46279</v>
      </c>
      <c r="V2163" s="51">
        <v>0.68611111111111112</v>
      </c>
      <c r="W2163" s="51">
        <v>0.70486111111111116</v>
      </c>
      <c r="X2163" s="51">
        <v>0.70763888888888893</v>
      </c>
      <c r="Y2163" s="51">
        <v>0.70833333333333337</v>
      </c>
    </row>
    <row r="2164" spans="1:25" hidden="1">
      <c r="A2164" s="30">
        <v>24455478</v>
      </c>
      <c r="B2164" s="31">
        <v>46279</v>
      </c>
      <c r="C2164" s="32">
        <v>0.68674768518518514</v>
      </c>
      <c r="D2164" s="33"/>
      <c r="E2164" s="34">
        <v>5212214313362</v>
      </c>
      <c r="F2164" s="33"/>
      <c r="G2164" s="33"/>
      <c r="H2164" s="35">
        <v>62826116378</v>
      </c>
      <c r="I2164" s="33"/>
      <c r="J2164" s="36"/>
      <c r="K2164" t="s">
        <v>58</v>
      </c>
      <c r="L2164" s="3">
        <v>3494.57</v>
      </c>
      <c r="N2164" s="3">
        <f>L2164*0.3</f>
        <v>1048.3710000000001</v>
      </c>
      <c r="O2164" s="3">
        <f>(IF(L2164&lt;4172.98,0,MIN(L2164*0.3,L2164-4172.98)))-M2164</f>
        <v>0</v>
      </c>
      <c r="S2164" s="3" t="s">
        <v>204</v>
      </c>
      <c r="V2164" s="51">
        <v>0.68680555555555556</v>
      </c>
    </row>
    <row r="2165" spans="1:25" hidden="1">
      <c r="A2165" s="30">
        <v>24435628</v>
      </c>
      <c r="B2165" s="31">
        <v>46279</v>
      </c>
      <c r="C2165" s="32">
        <v>0.68813657407407403</v>
      </c>
      <c r="D2165" s="33"/>
      <c r="E2165" s="34">
        <v>5216651108126</v>
      </c>
      <c r="F2165" s="33"/>
      <c r="G2165" s="33"/>
      <c r="H2165" s="35">
        <v>32775505871</v>
      </c>
      <c r="I2165" s="33"/>
      <c r="J2165" s="36"/>
      <c r="K2165" t="s">
        <v>32</v>
      </c>
      <c r="N2165" s="3">
        <f>L2165*0.3</f>
        <v>0</v>
      </c>
      <c r="O2165" s="3">
        <f>(IF(L2165&lt;4172.98,0,MIN(L2165*0.3,L2165-4172.98)))-M2165</f>
        <v>0</v>
      </c>
      <c r="S2165" s="53" t="s">
        <v>204</v>
      </c>
      <c r="V2165" s="51">
        <v>0.6875</v>
      </c>
    </row>
    <row r="2166" spans="1:25">
      <c r="A2166" s="30">
        <v>24433562</v>
      </c>
      <c r="B2166" s="31">
        <v>46279</v>
      </c>
      <c r="C2166" s="32">
        <v>0.69299768518518523</v>
      </c>
      <c r="D2166" s="33"/>
      <c r="E2166" s="34">
        <v>5217341429572</v>
      </c>
      <c r="F2166" s="33"/>
      <c r="G2166" s="33"/>
      <c r="H2166" s="35">
        <v>15584011124</v>
      </c>
      <c r="I2166" s="33"/>
      <c r="J2166" s="36"/>
      <c r="K2166" t="s">
        <v>107</v>
      </c>
      <c r="L2166" s="111">
        <v>6982.64</v>
      </c>
      <c r="M2166" s="111">
        <v>1891.08</v>
      </c>
      <c r="N2166" s="3">
        <f>L2166*0.3</f>
        <v>2094.7919999999999</v>
      </c>
      <c r="O2166" s="3">
        <f>(IF(L2166&lt;4172.98,0,MIN(L2166*0.3,L2166-4172.98)))-M2166</f>
        <v>203.71199999999999</v>
      </c>
      <c r="P2166" s="6">
        <v>45870</v>
      </c>
      <c r="Q2166" t="s">
        <v>47</v>
      </c>
      <c r="R2166" s="3">
        <v>678.76</v>
      </c>
      <c r="S2166" s="53" t="s">
        <v>39</v>
      </c>
      <c r="T2166" s="48">
        <v>46279</v>
      </c>
      <c r="V2166" s="51">
        <v>0.69236111111111109</v>
      </c>
      <c r="W2166" s="51">
        <v>0.70833333333333337</v>
      </c>
      <c r="X2166" s="51">
        <v>0.70972222222222225</v>
      </c>
      <c r="Y2166" s="51">
        <v>0.71111111111111114</v>
      </c>
    </row>
    <row r="2167" spans="1:25" hidden="1">
      <c r="A2167" s="30">
        <v>24455694</v>
      </c>
      <c r="B2167" s="31">
        <v>46279</v>
      </c>
      <c r="C2167" s="32">
        <v>0.6953125</v>
      </c>
      <c r="D2167" s="33"/>
      <c r="E2167" s="34">
        <v>5213351307783</v>
      </c>
      <c r="F2167" s="33"/>
      <c r="G2167" s="33" t="s">
        <v>2048</v>
      </c>
      <c r="H2167" s="35"/>
      <c r="I2167" s="33"/>
      <c r="J2167" s="36"/>
      <c r="K2167" t="s">
        <v>32</v>
      </c>
      <c r="N2167" s="3">
        <f>L2167*0.3</f>
        <v>0</v>
      </c>
      <c r="O2167" s="3">
        <f>(IF(L2167&lt;4172.98,0,MIN(L2167*0.3,L2167-4172.98)))-M2167</f>
        <v>0</v>
      </c>
      <c r="S2167" s="3" t="s">
        <v>204</v>
      </c>
      <c r="V2167" s="51">
        <v>0.6958333333333333</v>
      </c>
    </row>
    <row r="2168" spans="1:25" hidden="1">
      <c r="A2168" s="30">
        <v>24455658</v>
      </c>
      <c r="B2168" s="31">
        <v>46279</v>
      </c>
      <c r="C2168" s="32">
        <v>0.69792824074074078</v>
      </c>
      <c r="D2168" s="33"/>
      <c r="E2168" s="34">
        <v>5213231445756</v>
      </c>
      <c r="F2168" s="33"/>
      <c r="G2168" s="33" t="s">
        <v>2049</v>
      </c>
      <c r="H2168" s="35"/>
      <c r="I2168" s="33"/>
      <c r="J2168" s="36"/>
      <c r="K2168" t="s">
        <v>58</v>
      </c>
      <c r="L2168" s="111">
        <v>4342.43</v>
      </c>
      <c r="M2168" s="111">
        <v>879</v>
      </c>
      <c r="N2168" s="3">
        <f>L2168*0.3</f>
        <v>1302.729</v>
      </c>
      <c r="O2168" s="3">
        <f>(IF(L2168&lt;4172.98,0,MIN(L2168*0.3,L2168-4172.98)))-M2168</f>
        <v>-709.54999999999927</v>
      </c>
      <c r="S2168" s="3" t="s">
        <v>204</v>
      </c>
      <c r="V2168" s="51">
        <v>0.69791666666666663</v>
      </c>
    </row>
    <row r="2169" spans="1:25">
      <c r="A2169" s="30">
        <v>24456472</v>
      </c>
      <c r="B2169" s="31">
        <v>46279</v>
      </c>
      <c r="C2169" s="32">
        <v>0.72630787037037037</v>
      </c>
      <c r="D2169" s="33"/>
      <c r="E2169" s="34">
        <v>5213310687786</v>
      </c>
      <c r="F2169" s="33"/>
      <c r="G2169" s="33" t="s">
        <v>2050</v>
      </c>
      <c r="H2169" s="35"/>
      <c r="I2169" s="33"/>
      <c r="J2169" s="36"/>
      <c r="K2169" t="s">
        <v>54</v>
      </c>
      <c r="L2169" s="3">
        <v>9760.32</v>
      </c>
      <c r="N2169" s="3">
        <f>L2169*0.3</f>
        <v>2928.096</v>
      </c>
      <c r="O2169" s="3">
        <f>(IF(L2169&lt;4172.98,0,MIN(L2169*0.3,L2169-4172.98)))-M2169</f>
        <v>2928.096</v>
      </c>
      <c r="S2169" s="3" t="s">
        <v>1091</v>
      </c>
      <c r="T2169" s="48">
        <v>46279</v>
      </c>
      <c r="V2169" s="51">
        <v>0.7270833333333333</v>
      </c>
      <c r="W2169" s="51">
        <v>0.72986111111111107</v>
      </c>
      <c r="X2169" s="51">
        <v>0.73055555555555551</v>
      </c>
      <c r="Y2169" s="51">
        <v>0.7319444444444444</v>
      </c>
    </row>
    <row r="2170" spans="1:25">
      <c r="A2170" s="30">
        <v>24457256</v>
      </c>
      <c r="B2170" s="31">
        <v>46279</v>
      </c>
      <c r="C2170" s="32">
        <v>0.76025462962962964</v>
      </c>
      <c r="D2170" s="33"/>
      <c r="E2170" s="34">
        <v>5216461213584</v>
      </c>
      <c r="F2170" s="33"/>
      <c r="G2170" s="33"/>
      <c r="H2170" s="35">
        <v>21937306401</v>
      </c>
      <c r="I2170" s="33"/>
      <c r="J2170" s="36"/>
      <c r="K2170" t="s">
        <v>54</v>
      </c>
      <c r="L2170" s="3">
        <v>8624.2199999999993</v>
      </c>
      <c r="N2170" s="3">
        <f>L2170*0.3</f>
        <v>2587.2659999999996</v>
      </c>
      <c r="O2170" s="3">
        <f>(IF(L2170&lt;4172.98,0,MIN(L2170*0.3,L2170-4172.98)))-M2170</f>
        <v>2587.2659999999996</v>
      </c>
      <c r="S2170" s="3" t="s">
        <v>95</v>
      </c>
      <c r="T2170" s="48">
        <v>46279</v>
      </c>
      <c r="U2170" s="85"/>
      <c r="V2170" s="51">
        <v>0.76041666666666663</v>
      </c>
      <c r="W2170" s="51">
        <v>0.77152777777777781</v>
      </c>
      <c r="X2170" s="51">
        <v>0.77638888888888891</v>
      </c>
      <c r="Y2170" s="51">
        <v>0.77916666666666667</v>
      </c>
    </row>
    <row r="2171" spans="1:25" hidden="1">
      <c r="A2171" s="12">
        <v>24458216</v>
      </c>
      <c r="B2171" s="13">
        <v>46279</v>
      </c>
      <c r="C2171" s="14">
        <v>0.80431712962962965</v>
      </c>
      <c r="D2171" s="15"/>
      <c r="E2171" s="16">
        <v>5218311625448</v>
      </c>
      <c r="F2171" s="15"/>
      <c r="G2171" s="15"/>
      <c r="H2171" s="17" t="s">
        <v>2051</v>
      </c>
      <c r="I2171" s="15"/>
      <c r="J2171" s="18"/>
      <c r="K2171" t="s">
        <v>32</v>
      </c>
      <c r="N2171" s="3">
        <f t="shared" ref="N2171:N2181" si="288">L2171*0.3</f>
        <v>0</v>
      </c>
      <c r="O2171" s="3">
        <f t="shared" ref="O2171:O2181" si="289">(IF(L2171&lt;4172.98,0,MIN(L2171*0.3,L2171-4172.98)))-M2171</f>
        <v>0</v>
      </c>
      <c r="S2171" s="3" t="s">
        <v>204</v>
      </c>
      <c r="V2171" s="51">
        <v>0.33680555555555558</v>
      </c>
    </row>
    <row r="2172" spans="1:25">
      <c r="A2172" s="12">
        <v>24458290</v>
      </c>
      <c r="B2172" s="13">
        <v>46279</v>
      </c>
      <c r="C2172" s="14">
        <v>0.80531249999999999</v>
      </c>
      <c r="D2172" s="15"/>
      <c r="E2172" s="16">
        <v>5212721768361</v>
      </c>
      <c r="F2172" s="15"/>
      <c r="G2172" s="15" t="s">
        <v>2052</v>
      </c>
      <c r="H2172" s="17"/>
      <c r="I2172" s="15"/>
      <c r="J2172" s="18"/>
      <c r="K2172" t="s">
        <v>34</v>
      </c>
      <c r="L2172" s="111">
        <v>33497.56</v>
      </c>
      <c r="M2172" s="111">
        <v>10049.27</v>
      </c>
      <c r="N2172" s="3">
        <f t="shared" si="288"/>
        <v>10049.267999999998</v>
      </c>
      <c r="O2172" s="3">
        <f t="shared" si="289"/>
        <v>-2.000000002226443E-3</v>
      </c>
      <c r="P2172" s="6">
        <v>46082</v>
      </c>
      <c r="Q2172" t="s">
        <v>141</v>
      </c>
      <c r="R2172" s="3">
        <v>412.79</v>
      </c>
      <c r="S2172" s="3" t="s">
        <v>35</v>
      </c>
      <c r="T2172" s="48">
        <v>46280</v>
      </c>
      <c r="V2172" s="51">
        <v>0.33680555555555558</v>
      </c>
      <c r="W2172" s="51">
        <v>0.3576388888888889</v>
      </c>
      <c r="X2172" s="51">
        <v>0.37638888888888888</v>
      </c>
      <c r="Y2172" s="51">
        <v>0.38055555555555554</v>
      </c>
    </row>
    <row r="2173" spans="1:25" hidden="1">
      <c r="A2173" s="12">
        <v>24459114</v>
      </c>
      <c r="B2173" s="13">
        <v>46279</v>
      </c>
      <c r="C2173" s="14">
        <v>0.84105324074074073</v>
      </c>
      <c r="D2173" s="15"/>
      <c r="E2173" s="16">
        <v>5214623410691</v>
      </c>
      <c r="F2173" s="15"/>
      <c r="G2173" s="15"/>
      <c r="H2173" s="17">
        <v>12836505607</v>
      </c>
      <c r="I2173" s="15"/>
      <c r="J2173" s="18"/>
      <c r="K2173" t="s">
        <v>32</v>
      </c>
      <c r="L2173" s="111"/>
      <c r="M2173" s="111"/>
      <c r="N2173" s="3">
        <f t="shared" si="288"/>
        <v>0</v>
      </c>
      <c r="O2173" s="3">
        <f t="shared" si="289"/>
        <v>0</v>
      </c>
      <c r="S2173" s="3" t="s">
        <v>204</v>
      </c>
      <c r="V2173" s="51">
        <v>0.33680555555555558</v>
      </c>
    </row>
    <row r="2174" spans="1:25" hidden="1">
      <c r="A2174" s="12">
        <v>24460092</v>
      </c>
      <c r="B2174" s="13">
        <v>46279</v>
      </c>
      <c r="C2174" s="14">
        <v>0.87534722222222228</v>
      </c>
      <c r="D2174" s="15"/>
      <c r="E2174" s="16">
        <v>5213334533301</v>
      </c>
      <c r="F2174" s="15"/>
      <c r="G2174" s="15" t="s">
        <v>2053</v>
      </c>
      <c r="H2174" s="17"/>
      <c r="I2174" s="15"/>
      <c r="J2174" s="18"/>
      <c r="K2174" t="s">
        <v>30</v>
      </c>
      <c r="L2174" s="111">
        <v>13030.82</v>
      </c>
      <c r="M2174" s="111">
        <v>3908.85</v>
      </c>
      <c r="N2174" s="3">
        <f t="shared" si="288"/>
        <v>3909.2459999999996</v>
      </c>
      <c r="O2174" s="3">
        <f t="shared" si="289"/>
        <v>0.39599999999973079</v>
      </c>
      <c r="P2174" s="6">
        <v>46539</v>
      </c>
      <c r="Q2174" t="s">
        <v>59</v>
      </c>
      <c r="R2174" s="3">
        <v>3468</v>
      </c>
      <c r="S2174" s="3" t="s">
        <v>204</v>
      </c>
      <c r="V2174" s="51">
        <v>0.33680555555555558</v>
      </c>
    </row>
    <row r="2175" spans="1:25">
      <c r="A2175" s="12">
        <v>24462272</v>
      </c>
      <c r="B2175" s="13">
        <v>46279</v>
      </c>
      <c r="C2175" s="14">
        <v>0.8797800925925926</v>
      </c>
      <c r="D2175" s="15"/>
      <c r="E2175" s="16">
        <v>5214772291022</v>
      </c>
      <c r="F2175" s="15"/>
      <c r="G2175" s="15" t="s">
        <v>2054</v>
      </c>
      <c r="H2175" s="17"/>
      <c r="I2175" s="15"/>
      <c r="J2175" s="18"/>
      <c r="K2175" t="s">
        <v>54</v>
      </c>
      <c r="L2175" s="3">
        <v>11072.1</v>
      </c>
      <c r="N2175" s="3">
        <f t="shared" si="288"/>
        <v>3321.63</v>
      </c>
      <c r="O2175" s="3">
        <f t="shared" si="289"/>
        <v>3321.63</v>
      </c>
      <c r="S2175" s="3" t="s">
        <v>1808</v>
      </c>
      <c r="T2175" s="48">
        <v>46280</v>
      </c>
      <c r="V2175" s="51">
        <v>0.33680555555555558</v>
      </c>
      <c r="W2175" s="51">
        <v>0.35486111111111113</v>
      </c>
      <c r="X2175" s="51">
        <v>0.36180555555555555</v>
      </c>
      <c r="Y2175" s="51">
        <v>0.36666666666666664</v>
      </c>
    </row>
    <row r="2176" spans="1:25" hidden="1">
      <c r="A2176" s="12">
        <v>24461090</v>
      </c>
      <c r="B2176" s="13">
        <v>46279</v>
      </c>
      <c r="C2176" s="14">
        <v>0.88410879629629635</v>
      </c>
      <c r="D2176" s="15"/>
      <c r="E2176" s="16">
        <v>5213112530639</v>
      </c>
      <c r="F2176" s="15"/>
      <c r="G2176" s="15"/>
      <c r="H2176" s="17">
        <v>55795802234</v>
      </c>
      <c r="I2176" s="15"/>
      <c r="J2176" s="18"/>
      <c r="K2176" t="s">
        <v>30</v>
      </c>
      <c r="L2176" s="111">
        <v>10433.94</v>
      </c>
      <c r="M2176" s="111">
        <v>3129</v>
      </c>
      <c r="N2176" s="3">
        <f t="shared" si="288"/>
        <v>3130.1820000000002</v>
      </c>
      <c r="O2176" s="3">
        <f t="shared" si="289"/>
        <v>1.1820000000002437</v>
      </c>
      <c r="P2176" s="6">
        <v>46447</v>
      </c>
      <c r="Q2176" t="s">
        <v>210</v>
      </c>
      <c r="R2176" s="3">
        <v>3015</v>
      </c>
      <c r="S2176" s="3" t="s">
        <v>204</v>
      </c>
      <c r="V2176" s="51">
        <v>0.33680555555555558</v>
      </c>
    </row>
    <row r="2177" spans="1:25">
      <c r="A2177" s="12">
        <v>24462476</v>
      </c>
      <c r="B2177" s="13">
        <v>46279</v>
      </c>
      <c r="C2177" s="14">
        <v>0.8893981481481481</v>
      </c>
      <c r="D2177" s="15"/>
      <c r="E2177" s="16">
        <v>5218115553988</v>
      </c>
      <c r="F2177" s="15"/>
      <c r="G2177" s="15"/>
      <c r="H2177" s="17">
        <v>43775721434</v>
      </c>
      <c r="I2177" s="15"/>
      <c r="J2177" s="18"/>
      <c r="K2177" t="s">
        <v>107</v>
      </c>
      <c r="L2177" s="111">
        <v>65123.91</v>
      </c>
      <c r="M2177" s="111">
        <v>19536.72</v>
      </c>
      <c r="N2177" s="3">
        <f t="shared" si="288"/>
        <v>19537.172999999999</v>
      </c>
      <c r="O2177" s="3">
        <f t="shared" si="289"/>
        <v>0.4529999999977008</v>
      </c>
      <c r="P2177" s="6">
        <v>46235</v>
      </c>
      <c r="Q2177" t="s">
        <v>75</v>
      </c>
      <c r="R2177" s="3">
        <v>1030</v>
      </c>
      <c r="S2177" s="3" t="s">
        <v>39</v>
      </c>
      <c r="T2177" s="48">
        <v>46280</v>
      </c>
      <c r="V2177" s="51">
        <v>0.33680555555555558</v>
      </c>
      <c r="W2177" s="51">
        <v>0.3659722222222222</v>
      </c>
      <c r="X2177" s="51">
        <v>0.3659722222222222</v>
      </c>
      <c r="Y2177" s="51">
        <v>0.37013888888888891</v>
      </c>
    </row>
    <row r="2178" spans="1:25" hidden="1">
      <c r="A2178" s="12">
        <v>24462626</v>
      </c>
      <c r="B2178" s="13">
        <v>46279</v>
      </c>
      <c r="C2178" s="14">
        <v>0.8909259259259259</v>
      </c>
      <c r="D2178" s="15"/>
      <c r="E2178" s="16">
        <v>5218781353892</v>
      </c>
      <c r="F2178" s="15"/>
      <c r="G2178" s="15" t="s">
        <v>2055</v>
      </c>
      <c r="H2178" s="17"/>
      <c r="I2178" s="15"/>
      <c r="J2178" s="18"/>
      <c r="K2178" t="s">
        <v>32</v>
      </c>
      <c r="L2178" s="111"/>
      <c r="M2178" s="111"/>
      <c r="P2178" s="6"/>
      <c r="R2178"/>
      <c r="S2178" s="3" t="s">
        <v>204</v>
      </c>
      <c r="V2178" s="51">
        <v>0.33680555555555558</v>
      </c>
    </row>
    <row r="2179" spans="1:25" hidden="1">
      <c r="A2179" s="12">
        <v>24464284</v>
      </c>
      <c r="B2179" s="13">
        <v>46279</v>
      </c>
      <c r="C2179" s="14">
        <v>0.98626157407407411</v>
      </c>
      <c r="D2179" s="15"/>
      <c r="E2179" s="16">
        <v>5218442383420</v>
      </c>
      <c r="F2179" s="15"/>
      <c r="G2179" s="15" t="s">
        <v>2056</v>
      </c>
      <c r="H2179" s="17">
        <v>43795707355</v>
      </c>
      <c r="I2179" s="15"/>
      <c r="J2179" s="18"/>
      <c r="K2179" t="s">
        <v>30</v>
      </c>
      <c r="L2179" s="111">
        <v>9800.73</v>
      </c>
      <c r="M2179" s="111">
        <v>2936.7</v>
      </c>
      <c r="N2179" s="3">
        <f t="shared" si="288"/>
        <v>2940.2189999999996</v>
      </c>
      <c r="O2179" s="3">
        <f t="shared" si="289"/>
        <v>3.5189999999997781</v>
      </c>
      <c r="P2179" s="6">
        <v>46447</v>
      </c>
      <c r="Q2179" t="s">
        <v>59</v>
      </c>
      <c r="R2179" s="3">
        <v>1195</v>
      </c>
      <c r="S2179" s="3" t="s">
        <v>204</v>
      </c>
      <c r="V2179" s="51">
        <v>0.33680555555555558</v>
      </c>
    </row>
    <row r="2180" spans="1:25">
      <c r="A2180" s="12">
        <v>24470210</v>
      </c>
      <c r="B2180" s="13">
        <v>46280</v>
      </c>
      <c r="C2180" s="14">
        <v>0.31314814814814818</v>
      </c>
      <c r="D2180" s="15" t="s">
        <v>2057</v>
      </c>
      <c r="E2180" s="16">
        <v>5214421899832</v>
      </c>
      <c r="F2180" s="15"/>
      <c r="G2180" s="15" t="s">
        <v>2058</v>
      </c>
      <c r="H2180" s="17">
        <v>16907013177</v>
      </c>
      <c r="I2180" s="15"/>
      <c r="J2180" s="18"/>
      <c r="K2180" t="s">
        <v>27</v>
      </c>
      <c r="L2180" s="111">
        <v>9800.73</v>
      </c>
      <c r="M2180" s="111">
        <v>2936.7</v>
      </c>
      <c r="N2180" s="3">
        <f t="shared" si="288"/>
        <v>2940.2189999999996</v>
      </c>
      <c r="O2180" s="3">
        <f t="shared" si="289"/>
        <v>3.5189999999997781</v>
      </c>
      <c r="P2180" s="6">
        <v>46113</v>
      </c>
      <c r="Q2180" t="s">
        <v>1312</v>
      </c>
      <c r="R2180">
        <v>1702.31</v>
      </c>
      <c r="S2180" s="3" t="s">
        <v>2059</v>
      </c>
      <c r="T2180" s="48">
        <v>46280</v>
      </c>
      <c r="V2180" s="51">
        <v>0.33680555555555558</v>
      </c>
      <c r="W2180" s="51">
        <v>0.36805555555555558</v>
      </c>
      <c r="X2180" s="51">
        <v>0.37291666666666667</v>
      </c>
      <c r="Y2180" s="51">
        <v>0.37986111111111109</v>
      </c>
    </row>
    <row r="2181" spans="1:25" hidden="1">
      <c r="A2181" s="30">
        <v>24471540</v>
      </c>
      <c r="B2181" s="31">
        <v>46280</v>
      </c>
      <c r="C2181" s="32">
        <v>0.33629629629629632</v>
      </c>
      <c r="D2181" s="33"/>
      <c r="E2181" s="34">
        <v>5219981561831</v>
      </c>
      <c r="F2181" s="33"/>
      <c r="G2181" s="33"/>
      <c r="H2181" s="35">
        <v>37915700183</v>
      </c>
      <c r="I2181" s="33"/>
      <c r="J2181" s="36"/>
      <c r="K2181" t="s">
        <v>30</v>
      </c>
      <c r="L2181" s="111">
        <v>4636.43</v>
      </c>
      <c r="M2181" s="111">
        <v>409.49</v>
      </c>
      <c r="N2181" s="3">
        <f t="shared" si="288"/>
        <v>1390.9290000000001</v>
      </c>
      <c r="O2181" s="3">
        <f t="shared" si="289"/>
        <v>53.960000000000719</v>
      </c>
      <c r="P2181" s="6">
        <v>46508</v>
      </c>
      <c r="Q2181" t="s">
        <v>75</v>
      </c>
      <c r="R2181" s="3">
        <v>409.49</v>
      </c>
      <c r="S2181" s="3" t="s">
        <v>204</v>
      </c>
      <c r="V2181" s="51">
        <v>0.33680555555555558</v>
      </c>
    </row>
    <row r="2182" spans="1:25">
      <c r="A2182" s="30">
        <v>24473934</v>
      </c>
      <c r="B2182" s="31">
        <v>46280</v>
      </c>
      <c r="C2182" s="32">
        <v>0.39240740740740743</v>
      </c>
      <c r="D2182" s="33"/>
      <c r="E2182" s="34">
        <v>5216361006818</v>
      </c>
      <c r="F2182" s="33"/>
      <c r="G2182" s="33"/>
      <c r="H2182" s="35">
        <v>35937780233</v>
      </c>
      <c r="I2182" s="33"/>
      <c r="J2182" s="36"/>
      <c r="K2182" t="s">
        <v>54</v>
      </c>
      <c r="L2182" s="111">
        <v>8599.2999999999993</v>
      </c>
      <c r="M2182" s="111"/>
      <c r="N2182" s="3">
        <f>L2182*0.3</f>
        <v>2579.7899999999995</v>
      </c>
      <c r="O2182" s="3">
        <f>(IF(L2182&lt;4172.98,0,MIN(L2182*0.3,L2182-4172.98)))-M2182</f>
        <v>2579.7899999999995</v>
      </c>
      <c r="S2182" s="3" t="s">
        <v>1910</v>
      </c>
      <c r="T2182" s="48">
        <v>46280</v>
      </c>
      <c r="V2182" s="51">
        <v>0.39583333333333331</v>
      </c>
      <c r="W2182" s="51">
        <v>0.40069444444444446</v>
      </c>
      <c r="X2182" s="51">
        <v>0.40486111111111112</v>
      </c>
      <c r="Y2182" s="51">
        <v>0.40694444444444444</v>
      </c>
    </row>
    <row r="2183" spans="1:25" hidden="1">
      <c r="A2183" s="30">
        <v>24475046</v>
      </c>
      <c r="B2183" s="31">
        <v>46280</v>
      </c>
      <c r="C2183" s="32">
        <v>0.42751157407407409</v>
      </c>
      <c r="D2183" s="33"/>
      <c r="E2183" s="34">
        <v>5212712641279</v>
      </c>
      <c r="F2183" s="33"/>
      <c r="G2183" s="33"/>
      <c r="H2183" s="35">
        <v>67856121974</v>
      </c>
      <c r="I2183" s="33"/>
      <c r="J2183" s="36"/>
      <c r="K2183" t="s">
        <v>58</v>
      </c>
      <c r="L2183" s="3">
        <v>3565</v>
      </c>
      <c r="M2183" s="3">
        <v>848</v>
      </c>
      <c r="N2183" s="3">
        <f>L2183*0.3</f>
        <v>1069.5</v>
      </c>
      <c r="O2183" s="3">
        <f>(IF(L2183&lt;4172.98,0,MIN(L2183*0.3,L2183-4172.98)))-M2183</f>
        <v>-848</v>
      </c>
      <c r="S2183" s="3" t="s">
        <v>204</v>
      </c>
      <c r="V2183" s="51">
        <v>0.4284722222222222</v>
      </c>
    </row>
    <row r="2184" spans="1:25" hidden="1">
      <c r="A2184" s="30">
        <v>24426224</v>
      </c>
      <c r="B2184" s="31">
        <v>46280</v>
      </c>
      <c r="C2184" s="32">
        <v>0.43584490740740739</v>
      </c>
      <c r="D2184" s="33"/>
      <c r="E2184" s="34">
        <v>5218281055033</v>
      </c>
      <c r="F2184" s="33"/>
      <c r="G2184" s="33"/>
      <c r="H2184" s="35">
        <v>43786065631</v>
      </c>
      <c r="I2184" s="33"/>
      <c r="J2184" s="36"/>
      <c r="K2184" t="s">
        <v>58</v>
      </c>
      <c r="L2184" s="3">
        <v>4035</v>
      </c>
      <c r="N2184" s="3">
        <f>L2184*0.3</f>
        <v>1210.5</v>
      </c>
      <c r="O2184" s="3">
        <f>(IF(L2184&lt;4172.98,0,MIN(L2184*0.3,L2184-4172.98)))-M2184</f>
        <v>0</v>
      </c>
      <c r="S2184" s="53" t="s">
        <v>204</v>
      </c>
      <c r="V2184" s="51">
        <v>0.43541666666666667</v>
      </c>
    </row>
    <row r="2185" spans="1:25">
      <c r="A2185" s="30">
        <v>24432148</v>
      </c>
      <c r="B2185" s="31">
        <v>46280</v>
      </c>
      <c r="C2185" s="32">
        <v>0.43653935185185183</v>
      </c>
      <c r="D2185" s="33"/>
      <c r="E2185" s="34">
        <v>5219999651127</v>
      </c>
      <c r="F2185" s="33"/>
      <c r="G2185" s="33" t="s">
        <v>2060</v>
      </c>
      <c r="H2185" s="35"/>
      <c r="I2185" s="33"/>
      <c r="J2185" s="36"/>
      <c r="K2185" t="s">
        <v>27</v>
      </c>
      <c r="L2185" s="111">
        <v>26737.72</v>
      </c>
      <c r="M2185" s="111">
        <v>7090.74</v>
      </c>
      <c r="N2185" s="3">
        <f>L2185*0.3</f>
        <v>8021.3159999999998</v>
      </c>
      <c r="O2185" s="3">
        <f>(IF(L2185&lt;4172.98,0,MIN(L2185*0.3,L2185-4172.98)))-M2185</f>
        <v>930.57600000000002</v>
      </c>
      <c r="P2185" s="6">
        <v>45962</v>
      </c>
      <c r="Q2185" t="s">
        <v>47</v>
      </c>
      <c r="R2185" s="3">
        <v>7090.74</v>
      </c>
      <c r="S2185" s="53" t="s">
        <v>2059</v>
      </c>
      <c r="T2185" s="48">
        <v>46280</v>
      </c>
      <c r="V2185" s="51">
        <v>0.43611111111111112</v>
      </c>
      <c r="W2185" s="51">
        <v>0.44791666666666669</v>
      </c>
      <c r="X2185" s="51">
        <v>0.4597222222222222</v>
      </c>
      <c r="Y2185" s="51">
        <v>0.46388888888888891</v>
      </c>
    </row>
    <row r="2186" spans="1:25" hidden="1">
      <c r="A2186" s="30">
        <v>24418590</v>
      </c>
      <c r="B2186" s="31">
        <v>46280</v>
      </c>
      <c r="C2186" s="32">
        <v>0.48584490740740743</v>
      </c>
      <c r="D2186" s="33"/>
      <c r="E2186" s="34">
        <v>5219981858135</v>
      </c>
      <c r="F2186" s="33"/>
      <c r="G2186" s="33" t="s">
        <v>2061</v>
      </c>
      <c r="H2186" s="35"/>
      <c r="I2186" s="33"/>
      <c r="J2186" s="36"/>
      <c r="K2186" t="s">
        <v>30</v>
      </c>
      <c r="L2186" s="111">
        <v>10636.54</v>
      </c>
      <c r="M2186" s="111">
        <v>3190.96</v>
      </c>
      <c r="N2186" s="3">
        <f>L2186*0.3</f>
        <v>3190.962</v>
      </c>
      <c r="O2186" s="3">
        <f>(IF(L2186&lt;4172.98,0,MIN(L2186*0.3,L2186-4172.98)))-M2186</f>
        <v>1.9999999999527063E-3</v>
      </c>
      <c r="P2186" s="6">
        <v>46966</v>
      </c>
      <c r="Q2186" t="s">
        <v>44</v>
      </c>
      <c r="R2186" s="111">
        <v>3190.96</v>
      </c>
      <c r="S2186" s="53" t="s">
        <v>204</v>
      </c>
      <c r="V2186" s="51">
        <v>0.48541666666666666</v>
      </c>
    </row>
    <row r="2187" spans="1:25" hidden="1">
      <c r="A2187" s="30">
        <v>24483372</v>
      </c>
      <c r="B2187" s="31">
        <v>46280</v>
      </c>
      <c r="C2187" s="32">
        <v>0.51217592592592598</v>
      </c>
      <c r="D2187" s="33"/>
      <c r="E2187" s="34">
        <v>5216311091047</v>
      </c>
      <c r="F2187" s="33"/>
      <c r="G2187" s="33"/>
      <c r="H2187" s="35" t="s">
        <v>2062</v>
      </c>
      <c r="I2187" s="33"/>
      <c r="J2187" s="36"/>
      <c r="K2187" t="s">
        <v>51</v>
      </c>
      <c r="N2187" s="3">
        <f>L2187*0.3</f>
        <v>0</v>
      </c>
      <c r="O2187" s="3">
        <f>(IF(L2187&lt;4172.98,0,MIN(L2187*0.3,L2187-4172.98)))-M2187</f>
        <v>0</v>
      </c>
      <c r="S2187" s="3" t="s">
        <v>204</v>
      </c>
      <c r="V2187" s="51">
        <v>0.5131944444444444</v>
      </c>
    </row>
    <row r="2188" spans="1:25" hidden="1">
      <c r="A2188" s="30">
        <v>24405666</v>
      </c>
      <c r="B2188" s="31">
        <v>46280</v>
      </c>
      <c r="C2188" s="32">
        <v>0.51997685185185183</v>
      </c>
      <c r="D2188" s="33"/>
      <c r="E2188" s="34"/>
      <c r="F2188" s="33"/>
      <c r="G2188" s="33"/>
      <c r="H2188" s="35">
        <v>21996504730</v>
      </c>
      <c r="I2188" s="33"/>
      <c r="J2188" s="36"/>
      <c r="K2188" t="s">
        <v>51</v>
      </c>
      <c r="N2188" s="3">
        <f>L2188*0.3</f>
        <v>0</v>
      </c>
      <c r="O2188" s="3">
        <f>(IF(L2188&lt;4172.98,0,MIN(L2188*0.3,L2188-4172.98)))-M2188</f>
        <v>0</v>
      </c>
      <c r="S2188" s="3" t="s">
        <v>204</v>
      </c>
      <c r="V2188" s="51">
        <v>0.52083333333333337</v>
      </c>
    </row>
    <row r="2189" spans="1:25">
      <c r="A2189" s="30">
        <v>24484342</v>
      </c>
      <c r="B2189" s="31">
        <v>46280</v>
      </c>
      <c r="C2189" s="32">
        <v>0.54331018518518515</v>
      </c>
      <c r="D2189" s="33"/>
      <c r="E2189" s="34">
        <v>5214813317685</v>
      </c>
      <c r="F2189" s="33"/>
      <c r="G2189" s="33"/>
      <c r="H2189" s="35" t="s">
        <v>2063</v>
      </c>
      <c r="I2189" s="33"/>
      <c r="J2189" s="36"/>
      <c r="K2189" t="s">
        <v>54</v>
      </c>
      <c r="L2189" s="3">
        <f>26236.79-15600</f>
        <v>10636.79</v>
      </c>
      <c r="N2189" s="3">
        <f>L2189*0.3</f>
        <v>3191.0370000000003</v>
      </c>
      <c r="O2189" s="3">
        <f>(IF(L2189&lt;4172.98,0,MIN(L2189*0.3,L2189-4172.98)))-M2189</f>
        <v>3191.0370000000003</v>
      </c>
      <c r="S2189" s="3" t="s">
        <v>28</v>
      </c>
      <c r="T2189" s="48">
        <v>46280</v>
      </c>
      <c r="V2189" s="51">
        <v>0.54374999999999996</v>
      </c>
      <c r="W2189" s="51">
        <v>0.54722222222222228</v>
      </c>
      <c r="X2189" s="51">
        <v>0.55069444444444449</v>
      </c>
      <c r="Y2189" s="51">
        <v>0.55555555555555558</v>
      </c>
    </row>
    <row r="2190" spans="1:25" hidden="1">
      <c r="A2190" s="30">
        <v>24484804</v>
      </c>
      <c r="B2190" s="31">
        <v>46280</v>
      </c>
      <c r="C2190" s="32">
        <v>0.55091435185185189</v>
      </c>
      <c r="D2190" s="33"/>
      <c r="E2190" s="34">
        <v>5218661647466</v>
      </c>
      <c r="F2190" s="33"/>
      <c r="G2190" s="33" t="s">
        <v>2064</v>
      </c>
      <c r="H2190" s="35">
        <v>32745425226</v>
      </c>
      <c r="I2190" s="33"/>
      <c r="J2190" s="36"/>
      <c r="K2190" t="s">
        <v>30</v>
      </c>
      <c r="L2190" s="125">
        <v>20139.09</v>
      </c>
      <c r="M2190" s="125">
        <v>6040.29</v>
      </c>
      <c r="N2190" s="3">
        <f>L2190*0.3</f>
        <v>6041.7269999999999</v>
      </c>
      <c r="O2190" s="3">
        <f>(IF(L2190&lt;4172.98,0,MIN(L2190*0.3,L2190-4172.98)))-M2190</f>
        <v>1.4369999999998981</v>
      </c>
      <c r="P2190" s="6">
        <v>46447</v>
      </c>
      <c r="Q2190" t="s">
        <v>2065</v>
      </c>
      <c r="R2190" s="3">
        <v>4645.12</v>
      </c>
      <c r="S2190" s="3" t="s">
        <v>204</v>
      </c>
      <c r="V2190" s="51">
        <v>0.55138888888888893</v>
      </c>
    </row>
    <row r="2191" spans="1:25">
      <c r="A2191" s="30">
        <v>24485694</v>
      </c>
      <c r="B2191" s="31">
        <v>46280</v>
      </c>
      <c r="C2191" s="32">
        <v>0.56456018518518514</v>
      </c>
      <c r="D2191" s="33"/>
      <c r="E2191" s="34">
        <v>5218671921916</v>
      </c>
      <c r="F2191" s="33"/>
      <c r="G2191" s="33" t="s">
        <v>2066</v>
      </c>
      <c r="H2191" s="35"/>
      <c r="I2191" s="33"/>
      <c r="J2191" s="36"/>
      <c r="K2191" t="s">
        <v>54</v>
      </c>
      <c r="L2191" s="3">
        <v>10636.54</v>
      </c>
      <c r="N2191" s="3">
        <f>L2191*0.3</f>
        <v>3190.962</v>
      </c>
      <c r="O2191" s="3">
        <f>(IF(L2191&lt;4172.98,0,MIN(L2191*0.3,L2191-4172.98)))-M2191</f>
        <v>3190.962</v>
      </c>
      <c r="S2191" s="3" t="s">
        <v>327</v>
      </c>
      <c r="T2191" s="48">
        <v>46280</v>
      </c>
      <c r="V2191" s="51">
        <v>0.56458333333333333</v>
      </c>
      <c r="W2191" s="51">
        <v>0.56874999999999998</v>
      </c>
      <c r="X2191" s="51">
        <v>0.57499999999999996</v>
      </c>
      <c r="Y2191" s="51">
        <v>0.58680555555555558</v>
      </c>
    </row>
    <row r="2192" spans="1:25" hidden="1">
      <c r="A2192" s="30">
        <v>24485900</v>
      </c>
      <c r="B2192" s="31">
        <v>46280</v>
      </c>
      <c r="C2192" s="32">
        <v>0.56592592592592594</v>
      </c>
      <c r="D2192" s="33"/>
      <c r="E2192" s="34">
        <v>5216251211182</v>
      </c>
      <c r="F2192" s="33"/>
      <c r="G2192" s="33" t="s">
        <v>2067</v>
      </c>
      <c r="H2192" s="35">
        <v>33998404355</v>
      </c>
      <c r="I2192" s="33"/>
      <c r="J2192" s="36"/>
      <c r="K2192" t="s">
        <v>51</v>
      </c>
      <c r="N2192" s="3">
        <f>L2192*0.3</f>
        <v>0</v>
      </c>
      <c r="O2192" s="3">
        <f>(IF(L2192&lt;4172.98,0,MIN(L2192*0.3,L2192-4172.98)))-M2192</f>
        <v>0</v>
      </c>
      <c r="S2192" s="3" t="s">
        <v>204</v>
      </c>
      <c r="V2192" s="51">
        <v>0.56597222222222221</v>
      </c>
    </row>
    <row r="2193" spans="1:25" hidden="1">
      <c r="A2193" s="12">
        <v>24486544</v>
      </c>
      <c r="B2193" s="13">
        <v>46280</v>
      </c>
      <c r="C2193" s="14">
        <v>0.58003472222222219</v>
      </c>
      <c r="D2193" s="15"/>
      <c r="E2193" s="16">
        <v>5216182439458</v>
      </c>
      <c r="F2193" s="15"/>
      <c r="G2193" s="15"/>
      <c r="H2193" s="17">
        <v>31685310778</v>
      </c>
      <c r="I2193" s="15"/>
      <c r="J2193" s="18"/>
      <c r="K2193" t="s">
        <v>30</v>
      </c>
      <c r="L2193" s="125">
        <v>8880.56</v>
      </c>
      <c r="M2193" s="125">
        <v>2568.2800000000002</v>
      </c>
      <c r="N2193" s="3">
        <f t="shared" ref="N2193:N2194" si="290">L2193*0.3</f>
        <v>2664.1679999999997</v>
      </c>
      <c r="O2193" s="3">
        <f t="shared" ref="O2193:O2194" si="291">(IF(L2193&lt;4172.98,0,MIN(L2193*0.3,L2193-4172.98)))-M2193</f>
        <v>95.887999999999465</v>
      </c>
      <c r="P2193" s="6">
        <v>46600</v>
      </c>
      <c r="Q2193" t="s">
        <v>141</v>
      </c>
      <c r="R2193" s="3">
        <v>2444.48</v>
      </c>
      <c r="S2193" s="3" t="s">
        <v>204</v>
      </c>
      <c r="V2193" s="51">
        <v>0.5805555555555556</v>
      </c>
    </row>
    <row r="2194" spans="1:25" hidden="1">
      <c r="A2194" s="30">
        <v>24486634</v>
      </c>
      <c r="B2194" s="31">
        <v>46280</v>
      </c>
      <c r="C2194" s="32">
        <v>0.58046296296296296</v>
      </c>
      <c r="D2194" s="33"/>
      <c r="E2194" s="34">
        <v>5215580360534</v>
      </c>
      <c r="F2194" s="33"/>
      <c r="G2194" s="33" t="s">
        <v>2068</v>
      </c>
      <c r="H2194" s="35" t="s">
        <v>2069</v>
      </c>
      <c r="I2194" s="33"/>
      <c r="J2194" s="36"/>
      <c r="K2194" t="s">
        <v>32</v>
      </c>
      <c r="N2194" s="3">
        <f t="shared" si="290"/>
        <v>0</v>
      </c>
      <c r="O2194" s="3">
        <f t="shared" si="291"/>
        <v>0</v>
      </c>
      <c r="S2194" s="3" t="s">
        <v>204</v>
      </c>
      <c r="V2194" s="51">
        <v>0.5805555555555556</v>
      </c>
    </row>
    <row r="2195" spans="1:25" hidden="1">
      <c r="A2195" s="30">
        <v>24487586</v>
      </c>
      <c r="B2195" s="31">
        <v>46280</v>
      </c>
      <c r="C2195" s="32">
        <v>0.60840277777777774</v>
      </c>
      <c r="D2195" s="33" t="s">
        <v>2070</v>
      </c>
      <c r="E2195" s="34">
        <v>5216623560230</v>
      </c>
      <c r="F2195" s="33"/>
      <c r="G2195" s="33" t="s">
        <v>2071</v>
      </c>
      <c r="H2195" s="35">
        <v>57968138966</v>
      </c>
      <c r="I2195" s="33"/>
      <c r="J2195" s="36"/>
      <c r="K2195" t="s">
        <v>58</v>
      </c>
      <c r="L2195" s="3">
        <v>3165.72</v>
      </c>
      <c r="M2195" s="3">
        <v>791</v>
      </c>
      <c r="N2195" s="3">
        <f>L2195*0.3</f>
        <v>949.71599999999989</v>
      </c>
      <c r="O2195" s="3">
        <f>(IF(L2195&lt;4172.98,0,MIN(L2195*0.3,L2195-4172.98)))-M2195</f>
        <v>-791</v>
      </c>
      <c r="S2195" s="3" t="s">
        <v>204</v>
      </c>
      <c r="V2195" s="51">
        <v>0.60972222222222228</v>
      </c>
    </row>
    <row r="2196" spans="1:25" hidden="1">
      <c r="A2196" s="30">
        <v>24487860</v>
      </c>
      <c r="B2196" s="31">
        <v>46280</v>
      </c>
      <c r="C2196" s="32">
        <v>0.61856481481481485</v>
      </c>
      <c r="D2196" s="33"/>
      <c r="E2196" s="34">
        <v>5214613409908</v>
      </c>
      <c r="F2196" s="33"/>
      <c r="G2196" s="33" t="s">
        <v>2072</v>
      </c>
      <c r="H2196" s="35"/>
      <c r="I2196" s="33"/>
      <c r="J2196" s="36"/>
      <c r="K2196" t="s">
        <v>30</v>
      </c>
      <c r="L2196" s="125">
        <v>37900.980000000003</v>
      </c>
      <c r="M2196" s="125">
        <v>11369.29</v>
      </c>
      <c r="N2196" s="3">
        <f>L2196*0.3</f>
        <v>11370.294</v>
      </c>
      <c r="O2196" s="3">
        <f>(IF(L2196&lt;4172.98,0,MIN(L2196*0.3,L2196-4172.98)))-M2196</f>
        <v>1.0039999999989959</v>
      </c>
      <c r="P2196" s="6">
        <v>46357</v>
      </c>
      <c r="Q2196" t="s">
        <v>210</v>
      </c>
      <c r="R2196" s="3">
        <v>3532</v>
      </c>
      <c r="S2196" s="3" t="s">
        <v>204</v>
      </c>
      <c r="V2196" s="51">
        <v>0.61875000000000002</v>
      </c>
    </row>
    <row r="2197" spans="1:25" hidden="1">
      <c r="A2197" s="30">
        <v>24488490</v>
      </c>
      <c r="B2197" s="31">
        <v>46280</v>
      </c>
      <c r="C2197" s="32">
        <v>0.63305555555555559</v>
      </c>
      <c r="D2197" s="33"/>
      <c r="E2197" s="34">
        <v>5215560617038</v>
      </c>
      <c r="F2197" s="33"/>
      <c r="G2197" s="33"/>
      <c r="H2197" s="35" t="s">
        <v>2073</v>
      </c>
      <c r="I2197" s="33"/>
      <c r="J2197" s="36"/>
      <c r="K2197" t="s">
        <v>30</v>
      </c>
      <c r="L2197" s="125">
        <v>10489.12</v>
      </c>
      <c r="M2197" s="125">
        <v>3034.73</v>
      </c>
      <c r="N2197" s="3">
        <f>L2197*0.3</f>
        <v>3146.7360000000003</v>
      </c>
      <c r="O2197" s="3">
        <f>(IF(L2197&lt;4172.98,0,MIN(L2197*0.3,L2197-4172.98)))-M2197</f>
        <v>112.00600000000031</v>
      </c>
      <c r="P2197" s="6">
        <v>46631</v>
      </c>
      <c r="Q2197" t="s">
        <v>44</v>
      </c>
      <c r="R2197" s="3">
        <v>1225.7</v>
      </c>
      <c r="S2197" s="3" t="s">
        <v>204</v>
      </c>
      <c r="V2197" s="51">
        <v>0.6333333333333333</v>
      </c>
    </row>
    <row r="2198" spans="1:25" hidden="1">
      <c r="A2198" s="30">
        <v>24488514</v>
      </c>
      <c r="B2198" s="31">
        <v>46280</v>
      </c>
      <c r="C2198" s="32">
        <v>0.63410879629629635</v>
      </c>
      <c r="D2198" s="33"/>
      <c r="E2198" s="34">
        <v>5215518439044</v>
      </c>
      <c r="F2198" s="33"/>
      <c r="G2198" s="33" t="s">
        <v>2074</v>
      </c>
      <c r="H2198" s="35"/>
      <c r="I2198" s="33"/>
      <c r="J2198" s="36"/>
      <c r="K2198" t="s">
        <v>32</v>
      </c>
      <c r="N2198" s="3">
        <f>L2198*0.3</f>
        <v>0</v>
      </c>
      <c r="O2198" s="3">
        <f>(IF(L2198&lt;4172.98,0,MIN(L2198*0.3,L2198-4172.98)))-M2198</f>
        <v>0</v>
      </c>
      <c r="S2198" s="3" t="s">
        <v>204</v>
      </c>
      <c r="V2198" s="51">
        <v>0.63472222222222219</v>
      </c>
    </row>
    <row r="2199" spans="1:25" hidden="1">
      <c r="A2199" s="30">
        <v>24488656</v>
      </c>
      <c r="B2199" s="31">
        <v>46280</v>
      </c>
      <c r="C2199" s="32">
        <v>0.6363657407407407</v>
      </c>
      <c r="D2199" s="33"/>
      <c r="E2199" s="34">
        <v>5217331888180</v>
      </c>
      <c r="F2199" s="33"/>
      <c r="G2199" s="33"/>
      <c r="H2199" s="35">
        <v>72894701480</v>
      </c>
      <c r="I2199" s="33"/>
      <c r="J2199" s="36"/>
      <c r="K2199" t="s">
        <v>58</v>
      </c>
      <c r="L2199" s="3">
        <v>4765.66</v>
      </c>
      <c r="M2199" s="3">
        <v>879</v>
      </c>
      <c r="N2199" s="3">
        <f>L2199*0.3</f>
        <v>1429.6979999999999</v>
      </c>
      <c r="O2199" s="3">
        <f>(IF(L2199&lt;4172.98,0,MIN(L2199*0.3,L2199-4172.98)))-M2199</f>
        <v>-286.31999999999971</v>
      </c>
      <c r="S2199" s="3" t="s">
        <v>204</v>
      </c>
      <c r="V2199" s="51">
        <v>0.63680555555555551</v>
      </c>
    </row>
    <row r="2200" spans="1:25" hidden="1">
      <c r="A2200" s="30">
        <v>24488638</v>
      </c>
      <c r="B2200" s="31">
        <v>46280</v>
      </c>
      <c r="C2200" s="32">
        <v>0.64689814814814817</v>
      </c>
      <c r="D2200" s="33"/>
      <c r="E2200" s="34">
        <v>5218445993046</v>
      </c>
      <c r="F2200" s="33"/>
      <c r="G2200" s="33"/>
      <c r="H2200" s="35">
        <v>32927684210</v>
      </c>
      <c r="I2200" s="33"/>
      <c r="J2200" s="36"/>
      <c r="K2200" t="s">
        <v>58</v>
      </c>
      <c r="L2200" s="3">
        <v>3211.86</v>
      </c>
      <c r="N2200" s="3">
        <f>L2200*0.3</f>
        <v>963.55799999999999</v>
      </c>
      <c r="O2200" s="3">
        <f>(IF(L2200&lt;4172.98,0,MIN(L2200*0.3,L2200-4172.98)))-M2200</f>
        <v>0</v>
      </c>
      <c r="S2200" s="3" t="s">
        <v>204</v>
      </c>
      <c r="V2200" s="51">
        <v>0.64722222222222225</v>
      </c>
    </row>
    <row r="2201" spans="1:25">
      <c r="A2201" s="30">
        <v>24489344</v>
      </c>
      <c r="B2201" s="31">
        <v>46280</v>
      </c>
      <c r="C2201" s="32">
        <v>0.65384259259259259</v>
      </c>
      <c r="D2201" s="33"/>
      <c r="E2201" s="34">
        <v>6677856455</v>
      </c>
      <c r="F2201" s="33"/>
      <c r="G2201" s="33" t="s">
        <v>2075</v>
      </c>
      <c r="H2201" s="35">
        <v>23897210995</v>
      </c>
      <c r="I2201" s="33"/>
      <c r="J2201" s="36"/>
      <c r="K2201" t="s">
        <v>107</v>
      </c>
      <c r="L2201" s="125">
        <v>4306.5</v>
      </c>
      <c r="M2201" s="125">
        <v>373.64</v>
      </c>
      <c r="N2201" s="3">
        <f t="shared" ref="N2201" si="292">L2201*0.3</f>
        <v>1291.95</v>
      </c>
      <c r="O2201" s="3">
        <f t="shared" ref="O2201" si="293">(IF(L2201&lt;4172.98,0,MIN(L2201*0.3,L2201-4172.98)))-M2201</f>
        <v>-240.11999999999955</v>
      </c>
      <c r="P2201" s="6">
        <v>45689</v>
      </c>
      <c r="Q2201" t="s">
        <v>44</v>
      </c>
      <c r="R2201" s="3">
        <v>373.64</v>
      </c>
      <c r="S2201" s="3" t="s">
        <v>39</v>
      </c>
      <c r="T2201" s="48">
        <v>46280</v>
      </c>
      <c r="V2201" s="51">
        <v>0.65416666666666667</v>
      </c>
      <c r="W2201" s="51">
        <v>0.66319444444444442</v>
      </c>
      <c r="X2201" s="51">
        <v>0.67222222222222228</v>
      </c>
      <c r="Y2201" s="51">
        <v>0.67361111111111116</v>
      </c>
    </row>
    <row r="2202" spans="1:25">
      <c r="A2202" s="12">
        <v>24489418</v>
      </c>
      <c r="B2202" s="13">
        <v>46280</v>
      </c>
      <c r="C2202" s="14">
        <v>0.65839120370370374</v>
      </c>
      <c r="D2202" s="15" t="s">
        <v>2076</v>
      </c>
      <c r="E2202" s="16">
        <v>5216532364765</v>
      </c>
      <c r="F2202" s="15"/>
      <c r="G2202" s="15"/>
      <c r="H2202" s="17">
        <v>21826544039</v>
      </c>
      <c r="I2202" s="15"/>
      <c r="J2202" s="18"/>
      <c r="K2202" t="s">
        <v>54</v>
      </c>
      <c r="L2202" s="3">
        <f>8881.32+879</f>
        <v>9760.32</v>
      </c>
      <c r="M2202" s="3">
        <v>879</v>
      </c>
      <c r="N2202" s="3">
        <f t="shared" ref="N2202:N2203" si="294">L2202*0.3</f>
        <v>2928.096</v>
      </c>
      <c r="O2202" s="3">
        <f t="shared" ref="O2202:O2203" si="295">(IF(L2202&lt;4172.98,0,MIN(L2202*0.3,L2202-4172.98)))-M2202</f>
        <v>2049.096</v>
      </c>
      <c r="S2202" s="3" t="s">
        <v>55</v>
      </c>
      <c r="T2202" s="48">
        <v>46280</v>
      </c>
      <c r="V2202" s="51">
        <v>0.65902777777777777</v>
      </c>
      <c r="W2202" s="51">
        <v>0.66388888888888886</v>
      </c>
      <c r="X2202" s="51">
        <v>0.6694444444444444</v>
      </c>
      <c r="Y2202" s="51">
        <v>0.67638888888888893</v>
      </c>
    </row>
    <row r="2203" spans="1:25" hidden="1">
      <c r="A2203" s="30">
        <v>24489440</v>
      </c>
      <c r="B2203" s="31">
        <v>46280</v>
      </c>
      <c r="C2203" s="32">
        <v>0.65861111111111115</v>
      </c>
      <c r="D2203" s="33"/>
      <c r="E2203" s="34">
        <v>5216391096737</v>
      </c>
      <c r="F2203" s="33"/>
      <c r="G2203" s="33"/>
      <c r="H2203" s="35" t="s">
        <v>2077</v>
      </c>
      <c r="I2203" s="33"/>
      <c r="J2203" s="36"/>
      <c r="K2203" t="s">
        <v>58</v>
      </c>
      <c r="L2203" s="3">
        <v>4172.99</v>
      </c>
      <c r="N2203" s="3">
        <f t="shared" si="294"/>
        <v>1251.8969999999999</v>
      </c>
      <c r="O2203" s="3">
        <f t="shared" si="295"/>
        <v>1.0000000000218279E-2</v>
      </c>
      <c r="S2203" s="3" t="s">
        <v>204</v>
      </c>
      <c r="V2203" s="51">
        <v>0.65902777777777777</v>
      </c>
    </row>
    <row r="2204" spans="1:25" hidden="1">
      <c r="A2204" s="12">
        <v>24489508</v>
      </c>
      <c r="B2204" s="13">
        <v>46280</v>
      </c>
      <c r="C2204" s="14">
        <v>0.66046296296296292</v>
      </c>
      <c r="D2204" s="15"/>
      <c r="E2204" s="16">
        <v>5216645717958</v>
      </c>
      <c r="F2204" s="15"/>
      <c r="G2204" s="15" t="s">
        <v>2078</v>
      </c>
      <c r="H2204" s="17"/>
      <c r="I2204" s="15"/>
      <c r="J2204" s="18"/>
      <c r="K2204" t="s">
        <v>51</v>
      </c>
      <c r="N2204" s="3">
        <f t="shared" ref="N2204:N2205" si="296">L2204*0.3</f>
        <v>0</v>
      </c>
      <c r="O2204" s="3">
        <f t="shared" ref="O2204:O2205" si="297">(IF(L2204&lt;4172.98,0,MIN(L2204*0.3,L2204-4172.98)))-M2204</f>
        <v>0</v>
      </c>
      <c r="S2204" s="3" t="s">
        <v>204</v>
      </c>
      <c r="V2204" s="51">
        <v>0.66597222222222219</v>
      </c>
    </row>
    <row r="2205" spans="1:25">
      <c r="A2205" s="30">
        <v>24489612</v>
      </c>
      <c r="B2205" s="31">
        <v>46280</v>
      </c>
      <c r="C2205" s="32">
        <v>0.66374999999999995</v>
      </c>
      <c r="D2205" s="33"/>
      <c r="E2205" s="34">
        <v>5219222339076</v>
      </c>
      <c r="F2205" s="33"/>
      <c r="G2205" s="33" t="s">
        <v>2079</v>
      </c>
      <c r="H2205" s="35"/>
      <c r="I2205" s="33"/>
      <c r="J2205" s="36"/>
      <c r="K2205" t="s">
        <v>38</v>
      </c>
      <c r="L2205" s="111">
        <v>40567.769999999997</v>
      </c>
      <c r="M2205" s="111">
        <v>11352.7</v>
      </c>
      <c r="N2205" s="3">
        <f t="shared" si="296"/>
        <v>12170.330999999998</v>
      </c>
      <c r="O2205" s="3">
        <f t="shared" si="297"/>
        <v>817.63099999999758</v>
      </c>
      <c r="P2205" s="6">
        <v>46813</v>
      </c>
      <c r="Q2205" t="s">
        <v>75</v>
      </c>
      <c r="R2205" s="3">
        <v>5984.97</v>
      </c>
      <c r="S2205" s="3" t="s">
        <v>39</v>
      </c>
      <c r="T2205" s="48">
        <v>46280</v>
      </c>
      <c r="V2205" s="51">
        <v>0.66597222222222219</v>
      </c>
      <c r="W2205" s="51">
        <v>0.6743055555555556</v>
      </c>
      <c r="X2205" s="51">
        <v>0.67569444444444449</v>
      </c>
      <c r="Y2205" s="51">
        <v>0.6791666666666667</v>
      </c>
    </row>
    <row r="2206" spans="1:25">
      <c r="A2206" s="30">
        <v>24489616</v>
      </c>
      <c r="B2206" s="31">
        <v>46280</v>
      </c>
      <c r="C2206" s="32">
        <v>0.66729166666666662</v>
      </c>
      <c r="D2206" s="33"/>
      <c r="E2206" s="34">
        <v>5219981478876</v>
      </c>
      <c r="F2206" s="33"/>
      <c r="G2206" s="33" t="s">
        <v>2080</v>
      </c>
      <c r="H2206" s="35"/>
      <c r="I2206" s="33"/>
      <c r="J2206" s="36"/>
      <c r="K2206" t="s">
        <v>54</v>
      </c>
      <c r="L2206" s="3">
        <v>12899.75</v>
      </c>
      <c r="N2206" s="3">
        <f>L2206*0.3</f>
        <v>3869.9249999999997</v>
      </c>
      <c r="O2206" s="3">
        <f>(IF(L2206&lt;4172.98,0,MIN(L2206*0.3,L2206-4172.98)))-M2206</f>
        <v>3869.9249999999997</v>
      </c>
      <c r="S2206" s="3" t="s">
        <v>90</v>
      </c>
      <c r="T2206" s="48">
        <v>46280</v>
      </c>
      <c r="V2206" s="51">
        <v>0.66736111111111107</v>
      </c>
      <c r="W2206" s="51">
        <v>0.67500000000000004</v>
      </c>
      <c r="X2206" s="51">
        <v>0.6791666666666667</v>
      </c>
      <c r="Y2206" s="51">
        <v>0.68194444444444446</v>
      </c>
    </row>
    <row r="2207" spans="1:25" hidden="1">
      <c r="A2207" s="12">
        <v>24489708</v>
      </c>
      <c r="B2207" s="13">
        <v>46280</v>
      </c>
      <c r="C2207" s="14">
        <v>0.67317129629629635</v>
      </c>
      <c r="D2207" s="15"/>
      <c r="E2207" s="16">
        <v>5212223447735</v>
      </c>
      <c r="F2207" s="15"/>
      <c r="G2207" s="15" t="s">
        <v>2081</v>
      </c>
      <c r="H2207" s="17"/>
      <c r="I2207" s="15"/>
      <c r="J2207" s="18"/>
      <c r="K2207" t="s">
        <v>32</v>
      </c>
      <c r="N2207" s="3">
        <f t="shared" ref="N2207:N2208" si="298">L2207*0.3</f>
        <v>0</v>
      </c>
      <c r="O2207" s="3">
        <f t="shared" ref="O2207:O2208" si="299">(IF(L2207&lt;4172.98,0,MIN(L2207*0.3,L2207-4172.98)))-M2207</f>
        <v>0</v>
      </c>
      <c r="S2207" s="3" t="s">
        <v>204</v>
      </c>
      <c r="V2207" s="51">
        <v>0.67986111111111114</v>
      </c>
    </row>
    <row r="2208" spans="1:25">
      <c r="A2208" s="30">
        <v>24490080</v>
      </c>
      <c r="B2208" s="31">
        <v>46280</v>
      </c>
      <c r="C2208" s="32">
        <v>0.6790046296296296</v>
      </c>
      <c r="D2208" s="33"/>
      <c r="E2208" s="34">
        <v>5216672005323</v>
      </c>
      <c r="F2208" s="33"/>
      <c r="G2208" s="33"/>
      <c r="H2208" s="35">
        <v>23866304332</v>
      </c>
      <c r="I2208" s="33"/>
      <c r="J2208" s="36"/>
      <c r="K2208" t="s">
        <v>54</v>
      </c>
      <c r="L2208" s="111">
        <v>9081.52</v>
      </c>
      <c r="M2208" s="111">
        <v>181</v>
      </c>
      <c r="N2208" s="3">
        <f t="shared" si="298"/>
        <v>2724.4560000000001</v>
      </c>
      <c r="O2208" s="3">
        <f t="shared" si="299"/>
        <v>2543.4560000000001</v>
      </c>
      <c r="S2208" s="3" t="s">
        <v>55</v>
      </c>
      <c r="T2208" s="48">
        <v>46280</v>
      </c>
      <c r="V2208" s="51">
        <v>0.67986111111111114</v>
      </c>
      <c r="W2208" s="51">
        <v>0.68194444444444446</v>
      </c>
      <c r="X2208" s="51">
        <v>0.68333333333333335</v>
      </c>
      <c r="Y2208" s="51">
        <v>0.68541666666666667</v>
      </c>
    </row>
    <row r="2209" spans="1:25" hidden="1">
      <c r="A2209" s="30">
        <v>24456100</v>
      </c>
      <c r="B2209" s="31">
        <v>46280</v>
      </c>
      <c r="C2209" s="32">
        <v>0.68317129629629625</v>
      </c>
      <c r="D2209" s="33" t="s">
        <v>2082</v>
      </c>
      <c r="E2209" s="34">
        <v>5219381363906</v>
      </c>
      <c r="F2209" s="33"/>
      <c r="G2209" s="33"/>
      <c r="H2209" s="35">
        <v>81766000665</v>
      </c>
      <c r="I2209" s="33"/>
      <c r="J2209" s="36"/>
      <c r="K2209" t="s">
        <v>30</v>
      </c>
      <c r="L2209" s="111">
        <v>8440.3700000000008</v>
      </c>
      <c r="M2209" s="111">
        <v>2441</v>
      </c>
      <c r="N2209" s="3">
        <f>L2209*0.3</f>
        <v>2532.1110000000003</v>
      </c>
      <c r="O2209" s="3">
        <f>(IF(L2209&lt;4172.98,0,MIN(L2209*0.3,L2209-4172.98)))-M2209</f>
        <v>91.111000000000331</v>
      </c>
      <c r="P2209" s="6">
        <v>46661</v>
      </c>
      <c r="Q2209" t="s">
        <v>47</v>
      </c>
      <c r="R2209" s="3">
        <v>2441</v>
      </c>
      <c r="S2209" s="53" t="s">
        <v>204</v>
      </c>
      <c r="V2209" s="51">
        <v>0.68263888888888891</v>
      </c>
    </row>
    <row r="2210" spans="1:25" hidden="1">
      <c r="A2210" s="30">
        <v>24431414</v>
      </c>
      <c r="B2210" s="31">
        <v>46280</v>
      </c>
      <c r="C2210" s="32">
        <v>0.68494212962962964</v>
      </c>
      <c r="D2210" s="33"/>
      <c r="E2210" s="34">
        <v>5215545209973</v>
      </c>
      <c r="F2210" s="33"/>
      <c r="G2210" s="33" t="s">
        <v>2083</v>
      </c>
      <c r="H2210" s="35"/>
      <c r="I2210" s="33"/>
      <c r="J2210" s="36"/>
      <c r="K2210" t="s">
        <v>51</v>
      </c>
      <c r="N2210" s="3">
        <f>L2210*0.3</f>
        <v>0</v>
      </c>
      <c r="O2210" s="3">
        <f>(IF(L2210&lt;4172.98,0,MIN(L2210*0.3,L2210-4172.98)))-M2210</f>
        <v>0</v>
      </c>
      <c r="S2210" s="3" t="s">
        <v>204</v>
      </c>
      <c r="V2210" s="51">
        <v>0.68611111111111112</v>
      </c>
    </row>
    <row r="2211" spans="1:25" hidden="1">
      <c r="A2211" s="30">
        <v>24490536</v>
      </c>
      <c r="B2211" s="31">
        <v>46280</v>
      </c>
      <c r="C2211" s="32">
        <v>0.69265046296296295</v>
      </c>
      <c r="D2211" s="33" t="s">
        <v>2084</v>
      </c>
      <c r="E2211" s="34">
        <v>5213318278053</v>
      </c>
      <c r="F2211" s="33"/>
      <c r="G2211" s="33" t="s">
        <v>2085</v>
      </c>
      <c r="H2211" s="35"/>
      <c r="I2211" s="33"/>
      <c r="J2211" s="36"/>
      <c r="K2211" t="s">
        <v>32</v>
      </c>
      <c r="N2211" s="3">
        <f>L2211*0.3</f>
        <v>0</v>
      </c>
      <c r="O2211" s="3">
        <f>(IF(L2211&lt;4172.98,0,MIN(L2211*0.3,L2211-4172.98)))-M2211</f>
        <v>0</v>
      </c>
      <c r="S2211" s="3" t="s">
        <v>204</v>
      </c>
      <c r="V2211" s="51">
        <v>0.69305555555555554</v>
      </c>
    </row>
    <row r="2212" spans="1:25">
      <c r="A2212" s="30">
        <v>24490368</v>
      </c>
      <c r="B2212" s="31">
        <v>46280</v>
      </c>
      <c r="C2212" s="32">
        <v>0.70106481481481486</v>
      </c>
      <c r="D2212" s="33" t="s">
        <v>2086</v>
      </c>
      <c r="E2212" s="34">
        <v>5216428532260</v>
      </c>
      <c r="F2212" s="33"/>
      <c r="G2212" s="33" t="s">
        <v>2087</v>
      </c>
      <c r="H2212" s="35" t="s">
        <v>2088</v>
      </c>
      <c r="I2212" s="33"/>
      <c r="J2212" s="36"/>
      <c r="K2212" t="s">
        <v>27</v>
      </c>
      <c r="L2212" s="3">
        <f>3932.35+235.29+1450</f>
        <v>5617.64</v>
      </c>
      <c r="M2212" s="3">
        <f>235.29+1450</f>
        <v>1685.29</v>
      </c>
      <c r="N2212" s="3">
        <f>L2212*0.3</f>
        <v>1685.2920000000001</v>
      </c>
      <c r="O2212" s="3">
        <f>(IF(L2212&lt;4172.98,0,MIN(L2212*0.3,L2212-4172.98)))-M2212</f>
        <v>-240.6299999999992</v>
      </c>
      <c r="P2212" s="6">
        <v>46235</v>
      </c>
      <c r="Q2212" t="s">
        <v>44</v>
      </c>
      <c r="R2212" s="3">
        <v>1450</v>
      </c>
      <c r="S2212" s="3" t="s">
        <v>2059</v>
      </c>
      <c r="T2212" s="48">
        <v>46280</v>
      </c>
      <c r="V2212" s="51">
        <v>0.70208333333333328</v>
      </c>
      <c r="W2212" s="51">
        <v>0.71111111111111114</v>
      </c>
      <c r="X2212" s="51">
        <v>0.71319444444444446</v>
      </c>
      <c r="Y2212" s="51">
        <v>0.72569444444444442</v>
      </c>
    </row>
    <row r="2213" spans="1:25">
      <c r="A2213" s="30">
        <v>24490566</v>
      </c>
      <c r="B2213" s="31">
        <v>46280</v>
      </c>
      <c r="C2213" s="32">
        <v>0.70366898148148149</v>
      </c>
      <c r="D2213" s="33"/>
      <c r="E2213" s="34">
        <v>5215541862127</v>
      </c>
      <c r="F2213" s="33"/>
      <c r="G2213" s="33"/>
      <c r="H2213" s="35" t="s">
        <v>2089</v>
      </c>
      <c r="I2213" s="33"/>
      <c r="J2213" s="36"/>
      <c r="K2213" t="s">
        <v>54</v>
      </c>
      <c r="L2213" s="3">
        <f>17114.19+5236.14</f>
        <v>22350.329999999998</v>
      </c>
      <c r="M2213" s="3">
        <v>5236.1400000000003</v>
      </c>
      <c r="N2213" s="3">
        <f>L2213*0.3</f>
        <v>6705.0989999999993</v>
      </c>
      <c r="O2213" s="3">
        <f>(IF(L2213&lt;4172.98,0,MIN(L2213*0.3,L2213-4172.98)))-M2213</f>
        <v>1468.9589999999989</v>
      </c>
      <c r="P2213" s="6">
        <v>46966</v>
      </c>
      <c r="Q2213" t="s">
        <v>75</v>
      </c>
      <c r="R2213" s="3">
        <v>5236.1400000000003</v>
      </c>
      <c r="S2213" s="3" t="s">
        <v>98</v>
      </c>
      <c r="T2213" s="48">
        <v>46280</v>
      </c>
      <c r="U2213" s="85"/>
      <c r="V2213" s="51">
        <v>0.70347222222222228</v>
      </c>
      <c r="W2213" s="51">
        <v>0.71180555555555558</v>
      </c>
      <c r="X2213" s="51">
        <v>0.71666666666666667</v>
      </c>
      <c r="Y2213" s="51">
        <v>0.72013888888888888</v>
      </c>
    </row>
    <row r="2214" spans="1:25" hidden="1">
      <c r="A2214" s="12">
        <v>24490886</v>
      </c>
      <c r="B2214" s="13">
        <v>46280</v>
      </c>
      <c r="C2214" s="14">
        <v>0.71188657407407407</v>
      </c>
      <c r="D2214" s="15"/>
      <c r="E2214" s="16">
        <v>5216131142379</v>
      </c>
      <c r="F2214" s="15"/>
      <c r="G2214" s="15" t="s">
        <v>2090</v>
      </c>
      <c r="H2214" s="17"/>
      <c r="I2214" s="15"/>
      <c r="J2214" s="18"/>
      <c r="K2214" t="s">
        <v>32</v>
      </c>
      <c r="N2214" s="3">
        <f t="shared" ref="N2214:N2242" si="300">L2214*0.3</f>
        <v>0</v>
      </c>
      <c r="O2214" s="3">
        <f t="shared" ref="O2214:O2242" si="301">(IF(L2214&lt;4172.98,0,MIN(L2214*0.3,L2214-4172.98)))-M2214</f>
        <v>0</v>
      </c>
      <c r="S2214" s="3" t="s">
        <v>204</v>
      </c>
      <c r="V2214" s="51">
        <v>0.2951388888888889</v>
      </c>
    </row>
    <row r="2215" spans="1:25" hidden="1">
      <c r="A2215" s="12">
        <v>24491144</v>
      </c>
      <c r="B2215" s="13">
        <v>46280</v>
      </c>
      <c r="C2215" s="14">
        <v>0.71836805555555561</v>
      </c>
      <c r="D2215" s="15"/>
      <c r="E2215" s="16"/>
      <c r="F2215" s="15"/>
      <c r="G2215" s="15"/>
      <c r="H2215" s="17">
        <v>42017102346</v>
      </c>
      <c r="I2215" s="15"/>
      <c r="J2215" s="18"/>
      <c r="K2215" t="s">
        <v>51</v>
      </c>
      <c r="N2215" s="3">
        <f t="shared" si="300"/>
        <v>0</v>
      </c>
      <c r="O2215" s="3">
        <f t="shared" si="301"/>
        <v>0</v>
      </c>
      <c r="S2215" s="3" t="s">
        <v>204</v>
      </c>
      <c r="V2215" s="51">
        <v>0.2951388888888889</v>
      </c>
    </row>
    <row r="2216" spans="1:25" hidden="1">
      <c r="A2216" s="12">
        <v>24491422</v>
      </c>
      <c r="B2216" s="13">
        <v>46280</v>
      </c>
      <c r="C2216" s="14">
        <v>0.73844907407407412</v>
      </c>
      <c r="D2216" s="15"/>
      <c r="E2216" s="16"/>
      <c r="F2216" s="15"/>
      <c r="G2216" s="15" t="s">
        <v>2091</v>
      </c>
      <c r="H2216" s="17" t="s">
        <v>2092</v>
      </c>
      <c r="I2216" s="15"/>
      <c r="J2216" s="18"/>
      <c r="K2216" t="s">
        <v>32</v>
      </c>
      <c r="N2216" s="3">
        <f t="shared" si="300"/>
        <v>0</v>
      </c>
      <c r="O2216" s="3">
        <f t="shared" si="301"/>
        <v>0</v>
      </c>
      <c r="S2216" s="3" t="s">
        <v>204</v>
      </c>
      <c r="V2216" s="51">
        <v>0.2951388888888889</v>
      </c>
    </row>
    <row r="2217" spans="1:25" hidden="1">
      <c r="A2217" s="12">
        <v>24491590</v>
      </c>
      <c r="B2217" s="13">
        <v>46280</v>
      </c>
      <c r="C2217" s="14">
        <v>0.74349537037037039</v>
      </c>
      <c r="D2217" s="15"/>
      <c r="E2217" s="16">
        <v>5218112401542</v>
      </c>
      <c r="F2217" s="15"/>
      <c r="G2217" s="15"/>
      <c r="H2217" s="17">
        <v>43785404815</v>
      </c>
      <c r="I2217" s="15"/>
      <c r="J2217" s="18"/>
      <c r="K2217" t="s">
        <v>30</v>
      </c>
      <c r="L2217" s="3">
        <f>11044.67+1872.16+2624.22</f>
        <v>15541.05</v>
      </c>
      <c r="M2217" s="3">
        <f>1872.16+2624.22</f>
        <v>4496.38</v>
      </c>
      <c r="N2217" s="3">
        <f t="shared" si="300"/>
        <v>4662.3149999999996</v>
      </c>
      <c r="O2217" s="3">
        <f t="shared" si="301"/>
        <v>165.93499999999949</v>
      </c>
      <c r="P2217" s="6">
        <v>46661</v>
      </c>
      <c r="Q2217" t="s">
        <v>77</v>
      </c>
      <c r="R2217" s="3">
        <v>2624.22</v>
      </c>
      <c r="S2217" s="3" t="s">
        <v>204</v>
      </c>
      <c r="V2217" s="51">
        <v>0.2951388888888889</v>
      </c>
    </row>
    <row r="2218" spans="1:25">
      <c r="A2218" s="12">
        <v>24491788</v>
      </c>
      <c r="B2218" s="13">
        <v>46280</v>
      </c>
      <c r="C2218" s="14">
        <v>0.75280092592592596</v>
      </c>
      <c r="D2218" s="15"/>
      <c r="E2218" s="16">
        <v>5216311829947</v>
      </c>
      <c r="F2218" s="15"/>
      <c r="G2218" s="15"/>
      <c r="H2218" s="17">
        <v>24836634295</v>
      </c>
      <c r="I2218" s="15"/>
      <c r="J2218" s="18"/>
      <c r="K2218" t="s">
        <v>54</v>
      </c>
      <c r="L2218" s="3">
        <f>10150.02+879</f>
        <v>11029.02</v>
      </c>
      <c r="M2218" s="3">
        <v>879</v>
      </c>
      <c r="N2218" s="3">
        <f t="shared" si="300"/>
        <v>3308.7060000000001</v>
      </c>
      <c r="O2218" s="3">
        <f t="shared" si="301"/>
        <v>2429.7060000000001</v>
      </c>
      <c r="S2218" s="3" t="s">
        <v>327</v>
      </c>
      <c r="T2218" s="48">
        <v>46282</v>
      </c>
      <c r="V2218" s="51">
        <v>0.2951388888888889</v>
      </c>
      <c r="W2218" s="51">
        <v>0.37083333333333335</v>
      </c>
      <c r="X2218" s="51">
        <v>0.37847222222222221</v>
      </c>
      <c r="Y2218" s="51">
        <v>0.39930555555555558</v>
      </c>
    </row>
    <row r="2219" spans="1:25" hidden="1">
      <c r="A2219" s="12">
        <v>24492068</v>
      </c>
      <c r="B2219" s="13">
        <v>46280</v>
      </c>
      <c r="C2219" s="14">
        <v>0.75928240740740738</v>
      </c>
      <c r="D2219" s="15"/>
      <c r="E2219" s="16">
        <v>5219519432666</v>
      </c>
      <c r="F2219" s="15"/>
      <c r="G2219" s="15" t="s">
        <v>2093</v>
      </c>
      <c r="H2219" s="17"/>
      <c r="I2219" s="15"/>
      <c r="J2219" s="18"/>
      <c r="K2219" t="s">
        <v>32</v>
      </c>
      <c r="N2219" s="3">
        <f t="shared" si="300"/>
        <v>0</v>
      </c>
      <c r="O2219" s="3">
        <f t="shared" si="301"/>
        <v>0</v>
      </c>
      <c r="S2219" s="3" t="s">
        <v>204</v>
      </c>
      <c r="V2219" s="51">
        <v>0.2951388888888889</v>
      </c>
    </row>
    <row r="2220" spans="1:25">
      <c r="A2220" s="12">
        <v>24492134</v>
      </c>
      <c r="B2220" s="13">
        <v>46280</v>
      </c>
      <c r="C2220" s="14">
        <v>0.7653240740740741</v>
      </c>
      <c r="D2220" s="15"/>
      <c r="E2220" s="16">
        <v>5216971142704</v>
      </c>
      <c r="F2220" s="15"/>
      <c r="G2220" s="15"/>
      <c r="H2220" s="17">
        <v>23897062644</v>
      </c>
      <c r="I2220" s="15"/>
      <c r="J2220" s="18"/>
      <c r="K2220" t="s">
        <v>107</v>
      </c>
      <c r="L2220" s="111">
        <v>4690.01</v>
      </c>
      <c r="M2220" s="111">
        <v>455.15</v>
      </c>
      <c r="N2220" s="3">
        <f t="shared" si="300"/>
        <v>1407.0029999999999</v>
      </c>
      <c r="O2220" s="3">
        <f t="shared" si="301"/>
        <v>61.880000000000678</v>
      </c>
      <c r="P2220" s="6">
        <v>45778</v>
      </c>
      <c r="Q2220" t="s">
        <v>80</v>
      </c>
      <c r="R2220" s="111">
        <v>455.15</v>
      </c>
      <c r="S2220" s="3" t="s">
        <v>39</v>
      </c>
      <c r="T2220" s="48">
        <v>46282</v>
      </c>
      <c r="V2220" s="51">
        <v>0.2951388888888889</v>
      </c>
      <c r="W2220" s="51">
        <v>0.42083333333333334</v>
      </c>
      <c r="X2220" s="51">
        <v>0.44027777777777777</v>
      </c>
      <c r="Y2220" s="51">
        <v>0.44305555555555554</v>
      </c>
    </row>
    <row r="2221" spans="1:25">
      <c r="A2221" s="12">
        <v>24492032</v>
      </c>
      <c r="B2221" s="13">
        <v>46280</v>
      </c>
      <c r="C2221" s="14">
        <v>0.77171296296296299</v>
      </c>
      <c r="D2221" s="15"/>
      <c r="E2221" s="16">
        <v>5216692483722</v>
      </c>
      <c r="F2221" s="15"/>
      <c r="G2221" s="15"/>
      <c r="H2221" s="17">
        <v>23815816329</v>
      </c>
      <c r="I2221" s="15"/>
      <c r="J2221" s="18"/>
      <c r="K2221" t="s">
        <v>34</v>
      </c>
      <c r="L2221" s="111">
        <v>6521.54</v>
      </c>
      <c r="M2221" s="111">
        <v>1884.71</v>
      </c>
      <c r="N2221" s="3">
        <f t="shared" si="300"/>
        <v>1956.462</v>
      </c>
      <c r="O2221" s="3">
        <f t="shared" si="301"/>
        <v>71.751999999999953</v>
      </c>
      <c r="P2221" s="6">
        <v>45536</v>
      </c>
      <c r="Q2221" t="s">
        <v>57</v>
      </c>
      <c r="R2221" s="3">
        <v>406.67</v>
      </c>
      <c r="S2221" s="3" t="s">
        <v>35</v>
      </c>
      <c r="T2221" s="48">
        <v>46282</v>
      </c>
      <c r="V2221" s="51">
        <v>0.2951388888888889</v>
      </c>
      <c r="W2221" s="51">
        <v>0.42291666666666666</v>
      </c>
      <c r="X2221" s="51">
        <v>0.44305555555555554</v>
      </c>
      <c r="Y2221" s="51">
        <v>0.4465277777777778</v>
      </c>
    </row>
    <row r="2222" spans="1:25" hidden="1">
      <c r="A2222" s="12">
        <v>24493196</v>
      </c>
      <c r="B2222" s="13">
        <v>46280</v>
      </c>
      <c r="C2222" s="14">
        <v>0.81395833333333334</v>
      </c>
      <c r="D2222" s="15"/>
      <c r="E2222" s="16">
        <v>5215549586859</v>
      </c>
      <c r="F2222" s="15"/>
      <c r="G2222" s="15" t="s">
        <v>2094</v>
      </c>
      <c r="H2222" s="17"/>
      <c r="I2222" s="15"/>
      <c r="J2222" s="18"/>
      <c r="K2222" t="s">
        <v>51</v>
      </c>
      <c r="N2222" s="3">
        <f t="shared" si="300"/>
        <v>0</v>
      </c>
      <c r="O2222" s="3">
        <f t="shared" si="301"/>
        <v>0</v>
      </c>
      <c r="S2222" s="3" t="s">
        <v>204</v>
      </c>
      <c r="V2222" s="51">
        <v>0.2951388888888889</v>
      </c>
    </row>
    <row r="2223" spans="1:25" hidden="1">
      <c r="A2223" s="12">
        <v>24493308</v>
      </c>
      <c r="B2223" s="13">
        <v>46280</v>
      </c>
      <c r="C2223" s="14">
        <v>0.8223611111111111</v>
      </c>
      <c r="D2223" s="15" t="s">
        <v>2095</v>
      </c>
      <c r="E2223" s="16">
        <v>5216331347855</v>
      </c>
      <c r="F2223" s="15"/>
      <c r="G2223" s="15" t="s">
        <v>2096</v>
      </c>
      <c r="H2223" s="17">
        <v>24974800054</v>
      </c>
      <c r="I2223" s="15"/>
      <c r="J2223" s="18"/>
      <c r="K2223" t="s">
        <v>30</v>
      </c>
      <c r="L2223" s="111">
        <v>5198.96</v>
      </c>
      <c r="M2223" s="111">
        <v>1390.39</v>
      </c>
      <c r="N2223" s="3">
        <f t="shared" si="300"/>
        <v>1559.6879999999999</v>
      </c>
      <c r="O2223" s="3">
        <f t="shared" si="301"/>
        <v>-364.40999999999963</v>
      </c>
      <c r="P2223" s="6">
        <v>46692</v>
      </c>
      <c r="Q2223" t="s">
        <v>47</v>
      </c>
      <c r="R2223" s="3">
        <v>837.05</v>
      </c>
      <c r="S2223" s="3" t="s">
        <v>204</v>
      </c>
      <c r="V2223" s="51">
        <v>0.2951388888888889</v>
      </c>
    </row>
    <row r="2224" spans="1:25" hidden="1">
      <c r="A2224" s="12">
        <v>24493474</v>
      </c>
      <c r="B2224" s="13">
        <v>46280</v>
      </c>
      <c r="C2224" s="14">
        <v>0.82920138888888884</v>
      </c>
      <c r="D2224" s="15"/>
      <c r="E2224" s="16">
        <v>5218332840778</v>
      </c>
      <c r="F2224" s="15"/>
      <c r="G2224" s="15" t="s">
        <v>2097</v>
      </c>
      <c r="H2224" s="17"/>
      <c r="I2224" s="15"/>
      <c r="J2224" s="18"/>
      <c r="K2224" t="s">
        <v>58</v>
      </c>
      <c r="L2224" s="3">
        <v>2709.51</v>
      </c>
      <c r="N2224" s="3">
        <f t="shared" si="300"/>
        <v>812.85300000000007</v>
      </c>
      <c r="O2224" s="3">
        <f t="shared" si="301"/>
        <v>0</v>
      </c>
      <c r="S2224" s="3" t="s">
        <v>204</v>
      </c>
      <c r="V2224" s="51">
        <v>0.2951388888888889</v>
      </c>
    </row>
    <row r="2225" spans="1:25" hidden="1">
      <c r="A2225" s="12">
        <v>24494964</v>
      </c>
      <c r="B2225" s="13">
        <v>46280</v>
      </c>
      <c r="C2225" s="14">
        <v>0.91658564814814814</v>
      </c>
      <c r="D2225" s="15"/>
      <c r="E2225" s="16">
        <v>5215533792571</v>
      </c>
      <c r="F2225" s="15"/>
      <c r="G2225" s="15"/>
      <c r="H2225" s="17">
        <v>42897039048</v>
      </c>
      <c r="I2225" s="15"/>
      <c r="J2225" s="18"/>
      <c r="K2225" t="s">
        <v>32</v>
      </c>
      <c r="N2225" s="3">
        <f t="shared" si="300"/>
        <v>0</v>
      </c>
      <c r="O2225" s="3">
        <f t="shared" si="301"/>
        <v>0</v>
      </c>
      <c r="S2225" s="3" t="s">
        <v>204</v>
      </c>
      <c r="V2225" s="51">
        <v>0.2951388888888889</v>
      </c>
    </row>
    <row r="2226" spans="1:25" hidden="1">
      <c r="A2226" s="12">
        <v>24496530</v>
      </c>
      <c r="B2226" s="13">
        <v>46281</v>
      </c>
      <c r="C2226" s="14">
        <v>2.1006944444444446E-2</v>
      </c>
      <c r="D2226" s="15"/>
      <c r="E2226" s="16">
        <v>5216692481394</v>
      </c>
      <c r="F2226" s="15"/>
      <c r="G2226" s="15" t="s">
        <v>2098</v>
      </c>
      <c r="H2226" s="17">
        <v>22796004509</v>
      </c>
      <c r="I2226" s="15"/>
      <c r="J2226" s="18"/>
      <c r="K2226" t="s">
        <v>30</v>
      </c>
      <c r="L2226" s="3">
        <v>8784.2900000000009</v>
      </c>
      <c r="M2226" s="3">
        <v>2529.9699999999998</v>
      </c>
      <c r="N2226" s="3">
        <f t="shared" si="300"/>
        <v>2635.2870000000003</v>
      </c>
      <c r="O2226" s="3">
        <f t="shared" si="301"/>
        <v>105.31700000000046</v>
      </c>
      <c r="P2226" s="6">
        <v>46722</v>
      </c>
      <c r="Q2226" t="s">
        <v>47</v>
      </c>
      <c r="R2226" s="3">
        <v>2529.9699999999998</v>
      </c>
      <c r="S2226" s="3" t="s">
        <v>204</v>
      </c>
      <c r="V2226" s="51">
        <v>0.2951388888888889</v>
      </c>
    </row>
    <row r="2227" spans="1:25" hidden="1">
      <c r="A2227" s="12">
        <v>24496792</v>
      </c>
      <c r="B2227" s="13">
        <v>46281</v>
      </c>
      <c r="C2227" s="14">
        <v>7.7106481481481484E-2</v>
      </c>
      <c r="D2227" s="15"/>
      <c r="E2227" s="16">
        <v>5217752754528</v>
      </c>
      <c r="F2227" s="15"/>
      <c r="G2227" s="15" t="s">
        <v>2099</v>
      </c>
      <c r="H2227" s="17"/>
      <c r="I2227" s="15"/>
      <c r="J2227" s="18"/>
      <c r="K2227" t="s">
        <v>32</v>
      </c>
      <c r="N2227" s="3">
        <f t="shared" si="300"/>
        <v>0</v>
      </c>
      <c r="O2227" s="3">
        <f t="shared" si="301"/>
        <v>0</v>
      </c>
      <c r="S2227" s="3" t="s">
        <v>204</v>
      </c>
      <c r="V2227" s="51">
        <v>0.2951388888888889</v>
      </c>
    </row>
    <row r="2228" spans="1:25">
      <c r="A2228" s="12">
        <v>24496870</v>
      </c>
      <c r="B2228" s="13">
        <v>46281</v>
      </c>
      <c r="C2228" s="14">
        <v>9.9108796296296292E-2</v>
      </c>
      <c r="D2228" s="15"/>
      <c r="E2228" s="16">
        <v>5216871605658</v>
      </c>
      <c r="F2228" s="15"/>
      <c r="G2228" s="15" t="s">
        <v>2100</v>
      </c>
      <c r="H2228" s="17"/>
      <c r="I2228" s="15"/>
      <c r="J2228" s="18"/>
      <c r="K2228" t="s">
        <v>27</v>
      </c>
      <c r="L2228" s="111">
        <v>9081.52</v>
      </c>
      <c r="M2228" s="111">
        <v>2521.06</v>
      </c>
      <c r="N2228" s="3">
        <f t="shared" si="300"/>
        <v>2724.4560000000001</v>
      </c>
      <c r="O2228" s="3">
        <f t="shared" si="301"/>
        <v>203.39600000000019</v>
      </c>
      <c r="P2228" s="6">
        <v>46235</v>
      </c>
      <c r="Q2228" t="s">
        <v>44</v>
      </c>
      <c r="R2228" s="3">
        <v>2521.06</v>
      </c>
      <c r="S2228" s="3" t="s">
        <v>2059</v>
      </c>
      <c r="T2228" s="48">
        <v>46282</v>
      </c>
      <c r="V2228" s="51">
        <v>0.2951388888888889</v>
      </c>
      <c r="W2228" s="51">
        <v>0.42916666666666664</v>
      </c>
      <c r="X2228" s="51">
        <v>0.44444444444444442</v>
      </c>
      <c r="Y2228" s="51">
        <v>0.49444444444444446</v>
      </c>
    </row>
    <row r="2229" spans="1:25" hidden="1">
      <c r="A2229" s="12">
        <v>24499514</v>
      </c>
      <c r="B2229" s="13">
        <v>46281</v>
      </c>
      <c r="C2229" s="14">
        <v>0.26892361111111113</v>
      </c>
      <c r="D2229" s="15"/>
      <c r="E2229" s="16">
        <v>5218123398973</v>
      </c>
      <c r="F2229" s="15"/>
      <c r="G2229" s="15"/>
      <c r="H2229" s="17">
        <v>43735743916</v>
      </c>
      <c r="I2229" s="15"/>
      <c r="J2229" s="18"/>
      <c r="K2229" t="s">
        <v>189</v>
      </c>
      <c r="N2229" s="3">
        <f t="shared" si="300"/>
        <v>0</v>
      </c>
      <c r="O2229" s="3">
        <f t="shared" si="301"/>
        <v>0</v>
      </c>
      <c r="S2229" s="3" t="s">
        <v>204</v>
      </c>
      <c r="V2229" s="51">
        <v>0.2951388888888889</v>
      </c>
    </row>
    <row r="2230" spans="1:25" hidden="1">
      <c r="A2230" s="12">
        <v>24501364</v>
      </c>
      <c r="B2230" s="13">
        <v>46281</v>
      </c>
      <c r="C2230" s="14">
        <v>0.30957175925925928</v>
      </c>
      <c r="D2230" s="15"/>
      <c r="E2230" s="16">
        <v>5215645340405</v>
      </c>
      <c r="F2230" s="15"/>
      <c r="G2230" s="15" t="s">
        <v>2101</v>
      </c>
      <c r="H2230" s="17"/>
      <c r="I2230" s="15"/>
      <c r="J2230" s="18"/>
      <c r="K2230" t="s">
        <v>32</v>
      </c>
      <c r="N2230" s="3">
        <f t="shared" si="300"/>
        <v>0</v>
      </c>
      <c r="O2230" s="3">
        <f t="shared" si="301"/>
        <v>0</v>
      </c>
      <c r="S2230" s="3" t="s">
        <v>204</v>
      </c>
      <c r="V2230" s="51">
        <v>0.2951388888888889</v>
      </c>
    </row>
    <row r="2231" spans="1:25">
      <c r="A2231" s="12">
        <v>24501856</v>
      </c>
      <c r="B2231" s="13">
        <v>46281</v>
      </c>
      <c r="C2231" s="14">
        <v>0.32577546296296295</v>
      </c>
      <c r="D2231" s="15" t="s">
        <v>2102</v>
      </c>
      <c r="E2231" s="16">
        <v>5214741139805</v>
      </c>
      <c r="F2231" s="15"/>
      <c r="G2231" s="15" t="s">
        <v>2103</v>
      </c>
      <c r="H2231" s="17">
        <v>41695316038</v>
      </c>
      <c r="I2231" s="15"/>
      <c r="J2231" s="18"/>
      <c r="K2231" t="s">
        <v>107</v>
      </c>
      <c r="L2231" s="111">
        <v>11578.52</v>
      </c>
      <c r="M2231" s="111">
        <v>3349.94</v>
      </c>
      <c r="N2231" s="3">
        <f t="shared" si="300"/>
        <v>3473.556</v>
      </c>
      <c r="O2231" s="3">
        <f t="shared" si="301"/>
        <v>123.61599999999999</v>
      </c>
      <c r="P2231" s="6">
        <v>46023</v>
      </c>
      <c r="Q2231" t="s">
        <v>2104</v>
      </c>
      <c r="R2231" s="3">
        <f>886.34+220.99</f>
        <v>1107.33</v>
      </c>
      <c r="S2231" s="3" t="s">
        <v>39</v>
      </c>
      <c r="T2231" s="48">
        <v>46282</v>
      </c>
      <c r="V2231" s="51">
        <v>0.2951388888888889</v>
      </c>
      <c r="W2231" s="51">
        <v>0.43888888888888888</v>
      </c>
      <c r="X2231" s="51">
        <v>0.44166666666666665</v>
      </c>
      <c r="Y2231" s="51">
        <v>0.44305555555555554</v>
      </c>
    </row>
    <row r="2232" spans="1:25" hidden="1">
      <c r="A2232" s="12">
        <v>24502046</v>
      </c>
      <c r="B2232" s="13">
        <v>46281</v>
      </c>
      <c r="C2232" s="14">
        <v>0.33424768518518516</v>
      </c>
      <c r="D2232" s="15"/>
      <c r="E2232" s="16">
        <v>5212283043848</v>
      </c>
      <c r="F2232" s="15"/>
      <c r="G2232" s="15"/>
      <c r="H2232" s="17">
        <v>65735320304</v>
      </c>
      <c r="I2232" s="15"/>
      <c r="J2232" s="18"/>
      <c r="K2232" t="s">
        <v>51</v>
      </c>
      <c r="N2232" s="3">
        <f t="shared" si="300"/>
        <v>0</v>
      </c>
      <c r="O2232" s="3">
        <f t="shared" si="301"/>
        <v>0</v>
      </c>
      <c r="S2232" s="3" t="s">
        <v>204</v>
      </c>
      <c r="V2232" s="51">
        <v>0.2951388888888889</v>
      </c>
    </row>
    <row r="2233" spans="1:25" hidden="1">
      <c r="A2233" s="12">
        <v>24503340</v>
      </c>
      <c r="B2233" s="13">
        <v>46281</v>
      </c>
      <c r="C2233" s="14">
        <v>0.35719907407407409</v>
      </c>
      <c r="D2233" s="15"/>
      <c r="E2233" s="16">
        <v>5219982393793</v>
      </c>
      <c r="F2233" s="15"/>
      <c r="G2233" s="15" t="s">
        <v>2105</v>
      </c>
      <c r="H2233" s="17"/>
      <c r="I2233" s="15"/>
      <c r="J2233" s="18"/>
      <c r="K2233" t="s">
        <v>30</v>
      </c>
      <c r="L2233" s="111">
        <v>13586.5</v>
      </c>
      <c r="M2233" s="111">
        <v>3978.83</v>
      </c>
      <c r="N2233" s="3">
        <f t="shared" si="300"/>
        <v>4075.95</v>
      </c>
      <c r="O2233" s="3">
        <f t="shared" si="301"/>
        <v>97.119999999999891</v>
      </c>
      <c r="P2233" s="6">
        <v>46661</v>
      </c>
      <c r="Q2233" t="s">
        <v>75</v>
      </c>
      <c r="R2233" s="3">
        <v>2166.39</v>
      </c>
      <c r="S2233" s="3" t="s">
        <v>204</v>
      </c>
      <c r="V2233" s="51">
        <v>0.2951388888888889</v>
      </c>
    </row>
    <row r="2234" spans="1:25" hidden="1">
      <c r="A2234" s="12">
        <v>24503572</v>
      </c>
      <c r="B2234" s="13">
        <v>46281</v>
      </c>
      <c r="C2234" s="14">
        <v>0.36357638888888888</v>
      </c>
      <c r="D2234" s="15"/>
      <c r="E2234" s="16">
        <v>5219811921355</v>
      </c>
      <c r="F2234" s="15"/>
      <c r="G2234" s="15" t="s">
        <v>2106</v>
      </c>
      <c r="H2234" s="17"/>
      <c r="I2234" s="15"/>
      <c r="J2234" s="18"/>
      <c r="K2234" t="s">
        <v>32</v>
      </c>
      <c r="N2234" s="3">
        <f t="shared" si="300"/>
        <v>0</v>
      </c>
      <c r="O2234" s="3">
        <f t="shared" si="301"/>
        <v>0</v>
      </c>
      <c r="S2234" s="3" t="s">
        <v>204</v>
      </c>
      <c r="V2234" s="51">
        <v>0.2951388888888889</v>
      </c>
    </row>
    <row r="2235" spans="1:25" hidden="1">
      <c r="A2235" s="12">
        <v>24505282</v>
      </c>
      <c r="B2235" s="13">
        <v>46281</v>
      </c>
      <c r="C2235" s="14">
        <v>0.40359953703703705</v>
      </c>
      <c r="D2235" s="15"/>
      <c r="E2235" s="16">
        <v>5218715120570</v>
      </c>
      <c r="F2235" s="15"/>
      <c r="G2235" s="15"/>
      <c r="H2235" s="17">
        <v>31917518321</v>
      </c>
      <c r="I2235" s="15"/>
      <c r="J2235" s="18"/>
      <c r="K2235" t="s">
        <v>58</v>
      </c>
      <c r="L2235" s="3">
        <v>2111.52</v>
      </c>
      <c r="N2235" s="3">
        <f t="shared" si="300"/>
        <v>633.45600000000002</v>
      </c>
      <c r="O2235" s="3">
        <f t="shared" si="301"/>
        <v>0</v>
      </c>
      <c r="S2235" s="3" t="s">
        <v>204</v>
      </c>
      <c r="V2235" s="51">
        <v>0.2951388888888889</v>
      </c>
    </row>
    <row r="2236" spans="1:25" hidden="1">
      <c r="A2236" s="12">
        <v>24507074</v>
      </c>
      <c r="B2236" s="13">
        <v>46281</v>
      </c>
      <c r="C2236" s="14">
        <v>0.45027777777777778</v>
      </c>
      <c r="D2236" s="15"/>
      <c r="E2236" s="16">
        <v>5216181893336</v>
      </c>
      <c r="F2236" s="15"/>
      <c r="G2236" s="15"/>
      <c r="H2236" s="17">
        <v>31806214933</v>
      </c>
      <c r="I2236" s="15"/>
      <c r="J2236" s="18"/>
      <c r="K2236" t="s">
        <v>30</v>
      </c>
      <c r="L2236" s="111">
        <v>7920.53</v>
      </c>
      <c r="M2236" s="111">
        <v>2372.15</v>
      </c>
      <c r="N2236" s="3">
        <f t="shared" si="300"/>
        <v>2376.1589999999997</v>
      </c>
      <c r="O2236" s="3">
        <f t="shared" si="301"/>
        <v>4.0089999999995598</v>
      </c>
      <c r="P2236" s="6">
        <v>46905</v>
      </c>
      <c r="Q2236" t="s">
        <v>57</v>
      </c>
      <c r="R2236" s="111">
        <v>2372.15</v>
      </c>
      <c r="S2236" s="3" t="s">
        <v>204</v>
      </c>
      <c r="V2236" s="51">
        <v>0.2951388888888889</v>
      </c>
    </row>
    <row r="2237" spans="1:25" hidden="1">
      <c r="A2237" s="12">
        <v>24507630</v>
      </c>
      <c r="B2237" s="13">
        <v>46281</v>
      </c>
      <c r="C2237" s="14">
        <v>0.46303240740740742</v>
      </c>
      <c r="D2237" s="15"/>
      <c r="E2237" s="16">
        <v>5219931281598</v>
      </c>
      <c r="F2237" s="15"/>
      <c r="G2237" s="15"/>
      <c r="H2237" s="199">
        <v>83725402145</v>
      </c>
      <c r="I2237" s="15"/>
      <c r="J2237" s="18"/>
      <c r="K2237" t="s">
        <v>58</v>
      </c>
      <c r="L2237" s="3">
        <v>3115.13</v>
      </c>
      <c r="N2237" s="3">
        <f t="shared" si="300"/>
        <v>934.53899999999999</v>
      </c>
      <c r="O2237" s="3">
        <f t="shared" si="301"/>
        <v>0</v>
      </c>
      <c r="S2237" s="3" t="s">
        <v>204</v>
      </c>
      <c r="V2237" s="51">
        <v>0.2951388888888889</v>
      </c>
    </row>
    <row r="2238" spans="1:25" hidden="1">
      <c r="A2238" s="12">
        <v>24508630</v>
      </c>
      <c r="B2238" s="13">
        <v>46281</v>
      </c>
      <c r="C2238" s="14">
        <v>0.48787037037037034</v>
      </c>
      <c r="D2238" s="15"/>
      <c r="E2238" s="16">
        <v>5218334136061</v>
      </c>
      <c r="F2238" s="15"/>
      <c r="G2238" s="15"/>
      <c r="H2238" s="17">
        <v>49705310693</v>
      </c>
      <c r="I2238" s="15"/>
      <c r="J2238" s="18"/>
      <c r="K2238" t="s">
        <v>51</v>
      </c>
      <c r="N2238" s="3">
        <f t="shared" si="300"/>
        <v>0</v>
      </c>
      <c r="O2238" s="3">
        <f t="shared" si="301"/>
        <v>0</v>
      </c>
      <c r="S2238" s="3" t="s">
        <v>204</v>
      </c>
      <c r="V2238" s="51">
        <v>0.2951388888888889</v>
      </c>
    </row>
    <row r="2239" spans="1:25">
      <c r="A2239" s="12">
        <v>24507406</v>
      </c>
      <c r="B2239" s="13">
        <v>46281</v>
      </c>
      <c r="C2239" s="14">
        <v>0.49358796296296298</v>
      </c>
      <c r="D2239" s="15"/>
      <c r="E2239" s="16"/>
      <c r="F2239" s="15"/>
      <c r="G2239" s="15"/>
      <c r="H2239" s="17">
        <v>23947775203</v>
      </c>
      <c r="I2239" s="15"/>
      <c r="J2239" s="18"/>
      <c r="K2239" t="s">
        <v>38</v>
      </c>
      <c r="L2239" s="3">
        <v>4813.3500000000004</v>
      </c>
      <c r="N2239" s="3">
        <f t="shared" si="300"/>
        <v>1444.0050000000001</v>
      </c>
      <c r="O2239" s="3">
        <f t="shared" si="301"/>
        <v>640.3700000000008</v>
      </c>
      <c r="S2239" s="3" t="s">
        <v>39</v>
      </c>
      <c r="T2239" s="48">
        <v>46282</v>
      </c>
      <c r="V2239" s="51">
        <v>0.2951388888888889</v>
      </c>
      <c r="W2239" s="51">
        <v>0.4861111111111111</v>
      </c>
      <c r="X2239" s="51">
        <v>0.49236111111111114</v>
      </c>
      <c r="Y2239" s="51">
        <v>0.49305555555555558</v>
      </c>
    </row>
    <row r="2240" spans="1:25">
      <c r="A2240" s="12">
        <v>24508908</v>
      </c>
      <c r="B2240" s="13">
        <v>46281</v>
      </c>
      <c r="C2240" s="14">
        <v>0.49380787037037038</v>
      </c>
      <c r="D2240" s="15"/>
      <c r="E2240" s="16">
        <v>5216567733326</v>
      </c>
      <c r="F2240" s="15"/>
      <c r="G2240" s="15"/>
      <c r="H2240" s="17">
        <v>43766023980</v>
      </c>
      <c r="I2240" s="15"/>
      <c r="J2240" s="18"/>
      <c r="K2240" t="s">
        <v>27</v>
      </c>
      <c r="L2240" s="111">
        <v>7116.73</v>
      </c>
      <c r="M2240" s="111">
        <v>1748.45</v>
      </c>
      <c r="N2240" s="3">
        <f t="shared" si="300"/>
        <v>2135.0189999999998</v>
      </c>
      <c r="O2240" s="3">
        <f t="shared" si="301"/>
        <v>386.56899999999973</v>
      </c>
      <c r="P2240" s="6">
        <v>45474</v>
      </c>
      <c r="Q2240" t="s">
        <v>44</v>
      </c>
      <c r="R2240" s="111">
        <v>1748.45</v>
      </c>
      <c r="S2240" s="3" t="s">
        <v>98</v>
      </c>
      <c r="T2240" s="48">
        <v>46282</v>
      </c>
      <c r="V2240" s="51">
        <v>0.2951388888888889</v>
      </c>
      <c r="W2240" s="51">
        <v>0.43333333333333335</v>
      </c>
      <c r="X2240" s="51">
        <v>0.44583333333333336</v>
      </c>
      <c r="Y2240" s="51">
        <v>0.45277777777777778</v>
      </c>
    </row>
    <row r="2241" spans="1:25" hidden="1">
      <c r="A2241" s="12">
        <v>24509810</v>
      </c>
      <c r="B2241" s="13">
        <v>46281</v>
      </c>
      <c r="C2241" s="14">
        <v>0.51570601851851849</v>
      </c>
      <c r="D2241" s="15"/>
      <c r="E2241" s="16">
        <v>5214622459331</v>
      </c>
      <c r="F2241" s="15"/>
      <c r="G2241" s="15"/>
      <c r="H2241" s="17">
        <v>12846400666</v>
      </c>
      <c r="I2241" s="15"/>
      <c r="J2241" s="18"/>
      <c r="K2241" t="s">
        <v>30</v>
      </c>
      <c r="L2241" s="111">
        <v>9760.32</v>
      </c>
      <c r="M2241" s="111">
        <v>2822.12</v>
      </c>
      <c r="N2241" s="3">
        <f t="shared" si="300"/>
        <v>2928.096</v>
      </c>
      <c r="O2241" s="3">
        <f t="shared" si="301"/>
        <v>105.97600000000011</v>
      </c>
      <c r="P2241" s="6">
        <v>46600</v>
      </c>
      <c r="Q2241" t="s">
        <v>47</v>
      </c>
      <c r="R2241" s="111">
        <v>2822.12</v>
      </c>
      <c r="S2241" s="3" t="s">
        <v>204</v>
      </c>
      <c r="V2241" s="51">
        <v>0.2951388888888889</v>
      </c>
    </row>
    <row r="2242" spans="1:25" hidden="1">
      <c r="A2242" s="12">
        <v>24510036</v>
      </c>
      <c r="B2242" s="13">
        <v>46281</v>
      </c>
      <c r="C2242" s="14">
        <v>0.52170138888888884</v>
      </c>
      <c r="D2242" s="15"/>
      <c r="E2242" s="16">
        <v>5216421134565</v>
      </c>
      <c r="F2242" s="15"/>
      <c r="G2242" s="15"/>
      <c r="H2242" s="17">
        <v>24782700124</v>
      </c>
      <c r="I2242" s="15"/>
      <c r="J2242" s="18"/>
      <c r="K2242" t="s">
        <v>58</v>
      </c>
      <c r="L2242" s="3">
        <v>3623.38</v>
      </c>
      <c r="N2242" s="3">
        <f t="shared" si="300"/>
        <v>1087.0139999999999</v>
      </c>
      <c r="O2242" s="3">
        <f t="shared" si="301"/>
        <v>0</v>
      </c>
      <c r="S2242" s="3" t="s">
        <v>204</v>
      </c>
      <c r="V2242" s="51">
        <v>0.2951388888888889</v>
      </c>
    </row>
    <row r="2243" spans="1:25" hidden="1">
      <c r="A2243" s="12">
        <v>24509892</v>
      </c>
      <c r="B2243" s="13">
        <v>46281</v>
      </c>
      <c r="C2243" s="14">
        <v>0.52252314814814815</v>
      </c>
      <c r="D2243" s="15" t="s">
        <v>2107</v>
      </c>
      <c r="E2243" s="16">
        <v>5216531200047</v>
      </c>
      <c r="F2243" s="15"/>
      <c r="G2243" s="15"/>
      <c r="H2243" s="17">
        <v>24755709235</v>
      </c>
      <c r="I2243" s="15"/>
      <c r="J2243" s="18"/>
      <c r="K2243" t="s">
        <v>30</v>
      </c>
      <c r="L2243" s="111">
        <v>5055.88</v>
      </c>
      <c r="M2243" s="111">
        <v>668.76</v>
      </c>
      <c r="N2243" s="3">
        <f t="shared" ref="N2243:N2274" si="302">L2243*0.3</f>
        <v>1516.7639999999999</v>
      </c>
      <c r="O2243" s="3">
        <f t="shared" ref="O2243:O2274" si="303">(IF(L2243&lt;4172.98,0,MIN(L2243*0.3,L2243-4172.98)))-M2243</f>
        <v>214.14000000000055</v>
      </c>
      <c r="P2243" s="6">
        <v>46784</v>
      </c>
      <c r="Q2243" t="s">
        <v>206</v>
      </c>
      <c r="R2243" s="111">
        <v>668.76</v>
      </c>
      <c r="S2243" s="3" t="s">
        <v>204</v>
      </c>
      <c r="V2243" s="51">
        <v>0.2951388888888889</v>
      </c>
    </row>
    <row r="2244" spans="1:25" hidden="1">
      <c r="A2244" s="12">
        <v>24509860</v>
      </c>
      <c r="B2244" s="13">
        <v>46281</v>
      </c>
      <c r="C2244" s="14">
        <v>0.52339120370370373</v>
      </c>
      <c r="D2244" s="15" t="s">
        <v>2108</v>
      </c>
      <c r="E2244" s="16">
        <v>5219983065628</v>
      </c>
      <c r="F2244" s="15"/>
      <c r="G2244" s="15"/>
      <c r="H2244" s="17">
        <v>82058004852</v>
      </c>
      <c r="I2244" s="15"/>
      <c r="J2244" s="18"/>
      <c r="K2244" t="s">
        <v>32</v>
      </c>
      <c r="N2244" s="3">
        <f t="shared" si="302"/>
        <v>0</v>
      </c>
      <c r="O2244" s="3">
        <f t="shared" si="303"/>
        <v>0</v>
      </c>
      <c r="S2244" s="3" t="s">
        <v>204</v>
      </c>
      <c r="V2244" s="51">
        <v>0.2951388888888889</v>
      </c>
    </row>
    <row r="2245" spans="1:25">
      <c r="A2245" s="12">
        <v>24510940</v>
      </c>
      <c r="B2245" s="13">
        <v>46281</v>
      </c>
      <c r="C2245" s="14">
        <v>0.54696759259259264</v>
      </c>
      <c r="D2245" s="15" t="s">
        <v>2109</v>
      </c>
      <c r="E2245" s="16">
        <v>5216444548129</v>
      </c>
      <c r="F2245" s="15"/>
      <c r="G2245" s="15"/>
      <c r="H2245" s="17">
        <v>24775919830</v>
      </c>
      <c r="I2245" s="15"/>
      <c r="J2245" s="18"/>
      <c r="K2245" t="s">
        <v>38</v>
      </c>
      <c r="L2245" s="111">
        <v>6163.55</v>
      </c>
      <c r="M2245" s="111">
        <v>1108.53</v>
      </c>
      <c r="N2245" s="3">
        <f t="shared" si="302"/>
        <v>1849.0650000000001</v>
      </c>
      <c r="O2245" s="3">
        <f t="shared" si="303"/>
        <v>740.53500000000008</v>
      </c>
      <c r="P2245" s="6">
        <v>46357</v>
      </c>
      <c r="Q2245" t="s">
        <v>59</v>
      </c>
      <c r="R2245" s="3">
        <v>949</v>
      </c>
      <c r="S2245" s="3" t="s">
        <v>39</v>
      </c>
      <c r="T2245" s="48">
        <v>46282</v>
      </c>
      <c r="V2245" s="51">
        <v>0.2951388888888889</v>
      </c>
      <c r="W2245" s="51">
        <v>0.44583333333333336</v>
      </c>
      <c r="X2245" s="51">
        <v>0.44722222222222224</v>
      </c>
      <c r="Y2245" s="51">
        <v>0.45347222222222222</v>
      </c>
    </row>
    <row r="2246" spans="1:25" hidden="1">
      <c r="A2246" s="12">
        <v>24511116</v>
      </c>
      <c r="B2246" s="13">
        <v>46281</v>
      </c>
      <c r="C2246" s="14">
        <v>0.56214120370370368</v>
      </c>
      <c r="D2246" s="15"/>
      <c r="E2246" s="16">
        <v>5218186560287</v>
      </c>
      <c r="F2246" s="15"/>
      <c r="G2246" s="15"/>
      <c r="H2246" s="17">
        <v>43705317485</v>
      </c>
      <c r="I2246" s="15"/>
      <c r="J2246" s="18"/>
      <c r="K2246" t="s">
        <v>30</v>
      </c>
      <c r="L2246" s="111">
        <v>8173.37</v>
      </c>
      <c r="M2246" s="111">
        <v>2450.65</v>
      </c>
      <c r="N2246" s="3">
        <f t="shared" si="302"/>
        <v>2452.011</v>
      </c>
      <c r="O2246" s="3">
        <f t="shared" si="303"/>
        <v>1.3609999999998763</v>
      </c>
      <c r="P2246" s="6">
        <v>46296</v>
      </c>
      <c r="Q2246" t="s">
        <v>44</v>
      </c>
      <c r="R2246" s="3">
        <v>1500</v>
      </c>
      <c r="S2246" s="3" t="s">
        <v>204</v>
      </c>
      <c r="V2246" s="51">
        <v>0.2951388888888889</v>
      </c>
    </row>
    <row r="2247" spans="1:25" hidden="1">
      <c r="A2247" s="12">
        <v>24512870</v>
      </c>
      <c r="B2247" s="13">
        <v>46281</v>
      </c>
      <c r="C2247" s="14">
        <v>0.59070601851851856</v>
      </c>
      <c r="D2247" s="15" t="s">
        <v>2110</v>
      </c>
      <c r="E2247" s="16">
        <v>5214495424382</v>
      </c>
      <c r="F2247" s="15"/>
      <c r="G2247" s="15" t="s">
        <v>2111</v>
      </c>
      <c r="H2247" s="17"/>
      <c r="I2247" s="15"/>
      <c r="J2247" s="18"/>
      <c r="K2247" t="s">
        <v>30</v>
      </c>
      <c r="L2247" s="111">
        <v>6896.35</v>
      </c>
      <c r="M2247" s="111">
        <v>1995.2</v>
      </c>
      <c r="N2247" s="3">
        <f t="shared" si="302"/>
        <v>2068.9050000000002</v>
      </c>
      <c r="O2247" s="3">
        <f t="shared" si="303"/>
        <v>73.705000000000155</v>
      </c>
      <c r="P2247" s="6">
        <v>46722</v>
      </c>
      <c r="Q2247" t="s">
        <v>44</v>
      </c>
      <c r="R2247" s="3">
        <v>359.56</v>
      </c>
      <c r="S2247" s="3" t="s">
        <v>204</v>
      </c>
      <c r="V2247" s="51">
        <v>0.2951388888888889</v>
      </c>
    </row>
    <row r="2248" spans="1:25">
      <c r="A2248" s="12">
        <v>24512724</v>
      </c>
      <c r="B2248" s="13">
        <v>46281</v>
      </c>
      <c r="C2248" s="14">
        <v>0.5915393518518518</v>
      </c>
      <c r="D2248" s="15"/>
      <c r="E2248" s="16">
        <v>5215540799605</v>
      </c>
      <c r="F2248" s="15"/>
      <c r="G2248" s="15" t="s">
        <v>2112</v>
      </c>
      <c r="H2248" s="17"/>
      <c r="I2248" s="15"/>
      <c r="J2248" s="18"/>
      <c r="K2248" t="s">
        <v>54</v>
      </c>
      <c r="L2248" s="111">
        <v>31718.23</v>
      </c>
      <c r="M2248" s="111">
        <v>4158.96</v>
      </c>
      <c r="N2248" s="3">
        <f t="shared" si="302"/>
        <v>9515.4689999999991</v>
      </c>
      <c r="O2248" s="3">
        <f t="shared" si="303"/>
        <v>5356.5089999999991</v>
      </c>
      <c r="P2248" s="6">
        <v>46419</v>
      </c>
      <c r="Q2248" t="s">
        <v>80</v>
      </c>
      <c r="R2248" s="3">
        <v>4158.96</v>
      </c>
      <c r="S2248" s="3" t="s">
        <v>55</v>
      </c>
      <c r="T2248" s="48">
        <v>46282</v>
      </c>
      <c r="V2248" s="51">
        <v>0.2951388888888889</v>
      </c>
      <c r="W2248" s="51">
        <v>0.45763888888888887</v>
      </c>
      <c r="X2248" s="51">
        <v>0.46388888888888891</v>
      </c>
      <c r="Y2248" s="51">
        <v>0.46527777777777779</v>
      </c>
    </row>
    <row r="2249" spans="1:25" hidden="1">
      <c r="A2249" s="12">
        <v>24512720</v>
      </c>
      <c r="B2249" s="13">
        <v>46281</v>
      </c>
      <c r="C2249" s="14">
        <v>0.59679398148148144</v>
      </c>
      <c r="D2249" s="15"/>
      <c r="E2249" s="16">
        <v>5219211286427</v>
      </c>
      <c r="F2249" s="15"/>
      <c r="G2249" s="15" t="s">
        <v>2113</v>
      </c>
      <c r="H2249" s="17">
        <v>67806033618</v>
      </c>
      <c r="I2249" s="15"/>
      <c r="J2249" s="18"/>
      <c r="K2249" t="s">
        <v>32</v>
      </c>
      <c r="N2249" s="3">
        <f t="shared" si="302"/>
        <v>0</v>
      </c>
      <c r="O2249" s="3">
        <f t="shared" si="303"/>
        <v>0</v>
      </c>
      <c r="S2249" s="3" t="s">
        <v>204</v>
      </c>
      <c r="V2249" s="51">
        <v>0.2951388888888889</v>
      </c>
    </row>
    <row r="2250" spans="1:25">
      <c r="A2250" s="12">
        <v>24513218</v>
      </c>
      <c r="B2250" s="13">
        <v>46281</v>
      </c>
      <c r="C2250" s="14">
        <v>0.60671296296296295</v>
      </c>
      <c r="D2250" s="15" t="s">
        <v>2114</v>
      </c>
      <c r="E2250" s="16">
        <v>5212712052373</v>
      </c>
      <c r="F2250" s="15">
        <v>0</v>
      </c>
      <c r="G2250" s="15" t="s">
        <v>1940</v>
      </c>
      <c r="H2250" s="17" t="s">
        <v>1941</v>
      </c>
      <c r="I2250" s="15"/>
      <c r="J2250" s="18"/>
      <c r="K2250" t="s">
        <v>107</v>
      </c>
      <c r="L2250" s="111">
        <v>6988.79</v>
      </c>
      <c r="M2250" s="111">
        <v>2020.98</v>
      </c>
      <c r="N2250" s="3">
        <f t="shared" si="302"/>
        <v>2096.6369999999997</v>
      </c>
      <c r="O2250" s="3">
        <f t="shared" si="303"/>
        <v>75.656999999999698</v>
      </c>
      <c r="P2250" s="6">
        <v>46082</v>
      </c>
      <c r="Q2250" t="s">
        <v>47</v>
      </c>
      <c r="R2250" s="3">
        <v>870.98</v>
      </c>
      <c r="S2250" s="3" t="s">
        <v>39</v>
      </c>
      <c r="T2250" s="48">
        <v>46282</v>
      </c>
      <c r="V2250" s="51">
        <v>0.2951388888888889</v>
      </c>
      <c r="W2250" s="51">
        <v>0.4597222222222222</v>
      </c>
      <c r="X2250" s="51">
        <v>0.46527777777777779</v>
      </c>
      <c r="Y2250" s="51">
        <v>0.46666666666666667</v>
      </c>
    </row>
    <row r="2251" spans="1:25" hidden="1">
      <c r="A2251" s="12">
        <v>24513440</v>
      </c>
      <c r="B2251" s="13">
        <v>46281</v>
      </c>
      <c r="C2251" s="14">
        <v>0.60717592592592595</v>
      </c>
      <c r="D2251" s="15"/>
      <c r="E2251" s="16">
        <v>5219371275159</v>
      </c>
      <c r="F2251" s="15"/>
      <c r="G2251" s="15" t="s">
        <v>2115</v>
      </c>
      <c r="H2251" s="17"/>
      <c r="I2251" s="15"/>
      <c r="J2251" s="18"/>
      <c r="K2251" t="s">
        <v>30</v>
      </c>
      <c r="L2251" s="111">
        <v>7920.51</v>
      </c>
      <c r="M2251" s="111">
        <v>2376.15</v>
      </c>
      <c r="N2251" s="3">
        <f t="shared" si="302"/>
        <v>2376.1529999999998</v>
      </c>
      <c r="O2251" s="3">
        <f t="shared" si="303"/>
        <v>2.9999999997016857E-3</v>
      </c>
      <c r="P2251" s="6">
        <v>46784</v>
      </c>
      <c r="Q2251" t="s">
        <v>47</v>
      </c>
      <c r="R2251" s="111">
        <v>2376.15</v>
      </c>
      <c r="S2251" s="3" t="s">
        <v>204</v>
      </c>
      <c r="V2251" s="51">
        <v>0.2951388888888889</v>
      </c>
    </row>
    <row r="2252" spans="1:25">
      <c r="A2252" s="12">
        <v>24513800</v>
      </c>
      <c r="B2252" s="13">
        <v>46281</v>
      </c>
      <c r="C2252" s="14">
        <v>0.61741898148148144</v>
      </c>
      <c r="D2252" s="15"/>
      <c r="E2252" s="16">
        <v>5213761011191</v>
      </c>
      <c r="F2252" s="15"/>
      <c r="G2252" s="15"/>
      <c r="H2252" s="17">
        <v>41816119600</v>
      </c>
      <c r="I2252" s="15"/>
      <c r="J2252" s="18"/>
      <c r="K2252" t="s">
        <v>34</v>
      </c>
      <c r="L2252" s="111">
        <v>6262.86</v>
      </c>
      <c r="M2252" s="111">
        <v>1738.79</v>
      </c>
      <c r="N2252" s="3">
        <f t="shared" si="302"/>
        <v>1878.8579999999997</v>
      </c>
      <c r="O2252" s="3">
        <f t="shared" si="303"/>
        <v>140.06799999999976</v>
      </c>
      <c r="P2252" s="6">
        <v>46174</v>
      </c>
      <c r="Q2252" t="s">
        <v>2116</v>
      </c>
      <c r="R2252" s="111">
        <v>1738.79</v>
      </c>
      <c r="S2252" s="3" t="s">
        <v>35</v>
      </c>
      <c r="T2252" s="48">
        <v>46282</v>
      </c>
      <c r="V2252" s="51">
        <v>0.2951388888888889</v>
      </c>
      <c r="W2252" s="51">
        <v>0.46597222222222223</v>
      </c>
      <c r="X2252" s="51">
        <v>0.46666666666666667</v>
      </c>
      <c r="Y2252" s="51">
        <v>0.46805555555555556</v>
      </c>
    </row>
    <row r="2253" spans="1:25" hidden="1">
      <c r="A2253" s="12">
        <v>24513952</v>
      </c>
      <c r="B2253" s="13">
        <v>46281</v>
      </c>
      <c r="C2253" s="14">
        <v>0.6189930555555555</v>
      </c>
      <c r="D2253" s="15"/>
      <c r="E2253" s="16">
        <v>5218342544830</v>
      </c>
      <c r="F2253" s="15"/>
      <c r="G2253" s="15"/>
      <c r="H2253" s="17">
        <v>49815300043</v>
      </c>
      <c r="I2253" s="15"/>
      <c r="J2253" s="18"/>
      <c r="K2253" t="s">
        <v>32</v>
      </c>
      <c r="N2253" s="3">
        <f t="shared" si="302"/>
        <v>0</v>
      </c>
      <c r="O2253" s="3">
        <f t="shared" si="303"/>
        <v>0</v>
      </c>
      <c r="S2253" s="3" t="s">
        <v>204</v>
      </c>
      <c r="V2253" s="51">
        <v>0.2951388888888889</v>
      </c>
    </row>
    <row r="2254" spans="1:25" hidden="1">
      <c r="A2254" s="12">
        <v>24514442</v>
      </c>
      <c r="B2254" s="13">
        <v>46281</v>
      </c>
      <c r="C2254" s="14">
        <v>0.63263888888888886</v>
      </c>
      <c r="D2254" s="15"/>
      <c r="E2254" s="16">
        <v>5212461375115</v>
      </c>
      <c r="F2254" s="15"/>
      <c r="G2254" s="15"/>
      <c r="H2254" s="17">
        <v>61957710769</v>
      </c>
      <c r="I2254" s="15"/>
      <c r="J2254" s="18"/>
      <c r="K2254" t="s">
        <v>58</v>
      </c>
      <c r="N2254" s="3">
        <f t="shared" si="302"/>
        <v>0</v>
      </c>
      <c r="O2254" s="3">
        <f t="shared" si="303"/>
        <v>0</v>
      </c>
      <c r="S2254" s="3" t="s">
        <v>204</v>
      </c>
      <c r="V2254" s="51">
        <v>0.2951388888888889</v>
      </c>
    </row>
    <row r="2255" spans="1:25" hidden="1">
      <c r="A2255" s="12">
        <v>24514998</v>
      </c>
      <c r="B2255" s="13">
        <v>46281</v>
      </c>
      <c r="C2255" s="14">
        <v>0.65402777777777776</v>
      </c>
      <c r="D2255" s="15"/>
      <c r="E2255" s="16">
        <v>5212214260791</v>
      </c>
      <c r="F2255" s="15"/>
      <c r="G2255" s="15"/>
      <c r="H2255" s="17">
        <v>62805602687</v>
      </c>
      <c r="I2255" s="15"/>
      <c r="J2255" s="18"/>
      <c r="K2255" t="s">
        <v>58</v>
      </c>
      <c r="L2255" s="3">
        <v>4035.69</v>
      </c>
      <c r="N2255" s="3">
        <f t="shared" si="302"/>
        <v>1210.7069999999999</v>
      </c>
      <c r="O2255" s="3">
        <f t="shared" si="303"/>
        <v>0</v>
      </c>
      <c r="S2255" s="3" t="s">
        <v>204</v>
      </c>
      <c r="V2255" s="51">
        <v>0.2951388888888889</v>
      </c>
    </row>
    <row r="2256" spans="1:25">
      <c r="A2256" s="12">
        <v>24514920</v>
      </c>
      <c r="B2256" s="13">
        <v>46281</v>
      </c>
      <c r="C2256" s="14">
        <v>0.65972222222222221</v>
      </c>
      <c r="D2256" s="15"/>
      <c r="E2256" s="16">
        <v>5213333233395</v>
      </c>
      <c r="F2256" s="15"/>
      <c r="G2256" s="15"/>
      <c r="H2256" s="17" t="s">
        <v>2117</v>
      </c>
      <c r="I2256" s="15"/>
      <c r="J2256" s="18"/>
      <c r="K2256" t="s">
        <v>38</v>
      </c>
      <c r="L2256" s="3">
        <f>4504.84+879</f>
        <v>5383.84</v>
      </c>
      <c r="M2256" s="3">
        <v>879</v>
      </c>
      <c r="N2256" s="3">
        <f t="shared" si="302"/>
        <v>1615.152</v>
      </c>
      <c r="O2256" s="3">
        <f t="shared" si="303"/>
        <v>331.86000000000058</v>
      </c>
      <c r="S2256" s="3" t="s">
        <v>39</v>
      </c>
      <c r="T2256" s="48">
        <v>46282</v>
      </c>
      <c r="V2256" s="51">
        <v>0.2951388888888889</v>
      </c>
      <c r="W2256" s="51">
        <v>0.44791666666666669</v>
      </c>
      <c r="X2256" s="51">
        <v>0.44930555555555557</v>
      </c>
      <c r="Y2256" s="51">
        <v>0.45416666666666666</v>
      </c>
    </row>
    <row r="2257" spans="1:25" hidden="1">
      <c r="A2257" s="12">
        <v>24532486</v>
      </c>
      <c r="B2257" s="13">
        <v>46281</v>
      </c>
      <c r="C2257" s="14">
        <v>0.72075231481481483</v>
      </c>
      <c r="D2257" s="15"/>
      <c r="E2257" s="16">
        <v>5215554121868</v>
      </c>
      <c r="F2257" s="15"/>
      <c r="G2257" s="15" t="s">
        <v>2118</v>
      </c>
      <c r="H2257" s="17" t="s">
        <v>2119</v>
      </c>
      <c r="I2257" s="15"/>
      <c r="J2257" s="18"/>
      <c r="K2257" t="s">
        <v>189</v>
      </c>
      <c r="N2257" s="3">
        <f t="shared" si="302"/>
        <v>0</v>
      </c>
      <c r="O2257" s="3">
        <f t="shared" si="303"/>
        <v>0</v>
      </c>
      <c r="S2257" s="3" t="s">
        <v>204</v>
      </c>
      <c r="V2257" s="51">
        <v>0.2951388888888889</v>
      </c>
    </row>
    <row r="2258" spans="1:25" hidden="1">
      <c r="A2258" s="12">
        <v>24532772</v>
      </c>
      <c r="B2258" s="13">
        <v>46281</v>
      </c>
      <c r="C2258" s="14">
        <v>0.73033564814814811</v>
      </c>
      <c r="D2258" s="15" t="s">
        <v>1702</v>
      </c>
      <c r="E2258" s="16">
        <v>5216626823524</v>
      </c>
      <c r="F2258" s="15"/>
      <c r="G2258" s="15"/>
      <c r="H2258" s="17">
        <v>24936426303</v>
      </c>
      <c r="I2258" s="15"/>
      <c r="J2258" s="18"/>
      <c r="K2258" t="s">
        <v>30</v>
      </c>
      <c r="L2258" s="111">
        <v>10171.24</v>
      </c>
      <c r="M2258" s="111">
        <v>2821.08</v>
      </c>
      <c r="N2258" s="3">
        <f t="shared" si="302"/>
        <v>3051.3719999999998</v>
      </c>
      <c r="O2258" s="3">
        <f t="shared" si="303"/>
        <v>230.29199999999992</v>
      </c>
      <c r="P2258" s="6">
        <v>46569</v>
      </c>
      <c r="Q2258" t="s">
        <v>43</v>
      </c>
      <c r="R2258" s="111">
        <v>2821.08</v>
      </c>
      <c r="S2258" s="3" t="s">
        <v>204</v>
      </c>
      <c r="V2258" s="51">
        <v>0.2951388888888889</v>
      </c>
    </row>
    <row r="2259" spans="1:25" hidden="1">
      <c r="A2259" s="12">
        <v>24532810</v>
      </c>
      <c r="B2259" s="13">
        <v>46281</v>
      </c>
      <c r="C2259" s="14">
        <v>0.73396990740740742</v>
      </c>
      <c r="D2259" s="15"/>
      <c r="E2259" s="16">
        <v>5215523784454</v>
      </c>
      <c r="F2259" s="15"/>
      <c r="G2259" s="15"/>
      <c r="H2259" s="17">
        <v>15836501831</v>
      </c>
      <c r="I2259" s="15"/>
      <c r="J2259" s="18"/>
      <c r="K2259" t="s">
        <v>30</v>
      </c>
      <c r="L2259" s="111">
        <v>12476.53</v>
      </c>
      <c r="M2259" s="111">
        <v>3736.51</v>
      </c>
      <c r="N2259" s="3">
        <f t="shared" si="302"/>
        <v>3742.9589999999998</v>
      </c>
      <c r="O2259" s="3">
        <f t="shared" si="303"/>
        <v>6.4489999999996144</v>
      </c>
      <c r="P2259" s="6">
        <v>46784</v>
      </c>
      <c r="Q2259" t="s">
        <v>75</v>
      </c>
      <c r="R2259" s="3">
        <v>1795.49</v>
      </c>
      <c r="S2259" s="3" t="s">
        <v>204</v>
      </c>
      <c r="V2259" s="51">
        <v>0.2951388888888889</v>
      </c>
    </row>
    <row r="2260" spans="1:25">
      <c r="A2260" s="12">
        <v>24533134</v>
      </c>
      <c r="B2260" s="13">
        <v>46281</v>
      </c>
      <c r="C2260" s="14">
        <v>0.75266203703703705</v>
      </c>
      <c r="D2260" s="15"/>
      <c r="E2260" s="16">
        <v>5216251456898</v>
      </c>
      <c r="F2260" s="15"/>
      <c r="G2260" s="15"/>
      <c r="H2260" s="17">
        <v>50917209483</v>
      </c>
      <c r="I2260" s="15"/>
      <c r="J2260" s="18"/>
      <c r="K2260" t="s">
        <v>54</v>
      </c>
      <c r="L2260" s="3">
        <v>5813.2</v>
      </c>
      <c r="N2260" s="3">
        <f t="shared" si="302"/>
        <v>1743.9599999999998</v>
      </c>
      <c r="O2260" s="3">
        <f t="shared" si="303"/>
        <v>1640.2200000000003</v>
      </c>
      <c r="S2260" s="3" t="s">
        <v>327</v>
      </c>
      <c r="T2260" s="48">
        <v>46282</v>
      </c>
      <c r="V2260" s="51">
        <v>0.2951388888888889</v>
      </c>
      <c r="W2260" s="51">
        <v>0.47013888888888888</v>
      </c>
      <c r="X2260" s="51">
        <v>0.47291666666666665</v>
      </c>
      <c r="Y2260" s="51">
        <v>0.49027777777777776</v>
      </c>
    </row>
    <row r="2261" spans="1:25" hidden="1">
      <c r="A2261" s="12">
        <v>24533688</v>
      </c>
      <c r="B2261" s="13">
        <v>46281</v>
      </c>
      <c r="C2261" s="14">
        <v>0.76788194444444446</v>
      </c>
      <c r="D2261" s="15"/>
      <c r="E2261" s="16">
        <v>5213312643104</v>
      </c>
      <c r="F2261" s="15"/>
      <c r="G2261" s="15"/>
      <c r="H2261" s="17">
        <v>54816217217</v>
      </c>
      <c r="I2261" s="15"/>
      <c r="J2261" s="18"/>
      <c r="K2261" t="s">
        <v>30</v>
      </c>
      <c r="L2261" s="111">
        <v>19779.3</v>
      </c>
      <c r="M2261" s="111">
        <v>5932.77</v>
      </c>
      <c r="N2261" s="3">
        <f t="shared" si="302"/>
        <v>5933.79</v>
      </c>
      <c r="O2261" s="3">
        <f t="shared" si="303"/>
        <v>1.0199999999995271</v>
      </c>
      <c r="P2261" s="6">
        <v>46388</v>
      </c>
      <c r="Q2261" t="s">
        <v>80</v>
      </c>
      <c r="R2261" s="3">
        <v>5410.99</v>
      </c>
      <c r="S2261" s="3" t="s">
        <v>204</v>
      </c>
      <c r="V2261" s="51">
        <v>0.2951388888888889</v>
      </c>
    </row>
    <row r="2262" spans="1:25">
      <c r="A2262" s="12">
        <v>24533756</v>
      </c>
      <c r="B2262" s="13">
        <v>46281</v>
      </c>
      <c r="C2262" s="14">
        <v>0.77244212962962966</v>
      </c>
      <c r="D2262" s="15"/>
      <c r="E2262" s="16">
        <v>5218992573093</v>
      </c>
      <c r="F2262" s="15"/>
      <c r="G2262" s="15"/>
      <c r="H2262" s="17" t="s">
        <v>2120</v>
      </c>
      <c r="I2262" s="15"/>
      <c r="J2262" s="18"/>
      <c r="K2262" t="s">
        <v>38</v>
      </c>
      <c r="L2262" s="3">
        <v>5305.5</v>
      </c>
      <c r="N2262" s="3">
        <f t="shared" si="302"/>
        <v>1591.6499999999999</v>
      </c>
      <c r="O2262" s="3">
        <f t="shared" si="303"/>
        <v>1132.5200000000004</v>
      </c>
      <c r="S2262" s="3" t="s">
        <v>39</v>
      </c>
      <c r="T2262" s="48">
        <v>46282</v>
      </c>
      <c r="V2262" s="51">
        <v>0.2951388888888889</v>
      </c>
      <c r="W2262" s="51">
        <v>0.46736111111111112</v>
      </c>
      <c r="X2262" s="51">
        <v>0.47013888888888888</v>
      </c>
      <c r="Y2262" s="51">
        <v>0.47083333333333333</v>
      </c>
    </row>
    <row r="2263" spans="1:25">
      <c r="A2263" s="12">
        <v>24533762</v>
      </c>
      <c r="B2263" s="13">
        <v>46281</v>
      </c>
      <c r="C2263" s="14">
        <v>0.77273148148148152</v>
      </c>
      <c r="D2263" s="15"/>
      <c r="E2263" s="16">
        <v>5216751132579</v>
      </c>
      <c r="F2263" s="15"/>
      <c r="G2263" s="15"/>
      <c r="H2263" s="17">
        <v>75866106588</v>
      </c>
      <c r="I2263" s="15"/>
      <c r="J2263" s="18"/>
      <c r="K2263" t="s">
        <v>54</v>
      </c>
      <c r="L2263" s="3">
        <v>9081.51</v>
      </c>
      <c r="N2263" s="3">
        <f t="shared" si="302"/>
        <v>2724.453</v>
      </c>
      <c r="O2263" s="3">
        <f t="shared" si="303"/>
        <v>2724.453</v>
      </c>
      <c r="S2263" s="3" t="s">
        <v>348</v>
      </c>
      <c r="T2263" s="48">
        <v>46282</v>
      </c>
      <c r="V2263" s="51">
        <v>0.2951388888888889</v>
      </c>
      <c r="W2263" s="51">
        <v>0.46666666666666667</v>
      </c>
      <c r="X2263" s="51">
        <v>0.47152777777777777</v>
      </c>
      <c r="Y2263" s="51">
        <v>0.47361111111111109</v>
      </c>
    </row>
    <row r="2264" spans="1:25" hidden="1">
      <c r="A2264" s="12">
        <v>24533730</v>
      </c>
      <c r="B2264" s="13">
        <v>46281</v>
      </c>
      <c r="C2264" s="14">
        <v>0.77457175925925925</v>
      </c>
      <c r="D2264" s="15"/>
      <c r="E2264" s="16">
        <v>5214423172058</v>
      </c>
      <c r="F2264" s="15"/>
      <c r="G2264" s="15"/>
      <c r="H2264" s="17">
        <v>14907229372</v>
      </c>
      <c r="I2264" s="15"/>
      <c r="J2264" s="18"/>
      <c r="K2264" t="s">
        <v>32</v>
      </c>
      <c r="N2264" s="3">
        <f t="shared" si="302"/>
        <v>0</v>
      </c>
      <c r="O2264" s="3">
        <f t="shared" si="303"/>
        <v>0</v>
      </c>
      <c r="S2264" s="3" t="s">
        <v>204</v>
      </c>
      <c r="V2264" s="51">
        <v>0.2951388888888889</v>
      </c>
    </row>
    <row r="2265" spans="1:25" hidden="1">
      <c r="A2265" s="12">
        <v>24533986</v>
      </c>
      <c r="B2265" s="13">
        <v>46281</v>
      </c>
      <c r="C2265" s="14">
        <v>0.78342592592592597</v>
      </c>
      <c r="D2265" s="15"/>
      <c r="E2265" s="16">
        <v>6871007516</v>
      </c>
      <c r="F2265" s="15"/>
      <c r="G2265" s="15" t="s">
        <v>2121</v>
      </c>
      <c r="H2265" s="17">
        <v>23785402902</v>
      </c>
      <c r="I2265" s="15"/>
      <c r="J2265" s="18"/>
      <c r="K2265" t="s">
        <v>30</v>
      </c>
      <c r="L2265" s="111">
        <v>6783.36</v>
      </c>
      <c r="M2265" s="111">
        <v>1962.45</v>
      </c>
      <c r="N2265" s="3">
        <f t="shared" si="302"/>
        <v>2035.0079999999998</v>
      </c>
      <c r="O2265" s="3">
        <f t="shared" si="303"/>
        <v>72.557999999999765</v>
      </c>
      <c r="P2265" s="6">
        <v>46357</v>
      </c>
      <c r="Q2265" t="s">
        <v>184</v>
      </c>
      <c r="R2265" s="3">
        <v>1196.45</v>
      </c>
      <c r="S2265" s="3" t="s">
        <v>204</v>
      </c>
      <c r="V2265" s="51">
        <v>0.2951388888888889</v>
      </c>
    </row>
    <row r="2266" spans="1:25" hidden="1">
      <c r="A2266" s="12">
        <v>24533880</v>
      </c>
      <c r="B2266" s="13">
        <v>46281</v>
      </c>
      <c r="C2266" s="14">
        <v>0.78700231481481486</v>
      </c>
      <c r="D2266" s="15"/>
      <c r="E2266" s="16">
        <v>5216441542277</v>
      </c>
      <c r="F2266" s="15"/>
      <c r="G2266" s="15"/>
      <c r="H2266" s="17">
        <v>24977935378</v>
      </c>
      <c r="I2266" s="15"/>
      <c r="J2266" s="18"/>
      <c r="K2266" t="s">
        <v>189</v>
      </c>
      <c r="N2266" s="3">
        <f t="shared" si="302"/>
        <v>0</v>
      </c>
      <c r="O2266" s="3">
        <f t="shared" si="303"/>
        <v>0</v>
      </c>
      <c r="S2266" s="3" t="s">
        <v>204</v>
      </c>
      <c r="V2266" s="51">
        <v>0.2951388888888889</v>
      </c>
    </row>
    <row r="2267" spans="1:25" hidden="1">
      <c r="A2267" s="12">
        <v>24535038</v>
      </c>
      <c r="B2267" s="13">
        <v>46281</v>
      </c>
      <c r="C2267" s="14">
        <v>0.8425231481481481</v>
      </c>
      <c r="D2267" s="15" t="s">
        <v>2122</v>
      </c>
      <c r="E2267" s="16">
        <v>5213221043593</v>
      </c>
      <c r="F2267" s="15"/>
      <c r="G2267" s="15" t="s">
        <v>2123</v>
      </c>
      <c r="H2267" s="17" t="s">
        <v>2124</v>
      </c>
      <c r="I2267" s="15"/>
      <c r="J2267" s="18"/>
      <c r="K2267" t="s">
        <v>32</v>
      </c>
      <c r="N2267" s="3">
        <f t="shared" si="302"/>
        <v>0</v>
      </c>
      <c r="O2267" s="3">
        <f t="shared" si="303"/>
        <v>0</v>
      </c>
      <c r="S2267" s="3" t="s">
        <v>204</v>
      </c>
      <c r="V2267" s="51">
        <v>0.2951388888888889</v>
      </c>
    </row>
    <row r="2268" spans="1:25" hidden="1">
      <c r="A2268" s="12">
        <v>24534558</v>
      </c>
      <c r="B2268" s="13">
        <v>46281</v>
      </c>
      <c r="C2268" s="14">
        <v>0.91392361111111109</v>
      </c>
      <c r="D2268" s="15"/>
      <c r="E2268" s="16"/>
      <c r="F2268" s="15"/>
      <c r="G2268" s="15" t="s">
        <v>2125</v>
      </c>
      <c r="H2268" s="17">
        <v>11614414164</v>
      </c>
      <c r="I2268" s="15"/>
      <c r="J2268" s="18"/>
      <c r="K2268" t="s">
        <v>58</v>
      </c>
      <c r="L2268" s="3">
        <v>3866.25</v>
      </c>
      <c r="N2268" s="3">
        <f t="shared" si="302"/>
        <v>1159.875</v>
      </c>
      <c r="O2268" s="3">
        <f t="shared" si="303"/>
        <v>0</v>
      </c>
      <c r="S2268" s="3" t="s">
        <v>204</v>
      </c>
      <c r="V2268" s="51">
        <v>0.2951388888888889</v>
      </c>
    </row>
    <row r="2269" spans="1:25">
      <c r="A2269" s="12">
        <v>24536350</v>
      </c>
      <c r="B2269" s="13">
        <v>46281</v>
      </c>
      <c r="C2269" s="14">
        <v>0.91874999999999996</v>
      </c>
      <c r="D2269" s="15"/>
      <c r="E2269" s="16">
        <v>5218146282827</v>
      </c>
      <c r="F2269" s="15"/>
      <c r="G2269" s="15" t="s">
        <v>2126</v>
      </c>
      <c r="H2269" s="17">
        <v>43796047041</v>
      </c>
      <c r="I2269" s="15"/>
      <c r="J2269" s="18"/>
      <c r="K2269" t="s">
        <v>54</v>
      </c>
      <c r="L2269" s="111">
        <v>46027.12</v>
      </c>
      <c r="M2269" s="111">
        <v>8977.4599999999991</v>
      </c>
      <c r="N2269" s="3">
        <f t="shared" si="302"/>
        <v>13808.136</v>
      </c>
      <c r="O2269" s="3">
        <f t="shared" si="303"/>
        <v>4830.6760000000013</v>
      </c>
      <c r="P2269" s="6">
        <v>46935</v>
      </c>
      <c r="Q2269" t="s">
        <v>75</v>
      </c>
      <c r="R2269" s="111">
        <v>8977.4599999999991</v>
      </c>
      <c r="S2269" s="3" t="s">
        <v>62</v>
      </c>
      <c r="T2269" s="48">
        <v>46282</v>
      </c>
      <c r="V2269" s="51">
        <v>0.2951388888888889</v>
      </c>
      <c r="W2269" s="51">
        <v>0.46180555555555558</v>
      </c>
      <c r="X2269" s="51">
        <v>0.46875</v>
      </c>
      <c r="Y2269" s="51">
        <v>0.47083333333333333</v>
      </c>
    </row>
    <row r="2270" spans="1:25" hidden="1">
      <c r="A2270" s="12">
        <v>24536630</v>
      </c>
      <c r="B2270" s="13">
        <v>46281</v>
      </c>
      <c r="C2270" s="14">
        <v>0.94401620370370365</v>
      </c>
      <c r="D2270" s="15"/>
      <c r="E2270" s="16">
        <v>5216684655584</v>
      </c>
      <c r="F2270" s="15"/>
      <c r="G2270" s="15"/>
      <c r="H2270" s="17">
        <v>23805102441</v>
      </c>
      <c r="I2270" s="15"/>
      <c r="J2270" s="18"/>
      <c r="K2270" t="s">
        <v>58</v>
      </c>
      <c r="L2270" s="111">
        <v>3866.25</v>
      </c>
      <c r="M2270" s="111">
        <v>848</v>
      </c>
      <c r="N2270" s="3">
        <f t="shared" si="302"/>
        <v>1159.875</v>
      </c>
      <c r="O2270" s="3">
        <f t="shared" si="303"/>
        <v>-848</v>
      </c>
      <c r="S2270" s="3" t="s">
        <v>204</v>
      </c>
      <c r="V2270" s="51">
        <v>0.2951388888888889</v>
      </c>
    </row>
    <row r="2271" spans="1:25" hidden="1">
      <c r="A2271" s="12">
        <v>24537218</v>
      </c>
      <c r="B2271" s="13">
        <v>46281</v>
      </c>
      <c r="C2271" s="14">
        <v>0.94460648148148152</v>
      </c>
      <c r="D2271" s="15"/>
      <c r="E2271" s="16">
        <v>5213329915838</v>
      </c>
      <c r="F2271" s="15"/>
      <c r="G2271" s="15"/>
      <c r="H2271" s="17">
        <v>54836430899</v>
      </c>
      <c r="I2271" s="15"/>
      <c r="J2271" s="18"/>
      <c r="K2271" t="s">
        <v>30</v>
      </c>
      <c r="L2271" s="111">
        <v>9742.32</v>
      </c>
      <c r="M2271" s="111">
        <v>2908.9</v>
      </c>
      <c r="N2271" s="3">
        <f t="shared" si="302"/>
        <v>2922.6959999999999</v>
      </c>
      <c r="O2271" s="3">
        <f t="shared" si="303"/>
        <v>13.795999999999822</v>
      </c>
      <c r="P2271" s="6">
        <v>46813</v>
      </c>
      <c r="Q2271" t="s">
        <v>75</v>
      </c>
      <c r="R2271" s="3">
        <v>879.75</v>
      </c>
      <c r="S2271" s="3" t="s">
        <v>204</v>
      </c>
      <c r="V2271" s="51">
        <v>0.2951388888888889</v>
      </c>
    </row>
    <row r="2272" spans="1:25" hidden="1">
      <c r="A2272" s="12">
        <v>24537238</v>
      </c>
      <c r="B2272" s="13">
        <v>46281</v>
      </c>
      <c r="C2272" s="14">
        <v>0.95540509259259254</v>
      </c>
      <c r="D2272" s="15"/>
      <c r="E2272" s="16">
        <v>5215522202237</v>
      </c>
      <c r="F2272" s="15"/>
      <c r="G2272" s="15"/>
      <c r="H2272" s="17">
        <v>65755710251</v>
      </c>
      <c r="I2272" s="15"/>
      <c r="J2272" s="18"/>
      <c r="K2272" t="s">
        <v>58</v>
      </c>
      <c r="L2272" s="3">
        <f>3320.87+879</f>
        <v>4199.87</v>
      </c>
      <c r="M2272" s="3">
        <v>879</v>
      </c>
      <c r="N2272" s="3">
        <f t="shared" si="302"/>
        <v>1259.961</v>
      </c>
      <c r="O2272" s="3">
        <f t="shared" si="303"/>
        <v>-852.10999999999967</v>
      </c>
      <c r="S2272" s="3" t="s">
        <v>204</v>
      </c>
      <c r="V2272" s="51">
        <v>0.2951388888888889</v>
      </c>
    </row>
    <row r="2273" spans="1:25" hidden="1">
      <c r="A2273" s="12">
        <v>24537866</v>
      </c>
      <c r="B2273" s="13">
        <v>46282</v>
      </c>
      <c r="C2273" s="14">
        <v>1.5532407407407408E-2</v>
      </c>
      <c r="D2273" s="15" t="s">
        <v>2127</v>
      </c>
      <c r="E2273" s="16">
        <v>5218129011421</v>
      </c>
      <c r="F2273" s="15"/>
      <c r="G2273" s="15" t="s">
        <v>2128</v>
      </c>
      <c r="H2273" s="17"/>
      <c r="I2273" s="15"/>
      <c r="J2273" s="18"/>
      <c r="K2273" t="s">
        <v>58</v>
      </c>
      <c r="L2273" s="3">
        <v>3961.31</v>
      </c>
      <c r="N2273" s="3">
        <f t="shared" si="302"/>
        <v>1188.393</v>
      </c>
      <c r="O2273" s="3">
        <f t="shared" si="303"/>
        <v>0</v>
      </c>
      <c r="S2273" s="3" t="s">
        <v>204</v>
      </c>
      <c r="V2273" s="51">
        <v>0.2951388888888889</v>
      </c>
    </row>
    <row r="2274" spans="1:25" hidden="1">
      <c r="A2274" s="30">
        <v>24537846</v>
      </c>
      <c r="B2274" s="31">
        <v>46282</v>
      </c>
      <c r="C2274" s="32">
        <v>1.5949074074074074E-2</v>
      </c>
      <c r="D2274" s="33"/>
      <c r="E2274" s="34">
        <v>5215647336043</v>
      </c>
      <c r="F2274" s="33"/>
      <c r="G2274" s="33" t="s">
        <v>2129</v>
      </c>
      <c r="H2274" s="35">
        <v>42896503705</v>
      </c>
      <c r="I2274" s="33"/>
      <c r="J2274" s="30"/>
      <c r="K2274" t="s">
        <v>30</v>
      </c>
      <c r="L2274" s="111">
        <v>10636.54</v>
      </c>
      <c r="M2274" s="111">
        <v>3188.97</v>
      </c>
      <c r="N2274" s="3">
        <f t="shared" si="302"/>
        <v>3190.962</v>
      </c>
      <c r="O2274" s="3">
        <f t="shared" si="303"/>
        <v>1.9920000000001892</v>
      </c>
      <c r="P2274" s="6">
        <v>46874</v>
      </c>
      <c r="Q2274" t="s">
        <v>75</v>
      </c>
      <c r="R2274" s="111">
        <v>3188.97</v>
      </c>
      <c r="S2274" s="3" t="s">
        <v>204</v>
      </c>
      <c r="V2274" s="51">
        <v>0.2951388888888889</v>
      </c>
    </row>
    <row r="2275" spans="1:25" hidden="1">
      <c r="A2275" s="30">
        <v>24549840</v>
      </c>
      <c r="B2275" s="31">
        <v>46282</v>
      </c>
      <c r="C2275" s="32">
        <v>0.41677083333333331</v>
      </c>
      <c r="D2275" s="33" t="s">
        <v>2130</v>
      </c>
      <c r="E2275" s="34">
        <v>5215643665648</v>
      </c>
      <c r="F2275" s="33"/>
      <c r="G2275" s="33" t="s">
        <v>2131</v>
      </c>
      <c r="H2275" s="35"/>
      <c r="I2275" s="33"/>
      <c r="J2275" s="36"/>
      <c r="K2275" t="s">
        <v>32</v>
      </c>
      <c r="N2275" s="3">
        <f>L2275*0.3</f>
        <v>0</v>
      </c>
      <c r="O2275" s="3">
        <f>(IF(L2275&lt;4172.98,0,MIN(L2275*0.3,L2275-4172.98)))-M2275</f>
        <v>0</v>
      </c>
      <c r="S2275" s="3" t="s">
        <v>204</v>
      </c>
      <c r="V2275" s="51">
        <v>0.42708333333333331</v>
      </c>
    </row>
    <row r="2276" spans="1:25">
      <c r="A2276" s="30">
        <v>24549952</v>
      </c>
      <c r="B2276" s="31">
        <v>46282</v>
      </c>
      <c r="C2276" s="32">
        <v>0.42773148148148149</v>
      </c>
      <c r="D2276" s="33"/>
      <c r="E2276" s="34">
        <v>5213221836314</v>
      </c>
      <c r="F2276" s="33"/>
      <c r="G2276" s="33"/>
      <c r="H2276" s="35">
        <v>52856707170</v>
      </c>
      <c r="I2276" s="33"/>
      <c r="J2276" s="36"/>
      <c r="K2276" t="s">
        <v>54</v>
      </c>
      <c r="L2276" s="3">
        <v>6411.47</v>
      </c>
      <c r="N2276" s="3">
        <f>L2276*0.3</f>
        <v>1923.441</v>
      </c>
      <c r="O2276" s="3">
        <f>(IF(L2276&lt;4172.98,0,MIN(L2276*0.3,L2276-4172.98)))-M2276</f>
        <v>1923.441</v>
      </c>
      <c r="S2276" s="3" t="s">
        <v>62</v>
      </c>
      <c r="T2276" s="48">
        <v>46282</v>
      </c>
      <c r="V2276" s="51">
        <v>0.42986111111111114</v>
      </c>
      <c r="W2276" s="51">
        <v>0.45416666666666666</v>
      </c>
      <c r="X2276" s="51">
        <v>0.45555555555555555</v>
      </c>
      <c r="Y2276" s="51">
        <v>0.45694444444444443</v>
      </c>
    </row>
    <row r="2277" spans="1:25" hidden="1">
      <c r="A2277" s="30">
        <v>24550908</v>
      </c>
      <c r="B2277" s="31">
        <v>46282</v>
      </c>
      <c r="C2277" s="32">
        <v>0.45006944444444447</v>
      </c>
      <c r="D2277" s="33"/>
      <c r="E2277" s="34">
        <v>5215624670238</v>
      </c>
      <c r="F2277" s="33"/>
      <c r="G2277" s="33" t="s">
        <v>2132</v>
      </c>
      <c r="H2277" s="35"/>
      <c r="I2277" s="33"/>
      <c r="J2277" s="36"/>
      <c r="K2277" t="s">
        <v>30</v>
      </c>
      <c r="L2277" s="111">
        <v>9081.52</v>
      </c>
      <c r="M2277" s="111">
        <v>2724.46</v>
      </c>
      <c r="N2277" s="3">
        <f>L2277*0.3</f>
        <v>2724.4560000000001</v>
      </c>
      <c r="O2277" s="3">
        <f>(IF(L2277&lt;4172.98,0,MIN(L2277*0.3,L2277-4172.98)))-M2277</f>
        <v>-3.9999999999054126E-3</v>
      </c>
      <c r="P2277" s="6">
        <v>46905</v>
      </c>
      <c r="Q2277" t="s">
        <v>141</v>
      </c>
      <c r="R2277" s="111">
        <v>2724.46</v>
      </c>
      <c r="S2277" s="3" t="s">
        <v>204</v>
      </c>
      <c r="V2277" s="51">
        <v>0.45069444444444445</v>
      </c>
    </row>
    <row r="2278" spans="1:25" hidden="1">
      <c r="A2278" s="30">
        <v>24551608</v>
      </c>
      <c r="B2278" s="31">
        <v>46282</v>
      </c>
      <c r="C2278" s="32">
        <v>0.46629629629629632</v>
      </c>
      <c r="D2278" s="33"/>
      <c r="E2278" s="34">
        <v>5218119969845</v>
      </c>
      <c r="F2278" s="33"/>
      <c r="G2278" s="33"/>
      <c r="H2278" s="35">
        <v>43866300569</v>
      </c>
      <c r="I2278" s="33"/>
      <c r="J2278" s="36"/>
      <c r="K2278" t="s">
        <v>30</v>
      </c>
      <c r="L2278" s="111">
        <v>9760.32</v>
      </c>
      <c r="M2278" s="111">
        <v>2809.23</v>
      </c>
      <c r="N2278" s="3">
        <f>L2278*0.3</f>
        <v>2928.096</v>
      </c>
      <c r="O2278" s="3">
        <f>(IF(L2278&lt;4172.98,0,MIN(L2278*0.3,L2278-4172.98)))-M2278</f>
        <v>118.86599999999999</v>
      </c>
      <c r="P2278" s="6">
        <v>46692</v>
      </c>
      <c r="Q2278" t="s">
        <v>57</v>
      </c>
      <c r="R2278" s="3">
        <v>2809.23</v>
      </c>
      <c r="S2278" s="3" t="s">
        <v>204</v>
      </c>
      <c r="V2278" s="51">
        <v>0.46944444444444444</v>
      </c>
    </row>
    <row r="2279" spans="1:25" hidden="1">
      <c r="A2279" s="30">
        <v>24551706</v>
      </c>
      <c r="B2279" s="31">
        <v>46282</v>
      </c>
      <c r="C2279" s="32">
        <v>0.47341435185185188</v>
      </c>
      <c r="D2279" s="33"/>
      <c r="E2279" s="34">
        <v>5216692507076</v>
      </c>
      <c r="F2279" s="33"/>
      <c r="G2279" s="33"/>
      <c r="H2279" s="35">
        <v>23836523391</v>
      </c>
      <c r="I2279" s="33"/>
      <c r="J2279" s="36"/>
      <c r="K2279" t="s">
        <v>30</v>
      </c>
      <c r="L2279" s="111">
        <v>11029.03</v>
      </c>
      <c r="M2279" s="111">
        <v>3212.19</v>
      </c>
      <c r="N2279" s="3">
        <f>L2279*0.3</f>
        <v>3308.7090000000003</v>
      </c>
      <c r="O2279" s="3">
        <f>(IF(L2279&lt;4172.98,0,MIN(L2279*0.3,L2279-4172.98)))-M2279</f>
        <v>96.519000000000233</v>
      </c>
      <c r="P2279" s="6">
        <v>46844</v>
      </c>
      <c r="Q2279" t="s">
        <v>729</v>
      </c>
      <c r="R2279" s="111">
        <v>3212.19</v>
      </c>
      <c r="S2279" s="3" t="s">
        <v>204</v>
      </c>
      <c r="V2279" s="51">
        <v>0.47499999999999998</v>
      </c>
    </row>
    <row r="2280" spans="1:25" hidden="1">
      <c r="A2280" s="12">
        <v>24551958</v>
      </c>
      <c r="B2280" s="13">
        <v>46282</v>
      </c>
      <c r="C2280" s="14">
        <v>0.4800462962962963</v>
      </c>
      <c r="D2280" s="15"/>
      <c r="E2280" s="16">
        <v>5217227149290</v>
      </c>
      <c r="F2280" s="15"/>
      <c r="G2280" s="15" t="s">
        <v>2133</v>
      </c>
      <c r="H2280" s="17"/>
      <c r="I2280" s="15"/>
      <c r="J2280" s="18"/>
      <c r="K2280" t="s">
        <v>32</v>
      </c>
      <c r="N2280" s="3">
        <f t="shared" ref="N2280:N2281" si="304">L2280*0.3</f>
        <v>0</v>
      </c>
      <c r="O2280" s="3">
        <f t="shared" ref="O2280:O2281" si="305">(IF(L2280&lt;4172.98,0,MIN(L2280*0.3,L2280-4172.98)))-M2280</f>
        <v>0</v>
      </c>
      <c r="S2280" s="3" t="s">
        <v>204</v>
      </c>
      <c r="V2280" s="51">
        <v>0.4826388888888889</v>
      </c>
    </row>
    <row r="2281" spans="1:25">
      <c r="A2281" s="30">
        <v>24551814</v>
      </c>
      <c r="B2281" s="31">
        <v>46282</v>
      </c>
      <c r="C2281" s="32">
        <v>0.48236111111111113</v>
      </c>
      <c r="D2281" s="33"/>
      <c r="E2281" s="34">
        <v>5216681461399</v>
      </c>
      <c r="F2281" s="33"/>
      <c r="G2281" s="33" t="s">
        <v>2134</v>
      </c>
      <c r="H2281" s="35"/>
      <c r="I2281" s="33"/>
      <c r="J2281" s="36"/>
      <c r="K2281" t="s">
        <v>54</v>
      </c>
      <c r="L2281" s="3">
        <v>21529.62</v>
      </c>
      <c r="N2281" s="3">
        <f t="shared" si="304"/>
        <v>6458.8859999999995</v>
      </c>
      <c r="O2281" s="3">
        <f t="shared" si="305"/>
        <v>6458.8859999999995</v>
      </c>
      <c r="S2281" s="3" t="s">
        <v>358</v>
      </c>
      <c r="T2281" s="48">
        <v>46282</v>
      </c>
      <c r="V2281" s="51">
        <v>0.4826388888888889</v>
      </c>
      <c r="W2281" s="51">
        <v>0.50277777777777777</v>
      </c>
      <c r="X2281" s="51">
        <v>0.50416666666666665</v>
      </c>
      <c r="Y2281" s="51">
        <v>0.50555555555555554</v>
      </c>
    </row>
    <row r="2282" spans="1:25">
      <c r="A2282" s="30">
        <v>24552516</v>
      </c>
      <c r="B2282" s="31">
        <v>46282</v>
      </c>
      <c r="C2282" s="32">
        <v>0.49775462962962963</v>
      </c>
      <c r="D2282" s="33"/>
      <c r="E2282" s="34">
        <v>5212941523943</v>
      </c>
      <c r="F2282" s="33"/>
      <c r="G2282" s="33"/>
      <c r="H2282" s="35">
        <v>65965921086</v>
      </c>
      <c r="I2282" s="33"/>
      <c r="J2282" s="36"/>
      <c r="K2282" t="s">
        <v>107</v>
      </c>
      <c r="L2282" s="111">
        <v>4813.6899999999996</v>
      </c>
      <c r="M2282" s="111">
        <v>617.9</v>
      </c>
      <c r="N2282" s="3">
        <f>L2282*0.3</f>
        <v>1444.1069999999997</v>
      </c>
      <c r="O2282" s="3">
        <f>(IF(L2282&lt;4172.98,0,MIN(L2282*0.3,L2282-4172.98)))-M2282</f>
        <v>22.810000000000059</v>
      </c>
      <c r="P2282" s="6">
        <v>45689</v>
      </c>
      <c r="Q2282" t="s">
        <v>818</v>
      </c>
      <c r="R2282" s="3">
        <v>300</v>
      </c>
      <c r="S2282" s="3" t="s">
        <v>39</v>
      </c>
      <c r="T2282" s="48">
        <v>46282</v>
      </c>
      <c r="V2282" s="51">
        <v>0.49861111111111112</v>
      </c>
      <c r="W2282" s="51">
        <v>0.50555555555555554</v>
      </c>
      <c r="X2282" s="51">
        <v>0.50624999999999998</v>
      </c>
      <c r="Y2282" s="51">
        <v>0.51388888888888884</v>
      </c>
    </row>
    <row r="2283" spans="1:25" hidden="1">
      <c r="A2283" s="30">
        <v>24552616</v>
      </c>
      <c r="B2283" s="31">
        <v>46282</v>
      </c>
      <c r="C2283" s="32">
        <v>0.50037037037037035</v>
      </c>
      <c r="D2283" s="33" t="s">
        <v>2135</v>
      </c>
      <c r="E2283" s="34">
        <v>5218781339910</v>
      </c>
      <c r="F2283" s="33"/>
      <c r="G2283" s="33" t="s">
        <v>2136</v>
      </c>
      <c r="H2283" s="35"/>
      <c r="I2283" s="33"/>
      <c r="J2283" s="36"/>
      <c r="K2283" t="s">
        <v>58</v>
      </c>
      <c r="L2283" s="3">
        <v>3912.1</v>
      </c>
      <c r="N2283" s="3">
        <f>L2283*0.3</f>
        <v>1173.6299999999999</v>
      </c>
      <c r="O2283" s="3">
        <f>(IF(L2283&lt;4172.98,0,MIN(L2283*0.3,L2283-4172.98)))-M2283</f>
        <v>0</v>
      </c>
      <c r="S2283" s="3" t="s">
        <v>204</v>
      </c>
      <c r="V2283" s="51">
        <v>0.50069444444444444</v>
      </c>
    </row>
    <row r="2284" spans="1:25" hidden="1">
      <c r="A2284" s="30">
        <v>24552590</v>
      </c>
      <c r="B2284" s="31">
        <v>46282</v>
      </c>
      <c r="C2284" s="32">
        <v>0.50200231481481483</v>
      </c>
      <c r="D2284" s="33" t="s">
        <v>2137</v>
      </c>
      <c r="E2284" s="34">
        <v>5218444599316</v>
      </c>
      <c r="F2284" s="33"/>
      <c r="G2284" s="33" t="s">
        <v>2138</v>
      </c>
      <c r="H2284" s="35"/>
      <c r="I2284" s="33"/>
      <c r="J2284" s="36"/>
      <c r="K2284" t="s">
        <v>32</v>
      </c>
      <c r="N2284" s="3">
        <f>L2284*0.3</f>
        <v>0</v>
      </c>
      <c r="O2284" s="3">
        <f>(IF(L2284&lt;4172.98,0,MIN(L2284*0.3,L2284-4172.98)))-M2284</f>
        <v>0</v>
      </c>
      <c r="S2284" s="3" t="s">
        <v>204</v>
      </c>
      <c r="V2284" s="51">
        <v>0.50208333333333333</v>
      </c>
    </row>
    <row r="2285" spans="1:25" hidden="1">
      <c r="A2285" s="30">
        <v>24552534</v>
      </c>
      <c r="B2285" s="31">
        <v>46282</v>
      </c>
      <c r="C2285" s="32">
        <v>0.5111458333333333</v>
      </c>
      <c r="D2285" s="33"/>
      <c r="E2285" s="34">
        <v>5215543711214</v>
      </c>
      <c r="F2285" s="33"/>
      <c r="G2285" s="33" t="s">
        <v>2139</v>
      </c>
      <c r="H2285" s="35"/>
      <c r="I2285" s="33"/>
      <c r="J2285" s="36"/>
      <c r="K2285" t="s">
        <v>30</v>
      </c>
      <c r="L2285" s="111">
        <v>6789.31</v>
      </c>
      <c r="M2285" s="111">
        <v>2036.79</v>
      </c>
      <c r="N2285" s="3">
        <f>L2285*0.3</f>
        <v>2036.7930000000001</v>
      </c>
      <c r="O2285" s="3">
        <f>(IF(L2285&lt;4172.98,0,MIN(L2285*0.3,L2285-4172.98)))-M2285</f>
        <v>3.0000000001564331E-3</v>
      </c>
      <c r="P2285" s="6">
        <v>46419</v>
      </c>
      <c r="Q2285" t="s">
        <v>1312</v>
      </c>
      <c r="R2285" s="3">
        <v>1320</v>
      </c>
      <c r="S2285" s="3" t="s">
        <v>204</v>
      </c>
      <c r="V2285" s="51">
        <v>0.51458333333333328</v>
      </c>
    </row>
    <row r="2286" spans="1:25" hidden="1">
      <c r="A2286" s="30">
        <v>24553408</v>
      </c>
      <c r="B2286" s="31">
        <v>46282</v>
      </c>
      <c r="C2286" s="32">
        <v>0.516087962962963</v>
      </c>
      <c r="D2286" s="33" t="s">
        <v>2140</v>
      </c>
      <c r="E2286" s="34">
        <v>5219981147198</v>
      </c>
      <c r="F2286" s="33"/>
      <c r="G2286" s="33" t="s">
        <v>2141</v>
      </c>
      <c r="H2286" s="35"/>
      <c r="I2286" s="33"/>
      <c r="J2286" s="36"/>
      <c r="K2286" t="s">
        <v>30</v>
      </c>
      <c r="L2286" s="111">
        <v>5642.22</v>
      </c>
      <c r="M2286" s="111">
        <v>1403.44</v>
      </c>
      <c r="N2286" s="3">
        <f>L2286*0.3</f>
        <v>1692.6659999999999</v>
      </c>
      <c r="O2286" s="3">
        <f>(IF(L2286&lt;4172.98,0,MIN(L2286*0.3,L2286-4172.98)))-M2286</f>
        <v>65.800000000000637</v>
      </c>
      <c r="P2286" s="6">
        <v>46722</v>
      </c>
      <c r="Q2286" t="s">
        <v>210</v>
      </c>
      <c r="R2286" s="111">
        <v>1403.44</v>
      </c>
      <c r="S2286" s="3" t="s">
        <v>204</v>
      </c>
      <c r="V2286" s="51">
        <v>0.51736111111111116</v>
      </c>
    </row>
    <row r="2287" spans="1:25" hidden="1">
      <c r="A2287" s="12">
        <v>24553924</v>
      </c>
      <c r="B2287" s="13">
        <v>46282</v>
      </c>
      <c r="C2287" s="14">
        <v>0.53450231481481481</v>
      </c>
      <c r="D2287" s="15"/>
      <c r="E2287" s="16">
        <v>5215582525625</v>
      </c>
      <c r="F2287" s="15"/>
      <c r="G2287" s="15"/>
      <c r="H2287" s="17">
        <v>37886831462</v>
      </c>
      <c r="I2287" s="15"/>
      <c r="J2287" s="18"/>
      <c r="K2287" t="s">
        <v>58</v>
      </c>
      <c r="L2287" s="3">
        <f>3065.9+848</f>
        <v>3913.9</v>
      </c>
      <c r="M2287" s="3">
        <v>848</v>
      </c>
      <c r="N2287" s="3">
        <f t="shared" ref="N2287:N2288" si="306">L2287*0.3</f>
        <v>1174.17</v>
      </c>
      <c r="O2287" s="3">
        <f t="shared" ref="O2287:O2288" si="307">(IF(L2287&lt;4172.98,0,MIN(L2287*0.3,L2287-4172.98)))-M2287</f>
        <v>-848</v>
      </c>
      <c r="S2287" s="3" t="s">
        <v>204</v>
      </c>
      <c r="V2287" s="51">
        <v>0.53819444444444442</v>
      </c>
    </row>
    <row r="2288" spans="1:25">
      <c r="A2288" s="30">
        <v>24553896</v>
      </c>
      <c r="B2288" s="31">
        <v>46282</v>
      </c>
      <c r="C2288" s="32">
        <v>0.53657407407407409</v>
      </c>
      <c r="D2288" s="33"/>
      <c r="E2288" s="34">
        <v>5218442835630</v>
      </c>
      <c r="F2288" s="33"/>
      <c r="G2288" s="33"/>
      <c r="H2288" s="35" t="s">
        <v>2142</v>
      </c>
      <c r="I2288" s="33"/>
      <c r="J2288" s="36"/>
      <c r="K2288" t="s">
        <v>38</v>
      </c>
      <c r="L2288" s="111">
        <v>13014.17</v>
      </c>
      <c r="M2288" s="111">
        <v>3591.43</v>
      </c>
      <c r="N2288" s="3">
        <f t="shared" si="306"/>
        <v>3904.2509999999997</v>
      </c>
      <c r="O2288" s="3">
        <f t="shared" si="307"/>
        <v>312.82099999999991</v>
      </c>
      <c r="P2288" s="6">
        <v>46296</v>
      </c>
      <c r="Q2288" t="s">
        <v>47</v>
      </c>
      <c r="R2288" s="111">
        <v>3591.43</v>
      </c>
      <c r="S2288" s="3" t="s">
        <v>39</v>
      </c>
      <c r="T2288" s="48">
        <v>46282</v>
      </c>
      <c r="V2288" s="51">
        <v>0.53819444444444442</v>
      </c>
      <c r="W2288" s="51">
        <v>0.54722222222222228</v>
      </c>
      <c r="X2288" s="51">
        <v>0.54791666666666672</v>
      </c>
      <c r="Y2288" s="51">
        <v>0.55277777777777781</v>
      </c>
    </row>
    <row r="2289" spans="1:25" hidden="1">
      <c r="A2289" s="30">
        <v>24554346</v>
      </c>
      <c r="B2289" s="31">
        <v>46282</v>
      </c>
      <c r="C2289" s="32">
        <v>0.53866898148148146</v>
      </c>
      <c r="D2289" s="33"/>
      <c r="E2289" s="34">
        <v>5212291192559</v>
      </c>
      <c r="F2289" s="33"/>
      <c r="G2289" s="33"/>
      <c r="H2289" s="35">
        <v>13755704791</v>
      </c>
      <c r="I2289" s="33"/>
      <c r="J2289" s="36"/>
      <c r="K2289" t="s">
        <v>32</v>
      </c>
      <c r="N2289" s="3">
        <f>L2289*0.3</f>
        <v>0</v>
      </c>
      <c r="O2289" s="3">
        <f>(IF(L2289&lt;4172.98,0,MIN(L2289*0.3,L2289-4172.98)))-M2289</f>
        <v>0</v>
      </c>
      <c r="S2289" s="3" t="s">
        <v>204</v>
      </c>
      <c r="V2289" s="51">
        <v>0.54166666666666663</v>
      </c>
    </row>
    <row r="2290" spans="1:25" hidden="1">
      <c r="A2290" s="30">
        <v>24554392</v>
      </c>
      <c r="B2290" s="31">
        <v>46282</v>
      </c>
      <c r="C2290" s="32">
        <v>0.5486805555555555</v>
      </c>
      <c r="D2290" s="33"/>
      <c r="E2290" s="34">
        <v>5214495136139</v>
      </c>
      <c r="F2290" s="33"/>
      <c r="G2290" s="33"/>
      <c r="H2290" s="35">
        <v>51896803452</v>
      </c>
      <c r="I2290" s="33"/>
      <c r="J2290" s="36"/>
      <c r="K2290" t="s">
        <v>30</v>
      </c>
      <c r="L2290" s="111">
        <v>7162.11</v>
      </c>
      <c r="M2290" s="111">
        <v>2148.63</v>
      </c>
      <c r="N2290" s="3">
        <f>L2290*0.3</f>
        <v>2148.6329999999998</v>
      </c>
      <c r="O2290" s="3">
        <f>(IF(L2290&lt;4172.98,0,MIN(L2290*0.3,L2290-4172.98)))-M2290</f>
        <v>2.9999999997016857E-3</v>
      </c>
      <c r="P2290" s="6">
        <v>46692</v>
      </c>
      <c r="Q2290" t="s">
        <v>57</v>
      </c>
      <c r="R2290" s="3">
        <v>1060.22</v>
      </c>
      <c r="S2290" s="3" t="s">
        <v>204</v>
      </c>
      <c r="V2290" s="51">
        <v>0.5493055555555556</v>
      </c>
    </row>
    <row r="2291" spans="1:25" hidden="1">
      <c r="A2291" s="30">
        <v>24455934</v>
      </c>
      <c r="B2291" s="31">
        <v>46282</v>
      </c>
      <c r="C2291" s="32">
        <v>0.55493055555555559</v>
      </c>
      <c r="D2291" s="33"/>
      <c r="E2291" s="34">
        <v>5214531167014</v>
      </c>
      <c r="F2291" s="33"/>
      <c r="G2291" s="33"/>
      <c r="H2291" s="35">
        <v>53907124522</v>
      </c>
      <c r="I2291" s="33"/>
      <c r="J2291" s="36"/>
      <c r="K2291" t="s">
        <v>30</v>
      </c>
      <c r="L2291" s="111">
        <v>7920.52</v>
      </c>
      <c r="M2291" s="111">
        <v>2288.69</v>
      </c>
      <c r="N2291" s="3">
        <f>L2291*0.3</f>
        <v>2376.1559999999999</v>
      </c>
      <c r="O2291" s="3">
        <f>(IF(L2291&lt;4172.98,0,MIN(L2291*0.3,L2291-4172.98)))-M2291</f>
        <v>87.465999999999894</v>
      </c>
      <c r="P2291" s="6">
        <v>46631</v>
      </c>
      <c r="Q2291" t="s">
        <v>73</v>
      </c>
      <c r="R2291" s="111">
        <v>2288.69</v>
      </c>
      <c r="S2291" s="53" t="s">
        <v>204</v>
      </c>
      <c r="V2291" s="51">
        <v>0.55486111111111114</v>
      </c>
    </row>
    <row r="2292" spans="1:25" hidden="1">
      <c r="A2292" s="30">
        <v>24475146</v>
      </c>
      <c r="B2292" s="31">
        <v>46282</v>
      </c>
      <c r="C2292" s="32">
        <v>0.55701388888888892</v>
      </c>
      <c r="D2292" s="33"/>
      <c r="E2292" s="34">
        <v>5217222528848</v>
      </c>
      <c r="F2292" s="33"/>
      <c r="G2292" s="33" t="s">
        <v>2143</v>
      </c>
      <c r="H2292" s="35"/>
      <c r="I2292" s="33"/>
      <c r="J2292" s="36"/>
      <c r="K2292" t="s">
        <v>32</v>
      </c>
      <c r="N2292" s="3">
        <f>L2292*0.3</f>
        <v>0</v>
      </c>
      <c r="O2292" s="3">
        <f>(IF(L2292&lt;4172.98,0,MIN(L2292*0.3,L2292-4172.98)))-M2292</f>
        <v>0</v>
      </c>
      <c r="S2292" s="53" t="s">
        <v>204</v>
      </c>
      <c r="V2292" s="51">
        <v>0.55694444444444446</v>
      </c>
    </row>
    <row r="2293" spans="1:25">
      <c r="A2293" s="30">
        <v>24489170</v>
      </c>
      <c r="B2293" s="31">
        <v>46282</v>
      </c>
      <c r="C2293" s="32">
        <v>0.55770833333333336</v>
      </c>
      <c r="D2293" s="33"/>
      <c r="E2293" s="34">
        <v>5216643493213</v>
      </c>
      <c r="F2293" s="33"/>
      <c r="G2293" s="33"/>
      <c r="H2293" s="35">
        <v>21594311561</v>
      </c>
      <c r="I2293" s="33"/>
      <c r="J2293" s="36"/>
      <c r="K2293" t="s">
        <v>54</v>
      </c>
      <c r="L2293" s="3">
        <v>11500.15</v>
      </c>
      <c r="N2293" s="3">
        <f>L2293*0.3</f>
        <v>3450.0449999999996</v>
      </c>
      <c r="O2293" s="3">
        <f>(IF(L2293&lt;4172.98,0,MIN(L2293*0.3,L2293-4172.98)))-M2293</f>
        <v>3450.0449999999996</v>
      </c>
      <c r="S2293" s="53" t="s">
        <v>35</v>
      </c>
      <c r="T2293" s="48">
        <v>46282</v>
      </c>
      <c r="V2293" s="51">
        <v>0.55763888888888891</v>
      </c>
      <c r="W2293" s="51">
        <v>0.56597222222222221</v>
      </c>
      <c r="X2293" s="51">
        <v>0.57152777777777775</v>
      </c>
      <c r="Y2293" s="51">
        <v>0.64861111111111114</v>
      </c>
    </row>
    <row r="2294" spans="1:25">
      <c r="A2294" s="30">
        <v>24554984</v>
      </c>
      <c r="B2294" s="31">
        <v>46282</v>
      </c>
      <c r="C2294" s="32">
        <v>0.56188657407407405</v>
      </c>
      <c r="D2294" s="33"/>
      <c r="E2294" s="34">
        <v>5214767382459</v>
      </c>
      <c r="F2294" s="33"/>
      <c r="G2294" s="33"/>
      <c r="H2294" s="35" t="s">
        <v>2144</v>
      </c>
      <c r="I2294" s="33"/>
      <c r="J2294" s="36"/>
      <c r="K2294" t="s">
        <v>107</v>
      </c>
      <c r="L2294" s="111">
        <v>12725.73</v>
      </c>
      <c r="M2294" s="111">
        <v>3817</v>
      </c>
      <c r="N2294" s="3">
        <f>L2294*0.3</f>
        <v>3817.7189999999996</v>
      </c>
      <c r="O2294" s="3">
        <f>(IF(L2294&lt;4172.98,0,MIN(L2294*0.3,L2294-4172.98)))-M2294</f>
        <v>0.71899999999959618</v>
      </c>
      <c r="P2294" s="6">
        <v>46174</v>
      </c>
      <c r="Q2294" t="s">
        <v>59</v>
      </c>
      <c r="R2294" s="3">
        <v>384.24</v>
      </c>
      <c r="S2294" s="3" t="s">
        <v>39</v>
      </c>
      <c r="T2294" s="48">
        <v>46282</v>
      </c>
      <c r="V2294" s="51">
        <v>0.56388888888888888</v>
      </c>
      <c r="W2294" s="51">
        <v>0.5708333333333333</v>
      </c>
      <c r="X2294" s="51">
        <v>0.5708333333333333</v>
      </c>
      <c r="Y2294" s="51">
        <v>0.5805555555555556</v>
      </c>
    </row>
    <row r="2295" spans="1:25">
      <c r="A2295" s="30">
        <v>24555650</v>
      </c>
      <c r="B2295" s="31">
        <v>46282</v>
      </c>
      <c r="C2295" s="32">
        <v>0.57513888888888887</v>
      </c>
      <c r="D2295" s="33"/>
      <c r="E2295" s="34">
        <v>5215547905374</v>
      </c>
      <c r="F2295" s="33"/>
      <c r="G2295" s="33"/>
      <c r="H2295" s="35">
        <v>10856628978</v>
      </c>
      <c r="I2295" s="33"/>
      <c r="J2295" s="36"/>
      <c r="K2295" t="s">
        <v>54</v>
      </c>
      <c r="L2295" s="3">
        <v>10636.54</v>
      </c>
      <c r="N2295" s="3">
        <f>L2295*0.3</f>
        <v>3190.962</v>
      </c>
      <c r="O2295" s="3">
        <f>(IF(L2295&lt;4172.98,0,MIN(L2295*0.3,L2295-4172.98)))-M2295</f>
        <v>3190.962</v>
      </c>
      <c r="S2295" s="3" t="s">
        <v>1808</v>
      </c>
      <c r="T2295" s="48">
        <v>46282</v>
      </c>
      <c r="V2295" s="51">
        <v>0.58194444444444449</v>
      </c>
      <c r="W2295" s="51">
        <v>0.58472222222222225</v>
      </c>
      <c r="X2295" s="51">
        <v>0.58680555555555558</v>
      </c>
      <c r="Y2295" s="51">
        <v>0.60624999999999996</v>
      </c>
    </row>
    <row r="2296" spans="1:25" hidden="1">
      <c r="A2296" s="30">
        <v>24555590</v>
      </c>
      <c r="B2296" s="31">
        <v>46282</v>
      </c>
      <c r="C2296" s="32">
        <v>0.58289351851851856</v>
      </c>
      <c r="D2296" s="33"/>
      <c r="E2296" s="34">
        <v>5214438464874</v>
      </c>
      <c r="F2296" s="33"/>
      <c r="G2296" s="33" t="s">
        <v>2145</v>
      </c>
      <c r="H2296" s="35"/>
      <c r="I2296" s="33"/>
      <c r="J2296" s="36"/>
      <c r="K2296" t="s">
        <v>58</v>
      </c>
      <c r="L2296" s="3">
        <v>3882.85</v>
      </c>
      <c r="N2296" s="3">
        <f>L2296*0.3</f>
        <v>1164.855</v>
      </c>
      <c r="O2296" s="3">
        <f>(IF(L2296&lt;4172.98,0,MIN(L2296*0.3,L2296-4172.98)))-M2296</f>
        <v>0</v>
      </c>
      <c r="S2296" s="3" t="s">
        <v>204</v>
      </c>
      <c r="V2296" s="51">
        <v>0.58263888888888893</v>
      </c>
    </row>
    <row r="2297" spans="1:25" hidden="1">
      <c r="A2297" s="30">
        <v>24556138</v>
      </c>
      <c r="B2297" s="31">
        <v>46282</v>
      </c>
      <c r="C2297" s="32">
        <v>0.59048611111111116</v>
      </c>
      <c r="D2297" s="33"/>
      <c r="E2297" s="34">
        <v>5216643136723</v>
      </c>
      <c r="F2297" s="33"/>
      <c r="G2297" s="33"/>
      <c r="H2297" s="35">
        <v>21887040984</v>
      </c>
      <c r="I2297" s="33"/>
      <c r="J2297" s="36"/>
      <c r="K2297" t="s">
        <v>30</v>
      </c>
      <c r="L2297" s="111">
        <v>5713.97</v>
      </c>
      <c r="M2297" s="111">
        <v>1486</v>
      </c>
      <c r="N2297" s="3">
        <f>L2297*0.3</f>
        <v>1714.191</v>
      </c>
      <c r="O2297" s="3">
        <f>(IF(L2297&lt;4172.98,0,MIN(L2297*0.3,L2297-4172.98)))-M2297</f>
        <v>54.990000000000691</v>
      </c>
      <c r="P2297" s="6">
        <v>46508</v>
      </c>
      <c r="Q2297" t="s">
        <v>59</v>
      </c>
      <c r="R2297" s="111">
        <v>1486</v>
      </c>
      <c r="S2297" s="3" t="s">
        <v>204</v>
      </c>
      <c r="V2297" s="51">
        <v>0.59027777777777779</v>
      </c>
    </row>
    <row r="2298" spans="1:25" hidden="1">
      <c r="A2298" s="30">
        <v>24556334</v>
      </c>
      <c r="B2298" s="31">
        <v>46282</v>
      </c>
      <c r="C2298" s="32">
        <v>0.59608796296296296</v>
      </c>
      <c r="D2298" s="33"/>
      <c r="E2298" s="34">
        <v>5212225103036</v>
      </c>
      <c r="F2298" s="33"/>
      <c r="G2298" s="33"/>
      <c r="H2298" s="35">
        <v>62765912480</v>
      </c>
      <c r="I2298" s="33"/>
      <c r="J2298" s="36"/>
      <c r="K2298" t="s">
        <v>30</v>
      </c>
      <c r="L2298" s="125">
        <v>5617.63</v>
      </c>
      <c r="M2298" s="125">
        <v>1393.24</v>
      </c>
      <c r="N2298" s="3">
        <f>L2298*0.3</f>
        <v>1685.289</v>
      </c>
      <c r="O2298" s="3">
        <f>(IF(L2298&lt;4172.98,0,MIN(L2298*0.3,L2298-4172.98)))-M2298</f>
        <v>51.410000000000537</v>
      </c>
      <c r="P2298" s="6">
        <v>46631</v>
      </c>
      <c r="Q2298" t="s">
        <v>1312</v>
      </c>
      <c r="R2298" s="3">
        <v>1393.24</v>
      </c>
      <c r="S2298" s="3" t="s">
        <v>204</v>
      </c>
      <c r="V2298" s="51">
        <v>0.59791666666666665</v>
      </c>
    </row>
    <row r="2299" spans="1:25" hidden="1">
      <c r="A2299" s="30">
        <v>24556712</v>
      </c>
      <c r="B2299" s="31">
        <v>46282</v>
      </c>
      <c r="C2299" s="32">
        <v>0.6125694444444445</v>
      </c>
      <c r="D2299" s="33"/>
      <c r="E2299" s="34">
        <v>5215525663942</v>
      </c>
      <c r="F2299" s="33"/>
      <c r="G2299" s="33"/>
      <c r="H2299" s="35" t="s">
        <v>2146</v>
      </c>
      <c r="I2299" s="33"/>
      <c r="J2299" s="36"/>
      <c r="K2299" t="s">
        <v>30</v>
      </c>
      <c r="L2299" s="125">
        <v>23857.78</v>
      </c>
      <c r="M2299" s="125">
        <v>6884.39</v>
      </c>
      <c r="N2299" s="3">
        <f>L2299*0.3</f>
        <v>7157.3339999999998</v>
      </c>
      <c r="O2299" s="3">
        <f>(IF(L2299&lt;4172.98,0,MIN(L2299*0.3,L2299-4172.98)))-M2299</f>
        <v>272.94399999999951</v>
      </c>
      <c r="P2299" s="6">
        <v>46661</v>
      </c>
      <c r="Q2299" t="s">
        <v>1323</v>
      </c>
      <c r="R2299" s="3">
        <v>1225.5899999999999</v>
      </c>
      <c r="S2299" s="3" t="s">
        <v>204</v>
      </c>
      <c r="V2299" s="51">
        <v>0.61319444444444449</v>
      </c>
    </row>
    <row r="2300" spans="1:25" hidden="1">
      <c r="A2300" s="30">
        <v>24556052</v>
      </c>
      <c r="B2300" s="31">
        <v>46282</v>
      </c>
      <c r="C2300" s="32">
        <v>0.61450231481481477</v>
      </c>
      <c r="D2300" s="33"/>
      <c r="E2300" s="34">
        <v>5215525103546</v>
      </c>
      <c r="F2300" s="33"/>
      <c r="G2300" s="33" t="s">
        <v>2147</v>
      </c>
      <c r="H2300" s="35" t="s">
        <v>2148</v>
      </c>
      <c r="I2300" s="33"/>
      <c r="J2300" s="36"/>
      <c r="K2300" t="s">
        <v>30</v>
      </c>
      <c r="L2300" s="125">
        <v>19597.59</v>
      </c>
      <c r="M2300" s="125">
        <v>5878.24</v>
      </c>
      <c r="N2300" s="3">
        <f>L2300*0.3</f>
        <v>5879.277</v>
      </c>
      <c r="O2300" s="3">
        <f>(IF(L2300&lt;4172.98,0,MIN(L2300*0.3,L2300-4172.98)))-M2300</f>
        <v>1.0370000000002619</v>
      </c>
      <c r="P2300" s="6">
        <v>46388</v>
      </c>
      <c r="Q2300" t="s">
        <v>658</v>
      </c>
      <c r="R2300" s="3">
        <v>3936.46</v>
      </c>
      <c r="S2300" s="3" t="s">
        <v>204</v>
      </c>
      <c r="V2300" s="51">
        <v>0.61527777777777781</v>
      </c>
    </row>
    <row r="2301" spans="1:25" hidden="1">
      <c r="A2301" s="12">
        <v>24556992</v>
      </c>
      <c r="B2301" s="13">
        <v>46282</v>
      </c>
      <c r="C2301" s="14">
        <v>0.61909722222222219</v>
      </c>
      <c r="D2301" s="15"/>
      <c r="E2301" s="16">
        <v>5215648139924</v>
      </c>
      <c r="F2301" s="15"/>
      <c r="G2301" s="15" t="s">
        <v>2149</v>
      </c>
      <c r="H2301" s="17"/>
      <c r="I2301" s="15"/>
      <c r="J2301" s="18"/>
      <c r="K2301" t="s">
        <v>32</v>
      </c>
      <c r="N2301" s="3">
        <f>L2301*0.3</f>
        <v>0</v>
      </c>
      <c r="O2301" s="3">
        <f>(IF(L2301&lt;4172.98,0,MIN(L2301*0.3,L2301-4172.98)))-M2301</f>
        <v>0</v>
      </c>
      <c r="S2301" s="3" t="s">
        <v>204</v>
      </c>
      <c r="V2301" s="51">
        <v>0.62083333333333335</v>
      </c>
    </row>
    <row r="2302" spans="1:25" hidden="1">
      <c r="A2302" s="30">
        <v>24556714</v>
      </c>
      <c r="B2302" s="31">
        <v>46282</v>
      </c>
      <c r="C2302" s="32">
        <v>0.62020833333333336</v>
      </c>
      <c r="D2302" s="33"/>
      <c r="E2302" s="34">
        <v>5213781050538</v>
      </c>
      <c r="F2302" s="33"/>
      <c r="G2302" s="33"/>
      <c r="H2302" s="35" t="s">
        <v>2150</v>
      </c>
      <c r="I2302" s="33"/>
      <c r="J2302" s="36"/>
      <c r="K2302" t="s">
        <v>30</v>
      </c>
      <c r="L2302" s="125">
        <v>8173.37</v>
      </c>
      <c r="M2302" s="125">
        <v>2452.0100000000002</v>
      </c>
      <c r="N2302" s="3">
        <f>L2302*0.3</f>
        <v>2452.011</v>
      </c>
      <c r="O2302" s="3">
        <f>(IF(L2302&lt;4172.98,0,MIN(L2302*0.3,L2302-4172.98)))-M2302</f>
        <v>9.9999999974897946E-4</v>
      </c>
      <c r="P2302" s="6">
        <v>46784</v>
      </c>
      <c r="Q2302" t="s">
        <v>44</v>
      </c>
      <c r="R2302" s="3">
        <v>1604.01</v>
      </c>
      <c r="S2302" s="3" t="s">
        <v>204</v>
      </c>
      <c r="V2302" s="51">
        <v>0.62083333333333335</v>
      </c>
    </row>
    <row r="2303" spans="1:25">
      <c r="A2303" s="30">
        <v>24557262</v>
      </c>
      <c r="B2303" s="31">
        <v>46282</v>
      </c>
      <c r="C2303" s="32">
        <v>0.63067129629629626</v>
      </c>
      <c r="D2303" s="33"/>
      <c r="E2303" s="34">
        <v>5218673097660</v>
      </c>
      <c r="F2303" s="33"/>
      <c r="G2303" s="33" t="s">
        <v>2151</v>
      </c>
      <c r="H2303" s="35"/>
      <c r="I2303" s="33"/>
      <c r="J2303" s="36"/>
      <c r="K2303" t="s">
        <v>54</v>
      </c>
      <c r="L2303" s="3">
        <v>68266.990000000005</v>
      </c>
      <c r="N2303" s="3">
        <f>L2303*0.3</f>
        <v>20480.097000000002</v>
      </c>
      <c r="O2303" s="3">
        <f>(IF(L2303&lt;4172.98,0,MIN(L2303*0.3,L2303-4172.98)))-M2303</f>
        <v>20480.097000000002</v>
      </c>
      <c r="S2303" s="3" t="s">
        <v>1910</v>
      </c>
      <c r="T2303" s="48">
        <v>46282</v>
      </c>
      <c r="V2303" s="51">
        <v>0.63055555555555554</v>
      </c>
      <c r="W2303" s="51">
        <v>0.63611111111111107</v>
      </c>
      <c r="X2303" s="51">
        <v>0.63888888888888884</v>
      </c>
      <c r="Y2303" s="51">
        <v>0.64236111111111116</v>
      </c>
    </row>
    <row r="2304" spans="1:25" hidden="1">
      <c r="A2304" s="30">
        <v>24557666</v>
      </c>
      <c r="B2304" s="31">
        <v>46282</v>
      </c>
      <c r="C2304" s="32">
        <v>0.6470717592592593</v>
      </c>
      <c r="D2304" s="33" t="s">
        <v>2152</v>
      </c>
      <c r="E2304" s="34">
        <v>5216871589187</v>
      </c>
      <c r="F2304" s="33"/>
      <c r="G2304" s="33" t="s">
        <v>2153</v>
      </c>
      <c r="H2304" s="35"/>
      <c r="I2304" s="33"/>
      <c r="J2304" s="36"/>
      <c r="K2304" t="s">
        <v>30</v>
      </c>
      <c r="L2304" s="111">
        <v>7116.73</v>
      </c>
      <c r="M2304" s="111">
        <v>2135</v>
      </c>
      <c r="N2304" s="3">
        <f>L2304*0.3</f>
        <v>2135.0189999999998</v>
      </c>
      <c r="O2304" s="3">
        <f>(IF(L2304&lt;4172.98,0,MIN(L2304*0.3,L2304-4172.98)))-M2304</f>
        <v>1.8999999999778083E-2</v>
      </c>
      <c r="P2304" s="6">
        <v>46813</v>
      </c>
      <c r="Q2304" t="s">
        <v>47</v>
      </c>
      <c r="R2304" s="3">
        <v>2135</v>
      </c>
      <c r="S2304" s="3" t="s">
        <v>204</v>
      </c>
      <c r="V2304" s="51">
        <v>0.6479166666666667</v>
      </c>
    </row>
    <row r="2305" spans="1:25" hidden="1">
      <c r="A2305" s="30">
        <v>24557652</v>
      </c>
      <c r="B2305" s="31">
        <v>46282</v>
      </c>
      <c r="C2305" s="32">
        <v>0.6490393518518518</v>
      </c>
      <c r="D2305" s="33"/>
      <c r="E2305" s="34">
        <v>5215548293972</v>
      </c>
      <c r="F2305" s="33"/>
      <c r="G2305" s="33" t="s">
        <v>2154</v>
      </c>
      <c r="H2305" s="35"/>
      <c r="I2305" s="33"/>
      <c r="J2305" s="36"/>
      <c r="K2305" t="s">
        <v>30</v>
      </c>
      <c r="L2305" s="125">
        <v>17477.75</v>
      </c>
      <c r="M2305" s="125">
        <v>5240.53</v>
      </c>
      <c r="N2305" s="3">
        <f>L2305*0.3</f>
        <v>5243.3249999999998</v>
      </c>
      <c r="O2305" s="3">
        <f>(IF(L2305&lt;4172.98,0,MIN(L2305*0.3,L2305-4172.98)))-M2305</f>
        <v>2.7950000000000728</v>
      </c>
      <c r="P2305" s="6">
        <v>46631</v>
      </c>
      <c r="Q2305" t="s">
        <v>44</v>
      </c>
      <c r="R2305" s="3">
        <v>5056.6899999999996</v>
      </c>
      <c r="S2305" s="3" t="s">
        <v>204</v>
      </c>
      <c r="V2305" s="51">
        <v>0.64930555555555558</v>
      </c>
    </row>
    <row r="2306" spans="1:25" hidden="1">
      <c r="A2306" s="30">
        <v>24557596</v>
      </c>
      <c r="B2306" s="31">
        <v>46282</v>
      </c>
      <c r="C2306" s="32">
        <v>0.6589814814814815</v>
      </c>
      <c r="D2306" s="33"/>
      <c r="E2306" s="34">
        <v>5212295301532</v>
      </c>
      <c r="F2306" s="33"/>
      <c r="G2306" s="33"/>
      <c r="H2306" s="35" t="s">
        <v>2155</v>
      </c>
      <c r="I2306" s="33"/>
      <c r="J2306" s="36"/>
      <c r="K2306" t="s">
        <v>58</v>
      </c>
      <c r="L2306" s="125">
        <v>1999.67</v>
      </c>
      <c r="M2306" s="125"/>
      <c r="N2306" s="3">
        <f>L2306*0.3</f>
        <v>599.90099999999995</v>
      </c>
      <c r="O2306" s="3">
        <f>(IF(L2306&lt;4172.98,0,MIN(L2306*0.3,L2306-4172.98)))-M2306</f>
        <v>0</v>
      </c>
      <c r="S2306" s="3" t="s">
        <v>204</v>
      </c>
      <c r="V2306" s="51">
        <v>0.66041666666666665</v>
      </c>
    </row>
    <row r="2307" spans="1:25" hidden="1">
      <c r="A2307" s="30">
        <v>24558366</v>
      </c>
      <c r="B2307" s="31">
        <v>46282</v>
      </c>
      <c r="C2307" s="32">
        <v>0.68739583333333332</v>
      </c>
      <c r="D2307" s="33"/>
      <c r="E2307" s="34">
        <v>5218115131022</v>
      </c>
      <c r="F2307" s="33"/>
      <c r="G2307" s="33" t="s">
        <v>2156</v>
      </c>
      <c r="H2307" s="35"/>
      <c r="I2307" s="33"/>
      <c r="J2307" s="36"/>
      <c r="K2307" t="s">
        <v>30</v>
      </c>
      <c r="L2307" s="111">
        <v>27389.24</v>
      </c>
      <c r="M2307" s="111">
        <v>8216.2199999999993</v>
      </c>
      <c r="N2307" s="3">
        <f>L2307*0.3</f>
        <v>8216.7720000000008</v>
      </c>
      <c r="O2307" s="3">
        <f>(IF(L2307&lt;4172.98,0,MIN(L2307*0.3,L2307-4172.98)))-M2307</f>
        <v>0.55200000000149885</v>
      </c>
      <c r="P2307" s="6">
        <v>46143</v>
      </c>
      <c r="Q2307" t="s">
        <v>80</v>
      </c>
      <c r="R2307" s="3">
        <v>626.22</v>
      </c>
      <c r="S2307" s="3" t="s">
        <v>204</v>
      </c>
      <c r="V2307" s="51">
        <v>0.6875</v>
      </c>
    </row>
    <row r="2308" spans="1:25" hidden="1">
      <c r="A2308" s="30">
        <v>24558696</v>
      </c>
      <c r="B2308" s="31">
        <v>46282</v>
      </c>
      <c r="C2308" s="32">
        <v>0.68880787037037039</v>
      </c>
      <c r="D2308" s="33"/>
      <c r="E2308" s="34">
        <v>5213334675174</v>
      </c>
      <c r="F2308" s="33"/>
      <c r="G2308" s="33"/>
      <c r="H2308" s="35" t="s">
        <v>2157</v>
      </c>
      <c r="I2308" s="33"/>
      <c r="J2308" s="36"/>
      <c r="K2308" t="s">
        <v>30</v>
      </c>
      <c r="L2308" s="111">
        <v>18621.09</v>
      </c>
      <c r="M2308" s="111">
        <v>5387.53</v>
      </c>
      <c r="N2308" s="3">
        <f>L2308*0.3</f>
        <v>5586.3270000000002</v>
      </c>
      <c r="O2308" s="3">
        <f>(IF(L2308&lt;4172.98,0,MIN(L2308*0.3,L2308-4172.98)))-M2308</f>
        <v>198.79700000000048</v>
      </c>
      <c r="P2308" s="6">
        <v>46569</v>
      </c>
      <c r="Q2308" t="s">
        <v>44</v>
      </c>
      <c r="R2308" s="111">
        <v>5387.53</v>
      </c>
      <c r="S2308" s="3" t="s">
        <v>204</v>
      </c>
      <c r="V2308" s="51">
        <v>0.68888888888888888</v>
      </c>
    </row>
    <row r="2309" spans="1:25" hidden="1">
      <c r="A2309" s="30">
        <v>24494896</v>
      </c>
      <c r="B2309" s="31">
        <v>46282</v>
      </c>
      <c r="C2309" s="32">
        <v>0.69019675925925927</v>
      </c>
      <c r="D2309" s="33"/>
      <c r="E2309" s="34">
        <v>5218112094991</v>
      </c>
      <c r="F2309" s="33"/>
      <c r="G2309" s="33"/>
      <c r="H2309" s="35" t="s">
        <v>2158</v>
      </c>
      <c r="I2309" s="33"/>
      <c r="J2309" s="36"/>
      <c r="K2309" t="s">
        <v>30</v>
      </c>
      <c r="L2309" s="111">
        <v>6932.58</v>
      </c>
      <c r="M2309" s="111">
        <v>2079.77</v>
      </c>
      <c r="N2309" s="3">
        <f>L2309*0.3</f>
        <v>2079.7739999999999</v>
      </c>
      <c r="O2309" s="3">
        <f>(IF(L2309&lt;4172.98,0,MIN(L2309*0.3,L2309-4172.98)))-M2309</f>
        <v>3.9999999999054126E-3</v>
      </c>
      <c r="P2309" s="6">
        <v>46997</v>
      </c>
      <c r="Q2309" t="s">
        <v>57</v>
      </c>
      <c r="R2309" s="111">
        <v>2079.77</v>
      </c>
      <c r="S2309" s="53" t="s">
        <v>204</v>
      </c>
      <c r="V2309" s="51">
        <v>0.68958333333333333</v>
      </c>
    </row>
    <row r="2310" spans="1:25" hidden="1">
      <c r="A2310" s="30">
        <v>24558804</v>
      </c>
      <c r="B2310" s="31">
        <v>46282</v>
      </c>
      <c r="C2310" s="32">
        <v>0.69466435185185182</v>
      </c>
      <c r="D2310" s="33"/>
      <c r="E2310" s="34">
        <v>5218119157070</v>
      </c>
      <c r="F2310" s="33"/>
      <c r="G2310" s="33" t="s">
        <v>2159</v>
      </c>
      <c r="H2310" s="35"/>
      <c r="I2310" s="33"/>
      <c r="J2310" s="36"/>
      <c r="K2310" t="s">
        <v>30</v>
      </c>
      <c r="L2310" s="111">
        <v>7884.35</v>
      </c>
      <c r="M2310" s="111">
        <v>2280</v>
      </c>
      <c r="N2310" s="3">
        <f>L2310*0.3</f>
        <v>2365.3049999999998</v>
      </c>
      <c r="O2310" s="3">
        <f>(IF(L2310&lt;4172.98,0,MIN(L2310*0.3,L2310-4172.98)))-M2310</f>
        <v>85.304999999999836</v>
      </c>
      <c r="P2310" s="6">
        <v>46508</v>
      </c>
      <c r="Q2310" t="s">
        <v>44</v>
      </c>
      <c r="R2310" s="111">
        <v>2280</v>
      </c>
      <c r="S2310" s="3" t="s">
        <v>204</v>
      </c>
      <c r="V2310" s="51">
        <v>0.69513888888888886</v>
      </c>
    </row>
    <row r="2311" spans="1:25">
      <c r="A2311" s="12">
        <v>24558820</v>
      </c>
      <c r="B2311" s="13">
        <v>46282</v>
      </c>
      <c r="C2311" s="14">
        <v>0.6988078703703704</v>
      </c>
      <c r="D2311" s="15"/>
      <c r="E2311" s="16">
        <v>5213131371523</v>
      </c>
      <c r="F2311" s="15"/>
      <c r="G2311" s="15" t="s">
        <v>2160</v>
      </c>
      <c r="H2311" s="17"/>
      <c r="I2311" s="15"/>
      <c r="J2311" s="18"/>
      <c r="K2311" t="s">
        <v>54</v>
      </c>
      <c r="L2311" s="3">
        <v>7640.52</v>
      </c>
      <c r="N2311" s="3">
        <f t="shared" ref="N2311:N2312" si="308">L2311*0.3</f>
        <v>2292.1559999999999</v>
      </c>
      <c r="O2311" s="3">
        <f t="shared" ref="O2311:O2312" si="309">(IF(L2311&lt;4172.98,0,MIN(L2311*0.3,L2311-4172.98)))-M2311</f>
        <v>2292.1559999999999</v>
      </c>
      <c r="S2311" s="3" t="s">
        <v>1910</v>
      </c>
      <c r="T2311" s="48">
        <v>46282</v>
      </c>
      <c r="V2311" s="51">
        <v>0.69861111111111107</v>
      </c>
      <c r="W2311" s="51">
        <v>0.7006944444444444</v>
      </c>
      <c r="X2311" s="51">
        <v>0.70208333333333328</v>
      </c>
      <c r="Y2311" s="51">
        <v>0.70763888888888893</v>
      </c>
    </row>
    <row r="2312" spans="1:25" hidden="1">
      <c r="A2312" s="30">
        <v>24558730</v>
      </c>
      <c r="B2312" s="31">
        <v>46282</v>
      </c>
      <c r="C2312" s="32">
        <v>0.69887731481481485</v>
      </c>
      <c r="D2312" s="33"/>
      <c r="E2312" s="34">
        <v>5215545427470</v>
      </c>
      <c r="F2312" s="33"/>
      <c r="G2312" s="33" t="s">
        <v>2161</v>
      </c>
      <c r="H2312" s="35"/>
      <c r="I2312" s="33"/>
      <c r="J2312" s="36"/>
      <c r="K2312" t="s">
        <v>30</v>
      </c>
      <c r="L2312" s="111">
        <v>9081.52</v>
      </c>
      <c r="M2312" s="111">
        <v>2721.88</v>
      </c>
      <c r="N2312" s="3">
        <f t="shared" si="308"/>
        <v>2724.4560000000001</v>
      </c>
      <c r="O2312" s="3">
        <f t="shared" si="309"/>
        <v>2.5760000000000218</v>
      </c>
      <c r="P2312" s="6">
        <v>46844</v>
      </c>
      <c r="Q2312" t="s">
        <v>141</v>
      </c>
      <c r="R2312" s="3">
        <v>2503.09</v>
      </c>
      <c r="S2312" s="3" t="s">
        <v>204</v>
      </c>
      <c r="V2312" s="51">
        <v>0.69861111111111107</v>
      </c>
    </row>
    <row r="2313" spans="1:25" hidden="1">
      <c r="A2313" s="30">
        <v>24559002</v>
      </c>
      <c r="B2313" s="31">
        <v>46282</v>
      </c>
      <c r="C2313" s="32">
        <v>0.70665509259259263</v>
      </c>
      <c r="D2313" s="33"/>
      <c r="E2313" s="34">
        <v>5216676600895</v>
      </c>
      <c r="F2313" s="33"/>
      <c r="G2313" s="33"/>
      <c r="H2313" s="35">
        <v>24906506944</v>
      </c>
      <c r="I2313" s="33"/>
      <c r="J2313" s="36"/>
      <c r="K2313" t="s">
        <v>30</v>
      </c>
      <c r="L2313" s="111">
        <v>10636.54</v>
      </c>
      <c r="M2313" s="111">
        <v>3189.23</v>
      </c>
      <c r="N2313" s="3">
        <f>L2313*0.3</f>
        <v>3190.962</v>
      </c>
      <c r="O2313" s="3">
        <f>(IF(L2313&lt;4172.98,0,MIN(L2313*0.3,L2313-4172.98)))-M2313</f>
        <v>1.7319999999999709</v>
      </c>
      <c r="P2313" s="6">
        <v>46844</v>
      </c>
      <c r="Q2313" s="111" t="s">
        <v>44</v>
      </c>
      <c r="R2313" s="111">
        <v>3189.23</v>
      </c>
      <c r="S2313" s="3" t="s">
        <v>204</v>
      </c>
      <c r="V2313" s="51">
        <v>0.70625000000000004</v>
      </c>
    </row>
    <row r="2314" spans="1:25" hidden="1">
      <c r="A2314" s="30">
        <v>24559484</v>
      </c>
      <c r="B2314" s="31">
        <v>46282</v>
      </c>
      <c r="C2314" s="32">
        <v>0.73563657407407412</v>
      </c>
      <c r="D2314" s="33"/>
      <c r="E2314" s="34">
        <v>5218337614349</v>
      </c>
      <c r="F2314" s="33"/>
      <c r="G2314" s="33"/>
      <c r="H2314" s="35">
        <v>49846636873</v>
      </c>
      <c r="I2314" s="33"/>
      <c r="J2314" s="36"/>
      <c r="K2314" t="s">
        <v>58</v>
      </c>
      <c r="L2314" s="111">
        <v>4376.26</v>
      </c>
      <c r="M2314" s="111">
        <v>848</v>
      </c>
      <c r="N2314" s="3">
        <f>L2314*0.3</f>
        <v>1312.8779999999999</v>
      </c>
      <c r="O2314" s="3">
        <f>(IF(L2314&lt;4172.98,0,MIN(L2314*0.3,L2314-4172.98)))-M2314</f>
        <v>-644.71999999999935</v>
      </c>
      <c r="S2314" s="3" t="s">
        <v>204</v>
      </c>
      <c r="V2314" s="51">
        <v>0.7368055555555556</v>
      </c>
    </row>
    <row r="2315" spans="1:25" hidden="1">
      <c r="A2315" s="30">
        <v>24559742</v>
      </c>
      <c r="B2315" s="31">
        <v>46282</v>
      </c>
      <c r="C2315" s="32">
        <v>0.74106481481481479</v>
      </c>
      <c r="D2315" s="33" t="s">
        <v>2162</v>
      </c>
      <c r="E2315" s="34">
        <v>5217291827104</v>
      </c>
      <c r="F2315" s="33"/>
      <c r="G2315" s="33" t="s">
        <v>2163</v>
      </c>
      <c r="H2315" s="35"/>
      <c r="I2315" s="33"/>
      <c r="J2315" s="36"/>
      <c r="K2315" t="s">
        <v>32</v>
      </c>
      <c r="N2315" s="3">
        <f>L2315*0.3</f>
        <v>0</v>
      </c>
      <c r="O2315" s="3">
        <f>(IF(L2315&lt;4172.98,0,MIN(L2315*0.3,L2315-4172.98)))-M2315</f>
        <v>0</v>
      </c>
      <c r="S2315" s="3" t="s">
        <v>204</v>
      </c>
      <c r="V2315" s="51">
        <v>0.74375000000000002</v>
      </c>
    </row>
    <row r="2316" spans="1:25">
      <c r="A2316" s="30">
        <v>24559824</v>
      </c>
      <c r="B2316" s="31">
        <v>46282</v>
      </c>
      <c r="C2316" s="32">
        <v>0.74575231481481485</v>
      </c>
      <c r="D2316" s="33"/>
      <c r="E2316" s="34">
        <v>5215568979168</v>
      </c>
      <c r="F2316" s="33"/>
      <c r="G2316" s="33" t="s">
        <v>2164</v>
      </c>
      <c r="H2316" s="35"/>
      <c r="I2316" s="33"/>
      <c r="J2316" s="36"/>
      <c r="K2316" t="s">
        <v>34</v>
      </c>
      <c r="L2316" s="111">
        <v>4813.6899999999996</v>
      </c>
      <c r="M2316" s="111">
        <v>549.85</v>
      </c>
      <c r="N2316" s="3">
        <f>L2316*0.3</f>
        <v>1444.1069999999997</v>
      </c>
      <c r="O2316" s="3">
        <f>(IF(L2316&lt;4172.98,0,MIN(L2316*0.3,L2316-4172.98)))-M2316</f>
        <v>90.860000000000014</v>
      </c>
      <c r="P2316" s="6">
        <v>45870</v>
      </c>
      <c r="Q2316" t="s">
        <v>57</v>
      </c>
      <c r="R2316" s="111">
        <v>549.85</v>
      </c>
      <c r="S2316" s="3" t="s">
        <v>35</v>
      </c>
      <c r="T2316" s="48">
        <v>46282</v>
      </c>
      <c r="V2316" s="51">
        <v>0.74722222222222223</v>
      </c>
      <c r="W2316" s="51">
        <v>0.75</v>
      </c>
      <c r="X2316" s="51">
        <v>0.75208333333333333</v>
      </c>
      <c r="Y2316" s="51">
        <v>0.75694444444444442</v>
      </c>
    </row>
    <row r="2317" spans="1:25">
      <c r="A2317" s="30">
        <v>24560096</v>
      </c>
      <c r="B2317" s="31">
        <v>46282</v>
      </c>
      <c r="C2317" s="32">
        <v>0.75597222222222227</v>
      </c>
      <c r="D2317" s="33"/>
      <c r="E2317" s="34">
        <v>5216391067880</v>
      </c>
      <c r="F2317" s="33"/>
      <c r="G2317" s="33"/>
      <c r="H2317" s="35">
        <v>33926520306</v>
      </c>
      <c r="I2317" s="33"/>
      <c r="J2317" s="36"/>
      <c r="K2317" t="s">
        <v>54</v>
      </c>
      <c r="L2317" s="3">
        <v>14384.05</v>
      </c>
      <c r="N2317" s="3">
        <f>L2317*0.3</f>
        <v>4315.2149999999992</v>
      </c>
      <c r="O2317" s="3">
        <f>(IF(L2317&lt;4172.98,0,MIN(L2317*0.3,L2317-4172.98)))-M2317</f>
        <v>4315.2149999999992</v>
      </c>
      <c r="S2317" s="3" t="s">
        <v>1946</v>
      </c>
      <c r="T2317" s="48">
        <v>46282</v>
      </c>
      <c r="V2317" s="51">
        <v>0.75624999999999998</v>
      </c>
      <c r="W2317" s="51">
        <v>0.7583333333333333</v>
      </c>
      <c r="X2317" s="51">
        <v>0.76041666666666663</v>
      </c>
      <c r="Y2317" s="51">
        <v>0.77638888888888891</v>
      </c>
    </row>
    <row r="2318" spans="1:25">
      <c r="A2318" s="30">
        <v>24560256</v>
      </c>
      <c r="B2318" s="31">
        <v>46282</v>
      </c>
      <c r="C2318" s="32">
        <v>0.76841435185185181</v>
      </c>
      <c r="D2318" s="33"/>
      <c r="E2318" s="34">
        <v>5218312371836</v>
      </c>
      <c r="F2318" s="33"/>
      <c r="G2318" s="33"/>
      <c r="H2318" s="35">
        <v>49816300369</v>
      </c>
      <c r="I2318" s="33"/>
      <c r="J2318" s="36"/>
      <c r="K2318" t="s">
        <v>54</v>
      </c>
      <c r="L2318" s="3">
        <v>7920.51</v>
      </c>
      <c r="N2318" s="3">
        <f>L2318*0.3</f>
        <v>2376.1529999999998</v>
      </c>
      <c r="O2318" s="3">
        <f>(IF(L2318&lt;4172.98,0,MIN(L2318*0.3,L2318-4172.98)))-M2318</f>
        <v>2376.1529999999998</v>
      </c>
      <c r="S2318" s="3" t="s">
        <v>28</v>
      </c>
      <c r="T2318" s="48">
        <v>46282</v>
      </c>
      <c r="V2318" s="51">
        <v>0.76875000000000004</v>
      </c>
      <c r="W2318" s="51">
        <v>0.77013888888888893</v>
      </c>
      <c r="X2318" s="51">
        <v>0.77222222222222225</v>
      </c>
      <c r="Y2318" s="51">
        <v>0.77430555555555558</v>
      </c>
    </row>
    <row r="2319" spans="1:25">
      <c r="A2319" s="30">
        <v>24560308</v>
      </c>
      <c r="B2319" s="31">
        <v>46282</v>
      </c>
      <c r="C2319" s="32">
        <v>0.77192129629629624</v>
      </c>
      <c r="D2319" s="33"/>
      <c r="E2319" s="34">
        <v>5214491967630</v>
      </c>
      <c r="F2319" s="33"/>
      <c r="G2319" s="33"/>
      <c r="H2319" s="35">
        <v>51846200189</v>
      </c>
      <c r="I2319" s="33"/>
      <c r="J2319" s="36"/>
      <c r="K2319" t="s">
        <v>27</v>
      </c>
      <c r="L2319" s="111">
        <v>7115.73</v>
      </c>
      <c r="M2319" s="111">
        <v>1885.53</v>
      </c>
      <c r="N2319" s="3">
        <f>L2319*0.3</f>
        <v>2134.7189999999996</v>
      </c>
      <c r="O2319" s="3">
        <f>(IF(L2319&lt;4172.98,0,MIN(L2319*0.3,L2319-4172.98)))-M2319</f>
        <v>249.18899999999962</v>
      </c>
      <c r="P2319" s="6">
        <v>45748</v>
      </c>
      <c r="Q2319" t="s">
        <v>2165</v>
      </c>
      <c r="R2319" s="111">
        <v>1885.53</v>
      </c>
      <c r="S2319" s="3" t="s">
        <v>98</v>
      </c>
      <c r="T2319" s="48">
        <v>46282</v>
      </c>
      <c r="U2319" s="85"/>
      <c r="V2319" s="51">
        <v>0.77222222222222225</v>
      </c>
      <c r="W2319" s="51">
        <v>0.77708333333333335</v>
      </c>
      <c r="X2319" s="51">
        <v>0.77847222222222223</v>
      </c>
      <c r="Y2319" s="51">
        <v>0.79097222222222219</v>
      </c>
    </row>
    <row r="2320" spans="1:25" hidden="1">
      <c r="A2320" s="12">
        <v>24560472</v>
      </c>
      <c r="B2320" s="13">
        <v>46282</v>
      </c>
      <c r="C2320" s="14">
        <v>0.78754629629629624</v>
      </c>
      <c r="D2320" s="15"/>
      <c r="E2320" s="16">
        <v>5218149834083</v>
      </c>
      <c r="F2320" s="15"/>
      <c r="G2320" s="15"/>
      <c r="H2320" s="17" t="s">
        <v>2166</v>
      </c>
      <c r="I2320" s="15"/>
      <c r="J2320" s="18"/>
      <c r="K2320" t="s">
        <v>30</v>
      </c>
      <c r="L2320" s="111">
        <v>17305.3</v>
      </c>
      <c r="M2320" s="111">
        <v>5187.99</v>
      </c>
      <c r="N2320" s="3">
        <f t="shared" ref="N2320:N2344" si="310">L2320*0.3</f>
        <v>5191.5899999999992</v>
      </c>
      <c r="O2320" s="3">
        <f t="shared" ref="O2320:O2344" si="311">(IF(L2320&lt;4172.98,0,MIN(L2320*0.3,L2320-4172.98)))-M2320</f>
        <v>3.5999999999994543</v>
      </c>
      <c r="P2320" s="6">
        <v>46478</v>
      </c>
      <c r="Q2320" t="s">
        <v>75</v>
      </c>
      <c r="R2320" s="3">
        <v>2179</v>
      </c>
      <c r="S2320" s="3" t="s">
        <v>204</v>
      </c>
      <c r="V2320" s="51">
        <v>0.33819444444444446</v>
      </c>
    </row>
    <row r="2321" spans="1:25" hidden="1">
      <c r="A2321" s="12">
        <v>24560824</v>
      </c>
      <c r="B2321" s="13">
        <v>46282</v>
      </c>
      <c r="C2321" s="14">
        <v>0.79376157407407411</v>
      </c>
      <c r="D2321" s="15"/>
      <c r="E2321" s="16">
        <v>5216141637285</v>
      </c>
      <c r="F2321" s="15"/>
      <c r="G2321" s="15" t="s">
        <v>2167</v>
      </c>
      <c r="H2321" s="17"/>
      <c r="I2321" s="15"/>
      <c r="J2321" s="18"/>
      <c r="K2321" t="s">
        <v>30</v>
      </c>
      <c r="L2321" s="111">
        <v>46965.75</v>
      </c>
      <c r="M2321" s="111">
        <v>14066.97</v>
      </c>
      <c r="N2321" s="3">
        <f t="shared" si="310"/>
        <v>14089.725</v>
      </c>
      <c r="O2321" s="3">
        <f t="shared" si="311"/>
        <v>22.755000000001019</v>
      </c>
      <c r="P2321" s="6">
        <v>46844</v>
      </c>
      <c r="Q2321" t="s">
        <v>141</v>
      </c>
      <c r="R2321" s="3">
        <v>14066.97</v>
      </c>
      <c r="S2321" s="3" t="s">
        <v>204</v>
      </c>
      <c r="V2321" s="51">
        <v>0.33819444444444446</v>
      </c>
    </row>
    <row r="2322" spans="1:25">
      <c r="A2322" s="12">
        <v>24560886</v>
      </c>
      <c r="B2322" s="13">
        <v>46282</v>
      </c>
      <c r="C2322" s="14">
        <v>0.79840277777777779</v>
      </c>
      <c r="D2322" s="15"/>
      <c r="E2322" s="16">
        <v>4611736165</v>
      </c>
      <c r="F2322" s="15"/>
      <c r="G2322" s="15"/>
      <c r="H2322" s="17">
        <v>12875909991</v>
      </c>
      <c r="I2322" s="15"/>
      <c r="J2322" s="18"/>
      <c r="K2322" t="s">
        <v>27</v>
      </c>
      <c r="L2322" s="111">
        <v>7277.75</v>
      </c>
      <c r="M2322" s="111">
        <v>1789.27</v>
      </c>
      <c r="N2322" s="3">
        <f t="shared" si="310"/>
        <v>2183.3249999999998</v>
      </c>
      <c r="O2322" s="3">
        <f t="shared" si="311"/>
        <v>394.05499999999984</v>
      </c>
      <c r="P2322" s="6">
        <v>45444</v>
      </c>
      <c r="Q2322" t="s">
        <v>184</v>
      </c>
      <c r="R2322" s="111">
        <v>1789.27</v>
      </c>
      <c r="S2322" s="3" t="s">
        <v>1080</v>
      </c>
      <c r="T2322" s="48">
        <v>46283</v>
      </c>
      <c r="V2322" s="51">
        <v>0.33819444444444446</v>
      </c>
      <c r="W2322" s="51">
        <v>0.35347222222222224</v>
      </c>
      <c r="X2322" s="51">
        <v>0.36180555555555555</v>
      </c>
      <c r="Y2322" s="51">
        <v>0.36319444444444443</v>
      </c>
    </row>
    <row r="2323" spans="1:25" hidden="1">
      <c r="A2323" s="12">
        <v>24560842</v>
      </c>
      <c r="B2323" s="13">
        <v>46282</v>
      </c>
      <c r="C2323" s="14">
        <v>0.80065972222222226</v>
      </c>
      <c r="D2323" s="15"/>
      <c r="E2323" s="16">
        <v>5215521880205</v>
      </c>
      <c r="F2323" s="15"/>
      <c r="G2323" s="15"/>
      <c r="H2323" s="17">
        <v>11725526351</v>
      </c>
      <c r="I2323" s="15"/>
      <c r="J2323" s="18"/>
      <c r="K2323" t="s">
        <v>51</v>
      </c>
      <c r="N2323" s="3">
        <f t="shared" si="310"/>
        <v>0</v>
      </c>
      <c r="O2323" s="3">
        <f t="shared" si="311"/>
        <v>0</v>
      </c>
      <c r="S2323" s="3" t="s">
        <v>204</v>
      </c>
      <c r="V2323" s="51">
        <v>0.33819444444444446</v>
      </c>
    </row>
    <row r="2324" spans="1:25">
      <c r="A2324" s="12">
        <v>24560934</v>
      </c>
      <c r="B2324" s="13">
        <v>46282</v>
      </c>
      <c r="C2324" s="14">
        <v>0.80177083333333332</v>
      </c>
      <c r="D2324" s="15"/>
      <c r="E2324" s="16">
        <v>5215525016171</v>
      </c>
      <c r="F2324" s="15"/>
      <c r="G2324" s="15"/>
      <c r="H2324" s="17">
        <v>11937604285</v>
      </c>
      <c r="I2324" s="15"/>
      <c r="J2324" s="18"/>
      <c r="K2324" t="s">
        <v>54</v>
      </c>
      <c r="L2324" s="3">
        <v>5874.88</v>
      </c>
      <c r="N2324" s="3">
        <f t="shared" si="310"/>
        <v>1762.4639999999999</v>
      </c>
      <c r="O2324" s="3">
        <f t="shared" si="311"/>
        <v>1701.9000000000005</v>
      </c>
      <c r="S2324" s="3" t="s">
        <v>1808</v>
      </c>
      <c r="T2324" s="48">
        <v>46283</v>
      </c>
      <c r="V2324" s="51">
        <v>0.33819444444444446</v>
      </c>
      <c r="W2324" s="51">
        <v>0.34861111111111109</v>
      </c>
      <c r="X2324" s="51">
        <v>0.35069444444444442</v>
      </c>
      <c r="Y2324" s="51">
        <v>0.35416666666666669</v>
      </c>
    </row>
    <row r="2325" spans="1:25">
      <c r="A2325" s="12">
        <v>24560952</v>
      </c>
      <c r="B2325" s="13">
        <v>46282</v>
      </c>
      <c r="C2325" s="14">
        <v>0.80275462962962962</v>
      </c>
      <c r="D2325" s="15"/>
      <c r="E2325" s="16">
        <v>5214432724970</v>
      </c>
      <c r="F2325" s="15"/>
      <c r="G2325" s="15" t="s">
        <v>2168</v>
      </c>
      <c r="H2325" s="17"/>
      <c r="I2325" s="15"/>
      <c r="J2325" s="18"/>
      <c r="K2325" t="s">
        <v>54</v>
      </c>
      <c r="L2325" s="3">
        <v>49873.52</v>
      </c>
      <c r="N2325" s="3">
        <f t="shared" si="310"/>
        <v>14962.055999999999</v>
      </c>
      <c r="O2325" s="3">
        <f t="shared" si="311"/>
        <v>14962.055999999999</v>
      </c>
      <c r="S2325" s="3" t="s">
        <v>348</v>
      </c>
      <c r="T2325" s="48">
        <v>46283</v>
      </c>
      <c r="V2325" s="51">
        <v>0.33819444444444446</v>
      </c>
      <c r="W2325" s="51">
        <v>0.35486111111111113</v>
      </c>
      <c r="X2325" s="51">
        <v>0.35972222222222222</v>
      </c>
      <c r="Y2325" s="51">
        <v>0.36041666666666666</v>
      </c>
    </row>
    <row r="2326" spans="1:25">
      <c r="A2326" s="12">
        <v>24561238</v>
      </c>
      <c r="B2326" s="13">
        <v>46282</v>
      </c>
      <c r="C2326" s="14">
        <v>0.82136574074074076</v>
      </c>
      <c r="D2326" s="15"/>
      <c r="E2326" s="16">
        <v>5218445866609</v>
      </c>
      <c r="F2326" s="15"/>
      <c r="G2326" s="15"/>
      <c r="H2326" s="17">
        <v>32866678769</v>
      </c>
      <c r="I2326" s="15"/>
      <c r="J2326" s="18"/>
      <c r="K2326" t="s">
        <v>54</v>
      </c>
      <c r="L2326" s="3">
        <v>10636.54</v>
      </c>
      <c r="N2326" s="3">
        <f t="shared" si="310"/>
        <v>3190.962</v>
      </c>
      <c r="O2326" s="3">
        <f t="shared" si="311"/>
        <v>3190.962</v>
      </c>
      <c r="S2326" s="3" t="s">
        <v>327</v>
      </c>
      <c r="T2326" s="48">
        <v>46283</v>
      </c>
      <c r="V2326" s="51">
        <v>0.33819444444444446</v>
      </c>
      <c r="W2326" s="51">
        <v>0.35555555555555557</v>
      </c>
      <c r="X2326" s="51">
        <v>0.3611111111111111</v>
      </c>
      <c r="Y2326" s="51">
        <v>0.37569444444444444</v>
      </c>
    </row>
    <row r="2327" spans="1:25">
      <c r="A2327" s="12">
        <v>24561306</v>
      </c>
      <c r="B2327" s="13">
        <v>46282</v>
      </c>
      <c r="C2327" s="14">
        <v>0.83796296296296291</v>
      </c>
      <c r="D2327" s="15"/>
      <c r="E2327" s="16">
        <v>5213318743416</v>
      </c>
      <c r="F2327" s="15"/>
      <c r="G2327" s="15"/>
      <c r="H2327" s="17">
        <v>19765623723</v>
      </c>
      <c r="I2327" s="15"/>
      <c r="J2327" s="18"/>
      <c r="K2327" t="s">
        <v>54</v>
      </c>
      <c r="L2327" s="3">
        <v>6958.7</v>
      </c>
      <c r="N2327" s="3">
        <f t="shared" si="310"/>
        <v>2087.6099999999997</v>
      </c>
      <c r="O2327" s="3">
        <f t="shared" si="311"/>
        <v>2087.6099999999997</v>
      </c>
      <c r="S2327" s="3" t="s">
        <v>1910</v>
      </c>
      <c r="T2327" s="48">
        <v>46283</v>
      </c>
      <c r="V2327" s="51">
        <v>0.33819444444444446</v>
      </c>
      <c r="W2327" s="51">
        <v>0.35625000000000001</v>
      </c>
      <c r="X2327" s="51">
        <v>0.37291666666666667</v>
      </c>
      <c r="Y2327" s="51">
        <v>0.37361111111111112</v>
      </c>
    </row>
    <row r="2328" spans="1:25" hidden="1">
      <c r="A2328" s="12">
        <v>24561508</v>
      </c>
      <c r="B2328" s="13">
        <v>46282</v>
      </c>
      <c r="C2328" s="14">
        <v>0.84038194444444447</v>
      </c>
      <c r="D2328" s="15"/>
      <c r="E2328" s="16">
        <v>5215645692186</v>
      </c>
      <c r="F2328" s="15"/>
      <c r="G2328" s="15"/>
      <c r="H2328" s="17" t="s">
        <v>2169</v>
      </c>
      <c r="I2328" s="15"/>
      <c r="J2328" s="18"/>
      <c r="K2328" t="s">
        <v>30</v>
      </c>
      <c r="L2328" s="111">
        <v>23862.959999999999</v>
      </c>
      <c r="M2328" s="111">
        <v>7158.89</v>
      </c>
      <c r="N2328" s="3">
        <f t="shared" si="310"/>
        <v>7158.8879999999999</v>
      </c>
      <c r="O2328" s="3">
        <f t="shared" si="311"/>
        <v>-2.0000000004074536E-3</v>
      </c>
      <c r="P2328" s="6">
        <v>46753</v>
      </c>
      <c r="Q2328" t="s">
        <v>44</v>
      </c>
      <c r="R2328" s="3">
        <v>6064.48</v>
      </c>
      <c r="S2328" s="3" t="s">
        <v>204</v>
      </c>
      <c r="V2328" s="51">
        <v>0.33819444444444446</v>
      </c>
    </row>
    <row r="2329" spans="1:25" hidden="1">
      <c r="A2329" s="12">
        <v>24561602</v>
      </c>
      <c r="B2329" s="13">
        <v>46282</v>
      </c>
      <c r="C2329" s="14">
        <v>0.84755787037037034</v>
      </c>
      <c r="D2329" s="15"/>
      <c r="E2329" s="16">
        <v>5219811163516</v>
      </c>
      <c r="F2329" s="15"/>
      <c r="G2329" s="15" t="s">
        <v>2170</v>
      </c>
      <c r="H2329" s="17">
        <v>81897012076</v>
      </c>
      <c r="I2329" s="15"/>
      <c r="J2329" s="18"/>
      <c r="K2329" t="s">
        <v>30</v>
      </c>
      <c r="L2329" s="111">
        <v>7135.6</v>
      </c>
      <c r="M2329" s="111">
        <v>2064.5</v>
      </c>
      <c r="N2329" s="3">
        <f t="shared" si="310"/>
        <v>2140.6799999999998</v>
      </c>
      <c r="O2329" s="3">
        <f t="shared" si="311"/>
        <v>76.179999999999836</v>
      </c>
      <c r="P2329" s="6">
        <v>46631</v>
      </c>
      <c r="Q2329" t="s">
        <v>44</v>
      </c>
      <c r="R2329" s="111">
        <v>2064.5</v>
      </c>
      <c r="S2329" s="3" t="s">
        <v>204</v>
      </c>
      <c r="V2329" s="51">
        <v>0.33819444444444446</v>
      </c>
    </row>
    <row r="2330" spans="1:25" hidden="1">
      <c r="A2330" s="12">
        <v>24561652</v>
      </c>
      <c r="B2330" s="13">
        <v>46282</v>
      </c>
      <c r="C2330" s="14">
        <v>0.84957175925925921</v>
      </c>
      <c r="D2330" s="15"/>
      <c r="E2330" s="16">
        <v>5216647278762</v>
      </c>
      <c r="F2330" s="15"/>
      <c r="G2330" s="15"/>
      <c r="H2330" s="17">
        <v>21897235749</v>
      </c>
      <c r="I2330" s="15"/>
      <c r="J2330" s="18"/>
      <c r="K2330" t="s">
        <v>30</v>
      </c>
      <c r="L2330" s="111">
        <v>6411.47</v>
      </c>
      <c r="M2330" s="111">
        <v>1900</v>
      </c>
      <c r="N2330" s="3">
        <f t="shared" si="310"/>
        <v>1923.441</v>
      </c>
      <c r="O2330" s="3">
        <f t="shared" si="311"/>
        <v>23.441000000000031</v>
      </c>
      <c r="P2330" s="6">
        <v>46874</v>
      </c>
      <c r="Q2330" t="s">
        <v>75</v>
      </c>
      <c r="R2330" s="111">
        <v>1900</v>
      </c>
      <c r="S2330" s="3" t="s">
        <v>204</v>
      </c>
      <c r="V2330" s="51">
        <v>0.33819444444444446</v>
      </c>
    </row>
    <row r="2331" spans="1:25">
      <c r="A2331" s="12">
        <v>24561790</v>
      </c>
      <c r="B2331" s="13">
        <v>46282</v>
      </c>
      <c r="C2331" s="14">
        <v>0.86231481481481487</v>
      </c>
      <c r="D2331" s="15"/>
      <c r="E2331" s="16">
        <v>5215633527720</v>
      </c>
      <c r="F2331" s="15"/>
      <c r="G2331" s="15" t="s">
        <v>2171</v>
      </c>
      <c r="H2331" s="17">
        <v>11695302882</v>
      </c>
      <c r="I2331" s="15"/>
      <c r="J2331" s="18"/>
      <c r="K2331" t="s">
        <v>38</v>
      </c>
      <c r="L2331" s="111">
        <v>13336.27</v>
      </c>
      <c r="M2331" s="111">
        <v>3699.63</v>
      </c>
      <c r="N2331" s="3">
        <f t="shared" si="310"/>
        <v>4000.8809999999999</v>
      </c>
      <c r="O2331" s="3">
        <f t="shared" si="311"/>
        <v>301.25099999999975</v>
      </c>
      <c r="P2331" s="6">
        <v>46357</v>
      </c>
      <c r="Q2331" t="s">
        <v>47</v>
      </c>
      <c r="R2331" s="3">
        <v>3699.63</v>
      </c>
      <c r="S2331" s="3" t="s">
        <v>39</v>
      </c>
      <c r="T2331" s="48">
        <v>46283</v>
      </c>
      <c r="V2331" s="51">
        <v>0.33819444444444446</v>
      </c>
      <c r="W2331" s="51">
        <v>0.36666666666666664</v>
      </c>
      <c r="X2331" s="51">
        <v>0.37013888888888891</v>
      </c>
      <c r="Y2331" s="51">
        <v>0.37152777777777779</v>
      </c>
    </row>
    <row r="2332" spans="1:25" hidden="1">
      <c r="A2332" s="12">
        <v>24561736</v>
      </c>
      <c r="B2332" s="13">
        <v>46282</v>
      </c>
      <c r="C2332" s="14">
        <v>0.86541666666666661</v>
      </c>
      <c r="D2332" s="15" t="s">
        <v>2172</v>
      </c>
      <c r="E2332" s="16"/>
      <c r="F2332" s="15"/>
      <c r="G2332" s="15"/>
      <c r="H2332" s="17">
        <v>65836554645</v>
      </c>
      <c r="I2332" s="15"/>
      <c r="J2332" s="18"/>
      <c r="K2332" t="s">
        <v>30</v>
      </c>
      <c r="L2332" s="111">
        <v>9760.32</v>
      </c>
      <c r="M2332" s="111">
        <v>2755.08</v>
      </c>
      <c r="N2332" s="3">
        <f t="shared" si="310"/>
        <v>2928.096</v>
      </c>
      <c r="O2332" s="3">
        <f t="shared" si="311"/>
        <v>173.01600000000008</v>
      </c>
      <c r="P2332" s="6">
        <v>46600</v>
      </c>
      <c r="Q2332" t="s">
        <v>75</v>
      </c>
      <c r="R2332" s="3">
        <v>2755.08</v>
      </c>
      <c r="S2332" s="3" t="s">
        <v>204</v>
      </c>
      <c r="V2332" s="51">
        <v>0.33819444444444446</v>
      </c>
    </row>
    <row r="2333" spans="1:25">
      <c r="A2333" s="12">
        <v>24561922</v>
      </c>
      <c r="B2333" s="13">
        <v>46282</v>
      </c>
      <c r="C2333" s="14">
        <v>0.87138888888888888</v>
      </c>
      <c r="D2333" s="15" t="s">
        <v>2173</v>
      </c>
      <c r="E2333" s="16">
        <v>5216141268806</v>
      </c>
      <c r="F2333" s="15"/>
      <c r="G2333" s="15" t="s">
        <v>2174</v>
      </c>
      <c r="H2333" s="17"/>
      <c r="I2333" s="15"/>
      <c r="J2333" s="18"/>
      <c r="K2333" t="s">
        <v>54</v>
      </c>
      <c r="L2333" s="3">
        <v>13539.86</v>
      </c>
      <c r="N2333" s="3">
        <f t="shared" si="310"/>
        <v>4061.9580000000001</v>
      </c>
      <c r="O2333" s="3">
        <f t="shared" si="311"/>
        <v>4061.9580000000001</v>
      </c>
      <c r="S2333" s="3" t="s">
        <v>55</v>
      </c>
      <c r="T2333" s="48">
        <v>46283</v>
      </c>
      <c r="V2333" s="51">
        <v>0.33819444444444446</v>
      </c>
      <c r="W2333" s="51">
        <v>0.37708333333333333</v>
      </c>
      <c r="X2333" s="51">
        <v>0.38472222222222224</v>
      </c>
      <c r="Y2333" s="51">
        <v>0.38819444444444445</v>
      </c>
    </row>
    <row r="2334" spans="1:25" hidden="1">
      <c r="A2334" s="12">
        <v>24561958</v>
      </c>
      <c r="B2334" s="13">
        <v>46282</v>
      </c>
      <c r="C2334" s="14">
        <v>0.87452546296296296</v>
      </c>
      <c r="D2334" s="15"/>
      <c r="E2334" s="16">
        <v>5219983478417</v>
      </c>
      <c r="F2334" s="15"/>
      <c r="G2334" s="15" t="s">
        <v>2175</v>
      </c>
      <c r="H2334" s="17"/>
      <c r="I2334" s="15"/>
      <c r="J2334" s="18"/>
      <c r="K2334" t="s">
        <v>30</v>
      </c>
      <c r="L2334" s="111">
        <v>7920.51</v>
      </c>
      <c r="M2334" s="111">
        <v>2375</v>
      </c>
      <c r="N2334" s="3">
        <f t="shared" si="310"/>
        <v>2376.1529999999998</v>
      </c>
      <c r="O2334" s="3">
        <f t="shared" si="311"/>
        <v>1.1529999999997926</v>
      </c>
      <c r="P2334" s="6">
        <v>46905</v>
      </c>
      <c r="Q2334" t="s">
        <v>44</v>
      </c>
      <c r="R2334" s="3">
        <v>1527</v>
      </c>
      <c r="S2334" s="3" t="s">
        <v>204</v>
      </c>
      <c r="V2334" s="51">
        <v>0.33819444444444446</v>
      </c>
    </row>
    <row r="2335" spans="1:25" hidden="1">
      <c r="A2335" s="12">
        <v>24562104</v>
      </c>
      <c r="B2335" s="13">
        <v>46282</v>
      </c>
      <c r="C2335" s="14">
        <v>0.88548611111111108</v>
      </c>
      <c r="D2335" s="15"/>
      <c r="E2335" s="16">
        <v>5213312488448</v>
      </c>
      <c r="F2335" s="15"/>
      <c r="G2335" s="15"/>
      <c r="H2335" s="17">
        <v>54846538517</v>
      </c>
      <c r="I2335" s="15"/>
      <c r="J2335" s="18"/>
      <c r="K2335" t="s">
        <v>30</v>
      </c>
      <c r="L2335" s="111">
        <v>9760.32</v>
      </c>
      <c r="M2335" s="111">
        <v>2926.29</v>
      </c>
      <c r="N2335" s="3">
        <f t="shared" si="310"/>
        <v>2928.096</v>
      </c>
      <c r="O2335" s="3">
        <f t="shared" si="311"/>
        <v>1.80600000000004</v>
      </c>
      <c r="P2335" s="6">
        <v>46661</v>
      </c>
      <c r="Q2335" t="s">
        <v>59</v>
      </c>
      <c r="R2335" s="3">
        <v>2820.1</v>
      </c>
      <c r="S2335" s="3" t="s">
        <v>204</v>
      </c>
      <c r="V2335" s="51">
        <v>0.33819444444444446</v>
      </c>
    </row>
    <row r="2336" spans="1:25">
      <c r="A2336" s="12">
        <v>24562310</v>
      </c>
      <c r="B2336" s="13">
        <v>46282</v>
      </c>
      <c r="C2336" s="14">
        <v>0.91148148148148145</v>
      </c>
      <c r="D2336" s="15"/>
      <c r="E2336" s="16">
        <v>5212223467052</v>
      </c>
      <c r="F2336" s="15"/>
      <c r="G2336" s="15"/>
      <c r="H2336" s="17">
        <v>11906509655</v>
      </c>
      <c r="I2336" s="15"/>
      <c r="J2336" s="18"/>
      <c r="K2336" t="s">
        <v>54</v>
      </c>
      <c r="L2336" s="3">
        <v>9760.32</v>
      </c>
      <c r="N2336" s="3">
        <f t="shared" si="310"/>
        <v>2928.096</v>
      </c>
      <c r="O2336" s="3">
        <f t="shared" si="311"/>
        <v>2928.096</v>
      </c>
      <c r="S2336" s="3" t="s">
        <v>55</v>
      </c>
      <c r="T2336" s="48">
        <v>46283</v>
      </c>
      <c r="V2336" s="51">
        <v>0.33819444444444446</v>
      </c>
      <c r="W2336" s="51">
        <v>0.37152777777777779</v>
      </c>
      <c r="X2336" s="51">
        <v>0.37638888888888888</v>
      </c>
      <c r="Y2336" s="51">
        <v>0.37708333333333333</v>
      </c>
    </row>
    <row r="2337" spans="1:25" hidden="1">
      <c r="A2337" s="12">
        <v>24562354</v>
      </c>
      <c r="B2337" s="13">
        <v>46282</v>
      </c>
      <c r="C2337" s="14">
        <v>0.91479166666666667</v>
      </c>
      <c r="D2337" s="15"/>
      <c r="E2337" s="16">
        <v>5215583506485</v>
      </c>
      <c r="F2337" s="15"/>
      <c r="G2337" s="15" t="s">
        <v>2176</v>
      </c>
      <c r="H2337" s="17"/>
      <c r="I2337" s="15"/>
      <c r="J2337" s="18"/>
      <c r="K2337" t="s">
        <v>32</v>
      </c>
      <c r="N2337" s="3">
        <f t="shared" si="310"/>
        <v>0</v>
      </c>
      <c r="O2337" s="3">
        <f t="shared" si="311"/>
        <v>0</v>
      </c>
      <c r="S2337" s="3" t="s">
        <v>204</v>
      </c>
      <c r="V2337" s="51">
        <v>0.33819444444444446</v>
      </c>
    </row>
    <row r="2338" spans="1:25" hidden="1">
      <c r="A2338" s="12">
        <v>24562390</v>
      </c>
      <c r="B2338" s="13">
        <v>46282</v>
      </c>
      <c r="C2338" s="14">
        <v>0.91874999999999996</v>
      </c>
      <c r="D2338" s="15"/>
      <c r="E2338" s="16">
        <v>5215648266307</v>
      </c>
      <c r="F2338" s="15"/>
      <c r="G2338" s="15" t="s">
        <v>2177</v>
      </c>
      <c r="H2338" s="17"/>
      <c r="I2338" s="15"/>
      <c r="J2338" s="18"/>
      <c r="K2338" t="s">
        <v>32</v>
      </c>
      <c r="N2338" s="3">
        <f t="shared" si="310"/>
        <v>0</v>
      </c>
      <c r="O2338" s="3">
        <f t="shared" si="311"/>
        <v>0</v>
      </c>
      <c r="S2338" s="3" t="s">
        <v>204</v>
      </c>
      <c r="V2338" s="51">
        <v>0.33819444444444446</v>
      </c>
    </row>
    <row r="2339" spans="1:25">
      <c r="A2339" s="12">
        <v>24562610</v>
      </c>
      <c r="B2339" s="13">
        <v>46282</v>
      </c>
      <c r="C2339" s="14">
        <v>0.9466782407407407</v>
      </c>
      <c r="D2339" s="15"/>
      <c r="E2339" s="16">
        <v>5215631503113</v>
      </c>
      <c r="F2339" s="15"/>
      <c r="G2339" s="15"/>
      <c r="H2339" s="17">
        <v>20886602968</v>
      </c>
      <c r="I2339" s="15"/>
      <c r="J2339" s="18"/>
      <c r="K2339" t="s">
        <v>54</v>
      </c>
      <c r="L2339" s="3">
        <v>17361.29</v>
      </c>
      <c r="N2339" s="3">
        <f t="shared" si="310"/>
        <v>5208.3869999999997</v>
      </c>
      <c r="O2339" s="3">
        <f t="shared" si="311"/>
        <v>5208.3869999999997</v>
      </c>
      <c r="S2339" s="3" t="s">
        <v>1808</v>
      </c>
      <c r="T2339" s="48">
        <v>46283</v>
      </c>
      <c r="V2339" s="51">
        <v>0.33819444444444446</v>
      </c>
      <c r="W2339" s="51">
        <v>0.37013888888888891</v>
      </c>
      <c r="X2339" s="51">
        <v>0.37222222222222223</v>
      </c>
      <c r="Y2339" s="51">
        <v>0.37291666666666667</v>
      </c>
    </row>
    <row r="2340" spans="1:25">
      <c r="A2340" s="12">
        <v>24562744</v>
      </c>
      <c r="B2340" s="13">
        <v>46282</v>
      </c>
      <c r="C2340" s="14">
        <v>0.96994212962962967</v>
      </c>
      <c r="D2340" s="15"/>
      <c r="E2340" s="16">
        <v>5217772656240</v>
      </c>
      <c r="F2340" s="15"/>
      <c r="G2340" s="15"/>
      <c r="H2340" s="17">
        <v>15765604382</v>
      </c>
      <c r="I2340" s="15"/>
      <c r="J2340" s="18"/>
      <c r="K2340" t="s">
        <v>34</v>
      </c>
      <c r="L2340" s="111">
        <v>44758.51</v>
      </c>
      <c r="M2340" s="111">
        <v>13427.55</v>
      </c>
      <c r="N2340" s="3">
        <f t="shared" si="310"/>
        <v>13427.553</v>
      </c>
      <c r="O2340" s="3">
        <f t="shared" si="311"/>
        <v>3.0000000006111804E-3</v>
      </c>
      <c r="P2340" s="6">
        <v>46235</v>
      </c>
      <c r="Q2340" t="s">
        <v>1323</v>
      </c>
      <c r="R2340" s="3">
        <v>9033.0499999999993</v>
      </c>
      <c r="S2340" s="3" t="s">
        <v>35</v>
      </c>
      <c r="T2340" s="48">
        <v>46283</v>
      </c>
      <c r="V2340" s="51">
        <v>0.33819444444444446</v>
      </c>
      <c r="W2340" s="51">
        <v>0.38750000000000001</v>
      </c>
      <c r="X2340" s="51">
        <v>0.3972222222222222</v>
      </c>
      <c r="Y2340" s="51">
        <v>0.39791666666666664</v>
      </c>
    </row>
    <row r="2341" spans="1:25">
      <c r="A2341" s="12">
        <v>24562780</v>
      </c>
      <c r="B2341" s="13">
        <v>46282</v>
      </c>
      <c r="C2341" s="14">
        <v>0.97599537037037032</v>
      </c>
      <c r="D2341" s="15" t="s">
        <v>2178</v>
      </c>
      <c r="E2341" s="16">
        <v>5218714114421</v>
      </c>
      <c r="F2341" s="15"/>
      <c r="G2341" s="15"/>
      <c r="H2341" s="17">
        <v>32825902060</v>
      </c>
      <c r="I2341" s="15"/>
      <c r="J2341" s="18"/>
      <c r="K2341" t="s">
        <v>107</v>
      </c>
      <c r="L2341" s="111">
        <v>4813.6899999999996</v>
      </c>
      <c r="M2341" s="111">
        <v>524.64</v>
      </c>
      <c r="N2341" s="3">
        <f t="shared" si="310"/>
        <v>1444.1069999999997</v>
      </c>
      <c r="O2341" s="3">
        <f t="shared" si="311"/>
        <v>116.07000000000005</v>
      </c>
      <c r="P2341" s="6">
        <v>45505</v>
      </c>
      <c r="Q2341" t="s">
        <v>80</v>
      </c>
      <c r="R2341" s="111">
        <v>524.64</v>
      </c>
      <c r="S2341" s="3" t="s">
        <v>2179</v>
      </c>
      <c r="T2341" s="48">
        <v>46283</v>
      </c>
      <c r="V2341" s="51">
        <v>0.33819444444444446</v>
      </c>
      <c r="W2341" s="51">
        <v>0.38958333333333334</v>
      </c>
      <c r="X2341" s="51">
        <v>0.40069444444444446</v>
      </c>
      <c r="Y2341" s="51">
        <v>0.40833333333333333</v>
      </c>
    </row>
    <row r="2342" spans="1:25" hidden="1">
      <c r="A2342" s="12">
        <v>24562988</v>
      </c>
      <c r="B2342" s="13">
        <v>46283</v>
      </c>
      <c r="C2342" s="14">
        <v>2.7407407407407408E-2</v>
      </c>
      <c r="D2342" s="15"/>
      <c r="E2342" s="16">
        <v>5216145229029</v>
      </c>
      <c r="F2342" s="15"/>
      <c r="G2342" s="15" t="s">
        <v>2180</v>
      </c>
      <c r="H2342" s="17">
        <v>50917254372</v>
      </c>
      <c r="I2342" s="15"/>
      <c r="J2342" s="18"/>
      <c r="K2342" t="s">
        <v>58</v>
      </c>
      <c r="L2342" s="3">
        <v>3672.69</v>
      </c>
      <c r="N2342" s="3">
        <f t="shared" si="310"/>
        <v>1101.807</v>
      </c>
      <c r="O2342" s="3">
        <f t="shared" si="311"/>
        <v>0</v>
      </c>
      <c r="S2342" s="3" t="s">
        <v>204</v>
      </c>
      <c r="V2342" s="51">
        <v>0.33819444444444446</v>
      </c>
    </row>
    <row r="2343" spans="1:25" hidden="1">
      <c r="A2343" s="12">
        <v>24563026</v>
      </c>
      <c r="B2343" s="13">
        <v>46283</v>
      </c>
      <c r="C2343" s="14">
        <v>5.5567129629629633E-2</v>
      </c>
      <c r="D2343" s="15"/>
      <c r="E2343" s="16">
        <v>5218992665313</v>
      </c>
      <c r="F2343" s="15"/>
      <c r="G2343" s="15" t="s">
        <v>2181</v>
      </c>
      <c r="H2343" s="17"/>
      <c r="I2343" s="15"/>
      <c r="J2343" s="18"/>
      <c r="K2343" t="s">
        <v>30</v>
      </c>
      <c r="L2343" s="111">
        <v>7920.51</v>
      </c>
      <c r="M2343" s="111">
        <v>2362.69</v>
      </c>
      <c r="N2343" s="3">
        <f t="shared" si="310"/>
        <v>2376.1529999999998</v>
      </c>
      <c r="O2343" s="3">
        <f t="shared" si="311"/>
        <v>13.462999999999738</v>
      </c>
      <c r="P2343" s="6">
        <v>46844</v>
      </c>
      <c r="Q2343" t="s">
        <v>57</v>
      </c>
      <c r="R2343" s="111">
        <v>2362.69</v>
      </c>
      <c r="S2343" s="3" t="s">
        <v>204</v>
      </c>
      <c r="V2343" s="51">
        <v>0.33819444444444446</v>
      </c>
    </row>
    <row r="2344" spans="1:25">
      <c r="A2344" s="30">
        <v>24569044</v>
      </c>
      <c r="B2344" s="31">
        <v>46283</v>
      </c>
      <c r="C2344" s="32">
        <v>0.31898148148148148</v>
      </c>
      <c r="D2344" s="33"/>
      <c r="E2344" s="34">
        <v>5215516078715</v>
      </c>
      <c r="F2344" s="33"/>
      <c r="G2344" s="33" t="s">
        <v>2182</v>
      </c>
      <c r="H2344" s="35"/>
      <c r="I2344" s="33"/>
      <c r="J2344" s="36"/>
      <c r="K2344" t="s">
        <v>54</v>
      </c>
      <c r="L2344" s="111">
        <v>6262.86</v>
      </c>
      <c r="M2344" s="111">
        <v>366.63</v>
      </c>
      <c r="N2344" s="3">
        <f t="shared" si="310"/>
        <v>1878.8579999999997</v>
      </c>
      <c r="O2344" s="3">
        <f t="shared" si="311"/>
        <v>1512.2279999999996</v>
      </c>
      <c r="P2344" s="6">
        <v>46844</v>
      </c>
      <c r="Q2344" t="s">
        <v>44</v>
      </c>
      <c r="R2344" s="111">
        <v>366.63</v>
      </c>
      <c r="S2344" s="3" t="s">
        <v>95</v>
      </c>
      <c r="T2344" s="48">
        <v>46283</v>
      </c>
      <c r="V2344" s="51">
        <v>0.33819444444444446</v>
      </c>
      <c r="W2344" s="51">
        <v>0.39374999999999999</v>
      </c>
      <c r="X2344" s="51">
        <v>0.40833333333333333</v>
      </c>
      <c r="Y2344" s="51">
        <v>0.40972222222222221</v>
      </c>
    </row>
    <row r="2345" spans="1:25" hidden="1">
      <c r="A2345" s="12">
        <v>24569808</v>
      </c>
      <c r="B2345" s="13">
        <v>46283</v>
      </c>
      <c r="C2345" s="14">
        <v>0.34098379629629627</v>
      </c>
      <c r="D2345" s="15"/>
      <c r="E2345" s="16">
        <v>5213271087437</v>
      </c>
      <c r="F2345" s="15"/>
      <c r="G2345" s="15"/>
      <c r="H2345" s="17" t="s">
        <v>2183</v>
      </c>
      <c r="I2345" s="15"/>
      <c r="J2345" s="18"/>
      <c r="K2345" t="s">
        <v>51</v>
      </c>
      <c r="N2345" s="3">
        <f t="shared" ref="N2345:N2347" si="312">L2345*0.3</f>
        <v>0</v>
      </c>
      <c r="O2345" s="3">
        <f t="shared" ref="O2345:O2347" si="313">(IF(L2345&lt;4172.98,0,MIN(L2345*0.3,L2345-4172.98)))-M2345</f>
        <v>0</v>
      </c>
      <c r="S2345" s="3" t="s">
        <v>204</v>
      </c>
      <c r="V2345" s="51">
        <v>0.37847222222222221</v>
      </c>
    </row>
    <row r="2346" spans="1:25" hidden="1">
      <c r="A2346" s="12">
        <v>24582884</v>
      </c>
      <c r="B2346" s="13">
        <v>46283</v>
      </c>
      <c r="C2346" s="14">
        <v>0.36245370370370372</v>
      </c>
      <c r="D2346" s="15"/>
      <c r="E2346" s="16">
        <v>5217761989624</v>
      </c>
      <c r="F2346" s="15"/>
      <c r="G2346" s="15" t="s">
        <v>2184</v>
      </c>
      <c r="H2346" s="17"/>
      <c r="I2346" s="15"/>
      <c r="J2346" s="18"/>
      <c r="K2346" t="s">
        <v>32</v>
      </c>
      <c r="N2346" s="3">
        <f t="shared" si="312"/>
        <v>0</v>
      </c>
      <c r="O2346" s="3">
        <f t="shared" si="313"/>
        <v>0</v>
      </c>
      <c r="S2346" s="3" t="s">
        <v>204</v>
      </c>
      <c r="V2346" s="51">
        <v>0.37847222222222221</v>
      </c>
    </row>
    <row r="2347" spans="1:25" hidden="1">
      <c r="A2347" s="30">
        <v>24614036</v>
      </c>
      <c r="B2347" s="31">
        <v>46283</v>
      </c>
      <c r="C2347" s="32">
        <v>0.37550925925925926</v>
      </c>
      <c r="D2347" s="33" t="s">
        <v>2185</v>
      </c>
      <c r="E2347" s="34">
        <v>5219981094934</v>
      </c>
      <c r="F2347" s="33"/>
      <c r="G2347" s="33" t="s">
        <v>2186</v>
      </c>
      <c r="H2347" s="35">
        <v>82788550408</v>
      </c>
      <c r="I2347" s="33"/>
      <c r="J2347" s="36"/>
      <c r="K2347" t="s">
        <v>32</v>
      </c>
      <c r="N2347" s="3">
        <f t="shared" si="312"/>
        <v>0</v>
      </c>
      <c r="O2347" s="3">
        <f t="shared" si="313"/>
        <v>0</v>
      </c>
      <c r="S2347" s="3" t="s">
        <v>204</v>
      </c>
      <c r="V2347" s="51">
        <v>0.37847222222222221</v>
      </c>
    </row>
    <row r="2348" spans="1:25">
      <c r="A2348" s="30">
        <v>24634070</v>
      </c>
      <c r="B2348" s="31">
        <v>46283</v>
      </c>
      <c r="C2348" s="32">
        <v>0.38967592592592593</v>
      </c>
      <c r="D2348" s="33"/>
      <c r="E2348" s="34">
        <v>5215566194283</v>
      </c>
      <c r="F2348" s="33"/>
      <c r="G2348" s="33"/>
      <c r="H2348" s="35" t="s">
        <v>2187</v>
      </c>
      <c r="I2348" s="33"/>
      <c r="J2348" s="36"/>
      <c r="K2348" t="s">
        <v>34</v>
      </c>
      <c r="L2348" s="111">
        <v>13204.13</v>
      </c>
      <c r="M2348" s="111">
        <v>3959.28</v>
      </c>
      <c r="N2348" s="3">
        <f>L2348*0.3</f>
        <v>3961.2389999999996</v>
      </c>
      <c r="O2348" s="3">
        <f>(IF(L2348&lt;4172.98,0,MIN(L2348*0.3,L2348-4172.98)))-M2348</f>
        <v>1.9589999999993779</v>
      </c>
      <c r="P2348" s="6">
        <v>44562</v>
      </c>
      <c r="Q2348" t="s">
        <v>73</v>
      </c>
      <c r="R2348" s="3">
        <v>2675.58</v>
      </c>
      <c r="S2348" s="3" t="s">
        <v>35</v>
      </c>
      <c r="T2348" s="48">
        <v>46283</v>
      </c>
      <c r="V2348" s="51">
        <v>0.39583333333333331</v>
      </c>
      <c r="W2348" s="51">
        <v>0.40069444444444446</v>
      </c>
      <c r="X2348" s="51">
        <v>0.40694444444444444</v>
      </c>
      <c r="Y2348" s="51">
        <v>0.40833333333333333</v>
      </c>
    </row>
    <row r="2349" spans="1:25" hidden="1">
      <c r="A2349" s="30">
        <v>24636090</v>
      </c>
      <c r="B2349" s="31">
        <v>46283</v>
      </c>
      <c r="C2349" s="32">
        <v>0.42270833333333335</v>
      </c>
      <c r="D2349" s="33" t="s">
        <v>2188</v>
      </c>
      <c r="E2349" s="34">
        <v>5218119053768</v>
      </c>
      <c r="F2349" s="33"/>
      <c r="G2349" s="33" t="s">
        <v>2189</v>
      </c>
      <c r="H2349" s="35">
        <v>43796402329</v>
      </c>
      <c r="I2349" s="33"/>
      <c r="J2349" s="36"/>
      <c r="K2349" t="s">
        <v>30</v>
      </c>
      <c r="L2349" s="111">
        <v>9081.52</v>
      </c>
      <c r="M2349" s="111">
        <v>2723.47</v>
      </c>
      <c r="N2349" s="3">
        <f>L2349*0.3</f>
        <v>2724.4560000000001</v>
      </c>
      <c r="O2349" s="3">
        <f>(IF(L2349&lt;4172.98,0,MIN(L2349*0.3,L2349-4172.98)))-M2349</f>
        <v>0.98600000000033106</v>
      </c>
      <c r="P2349" s="6">
        <v>46296</v>
      </c>
      <c r="Q2349" t="s">
        <v>206</v>
      </c>
      <c r="R2349" s="3">
        <v>1160.71</v>
      </c>
      <c r="S2349" s="3" t="s">
        <v>204</v>
      </c>
      <c r="V2349" s="51">
        <v>0.42569444444444443</v>
      </c>
    </row>
    <row r="2350" spans="1:25">
      <c r="A2350" s="12">
        <v>24636308</v>
      </c>
      <c r="B2350" s="13">
        <v>46283</v>
      </c>
      <c r="C2350" s="14">
        <v>0.43113425925925924</v>
      </c>
      <c r="D2350" s="15" t="s">
        <v>2190</v>
      </c>
      <c r="E2350" s="16">
        <v>5215544043777</v>
      </c>
      <c r="F2350" s="15"/>
      <c r="G2350" s="15"/>
      <c r="H2350" s="17" t="s">
        <v>2120</v>
      </c>
      <c r="I2350" s="15"/>
      <c r="J2350" s="18"/>
      <c r="K2350" t="s">
        <v>38</v>
      </c>
      <c r="L2350" s="3">
        <v>5305.5</v>
      </c>
      <c r="N2350" s="3">
        <f t="shared" ref="N2350:N2351" si="314">L2350*0.3</f>
        <v>1591.6499999999999</v>
      </c>
      <c r="O2350" s="3">
        <f t="shared" ref="O2350:O2351" si="315">(IF(L2350&lt;4172.98,0,MIN(L2350*0.3,L2350-4172.98)))-M2350</f>
        <v>1132.5200000000004</v>
      </c>
      <c r="S2350" s="3" t="s">
        <v>2179</v>
      </c>
      <c r="T2350" s="48">
        <v>46283</v>
      </c>
      <c r="V2350" s="51">
        <v>0.43263888888888891</v>
      </c>
      <c r="W2350" s="51">
        <v>0.43680555555555556</v>
      </c>
      <c r="X2350" s="51">
        <v>0.43958333333333333</v>
      </c>
      <c r="Y2350" s="51">
        <v>0.44583333333333336</v>
      </c>
    </row>
    <row r="2351" spans="1:25">
      <c r="A2351" s="30">
        <v>24636382</v>
      </c>
      <c r="B2351" s="31">
        <v>46283</v>
      </c>
      <c r="C2351" s="32">
        <v>0.4321875</v>
      </c>
      <c r="D2351" s="33"/>
      <c r="E2351" s="34">
        <v>5212291812339</v>
      </c>
      <c r="F2351" s="33"/>
      <c r="G2351" s="33"/>
      <c r="H2351" s="35">
        <v>65876523815</v>
      </c>
      <c r="I2351" s="33"/>
      <c r="J2351" s="36"/>
      <c r="K2351" t="s">
        <v>54</v>
      </c>
      <c r="L2351" s="3">
        <v>10636.54</v>
      </c>
      <c r="N2351" s="3">
        <f t="shared" si="314"/>
        <v>3190.962</v>
      </c>
      <c r="O2351" s="3">
        <f t="shared" si="315"/>
        <v>3190.962</v>
      </c>
      <c r="S2351" s="3" t="s">
        <v>28</v>
      </c>
      <c r="T2351" s="48">
        <v>46283</v>
      </c>
      <c r="V2351" s="51">
        <v>0.43263888888888891</v>
      </c>
      <c r="W2351" s="51">
        <v>0.4375</v>
      </c>
      <c r="X2351" s="51">
        <v>0.44166666666666665</v>
      </c>
      <c r="Y2351" s="51">
        <v>0.44236111111111109</v>
      </c>
    </row>
    <row r="2352" spans="1:25">
      <c r="A2352" s="30">
        <v>24636760</v>
      </c>
      <c r="B2352" s="31">
        <v>46283</v>
      </c>
      <c r="C2352" s="32">
        <v>0.44386574074074076</v>
      </c>
      <c r="D2352" s="33"/>
      <c r="E2352" s="34">
        <v>5219931499820</v>
      </c>
      <c r="F2352" s="33"/>
      <c r="G2352" s="33"/>
      <c r="H2352" s="35">
        <v>83856212259</v>
      </c>
      <c r="I2352" s="33"/>
      <c r="J2352" s="36"/>
      <c r="K2352" t="s">
        <v>34</v>
      </c>
      <c r="L2352" s="111">
        <v>38637.620000000003</v>
      </c>
      <c r="M2352" s="111">
        <v>10724.63</v>
      </c>
      <c r="N2352" s="3">
        <f>L2352*0.3</f>
        <v>11591.286</v>
      </c>
      <c r="O2352" s="3">
        <f>(IF(L2352&lt;4172.98,0,MIN(L2352*0.3,L2352-4172.98)))-M2352</f>
        <v>866.65600000000086</v>
      </c>
      <c r="P2352" s="6">
        <v>46266</v>
      </c>
      <c r="Q2352" t="s">
        <v>73</v>
      </c>
      <c r="R2352" s="111">
        <v>10724.63</v>
      </c>
      <c r="S2352" s="3" t="s">
        <v>35</v>
      </c>
      <c r="T2352" s="48">
        <v>46283</v>
      </c>
      <c r="V2352" s="51">
        <v>0.44444444444444442</v>
      </c>
      <c r="W2352" s="51">
        <v>0.44930555555555557</v>
      </c>
      <c r="X2352" s="51">
        <v>0.45069444444444445</v>
      </c>
      <c r="Y2352" s="51">
        <v>0.45208333333333334</v>
      </c>
    </row>
    <row r="2353" spans="1:25">
      <c r="A2353" s="30">
        <v>24636770</v>
      </c>
      <c r="B2353" s="31">
        <v>46283</v>
      </c>
      <c r="C2353" s="32">
        <v>0.44726851851851851</v>
      </c>
      <c r="D2353" s="33"/>
      <c r="E2353" s="34">
        <v>5218112082948</v>
      </c>
      <c r="F2353" s="33"/>
      <c r="G2353" s="33"/>
      <c r="H2353" s="35" t="s">
        <v>2191</v>
      </c>
      <c r="I2353" s="33"/>
      <c r="J2353" s="36"/>
      <c r="K2353" t="s">
        <v>54</v>
      </c>
      <c r="L2353" s="3">
        <v>5723.54</v>
      </c>
      <c r="N2353" s="3">
        <f>L2353*0.3</f>
        <v>1717.0619999999999</v>
      </c>
      <c r="O2353" s="3">
        <f>(IF(L2353&lt;4172.98,0,MIN(L2353*0.3,L2353-4172.98)))-M2353</f>
        <v>1550.5600000000004</v>
      </c>
      <c r="S2353" s="3" t="s">
        <v>62</v>
      </c>
      <c r="T2353" s="48">
        <v>46283</v>
      </c>
      <c r="V2353" s="51">
        <v>0.44722222222222224</v>
      </c>
      <c r="W2353" s="51">
        <v>0.44930555555555557</v>
      </c>
      <c r="X2353" s="51">
        <v>0.45208333333333334</v>
      </c>
      <c r="Y2353" s="51">
        <v>0.45347222222222222</v>
      </c>
    </row>
    <row r="2354" spans="1:25">
      <c r="A2354" s="30">
        <v>24637642</v>
      </c>
      <c r="B2354" s="31">
        <v>46283</v>
      </c>
      <c r="C2354" s="32">
        <v>0.46636574074074072</v>
      </c>
      <c r="D2354" s="33"/>
      <c r="E2354" s="34">
        <v>5218211608561</v>
      </c>
      <c r="F2354" s="33"/>
      <c r="G2354" s="33"/>
      <c r="H2354" s="35" t="s">
        <v>2192</v>
      </c>
      <c r="I2354" s="33"/>
      <c r="J2354" s="36"/>
      <c r="K2354" t="s">
        <v>54</v>
      </c>
      <c r="L2354" s="3">
        <f>33479.06-17013.95</f>
        <v>16465.109999999997</v>
      </c>
      <c r="N2354" s="3">
        <f>L2354*0.3</f>
        <v>4939.5329999999985</v>
      </c>
      <c r="O2354" s="3">
        <f>(IF(L2354&lt;4172.98,0,MIN(L2354*0.3,L2354-4172.98)))-M2354</f>
        <v>4939.5329999999985</v>
      </c>
      <c r="S2354" s="3" t="s">
        <v>879</v>
      </c>
      <c r="T2354" s="48">
        <v>46283</v>
      </c>
      <c r="V2354" s="51">
        <v>0.46736111111111112</v>
      </c>
      <c r="W2354" s="51">
        <v>0.47152777777777777</v>
      </c>
      <c r="X2354" s="51">
        <v>0.47430555555555554</v>
      </c>
      <c r="Y2354" s="51">
        <v>0.47708333333333336</v>
      </c>
    </row>
    <row r="2355" spans="1:25" hidden="1">
      <c r="A2355" s="30">
        <v>24495942</v>
      </c>
      <c r="B2355" s="31">
        <v>46283</v>
      </c>
      <c r="C2355" s="32">
        <v>0.48372685185185182</v>
      </c>
      <c r="D2355" s="33"/>
      <c r="E2355" s="34" t="s">
        <v>2193</v>
      </c>
      <c r="F2355" s="33"/>
      <c r="G2355" s="33" t="s">
        <v>2194</v>
      </c>
      <c r="H2355" s="35"/>
      <c r="I2355" s="33"/>
      <c r="J2355" s="36"/>
      <c r="K2355" t="s">
        <v>32</v>
      </c>
      <c r="N2355" s="3">
        <f>L2355*0.3</f>
        <v>0</v>
      </c>
      <c r="O2355" s="3">
        <f>(IF(L2355&lt;4172.98,0,MIN(L2355*0.3,L2355-4172.98)))-M2355</f>
        <v>0</v>
      </c>
      <c r="S2355" s="53" t="s">
        <v>204</v>
      </c>
      <c r="V2355" s="51">
        <v>0.48333333333333334</v>
      </c>
    </row>
    <row r="2356" spans="1:25" hidden="1">
      <c r="A2356" s="30">
        <v>24536294</v>
      </c>
      <c r="B2356" s="31">
        <v>46283</v>
      </c>
      <c r="C2356" s="32">
        <v>0.48511574074074076</v>
      </c>
      <c r="D2356" s="33"/>
      <c r="E2356" s="34">
        <v>5214439559389</v>
      </c>
      <c r="F2356" s="33"/>
      <c r="G2356" s="33"/>
      <c r="H2356" s="35">
        <v>12866203388</v>
      </c>
      <c r="I2356" s="33"/>
      <c r="J2356" s="36"/>
      <c r="K2356" t="s">
        <v>32</v>
      </c>
      <c r="N2356" s="3">
        <f>L2356*0.3</f>
        <v>0</v>
      </c>
      <c r="O2356" s="3">
        <f>(IF(L2356&lt;4172.98,0,MIN(L2356*0.3,L2356-4172.98)))-M2356</f>
        <v>0</v>
      </c>
      <c r="S2356" s="53" t="s">
        <v>204</v>
      </c>
      <c r="V2356" s="51">
        <v>0.48472222222222222</v>
      </c>
    </row>
    <row r="2357" spans="1:25" hidden="1">
      <c r="A2357" s="30">
        <v>24547484</v>
      </c>
      <c r="B2357" s="31">
        <v>46283</v>
      </c>
      <c r="C2357" s="32">
        <v>0.48650462962962965</v>
      </c>
      <c r="D2357" s="33" t="s">
        <v>2195</v>
      </c>
      <c r="E2357" s="34">
        <v>5214471888963</v>
      </c>
      <c r="F2357" s="33"/>
      <c r="G2357" s="33" t="s">
        <v>2196</v>
      </c>
      <c r="H2357" s="35" t="s">
        <v>2197</v>
      </c>
      <c r="I2357" s="33"/>
      <c r="J2357" s="36"/>
      <c r="K2357" t="s">
        <v>30</v>
      </c>
      <c r="L2357" s="111">
        <v>35256.53</v>
      </c>
      <c r="M2357" s="111">
        <v>10502.74</v>
      </c>
      <c r="N2357" s="3">
        <f>L2357*0.3</f>
        <v>10576.958999999999</v>
      </c>
      <c r="O2357" s="3">
        <f>(IF(L2357&lt;4172.98,0,MIN(L2357*0.3,L2357-4172.98)))-M2357</f>
        <v>74.218999999999141</v>
      </c>
      <c r="P2357" s="6">
        <v>46327</v>
      </c>
      <c r="Q2357" t="s">
        <v>1323</v>
      </c>
      <c r="R2357" s="3">
        <v>9580.51</v>
      </c>
      <c r="S2357" s="53" t="s">
        <v>204</v>
      </c>
      <c r="V2357" s="51">
        <v>0.4861111111111111</v>
      </c>
    </row>
    <row r="2358" spans="1:25" hidden="1">
      <c r="A2358" s="30">
        <v>24555288</v>
      </c>
      <c r="B2358" s="31">
        <v>46283</v>
      </c>
      <c r="C2358" s="32">
        <v>0.48789351851851853</v>
      </c>
      <c r="D2358" s="33" t="s">
        <v>2198</v>
      </c>
      <c r="E2358" s="34">
        <v>5216221166697</v>
      </c>
      <c r="F2358" s="33"/>
      <c r="G2358" s="33"/>
      <c r="H2358" s="35">
        <v>24796131282</v>
      </c>
      <c r="I2358" s="33"/>
      <c r="J2358" s="36"/>
      <c r="K2358" t="s">
        <v>30</v>
      </c>
      <c r="L2358" s="111">
        <v>7920.51</v>
      </c>
      <c r="M2358" s="111">
        <v>2375.66</v>
      </c>
      <c r="N2358" s="3">
        <f>L2358*0.3</f>
        <v>2376.1529999999998</v>
      </c>
      <c r="O2358" s="3">
        <f>(IF(L2358&lt;4172.98,0,MIN(L2358*0.3,L2358-4172.98)))-M2358</f>
        <v>0.49299999999993815</v>
      </c>
      <c r="P2358" s="6">
        <v>46784</v>
      </c>
      <c r="Q2358" t="s">
        <v>1323</v>
      </c>
      <c r="R2358" s="111">
        <v>2375.66</v>
      </c>
      <c r="S2358" s="53" t="s">
        <v>204</v>
      </c>
      <c r="V2358" s="51">
        <v>0.48749999999999999</v>
      </c>
    </row>
    <row r="2359" spans="1:25">
      <c r="A2359" s="30">
        <v>24555162</v>
      </c>
      <c r="B2359" s="31">
        <v>46283</v>
      </c>
      <c r="C2359" s="32">
        <v>0.48928240740740742</v>
      </c>
      <c r="D2359" s="33"/>
      <c r="E2359" s="34">
        <v>5215578660710</v>
      </c>
      <c r="F2359" s="33"/>
      <c r="G2359" s="33" t="s">
        <v>2199</v>
      </c>
      <c r="H2359" s="35"/>
      <c r="I2359" s="33"/>
      <c r="J2359" s="36"/>
      <c r="K2359" t="s">
        <v>54</v>
      </c>
      <c r="L2359" s="3">
        <v>9760.32</v>
      </c>
      <c r="N2359" s="3">
        <f>L2359*0.3</f>
        <v>2928.096</v>
      </c>
      <c r="O2359" s="3">
        <f>(IF(L2359&lt;4172.98,0,MIN(L2359*0.3,L2359-4172.98)))-M2359</f>
        <v>2928.096</v>
      </c>
      <c r="S2359" s="53" t="s">
        <v>1910</v>
      </c>
      <c r="T2359" s="48">
        <v>46283</v>
      </c>
      <c r="V2359" s="51">
        <v>0.48888888888888887</v>
      </c>
      <c r="W2359" s="51">
        <v>0.50277777777777777</v>
      </c>
      <c r="X2359" s="51">
        <v>0.50694444444444442</v>
      </c>
      <c r="Y2359" s="51">
        <v>0.50972222222222219</v>
      </c>
    </row>
    <row r="2360" spans="1:25" hidden="1">
      <c r="A2360" s="30">
        <v>24638824</v>
      </c>
      <c r="B2360" s="31">
        <v>46283</v>
      </c>
      <c r="C2360" s="32">
        <v>0.49464120370370368</v>
      </c>
      <c r="D2360" s="33" t="s">
        <v>2200</v>
      </c>
      <c r="E2360" s="34">
        <v>5219842135027</v>
      </c>
      <c r="F2360" s="33"/>
      <c r="G2360" s="33" t="s">
        <v>2201</v>
      </c>
      <c r="H2360" s="35"/>
      <c r="I2360" s="33"/>
      <c r="J2360" s="36"/>
      <c r="K2360" t="s">
        <v>32</v>
      </c>
      <c r="N2360" s="3">
        <f>L2360*0.3</f>
        <v>0</v>
      </c>
      <c r="O2360" s="3">
        <f>(IF(L2360&lt;4172.98,0,MIN(L2360*0.3,L2360-4172.98)))-M2360</f>
        <v>0</v>
      </c>
      <c r="S2360" s="3" t="s">
        <v>204</v>
      </c>
      <c r="V2360" s="51">
        <v>0.49513888888888891</v>
      </c>
    </row>
    <row r="2361" spans="1:25" hidden="1">
      <c r="A2361" s="30">
        <v>24638916</v>
      </c>
      <c r="B2361" s="31">
        <v>46283</v>
      </c>
      <c r="C2361" s="32">
        <v>0.49760416666666668</v>
      </c>
      <c r="D2361" s="33"/>
      <c r="E2361" s="34">
        <v>5218116004770</v>
      </c>
      <c r="F2361" s="33"/>
      <c r="G2361" s="33" t="s">
        <v>2202</v>
      </c>
      <c r="H2361" s="35"/>
      <c r="I2361" s="33"/>
      <c r="J2361" s="36"/>
      <c r="K2361" t="s">
        <v>58</v>
      </c>
      <c r="L2361" s="3">
        <v>3604.04</v>
      </c>
      <c r="N2361" s="3">
        <f>L2361*0.3</f>
        <v>1081.212</v>
      </c>
      <c r="O2361" s="3">
        <f>(IF(L2361&lt;4172.98,0,MIN(L2361*0.3,L2361-4172.98)))-M2361</f>
        <v>0</v>
      </c>
      <c r="S2361" s="3" t="s">
        <v>204</v>
      </c>
      <c r="V2361" s="51">
        <v>0.49722222222222223</v>
      </c>
    </row>
    <row r="2362" spans="1:25">
      <c r="A2362" s="30">
        <v>24559118</v>
      </c>
      <c r="B2362" s="31">
        <v>46283</v>
      </c>
      <c r="C2362" s="32">
        <v>0.50038194444444439</v>
      </c>
      <c r="D2362" s="33" t="s">
        <v>2203</v>
      </c>
      <c r="E2362" s="34">
        <v>5215579467712</v>
      </c>
      <c r="F2362" s="33"/>
      <c r="G2362" s="33" t="s">
        <v>2204</v>
      </c>
      <c r="H2362" s="35">
        <v>10795915791</v>
      </c>
      <c r="I2362" s="33"/>
      <c r="J2362" s="36"/>
      <c r="K2362" t="s">
        <v>34</v>
      </c>
      <c r="L2362" s="111">
        <v>6262.86</v>
      </c>
      <c r="M2362" s="111">
        <v>1532.08</v>
      </c>
      <c r="N2362" s="3">
        <f>L2362*0.3</f>
        <v>1878.8579999999997</v>
      </c>
      <c r="O2362" s="3">
        <f>(IF(L2362&lt;4172.98,0,MIN(L2362*0.3,L2362-4172.98)))-M2362</f>
        <v>346.77799999999979</v>
      </c>
      <c r="P2362" s="6">
        <v>45597</v>
      </c>
      <c r="Q2362" t="s">
        <v>141</v>
      </c>
      <c r="R2362" s="111">
        <v>1532.08</v>
      </c>
      <c r="S2362" s="53" t="s">
        <v>35</v>
      </c>
      <c r="T2362" s="48">
        <v>46283</v>
      </c>
      <c r="V2362" s="51">
        <v>0.5</v>
      </c>
      <c r="W2362" s="51">
        <v>0.51041666666666663</v>
      </c>
      <c r="X2362" s="51">
        <v>0.5131944444444444</v>
      </c>
      <c r="Y2362" s="51">
        <v>0.51458333333333328</v>
      </c>
    </row>
    <row r="2363" spans="1:25">
      <c r="A2363" s="30">
        <v>24639080</v>
      </c>
      <c r="B2363" s="31">
        <v>46283</v>
      </c>
      <c r="C2363" s="32">
        <v>0.50217592592592597</v>
      </c>
      <c r="D2363" s="33" t="s">
        <v>2205</v>
      </c>
      <c r="E2363" s="34">
        <v>5215569623065</v>
      </c>
      <c r="F2363" s="33"/>
      <c r="G2363" s="33"/>
      <c r="H2363" s="35" t="s">
        <v>2206</v>
      </c>
      <c r="I2363" s="33"/>
      <c r="J2363" s="36"/>
      <c r="K2363" t="s">
        <v>54</v>
      </c>
      <c r="L2363" s="3">
        <v>17781.47</v>
      </c>
      <c r="N2363" s="3">
        <f>L2363*0.3</f>
        <v>5334.4409999999998</v>
      </c>
      <c r="O2363" s="3">
        <f>(IF(L2363&lt;4172.98,0,MIN(L2363*0.3,L2363-4172.98)))-M2363</f>
        <v>5334.4409999999998</v>
      </c>
      <c r="S2363" s="3" t="s">
        <v>95</v>
      </c>
      <c r="T2363" s="48">
        <v>46283</v>
      </c>
      <c r="V2363" s="51">
        <v>0.50208333333333333</v>
      </c>
      <c r="W2363" s="51">
        <v>0.50902777777777775</v>
      </c>
      <c r="X2363" s="51">
        <v>0.51041666666666663</v>
      </c>
      <c r="Y2363" s="51">
        <v>0.5180555555555556</v>
      </c>
    </row>
    <row r="2364" spans="1:25">
      <c r="A2364" s="30">
        <v>24640150</v>
      </c>
      <c r="B2364" s="31">
        <v>46283</v>
      </c>
      <c r="C2364" s="32">
        <v>0.52149305555555558</v>
      </c>
      <c r="D2364" s="33"/>
      <c r="E2364" s="34">
        <v>5217222215290</v>
      </c>
      <c r="F2364" s="33"/>
      <c r="G2364" s="33"/>
      <c r="H2364" s="35">
        <v>19765635826</v>
      </c>
      <c r="I2364" s="33"/>
      <c r="J2364" s="36"/>
      <c r="K2364" t="s">
        <v>107</v>
      </c>
      <c r="L2364" s="111">
        <v>4679.34</v>
      </c>
      <c r="M2364" s="111">
        <v>413.46</v>
      </c>
      <c r="N2364" s="3">
        <f>L2364*0.3</f>
        <v>1403.8019999999999</v>
      </c>
      <c r="O2364" s="3">
        <f>(IF(L2364&lt;4172.98,0,MIN(L2364*0.3,L2364-4172.98)))-M2364</f>
        <v>92.900000000000603</v>
      </c>
      <c r="P2364" s="6">
        <v>45566</v>
      </c>
      <c r="Q2364" t="s">
        <v>80</v>
      </c>
      <c r="R2364" s="111">
        <v>413.46</v>
      </c>
      <c r="S2364" s="3" t="s">
        <v>2179</v>
      </c>
      <c r="T2364" s="48">
        <v>46283</v>
      </c>
      <c r="V2364" s="51">
        <v>0.5229166666666667</v>
      </c>
      <c r="W2364" s="51">
        <v>0.53402777777777777</v>
      </c>
      <c r="X2364" s="51">
        <v>0.54097222222222219</v>
      </c>
      <c r="Y2364" s="51">
        <v>0.55138888888888893</v>
      </c>
    </row>
    <row r="2365" spans="1:25" hidden="1">
      <c r="A2365" s="30">
        <v>24640552</v>
      </c>
      <c r="B2365" s="31">
        <v>46283</v>
      </c>
      <c r="C2365" s="32">
        <v>0.5334606481481482</v>
      </c>
      <c r="D2365" s="33"/>
      <c r="E2365" s="34">
        <v>5216685405474</v>
      </c>
      <c r="F2365" s="33"/>
      <c r="G2365" s="33"/>
      <c r="H2365" s="35">
        <v>23936407602</v>
      </c>
      <c r="I2365" s="33"/>
      <c r="J2365" s="36"/>
      <c r="K2365" t="s">
        <v>30</v>
      </c>
      <c r="L2365" s="111">
        <v>9989.1200000000008</v>
      </c>
      <c r="M2365" s="111">
        <v>2996.74</v>
      </c>
      <c r="N2365" s="3">
        <f>L2365*0.3</f>
        <v>2996.7360000000003</v>
      </c>
      <c r="O2365" s="3">
        <f>(IF(L2365&lt;4172.98,0,MIN(L2365*0.3,L2365-4172.98)))-M2365</f>
        <v>-3.9999999994506652E-3</v>
      </c>
      <c r="P2365" s="6">
        <v>46539</v>
      </c>
      <c r="Q2365" t="s">
        <v>184</v>
      </c>
      <c r="R2365" s="3">
        <v>1844.69</v>
      </c>
      <c r="S2365" s="3" t="s">
        <v>204</v>
      </c>
      <c r="V2365" s="51">
        <v>0.53541666666666665</v>
      </c>
    </row>
    <row r="2366" spans="1:25" hidden="1">
      <c r="A2366" s="30">
        <v>24640504</v>
      </c>
      <c r="B2366" s="31">
        <v>46283</v>
      </c>
      <c r="C2366" s="32">
        <v>0.53990740740740739</v>
      </c>
      <c r="D2366" s="33" t="s">
        <v>2207</v>
      </c>
      <c r="E2366" s="34">
        <v>5216672689058</v>
      </c>
      <c r="F2366" s="33"/>
      <c r="G2366" s="33" t="s">
        <v>2208</v>
      </c>
      <c r="H2366" s="35" t="s">
        <v>2209</v>
      </c>
      <c r="I2366" s="33"/>
      <c r="J2366" s="36"/>
      <c r="K2366" t="s">
        <v>30</v>
      </c>
      <c r="L2366" s="111">
        <v>6262.86</v>
      </c>
      <c r="M2366" s="111">
        <v>1800</v>
      </c>
      <c r="N2366" s="3">
        <f>L2366*0.3</f>
        <v>1878.8579999999997</v>
      </c>
      <c r="O2366" s="3">
        <f>(IF(L2366&lt;4172.98,0,MIN(L2366*0.3,L2366-4172.98)))-M2366</f>
        <v>78.85799999999972</v>
      </c>
      <c r="P2366" s="6">
        <v>46447</v>
      </c>
      <c r="Q2366" t="s">
        <v>1669</v>
      </c>
      <c r="R2366" s="111">
        <v>1800</v>
      </c>
      <c r="S2366" s="3" t="s">
        <v>204</v>
      </c>
      <c r="V2366" s="51">
        <v>0.54236111111111107</v>
      </c>
    </row>
    <row r="2367" spans="1:25" hidden="1">
      <c r="A2367" s="30">
        <v>24509392</v>
      </c>
      <c r="B2367" s="31">
        <v>46283</v>
      </c>
      <c r="C2367" s="32">
        <v>0.55909722222222225</v>
      </c>
      <c r="D2367" s="33"/>
      <c r="E2367" s="34">
        <v>5219611791915</v>
      </c>
      <c r="F2367" s="33"/>
      <c r="G2367" s="33" t="s">
        <v>2210</v>
      </c>
      <c r="H2367" s="35"/>
      <c r="I2367" s="33"/>
      <c r="J2367" s="36"/>
      <c r="K2367" t="s">
        <v>32</v>
      </c>
      <c r="N2367" s="3">
        <f>L2367*0.3</f>
        <v>0</v>
      </c>
      <c r="O2367" s="3">
        <f>(IF(L2367&lt;4172.98,0,MIN(L2367*0.3,L2367-4172.98)))-M2367</f>
        <v>0</v>
      </c>
      <c r="S2367" s="53" t="s">
        <v>204</v>
      </c>
      <c r="V2367" s="51">
        <v>0.55902777777777779</v>
      </c>
    </row>
    <row r="2368" spans="1:25" hidden="1">
      <c r="A2368" s="30">
        <v>24641856</v>
      </c>
      <c r="B2368" s="31">
        <v>46283</v>
      </c>
      <c r="C2368" s="32">
        <v>0.56771990740740741</v>
      </c>
      <c r="D2368" s="33" t="s">
        <v>2211</v>
      </c>
      <c r="E2368" s="34"/>
      <c r="F2368" s="33"/>
      <c r="G2368" s="33" t="s">
        <v>2212</v>
      </c>
      <c r="H2368" s="35">
        <v>32826711684</v>
      </c>
      <c r="I2368" s="33"/>
      <c r="J2368" s="36"/>
      <c r="K2368" t="s">
        <v>30</v>
      </c>
      <c r="L2368" s="111">
        <v>16698.03</v>
      </c>
      <c r="M2368" s="111">
        <v>5009.41</v>
      </c>
      <c r="N2368" s="3">
        <f>L2368*0.3</f>
        <v>5009.4089999999997</v>
      </c>
      <c r="O2368" s="3">
        <f>(IF(L2368&lt;4172.98,0,MIN(L2368*0.3,L2368-4172.98)))-M2368</f>
        <v>-1.0000000002037268E-3</v>
      </c>
      <c r="P2368" s="6">
        <v>46296</v>
      </c>
      <c r="Q2368" t="s">
        <v>75</v>
      </c>
      <c r="R2368" s="3">
        <v>4094.9</v>
      </c>
      <c r="S2368" s="3" t="s">
        <v>204</v>
      </c>
      <c r="V2368" s="51">
        <v>0.56805555555555554</v>
      </c>
    </row>
    <row r="2369" spans="1:25" hidden="1">
      <c r="A2369" s="30">
        <v>24641884</v>
      </c>
      <c r="B2369" s="31">
        <v>46283</v>
      </c>
      <c r="C2369" s="32">
        <v>0.57217592592592592</v>
      </c>
      <c r="D2369" s="33"/>
      <c r="E2369" s="34">
        <v>5218123213367</v>
      </c>
      <c r="F2369" s="33"/>
      <c r="G2369" s="33"/>
      <c r="H2369" s="35">
        <v>43725558316</v>
      </c>
      <c r="I2369" s="33"/>
      <c r="J2369" s="36"/>
      <c r="K2369" t="s">
        <v>32</v>
      </c>
      <c r="N2369" s="3">
        <f>L2369*0.3</f>
        <v>0</v>
      </c>
      <c r="O2369" s="3">
        <f>(IF(L2369&lt;4172.98,0,MIN(L2369*0.3,L2369-4172.98)))-M2369</f>
        <v>0</v>
      </c>
      <c r="S2369" s="3" t="s">
        <v>204</v>
      </c>
      <c r="V2369" s="51">
        <v>0.57222222222222219</v>
      </c>
    </row>
    <row r="2370" spans="1:25">
      <c r="A2370" s="30">
        <v>24641860</v>
      </c>
      <c r="B2370" s="31">
        <v>46283</v>
      </c>
      <c r="C2370" s="32">
        <v>0.57403935185185184</v>
      </c>
      <c r="D2370" s="33"/>
      <c r="E2370" s="34">
        <v>5215510960353</v>
      </c>
      <c r="F2370" s="33"/>
      <c r="G2370" s="33" t="s">
        <v>2213</v>
      </c>
      <c r="H2370" s="35"/>
      <c r="I2370" s="33"/>
      <c r="J2370" s="36"/>
      <c r="K2370" t="s">
        <v>34</v>
      </c>
      <c r="L2370" s="111">
        <v>20980.85</v>
      </c>
      <c r="M2370" s="111">
        <v>5558.71</v>
      </c>
      <c r="N2370" s="3">
        <f>L2370*0.3</f>
        <v>6294.2549999999992</v>
      </c>
      <c r="O2370" s="3">
        <f>(IF(L2370&lt;4172.98,0,MIN(L2370*0.3,L2370-4172.98)))-M2370</f>
        <v>735.54499999999916</v>
      </c>
      <c r="P2370" s="6">
        <v>45901</v>
      </c>
      <c r="Q2370" t="s">
        <v>141</v>
      </c>
      <c r="R2370" s="111">
        <v>5558.71</v>
      </c>
      <c r="S2370" s="3" t="s">
        <v>35</v>
      </c>
      <c r="T2370" s="48">
        <v>46283</v>
      </c>
      <c r="V2370" s="51">
        <v>0.57361111111111107</v>
      </c>
      <c r="W2370" s="51">
        <v>0.58125000000000004</v>
      </c>
      <c r="X2370" s="51">
        <v>0.58194444444444449</v>
      </c>
      <c r="Y2370" s="51">
        <v>0.58263888888888893</v>
      </c>
    </row>
    <row r="2371" spans="1:25" hidden="1">
      <c r="A2371" s="12">
        <v>24642018</v>
      </c>
      <c r="B2371" s="13">
        <v>46283</v>
      </c>
      <c r="C2371" s="14">
        <v>0.57662037037037039</v>
      </c>
      <c r="D2371" s="15"/>
      <c r="E2371" s="16">
        <v>5217203032999</v>
      </c>
      <c r="F2371" s="15"/>
      <c r="G2371" s="15"/>
      <c r="H2371" s="17">
        <v>90927608654</v>
      </c>
      <c r="I2371" s="15"/>
      <c r="J2371" s="18"/>
      <c r="K2371" t="s">
        <v>58</v>
      </c>
      <c r="L2371" s="111">
        <v>2507.6999999999998</v>
      </c>
      <c r="M2371" s="111">
        <v>626</v>
      </c>
      <c r="N2371" s="3">
        <f t="shared" ref="N2371:N2372" si="316">L2371*0.3</f>
        <v>752.31</v>
      </c>
      <c r="O2371" s="3">
        <f t="shared" ref="O2371:O2372" si="317">(IF(L2371&lt;4172.98,0,MIN(L2371*0.3,L2371-4172.98)))-M2371</f>
        <v>-626</v>
      </c>
      <c r="S2371" s="3" t="s">
        <v>204</v>
      </c>
      <c r="V2371" s="51">
        <v>0.57777777777777772</v>
      </c>
    </row>
    <row r="2372" spans="1:25" hidden="1">
      <c r="A2372" s="30">
        <v>24642048</v>
      </c>
      <c r="B2372" s="31">
        <v>46283</v>
      </c>
      <c r="C2372" s="32">
        <v>0.57726851851851857</v>
      </c>
      <c r="D2372" s="33"/>
      <c r="E2372" s="34">
        <v>5219512585458</v>
      </c>
      <c r="F2372" s="33"/>
      <c r="G2372" s="33"/>
      <c r="H2372" s="35">
        <v>78806214751</v>
      </c>
      <c r="I2372" s="33"/>
      <c r="J2372" s="36"/>
      <c r="K2372" t="s">
        <v>30</v>
      </c>
      <c r="L2372" s="111">
        <v>7920.51</v>
      </c>
      <c r="M2372" s="111">
        <v>2374.91</v>
      </c>
      <c r="N2372" s="3">
        <f t="shared" si="316"/>
        <v>2376.1529999999998</v>
      </c>
      <c r="O2372" s="3">
        <f t="shared" si="317"/>
        <v>1.2429999999999382</v>
      </c>
      <c r="P2372" s="6">
        <v>46844</v>
      </c>
      <c r="Q2372" t="s">
        <v>1323</v>
      </c>
      <c r="R2372" s="3">
        <v>1840.27</v>
      </c>
      <c r="S2372" s="3" t="s">
        <v>204</v>
      </c>
      <c r="V2372" s="51">
        <v>0.57777777777777772</v>
      </c>
    </row>
    <row r="2373" spans="1:25" hidden="1">
      <c r="A2373" s="30">
        <v>24642144</v>
      </c>
      <c r="B2373" s="31">
        <v>46283</v>
      </c>
      <c r="C2373" s="32">
        <v>0.57901620370370366</v>
      </c>
      <c r="D2373" s="33"/>
      <c r="E2373" s="34">
        <v>5214361082131</v>
      </c>
      <c r="F2373" s="33"/>
      <c r="G2373" s="33"/>
      <c r="H2373" s="35" t="s">
        <v>2214</v>
      </c>
      <c r="I2373" s="33"/>
      <c r="J2373" s="36"/>
      <c r="K2373" t="s">
        <v>30</v>
      </c>
      <c r="L2373" s="111">
        <v>23261.43</v>
      </c>
      <c r="M2373" s="111">
        <v>6729.12</v>
      </c>
      <c r="N2373" s="3">
        <f>L2373*0.3</f>
        <v>6978.4290000000001</v>
      </c>
      <c r="O2373" s="3">
        <f>(IF(L2373&lt;4172.98,0,MIN(L2373*0.3,L2373-4172.98)))-M2373</f>
        <v>249.3090000000002</v>
      </c>
      <c r="P2373" s="6">
        <v>46874</v>
      </c>
      <c r="Q2373" t="s">
        <v>141</v>
      </c>
      <c r="R2373" s="3">
        <v>3999.43</v>
      </c>
      <c r="S2373" s="3" t="s">
        <v>204</v>
      </c>
      <c r="V2373" s="51">
        <v>0.57916666666666672</v>
      </c>
    </row>
    <row r="2374" spans="1:25" hidden="1">
      <c r="A2374" s="30">
        <v>24642076</v>
      </c>
      <c r="B2374" s="31">
        <v>46283</v>
      </c>
      <c r="C2374" s="32">
        <v>0.5823842592592593</v>
      </c>
      <c r="D2374" s="33"/>
      <c r="E2374" s="34">
        <v>5215530379427</v>
      </c>
      <c r="F2374" s="33"/>
      <c r="G2374" s="33" t="s">
        <v>2215</v>
      </c>
      <c r="H2374" s="35">
        <v>39907327470</v>
      </c>
      <c r="I2374" s="33"/>
      <c r="J2374" s="36"/>
      <c r="K2374" t="s">
        <v>32</v>
      </c>
      <c r="N2374" s="3">
        <f>L2374*0.3</f>
        <v>0</v>
      </c>
      <c r="O2374" s="3">
        <f>(IF(L2374&lt;4172.98,0,MIN(L2374*0.3,L2374-4172.98)))-M2374</f>
        <v>0</v>
      </c>
      <c r="S2374" s="3" t="s">
        <v>204</v>
      </c>
      <c r="V2374" s="51">
        <v>0.58263888888888893</v>
      </c>
    </row>
    <row r="2375" spans="1:25">
      <c r="A2375" s="30">
        <v>24642732</v>
      </c>
      <c r="B2375" s="31">
        <v>46283</v>
      </c>
      <c r="C2375" s="32">
        <v>0.60371527777777778</v>
      </c>
      <c r="D2375" s="33"/>
      <c r="E2375" s="34">
        <v>5219241966052</v>
      </c>
      <c r="F2375" s="33"/>
      <c r="G2375" s="33"/>
      <c r="H2375" s="35">
        <v>65644627583</v>
      </c>
      <c r="I2375" s="33"/>
      <c r="J2375" s="36"/>
      <c r="K2375" t="s">
        <v>107</v>
      </c>
      <c r="L2375" s="111">
        <v>9362.2800000000007</v>
      </c>
      <c r="M2375" s="111">
        <v>2708.43</v>
      </c>
      <c r="N2375" s="3">
        <f>L2375*0.3</f>
        <v>2808.6840000000002</v>
      </c>
      <c r="O2375" s="3">
        <f>(IF(L2375&lt;4172.98,0,MIN(L2375*0.3,L2375-4172.98)))-M2375</f>
        <v>100.25400000000036</v>
      </c>
      <c r="P2375" s="6">
        <v>46569</v>
      </c>
      <c r="Q2375" t="s">
        <v>44</v>
      </c>
      <c r="R2375" s="3">
        <v>302.47000000000003</v>
      </c>
      <c r="S2375" s="3" t="s">
        <v>35</v>
      </c>
      <c r="T2375" s="48">
        <v>46283</v>
      </c>
      <c r="U2375" t="s">
        <v>368</v>
      </c>
      <c r="V2375" s="51">
        <v>0.60416666666666663</v>
      </c>
      <c r="W2375" s="51">
        <v>0.61041666666666672</v>
      </c>
      <c r="X2375" s="51">
        <v>0.6118055555555556</v>
      </c>
      <c r="Y2375" s="51">
        <v>0.61458333333333337</v>
      </c>
    </row>
    <row r="2376" spans="1:25">
      <c r="A2376" s="30">
        <v>24643056</v>
      </c>
      <c r="B2376" s="31">
        <v>46283</v>
      </c>
      <c r="C2376" s="32">
        <v>0.61157407407407405</v>
      </c>
      <c r="D2376" s="33" t="s">
        <v>2216</v>
      </c>
      <c r="E2376" s="34">
        <v>5214761143116</v>
      </c>
      <c r="F2376" s="33"/>
      <c r="G2376" s="33" t="s">
        <v>2217</v>
      </c>
      <c r="H2376" s="35" t="s">
        <v>2218</v>
      </c>
      <c r="I2376" s="33"/>
      <c r="J2376" s="36"/>
      <c r="K2376" t="s">
        <v>107</v>
      </c>
      <c r="L2376" s="111">
        <v>5054.03</v>
      </c>
      <c r="M2376" s="111">
        <v>814</v>
      </c>
      <c r="N2376" s="3">
        <f>L2376*0.3</f>
        <v>1516.2089999999998</v>
      </c>
      <c r="O2376" s="3">
        <f>(IF(L2376&lt;4172.98,0,MIN(L2376*0.3,L2376-4172.98)))-M2376</f>
        <v>67.050000000000182</v>
      </c>
      <c r="P2376" s="6">
        <v>46266</v>
      </c>
      <c r="Q2376" t="s">
        <v>80</v>
      </c>
      <c r="R2376" s="3">
        <v>814</v>
      </c>
      <c r="S2376" s="3" t="s">
        <v>2179</v>
      </c>
      <c r="T2376" s="48">
        <v>46283</v>
      </c>
      <c r="V2376" s="51">
        <v>0.6118055555555556</v>
      </c>
      <c r="W2376" s="51">
        <v>0.61805555555555558</v>
      </c>
      <c r="X2376" s="51">
        <v>0.62013888888888891</v>
      </c>
      <c r="Y2376" s="51">
        <v>0.63055555555555554</v>
      </c>
    </row>
    <row r="2377" spans="1:25" hidden="1">
      <c r="A2377" s="30">
        <v>24643016</v>
      </c>
      <c r="B2377" s="31">
        <v>46283</v>
      </c>
      <c r="C2377" s="32">
        <v>0.61212962962962958</v>
      </c>
      <c r="D2377" s="33"/>
      <c r="E2377" s="34">
        <v>5217821442692</v>
      </c>
      <c r="F2377" s="33"/>
      <c r="G2377" s="33"/>
      <c r="H2377" s="35">
        <v>65856627834</v>
      </c>
      <c r="I2377" s="33"/>
      <c r="J2377" s="36"/>
      <c r="K2377" t="s">
        <v>30</v>
      </c>
      <c r="L2377" s="111">
        <v>11029.03</v>
      </c>
      <c r="M2377" s="111">
        <v>3308.71</v>
      </c>
      <c r="N2377" s="3">
        <f>L2377*0.3</f>
        <v>3308.7090000000003</v>
      </c>
      <c r="O2377" s="3">
        <f>(IF(L2377&lt;4172.98,0,MIN(L2377*0.3,L2377-4172.98)))-M2377</f>
        <v>-9.9999999974897946E-4</v>
      </c>
      <c r="P2377" s="6">
        <v>46813</v>
      </c>
      <c r="Q2377" t="s">
        <v>44</v>
      </c>
      <c r="R2377" s="3">
        <v>367.2</v>
      </c>
      <c r="S2377" s="3" t="s">
        <v>204</v>
      </c>
      <c r="V2377" s="51">
        <v>0.61250000000000004</v>
      </c>
    </row>
    <row r="2378" spans="1:25">
      <c r="A2378" s="30">
        <v>24643496</v>
      </c>
      <c r="B2378" s="31">
        <v>46283</v>
      </c>
      <c r="C2378" s="32">
        <v>0.63138888888888889</v>
      </c>
      <c r="D2378" s="33"/>
      <c r="E2378" s="34">
        <v>5212721722707</v>
      </c>
      <c r="F2378" s="33"/>
      <c r="G2378" s="33" t="s">
        <v>2219</v>
      </c>
      <c r="H2378" s="35"/>
      <c r="I2378" s="33"/>
      <c r="J2378" s="36"/>
      <c r="K2378" t="s">
        <v>27</v>
      </c>
      <c r="L2378" s="125">
        <v>18494.060000000001</v>
      </c>
      <c r="M2378" s="125">
        <v>4852.29</v>
      </c>
      <c r="N2378" s="3">
        <f>L2378*0.3</f>
        <v>5548.2179999999998</v>
      </c>
      <c r="O2378" s="3">
        <f>(IF(L2378&lt;4172.98,0,MIN(L2378*0.3,L2378-4172.98)))-M2378</f>
        <v>695.92799999999988</v>
      </c>
      <c r="P2378" s="6">
        <v>46266</v>
      </c>
      <c r="Q2378" t="s">
        <v>75</v>
      </c>
      <c r="R2378" s="125">
        <v>4852.29</v>
      </c>
      <c r="S2378" s="3" t="s">
        <v>98</v>
      </c>
      <c r="T2378" s="48">
        <v>46283</v>
      </c>
      <c r="V2378" s="51">
        <v>0.6333333333333333</v>
      </c>
      <c r="W2378" s="51">
        <v>0.64375000000000004</v>
      </c>
      <c r="X2378" s="51">
        <v>0.64583333333333337</v>
      </c>
      <c r="Y2378" s="51">
        <v>0.64861111111111114</v>
      </c>
    </row>
    <row r="2379" spans="1:25">
      <c r="A2379" s="30">
        <v>24643512</v>
      </c>
      <c r="B2379" s="31">
        <v>46283</v>
      </c>
      <c r="C2379" s="32">
        <v>0.63412037037037039</v>
      </c>
      <c r="D2379" s="33"/>
      <c r="E2379" s="34">
        <v>5218442565579</v>
      </c>
      <c r="F2379" s="33"/>
      <c r="G2379" s="33" t="s">
        <v>2220</v>
      </c>
      <c r="H2379" s="35"/>
      <c r="I2379" s="33"/>
      <c r="J2379" s="36"/>
      <c r="K2379" t="s">
        <v>54</v>
      </c>
      <c r="L2379" s="3">
        <v>6257.79</v>
      </c>
      <c r="N2379" s="3">
        <f>L2379*0.3</f>
        <v>1877.337</v>
      </c>
      <c r="O2379" s="3">
        <f>(IF(L2379&lt;4172.98,0,MIN(L2379*0.3,L2379-4172.98)))-M2379</f>
        <v>1877.337</v>
      </c>
      <c r="S2379" s="3" t="s">
        <v>327</v>
      </c>
      <c r="T2379" s="48">
        <v>46283</v>
      </c>
      <c r="U2379" s="200"/>
      <c r="V2379" s="51">
        <v>0.63402777777777775</v>
      </c>
      <c r="W2379" s="51">
        <v>0.64236111111111116</v>
      </c>
      <c r="X2379" s="51">
        <v>0.64236111111111116</v>
      </c>
      <c r="Y2379" s="51">
        <v>0.65763888888888888</v>
      </c>
    </row>
    <row r="2380" spans="1:25" hidden="1">
      <c r="A2380" s="30">
        <v>24644008</v>
      </c>
      <c r="B2380" s="31">
        <v>46283</v>
      </c>
      <c r="C2380" s="32">
        <v>0.65567129629629628</v>
      </c>
      <c r="D2380" s="33"/>
      <c r="E2380" s="34">
        <v>5219842136946</v>
      </c>
      <c r="F2380" s="33"/>
      <c r="G2380" s="33"/>
      <c r="H2380" s="35" t="s">
        <v>2221</v>
      </c>
      <c r="I2380" s="182"/>
      <c r="J2380" s="36"/>
      <c r="K2380" t="s">
        <v>30</v>
      </c>
      <c r="L2380" s="125">
        <v>7198.09</v>
      </c>
      <c r="M2380" s="125">
        <v>2081.3200000000002</v>
      </c>
      <c r="N2380" s="3">
        <f>L2380*0.3</f>
        <v>2159.4270000000001</v>
      </c>
      <c r="O2380" s="3">
        <f>(IF(L2380&lt;4172.98,0,MIN(L2380*0.3,L2380-4172.98)))-M2380</f>
        <v>78.106999999999971</v>
      </c>
      <c r="P2380" s="6">
        <v>46419</v>
      </c>
      <c r="Q2380" t="s">
        <v>1323</v>
      </c>
      <c r="R2380" s="3">
        <v>710.32</v>
      </c>
      <c r="S2380" s="3" t="s">
        <v>204</v>
      </c>
      <c r="V2380" s="51">
        <v>0.65625</v>
      </c>
    </row>
    <row r="2381" spans="1:25" hidden="1">
      <c r="A2381" s="30">
        <v>24644788</v>
      </c>
      <c r="B2381" s="31">
        <v>46283</v>
      </c>
      <c r="C2381" s="32">
        <v>0.68915509259259256</v>
      </c>
      <c r="D2381" s="33"/>
      <c r="E2381" s="34">
        <v>5216685162758</v>
      </c>
      <c r="F2381" s="33"/>
      <c r="G2381" s="33" t="s">
        <v>2222</v>
      </c>
      <c r="H2381" s="35"/>
      <c r="I2381" s="33"/>
      <c r="J2381" s="36"/>
      <c r="K2381" t="s">
        <v>30</v>
      </c>
      <c r="L2381" s="111">
        <v>9081.52</v>
      </c>
      <c r="M2381" s="111">
        <v>2706.03</v>
      </c>
      <c r="N2381" s="3">
        <f>L2381*0.3</f>
        <v>2724.4560000000001</v>
      </c>
      <c r="O2381" s="3">
        <f>(IF(L2381&lt;4172.98,0,MIN(L2381*0.3,L2381-4172.98)))-M2381</f>
        <v>18.425999999999931</v>
      </c>
      <c r="P2381" s="6">
        <v>46569</v>
      </c>
      <c r="Q2381" t="s">
        <v>1323</v>
      </c>
      <c r="R2381" s="3">
        <v>1176.3599999999999</v>
      </c>
      <c r="S2381" s="3" t="s">
        <v>204</v>
      </c>
      <c r="V2381" s="51">
        <v>0.68958333333333333</v>
      </c>
    </row>
    <row r="2382" spans="1:25" hidden="1">
      <c r="A2382" s="30">
        <v>24645238</v>
      </c>
      <c r="B2382" s="31">
        <v>46283</v>
      </c>
      <c r="C2382" s="32">
        <v>0.71564814814814814</v>
      </c>
      <c r="D2382" s="33" t="s">
        <v>2223</v>
      </c>
      <c r="E2382" s="34">
        <v>5216181279981</v>
      </c>
      <c r="F2382" s="33"/>
      <c r="G2382" s="33" t="s">
        <v>2224</v>
      </c>
      <c r="H2382" s="35" t="s">
        <v>2225</v>
      </c>
      <c r="I2382" s="33"/>
      <c r="J2382" s="36"/>
      <c r="K2382" t="s">
        <v>30</v>
      </c>
      <c r="L2382" s="111">
        <v>9081.52</v>
      </c>
      <c r="M2382" s="111">
        <v>2627.5</v>
      </c>
      <c r="N2382" s="3">
        <f>L2382*0.3</f>
        <v>2724.4560000000001</v>
      </c>
      <c r="O2382" s="3">
        <f>(IF(L2382&lt;4172.98,0,MIN(L2382*0.3,L2382-4172.98)))-M2382</f>
        <v>96.956000000000131</v>
      </c>
      <c r="P2382" s="6">
        <v>46478</v>
      </c>
      <c r="Q2382" t="s">
        <v>75</v>
      </c>
      <c r="R2382" s="3">
        <v>2300</v>
      </c>
      <c r="S2382" s="3" t="s">
        <v>204</v>
      </c>
      <c r="V2382" s="51">
        <v>0.71527777777777779</v>
      </c>
    </row>
    <row r="2383" spans="1:25" hidden="1">
      <c r="A2383" s="30">
        <v>24645636</v>
      </c>
      <c r="B2383" s="31">
        <v>46283</v>
      </c>
      <c r="C2383" s="32">
        <v>0.73006944444444444</v>
      </c>
      <c r="D2383" s="33"/>
      <c r="E2383" s="34">
        <v>5213332374080</v>
      </c>
      <c r="F2383" s="33"/>
      <c r="G2383" s="33"/>
      <c r="H2383" s="35">
        <v>56947557395</v>
      </c>
      <c r="I2383" s="33"/>
      <c r="J2383" s="36"/>
      <c r="K2383" t="s">
        <v>30</v>
      </c>
      <c r="L2383" s="111">
        <v>19221.48</v>
      </c>
      <c r="M2383" s="111">
        <v>5546.56</v>
      </c>
      <c r="N2383" s="3">
        <f>L2383*0.3</f>
        <v>5766.4439999999995</v>
      </c>
      <c r="O2383" s="3">
        <f>(IF(L2383&lt;4172.98,0,MIN(L2383*0.3,L2383-4172.98)))-M2383</f>
        <v>219.88399999999911</v>
      </c>
      <c r="P2383" s="6">
        <v>46600</v>
      </c>
      <c r="Q2383" t="s">
        <v>1323</v>
      </c>
      <c r="R2383" s="3">
        <v>392.12</v>
      </c>
      <c r="S2383" s="3" t="s">
        <v>204</v>
      </c>
      <c r="V2383" s="51">
        <v>0.72986111111111107</v>
      </c>
    </row>
    <row r="2384" spans="1:25">
      <c r="A2384" s="30">
        <v>24645976</v>
      </c>
      <c r="B2384" s="31">
        <v>46283</v>
      </c>
      <c r="C2384" s="32">
        <v>0.74886574074074075</v>
      </c>
      <c r="D2384" s="33" t="s">
        <v>2226</v>
      </c>
      <c r="E2384" s="34">
        <v>5218411113333</v>
      </c>
      <c r="F2384" s="33"/>
      <c r="G2384" s="33" t="s">
        <v>2227</v>
      </c>
      <c r="H2384" s="35" t="s">
        <v>2228</v>
      </c>
      <c r="I2384" s="33"/>
      <c r="J2384" s="36"/>
      <c r="K2384" t="s">
        <v>54</v>
      </c>
      <c r="L2384" s="3">
        <v>10636.54</v>
      </c>
      <c r="N2384" s="3">
        <f>L2384*0.3</f>
        <v>3190.962</v>
      </c>
      <c r="O2384" s="3">
        <f>(IF(L2384&lt;4172.98,0,MIN(L2384*0.3,L2384-4172.98)))-M2384</f>
        <v>3190.962</v>
      </c>
      <c r="S2384" s="3" t="s">
        <v>55</v>
      </c>
      <c r="T2384" s="48">
        <v>46283</v>
      </c>
      <c r="V2384" s="51">
        <v>0.74861111111111112</v>
      </c>
      <c r="W2384" s="51">
        <v>0.75624999999999998</v>
      </c>
      <c r="X2384" s="51">
        <v>0.76388888888888884</v>
      </c>
      <c r="Y2384" s="51">
        <v>0.80347222222222225</v>
      </c>
    </row>
    <row r="2385" spans="1:25" hidden="1">
      <c r="A2385" s="12">
        <v>24645992</v>
      </c>
      <c r="B2385" s="13">
        <v>46283</v>
      </c>
      <c r="C2385" s="14">
        <v>0.7479513888888889</v>
      </c>
      <c r="D2385" s="15"/>
      <c r="E2385" s="16">
        <v>5215540809126</v>
      </c>
      <c r="F2385" s="15"/>
      <c r="G2385" s="15"/>
      <c r="H2385" s="17">
        <v>4283632245</v>
      </c>
      <c r="I2385" s="15"/>
      <c r="J2385" s="18"/>
      <c r="K2385" t="s">
        <v>30</v>
      </c>
      <c r="L2385" s="111">
        <v>10636.54</v>
      </c>
      <c r="M2385" s="111">
        <v>3178.64</v>
      </c>
      <c r="N2385" s="3">
        <f t="shared" ref="N2385:N2386" si="318">L2385*0.3</f>
        <v>3190.962</v>
      </c>
      <c r="O2385" s="3">
        <f t="shared" ref="O2385:O2386" si="319">(IF(L2385&lt;4172.98,0,MIN(L2385*0.3,L2385-4172.98)))-M2385</f>
        <v>12.322000000000116</v>
      </c>
      <c r="P2385" s="6">
        <v>46997</v>
      </c>
      <c r="Q2385" t="s">
        <v>141</v>
      </c>
      <c r="R2385" s="111">
        <v>3178.64</v>
      </c>
      <c r="S2385" s="3" t="s">
        <v>204</v>
      </c>
      <c r="V2385" s="51">
        <v>0.74930555555555556</v>
      </c>
    </row>
    <row r="2386" spans="1:25" hidden="1">
      <c r="A2386" s="30">
        <v>24646002</v>
      </c>
      <c r="B2386" s="31">
        <v>46283</v>
      </c>
      <c r="C2386" s="32">
        <v>0.74922453703703706</v>
      </c>
      <c r="D2386" s="33"/>
      <c r="E2386" s="34">
        <v>5216181491901</v>
      </c>
      <c r="F2386" s="33"/>
      <c r="G2386" s="33"/>
      <c r="H2386" s="35">
        <v>31906943043</v>
      </c>
      <c r="I2386" s="33"/>
      <c r="J2386" s="36"/>
      <c r="K2386" t="s">
        <v>30</v>
      </c>
      <c r="L2386" s="111">
        <v>7913.78</v>
      </c>
      <c r="M2386" s="111">
        <v>2368.4699999999998</v>
      </c>
      <c r="N2386" s="3">
        <f t="shared" si="318"/>
        <v>2374.134</v>
      </c>
      <c r="O2386" s="3">
        <f t="shared" si="319"/>
        <v>5.6640000000002146</v>
      </c>
      <c r="P2386" s="6">
        <v>46966</v>
      </c>
      <c r="Q2386" t="s">
        <v>57</v>
      </c>
      <c r="R2386" s="111">
        <v>2368.4699999999998</v>
      </c>
      <c r="S2386" s="3" t="s">
        <v>204</v>
      </c>
      <c r="V2386" s="51">
        <v>0.74930555555555556</v>
      </c>
    </row>
    <row r="2387" spans="1:25">
      <c r="A2387" s="12">
        <v>24646050</v>
      </c>
      <c r="B2387" s="13">
        <v>46283</v>
      </c>
      <c r="C2387" s="14">
        <v>0.75195601851851857</v>
      </c>
      <c r="D2387" s="15"/>
      <c r="E2387" s="16">
        <v>5218447652376</v>
      </c>
      <c r="F2387" s="15"/>
      <c r="G2387" s="15"/>
      <c r="H2387" s="17" t="s">
        <v>2229</v>
      </c>
      <c r="I2387" s="15"/>
      <c r="J2387" s="18"/>
      <c r="K2387" t="s">
        <v>54</v>
      </c>
      <c r="L2387" s="3">
        <f>16908.54-8726.99</f>
        <v>8181.5500000000011</v>
      </c>
      <c r="N2387" s="3">
        <f t="shared" ref="N2387:N2388" si="320">L2387*0.3</f>
        <v>2454.4650000000001</v>
      </c>
      <c r="O2387" s="3">
        <f t="shared" ref="O2387:O2388" si="321">(IF(L2387&lt;4172.98,0,MIN(L2387*0.3,L2387-4172.98)))-M2387</f>
        <v>2454.4650000000001</v>
      </c>
      <c r="S2387" s="3" t="s">
        <v>358</v>
      </c>
      <c r="T2387" s="48">
        <v>46283</v>
      </c>
      <c r="V2387" s="51">
        <v>0.75277777777777777</v>
      </c>
      <c r="W2387" s="51">
        <v>0.76388888888888884</v>
      </c>
      <c r="X2387" s="51">
        <v>0.76736111111111116</v>
      </c>
      <c r="Y2387" s="51">
        <v>0.77222222222222225</v>
      </c>
    </row>
    <row r="2388" spans="1:25" hidden="1">
      <c r="A2388" s="30">
        <v>24645980</v>
      </c>
      <c r="B2388" s="31">
        <v>46283</v>
      </c>
      <c r="C2388" s="32">
        <v>0.75175925925925924</v>
      </c>
      <c r="D2388" s="33"/>
      <c r="E2388" s="34">
        <v>5217352829660</v>
      </c>
      <c r="F2388" s="33"/>
      <c r="G2388" s="33"/>
      <c r="H2388" s="35" t="s">
        <v>2230</v>
      </c>
      <c r="I2388" s="33"/>
      <c r="J2388" s="36"/>
      <c r="K2388" t="s">
        <v>30</v>
      </c>
      <c r="L2388" s="111">
        <v>7920.51</v>
      </c>
      <c r="M2388" s="111">
        <v>2199</v>
      </c>
      <c r="N2388" s="3">
        <f t="shared" si="320"/>
        <v>2376.1529999999998</v>
      </c>
      <c r="O2388" s="3">
        <f t="shared" si="321"/>
        <v>177.15299999999979</v>
      </c>
      <c r="P2388" s="6">
        <v>46419</v>
      </c>
      <c r="Q2388" t="s">
        <v>75</v>
      </c>
      <c r="R2388" s="111">
        <v>2199</v>
      </c>
      <c r="S2388" s="3" t="s">
        <v>204</v>
      </c>
      <c r="V2388" s="51">
        <v>0.75277777777777777</v>
      </c>
    </row>
    <row r="2389" spans="1:25" hidden="1">
      <c r="A2389" s="30">
        <v>24646024</v>
      </c>
      <c r="B2389" s="31">
        <v>46283</v>
      </c>
      <c r="C2389" s="32">
        <v>0.7547800925925926</v>
      </c>
      <c r="D2389" s="33"/>
      <c r="E2389" s="34">
        <v>5216424263780</v>
      </c>
      <c r="F2389" s="33"/>
      <c r="G2389" s="33" t="s">
        <v>2231</v>
      </c>
      <c r="H2389" s="35" t="s">
        <v>2232</v>
      </c>
      <c r="I2389" s="33"/>
      <c r="J2389" s="36"/>
      <c r="K2389" t="s">
        <v>51</v>
      </c>
      <c r="N2389" s="3">
        <f>L2389*0.3</f>
        <v>0</v>
      </c>
      <c r="O2389" s="3">
        <f>(IF(L2389&lt;4172.98,0,MIN(L2389*0.3,L2389-4172.98)))-M2389</f>
        <v>0</v>
      </c>
      <c r="S2389" s="3" t="s">
        <v>204</v>
      </c>
      <c r="V2389" s="51">
        <v>0.75486111111111109</v>
      </c>
    </row>
    <row r="2390" spans="1:25" hidden="1">
      <c r="A2390" s="30">
        <v>24646292</v>
      </c>
      <c r="B2390" s="31">
        <v>46283</v>
      </c>
      <c r="C2390" s="32">
        <v>0.76542824074074078</v>
      </c>
      <c r="D2390" s="33"/>
      <c r="E2390" s="34">
        <v>5212382352357</v>
      </c>
      <c r="F2390" s="33"/>
      <c r="G2390" s="33" t="s">
        <v>2233</v>
      </c>
      <c r="H2390" s="35"/>
      <c r="I2390" s="33"/>
      <c r="J2390" s="36"/>
      <c r="K2390" t="s">
        <v>30</v>
      </c>
      <c r="L2390" s="111">
        <v>9081.52</v>
      </c>
      <c r="M2390" s="111">
        <v>2627.48</v>
      </c>
      <c r="N2390" s="3">
        <f>L2390*0.3</f>
        <v>2724.4560000000001</v>
      </c>
      <c r="O2390" s="3">
        <f>(IF(L2390&lt;4172.98,0,MIN(L2390*0.3,L2390-4172.98)))-M2390</f>
        <v>96.976000000000113</v>
      </c>
      <c r="P2390" s="6">
        <v>46661</v>
      </c>
      <c r="Q2390" t="s">
        <v>77</v>
      </c>
      <c r="R2390" s="111">
        <v>2627.48</v>
      </c>
      <c r="S2390" s="3" t="s">
        <v>204</v>
      </c>
      <c r="V2390" s="51">
        <v>0.76527777777777772</v>
      </c>
    </row>
    <row r="2391" spans="1:25" hidden="1">
      <c r="A2391" s="30">
        <v>24646248</v>
      </c>
      <c r="B2391" s="31">
        <v>46283</v>
      </c>
      <c r="C2391" s="32">
        <v>0.77075231481481477</v>
      </c>
      <c r="D2391" s="33" t="s">
        <v>2234</v>
      </c>
      <c r="E2391" s="34">
        <v>5216461882220</v>
      </c>
      <c r="F2391" s="33"/>
      <c r="G2391" s="33"/>
      <c r="H2391" s="35">
        <v>52816100847</v>
      </c>
      <c r="I2391" s="33"/>
      <c r="J2391" s="36"/>
      <c r="K2391" t="s">
        <v>30</v>
      </c>
      <c r="L2391" s="111">
        <v>5642.22</v>
      </c>
      <c r="M2391" s="111">
        <v>1469.23</v>
      </c>
      <c r="N2391" s="3">
        <f>L2391*0.3</f>
        <v>1692.6659999999999</v>
      </c>
      <c r="O2391" s="3">
        <f>(IF(L2391&lt;4172.98,0,MIN(L2391*0.3,L2391-4172.98)))-M2391</f>
        <v>1.0000000000673026E-2</v>
      </c>
      <c r="P2391" s="6">
        <v>46997</v>
      </c>
      <c r="Q2391" t="s">
        <v>75</v>
      </c>
      <c r="R2391" s="111">
        <v>1469.23</v>
      </c>
      <c r="S2391" s="3" t="s">
        <v>204</v>
      </c>
      <c r="V2391" s="51">
        <v>0.77152777777777781</v>
      </c>
    </row>
    <row r="2392" spans="1:25" hidden="1">
      <c r="A2392" s="30">
        <v>24646270</v>
      </c>
      <c r="B2392" s="31">
        <v>46283</v>
      </c>
      <c r="C2392" s="32">
        <v>0.77398148148148149</v>
      </c>
      <c r="D2392" s="33" t="s">
        <v>2235</v>
      </c>
      <c r="E2392" s="34">
        <v>5216182995084</v>
      </c>
      <c r="F2392" s="33"/>
      <c r="G2392" s="33" t="s">
        <v>2236</v>
      </c>
      <c r="H2392" s="35" t="s">
        <v>2237</v>
      </c>
      <c r="I2392" s="33"/>
      <c r="J2392" s="36"/>
      <c r="K2392" t="s">
        <v>32</v>
      </c>
      <c r="N2392" s="3">
        <f>L2392*0.3</f>
        <v>0</v>
      </c>
      <c r="O2392" s="3">
        <f>(IF(L2392&lt;4172.98,0,MIN(L2392*0.3,L2392-4172.98)))-M2392</f>
        <v>0</v>
      </c>
      <c r="S2392" s="3" t="s">
        <v>204</v>
      </c>
      <c r="U2392" s="85"/>
      <c r="V2392" s="51">
        <v>0.77430555555555558</v>
      </c>
    </row>
    <row r="2393" spans="1:25">
      <c r="A2393" s="12">
        <v>24646722</v>
      </c>
      <c r="B2393" s="13">
        <v>46283</v>
      </c>
      <c r="C2393" s="14">
        <v>0.78865740740740742</v>
      </c>
      <c r="D2393" s="15"/>
      <c r="E2393" s="16">
        <v>5212321411103</v>
      </c>
      <c r="F2393" s="15"/>
      <c r="G2393" s="15"/>
      <c r="H2393" s="17">
        <v>65806223775</v>
      </c>
      <c r="I2393" s="15"/>
      <c r="J2393" s="18"/>
      <c r="K2393" t="s">
        <v>107</v>
      </c>
      <c r="L2393" s="111">
        <v>7116.73</v>
      </c>
      <c r="M2393" s="111">
        <v>2133.1</v>
      </c>
      <c r="N2393" s="3">
        <f>L2393*0.3</f>
        <v>2135.0189999999998</v>
      </c>
      <c r="O2393" s="3">
        <f>(IF(L2393&lt;4172.98,0,MIN(L2393*0.3,L2393-4172.98)))-M2393</f>
        <v>1.918999999999869</v>
      </c>
      <c r="P2393" s="6">
        <v>45717</v>
      </c>
      <c r="Q2393" t="s">
        <v>2238</v>
      </c>
      <c r="R2393" s="3">
        <v>570.1</v>
      </c>
      <c r="S2393" s="3" t="s">
        <v>39</v>
      </c>
      <c r="T2393" s="48">
        <v>46284</v>
      </c>
      <c r="V2393" s="51">
        <v>0.35416666666666669</v>
      </c>
    </row>
    <row r="2394" spans="1:25" hidden="1">
      <c r="A2394" s="12">
        <v>24646588</v>
      </c>
      <c r="B2394" s="13">
        <v>46283</v>
      </c>
      <c r="C2394" s="14">
        <v>0.79040509259259262</v>
      </c>
      <c r="D2394" s="15"/>
      <c r="E2394" s="16">
        <v>5215611454424</v>
      </c>
      <c r="F2394" s="15"/>
      <c r="G2394" s="15"/>
      <c r="H2394" s="17">
        <v>63816300543</v>
      </c>
      <c r="I2394" s="15"/>
      <c r="J2394" s="18"/>
      <c r="K2394" t="s">
        <v>32</v>
      </c>
      <c r="N2394" s="3">
        <f>L2394*0.3</f>
        <v>0</v>
      </c>
      <c r="O2394" s="3">
        <f>(IF(L2394&lt;4172.98,0,MIN(L2394*0.3,L2394-4172.98)))-M2394</f>
        <v>0</v>
      </c>
      <c r="S2394" s="3" t="s">
        <v>204</v>
      </c>
      <c r="V2394" s="51">
        <v>0.35416666666666669</v>
      </c>
    </row>
    <row r="2395" spans="1:25" hidden="1">
      <c r="A2395" s="12">
        <v>24647000</v>
      </c>
      <c r="B2395" s="13">
        <v>46283</v>
      </c>
      <c r="C2395" s="14">
        <v>0.80538194444444444</v>
      </c>
      <c r="D2395" s="15"/>
      <c r="E2395" s="16">
        <v>5215531044379</v>
      </c>
      <c r="F2395" s="15"/>
      <c r="G2395" s="15" t="s">
        <v>2239</v>
      </c>
      <c r="H2395" s="17"/>
      <c r="I2395" s="15"/>
      <c r="J2395" s="18"/>
      <c r="K2395" t="s">
        <v>32</v>
      </c>
      <c r="N2395" s="3">
        <f>L2395*0.3</f>
        <v>0</v>
      </c>
      <c r="O2395" s="3">
        <f>(IF(L2395&lt;4172.98,0,MIN(L2395*0.3,L2395-4172.98)))-M2395</f>
        <v>0</v>
      </c>
      <c r="S2395" s="3" t="s">
        <v>204</v>
      </c>
      <c r="V2395" s="51">
        <v>0.35416666666666669</v>
      </c>
    </row>
    <row r="2396" spans="1:25" hidden="1">
      <c r="A2396" s="12">
        <v>24646922</v>
      </c>
      <c r="B2396" s="13">
        <v>46283</v>
      </c>
      <c r="C2396" s="14">
        <v>0.81379629629629635</v>
      </c>
      <c r="D2396" s="15" t="s">
        <v>2240</v>
      </c>
      <c r="E2396" s="16">
        <v>5215652477643</v>
      </c>
      <c r="F2396" s="15"/>
      <c r="G2396" s="15" t="s">
        <v>2241</v>
      </c>
      <c r="H2396" s="17"/>
      <c r="I2396" s="15"/>
      <c r="J2396" s="18"/>
      <c r="K2396" t="s">
        <v>30</v>
      </c>
      <c r="L2396" s="111">
        <v>9760.32</v>
      </c>
      <c r="M2396" s="111">
        <v>2809.95</v>
      </c>
      <c r="N2396" s="3">
        <f>L2396*0.3</f>
        <v>2928.096</v>
      </c>
      <c r="O2396" s="3">
        <f>(IF(L2396&lt;4172.98,0,MIN(L2396*0.3,L2396-4172.98)))-M2396</f>
        <v>118.14600000000019</v>
      </c>
      <c r="P2396" s="6">
        <v>46722</v>
      </c>
      <c r="Q2396" t="s">
        <v>141</v>
      </c>
      <c r="R2396" s="111">
        <v>2809.95</v>
      </c>
      <c r="S2396" s="3" t="s">
        <v>204</v>
      </c>
      <c r="V2396" s="51">
        <v>0.35416666666666669</v>
      </c>
    </row>
    <row r="2397" spans="1:25" hidden="1">
      <c r="A2397" s="12">
        <v>24647216</v>
      </c>
      <c r="B2397" s="13">
        <v>46283</v>
      </c>
      <c r="C2397" s="14">
        <v>0.81986111111111115</v>
      </c>
      <c r="D2397" s="15"/>
      <c r="E2397" s="16">
        <v>5219988273954</v>
      </c>
      <c r="F2397" s="15"/>
      <c r="G2397" s="15"/>
      <c r="H2397" s="17">
        <v>81816503460</v>
      </c>
      <c r="I2397" s="15"/>
      <c r="J2397" s="18"/>
      <c r="K2397" t="s">
        <v>30</v>
      </c>
      <c r="L2397" s="111">
        <v>9760.32</v>
      </c>
      <c r="M2397" s="111">
        <v>2924.5</v>
      </c>
      <c r="N2397" s="3">
        <f>L2397*0.3</f>
        <v>2928.096</v>
      </c>
      <c r="O2397" s="3">
        <f>(IF(L2397&lt;4172.98,0,MIN(L2397*0.3,L2397-4172.98)))-M2397</f>
        <v>3.5960000000000036</v>
      </c>
      <c r="P2397" s="6">
        <v>46784</v>
      </c>
      <c r="Q2397" t="s">
        <v>2242</v>
      </c>
      <c r="R2397" s="111">
        <v>2924.5</v>
      </c>
      <c r="S2397" s="3" t="s">
        <v>204</v>
      </c>
      <c r="V2397" s="51">
        <v>0.35416666666666669</v>
      </c>
    </row>
    <row r="2398" spans="1:25" hidden="1">
      <c r="A2398" s="12">
        <v>24647226</v>
      </c>
      <c r="B2398" s="13">
        <v>46283</v>
      </c>
      <c r="C2398" s="14">
        <v>0.82444444444444442</v>
      </c>
      <c r="D2398" s="15" t="s">
        <v>2243</v>
      </c>
      <c r="E2398" s="16">
        <v>5216622911906</v>
      </c>
      <c r="F2398" s="15"/>
      <c r="G2398" s="15" t="s">
        <v>2244</v>
      </c>
      <c r="H2398" s="17"/>
      <c r="I2398" s="15"/>
      <c r="J2398" s="18"/>
      <c r="K2398" t="s">
        <v>32</v>
      </c>
      <c r="N2398" s="3">
        <f>L2398*0.3</f>
        <v>0</v>
      </c>
      <c r="O2398" s="3">
        <f>(IF(L2398&lt;4172.98,0,MIN(L2398*0.3,L2398-4172.98)))-M2398</f>
        <v>0</v>
      </c>
      <c r="S2398" s="3" t="s">
        <v>204</v>
      </c>
      <c r="V2398" s="51">
        <v>0.35416666666666669</v>
      </c>
    </row>
    <row r="2399" spans="1:25" hidden="1">
      <c r="A2399" s="12">
        <v>24647114</v>
      </c>
      <c r="B2399" s="13">
        <v>46283</v>
      </c>
      <c r="C2399" s="14">
        <v>0.82758101851851851</v>
      </c>
      <c r="D2399" s="15"/>
      <c r="E2399" s="16">
        <v>5216142136285</v>
      </c>
      <c r="F2399" s="15"/>
      <c r="G2399" s="15" t="s">
        <v>2245</v>
      </c>
      <c r="H2399" s="17">
        <v>33846848308</v>
      </c>
      <c r="I2399" s="15"/>
      <c r="J2399" s="18"/>
      <c r="K2399" t="s">
        <v>30</v>
      </c>
      <c r="L2399" s="111">
        <v>5332.33</v>
      </c>
      <c r="M2399" s="111">
        <v>1118</v>
      </c>
      <c r="N2399" s="3">
        <f>L2399*0.3</f>
        <v>1599.6989999999998</v>
      </c>
      <c r="O2399" s="3">
        <f>(IF(L2399&lt;4172.98,0,MIN(L2399*0.3,L2399-4172.98)))-M2399</f>
        <v>41.350000000000364</v>
      </c>
      <c r="P2399" s="6">
        <v>46478</v>
      </c>
      <c r="Q2399" t="s">
        <v>75</v>
      </c>
      <c r="R2399" s="111">
        <v>1118</v>
      </c>
      <c r="S2399" s="3" t="s">
        <v>204</v>
      </c>
      <c r="V2399" s="51">
        <v>0.35416666666666669</v>
      </c>
    </row>
    <row r="2400" spans="1:25" hidden="1">
      <c r="A2400" s="12">
        <v>24648298</v>
      </c>
      <c r="B2400" s="13">
        <v>46283</v>
      </c>
      <c r="C2400" s="14">
        <v>0.83480324074074075</v>
      </c>
      <c r="D2400" s="15"/>
      <c r="E2400" s="16">
        <v>5216182659998</v>
      </c>
      <c r="F2400" s="15"/>
      <c r="G2400" s="15" t="s">
        <v>2246</v>
      </c>
      <c r="H2400" s="17"/>
      <c r="I2400" s="15"/>
      <c r="J2400" s="18"/>
      <c r="K2400" t="s">
        <v>32</v>
      </c>
      <c r="N2400" s="3">
        <f>L2400*0.3</f>
        <v>0</v>
      </c>
      <c r="O2400" s="3">
        <f>(IF(L2400&lt;4172.98,0,MIN(L2400*0.3,L2400-4172.98)))-M2400</f>
        <v>0</v>
      </c>
      <c r="S2400" s="3" t="s">
        <v>204</v>
      </c>
      <c r="V2400" s="51">
        <v>0.35416666666666669</v>
      </c>
    </row>
    <row r="2401" spans="1:22">
      <c r="A2401" s="12">
        <v>24648582</v>
      </c>
      <c r="B2401" s="13">
        <v>46283</v>
      </c>
      <c r="C2401" s="14">
        <v>0.85501157407407402</v>
      </c>
      <c r="D2401" s="15"/>
      <c r="E2401" s="16">
        <v>5216343454750</v>
      </c>
      <c r="F2401" s="15"/>
      <c r="G2401" s="15"/>
      <c r="H2401" s="17">
        <v>23856322039</v>
      </c>
      <c r="I2401" s="15"/>
      <c r="J2401" s="18"/>
      <c r="K2401" t="s">
        <v>38</v>
      </c>
      <c r="L2401" s="111">
        <v>9081.52</v>
      </c>
      <c r="M2401" s="111">
        <v>1779.5</v>
      </c>
      <c r="N2401" s="3">
        <f>L2401*0.3</f>
        <v>2724.4560000000001</v>
      </c>
      <c r="O2401" s="3">
        <f>(IF(L2401&lt;4172.98,0,MIN(L2401*0.3,L2401-4172.98)))-M2401</f>
        <v>944.95600000000013</v>
      </c>
      <c r="P2401" s="6">
        <v>46539</v>
      </c>
      <c r="Q2401" t="s">
        <v>77</v>
      </c>
      <c r="R2401" s="111">
        <v>1779.5</v>
      </c>
      <c r="S2401" s="3" t="s">
        <v>39</v>
      </c>
      <c r="T2401" s="48">
        <v>46284</v>
      </c>
      <c r="V2401" s="51">
        <v>0.35416666666666669</v>
      </c>
    </row>
    <row r="2402" spans="1:22">
      <c r="A2402" s="12">
        <v>24648564</v>
      </c>
      <c r="B2402" s="13">
        <v>46283</v>
      </c>
      <c r="C2402" s="14">
        <v>0.85766203703703703</v>
      </c>
      <c r="D2402" s="15"/>
      <c r="E2402" s="16">
        <v>5215521359826</v>
      </c>
      <c r="F2402" s="15"/>
      <c r="G2402" s="15" t="s">
        <v>2247</v>
      </c>
      <c r="H2402" s="17"/>
      <c r="I2402" s="15"/>
      <c r="J2402" s="18"/>
      <c r="K2402" t="s">
        <v>54</v>
      </c>
      <c r="L2402" s="111">
        <v>11983.82</v>
      </c>
      <c r="M2402" s="111">
        <v>848</v>
      </c>
      <c r="N2402" s="3">
        <f>L2402*0.3</f>
        <v>3595.1459999999997</v>
      </c>
      <c r="O2402" s="3">
        <f>(IF(L2402&lt;4172.98,0,MIN(L2402*0.3,L2402-4172.98)))-M2402</f>
        <v>2747.1459999999997</v>
      </c>
      <c r="S2402" s="3" t="s">
        <v>1091</v>
      </c>
      <c r="T2402" s="48">
        <v>46284</v>
      </c>
      <c r="V2402" s="51">
        <v>0.35416666666666669</v>
      </c>
    </row>
    <row r="2403" spans="1:22" hidden="1">
      <c r="A2403" s="12">
        <v>24649004</v>
      </c>
      <c r="B2403" s="13">
        <v>46283</v>
      </c>
      <c r="C2403" s="14">
        <v>0.89254629629629634</v>
      </c>
      <c r="D2403" s="15"/>
      <c r="E2403" s="16">
        <v>5218683967406</v>
      </c>
      <c r="F2403" s="15"/>
      <c r="G2403" s="15" t="s">
        <v>2248</v>
      </c>
      <c r="H2403" s="17"/>
      <c r="I2403" s="15"/>
      <c r="J2403" s="18"/>
      <c r="K2403" t="s">
        <v>32</v>
      </c>
      <c r="N2403" s="3">
        <f>L2403*0.3</f>
        <v>0</v>
      </c>
      <c r="O2403" s="3">
        <f>(IF(L2403&lt;4172.98,0,MIN(L2403*0.3,L2403-4172.98)))-M2403</f>
        <v>0</v>
      </c>
      <c r="S2403" s="3" t="s">
        <v>204</v>
      </c>
      <c r="V2403" s="51">
        <v>0.35416666666666669</v>
      </c>
    </row>
    <row r="2404" spans="1:22" hidden="1">
      <c r="A2404" s="12">
        <v>24649372</v>
      </c>
      <c r="B2404" s="13">
        <v>46283</v>
      </c>
      <c r="C2404" s="14">
        <v>0.92817129629629624</v>
      </c>
      <c r="D2404" s="15"/>
      <c r="E2404" s="16">
        <v>5214462428448</v>
      </c>
      <c r="F2404" s="15"/>
      <c r="G2404" s="15" t="s">
        <v>2249</v>
      </c>
      <c r="H2404" s="17"/>
      <c r="I2404" s="15"/>
      <c r="J2404" s="18"/>
      <c r="K2404" t="s">
        <v>58</v>
      </c>
      <c r="L2404" s="3">
        <v>3995.56</v>
      </c>
      <c r="N2404" s="3">
        <f>L2404*0.3</f>
        <v>1198.6679999999999</v>
      </c>
      <c r="O2404" s="3">
        <f>(IF(L2404&lt;4172.98,0,MIN(L2404*0.3,L2404-4172.98)))-M2404</f>
        <v>0</v>
      </c>
      <c r="S2404" s="3" t="s">
        <v>204</v>
      </c>
      <c r="V2404" s="51">
        <v>0.35416666666666669</v>
      </c>
    </row>
    <row r="2405" spans="1:22">
      <c r="A2405" s="30">
        <v>24649818</v>
      </c>
      <c r="B2405" s="31">
        <v>46283</v>
      </c>
      <c r="C2405" s="32">
        <v>0.99432870370370374</v>
      </c>
      <c r="D2405" s="33"/>
      <c r="E2405" s="34">
        <v>5216361179126</v>
      </c>
      <c r="F2405" s="33"/>
      <c r="G2405" s="33" t="s">
        <v>2250</v>
      </c>
      <c r="H2405" s="35"/>
      <c r="I2405" s="33"/>
      <c r="J2405" s="36"/>
      <c r="K2405" t="s">
        <v>54</v>
      </c>
      <c r="L2405" s="3">
        <v>10636.54</v>
      </c>
      <c r="N2405" s="3">
        <f>L2405*0.3</f>
        <v>3190.962</v>
      </c>
      <c r="O2405" s="3">
        <f>(IF(L2405&lt;4172.98,0,MIN(L2405*0.3,L2405-4172.98)))-M2405</f>
        <v>3190.962</v>
      </c>
      <c r="S2405" s="3" t="s">
        <v>879</v>
      </c>
      <c r="T2405" s="48">
        <v>46284</v>
      </c>
      <c r="V2405" s="51">
        <v>0.35416666666666669</v>
      </c>
    </row>
    <row r="2406" spans="1:22" hidden="1">
      <c r="A2406" s="12">
        <v>24658280</v>
      </c>
      <c r="B2406" s="13">
        <v>46284</v>
      </c>
      <c r="C2406" s="14">
        <v>0.35925925925925928</v>
      </c>
      <c r="D2406" s="15"/>
      <c r="E2406" s="16">
        <v>5218119046012</v>
      </c>
      <c r="F2406" s="15"/>
      <c r="G2406" s="15" t="s">
        <v>2251</v>
      </c>
      <c r="H2406" s="17"/>
      <c r="I2406" s="15"/>
      <c r="J2406" s="18"/>
      <c r="K2406" t="s">
        <v>30</v>
      </c>
      <c r="L2406" s="111">
        <v>9760.32</v>
      </c>
      <c r="M2406" s="111">
        <v>2693.06</v>
      </c>
      <c r="N2406" s="3">
        <f>L2406*0.3</f>
        <v>2928.096</v>
      </c>
      <c r="O2406" s="3">
        <f>(IF(L2406&lt;4172.98,0,MIN(L2406*0.3,L2406-4172.98)))-M2406</f>
        <v>235.03600000000006</v>
      </c>
      <c r="P2406" s="6">
        <v>46722</v>
      </c>
      <c r="Q2406" t="s">
        <v>75</v>
      </c>
      <c r="R2406" s="111">
        <v>2693.06</v>
      </c>
      <c r="S2406" s="3" t="s">
        <v>204</v>
      </c>
      <c r="V2406" s="51">
        <v>0.36805555555555558</v>
      </c>
    </row>
    <row r="2407" spans="1:22" hidden="1">
      <c r="A2407" s="30">
        <v>24658268</v>
      </c>
      <c r="B2407" s="31">
        <v>46284</v>
      </c>
      <c r="C2407" s="32">
        <v>0.36327546296296298</v>
      </c>
      <c r="D2407" s="33"/>
      <c r="E2407" s="34">
        <v>2721632929</v>
      </c>
      <c r="F2407" s="33"/>
      <c r="G2407" s="33" t="s">
        <v>2252</v>
      </c>
      <c r="H2407" s="35">
        <v>16795916895</v>
      </c>
      <c r="I2407" s="33"/>
      <c r="J2407" s="36"/>
      <c r="K2407" t="s">
        <v>30</v>
      </c>
      <c r="L2407" s="111">
        <v>5617.63</v>
      </c>
      <c r="M2407" s="111">
        <v>1444.64</v>
      </c>
      <c r="N2407" s="3">
        <f>L2407*0.3</f>
        <v>1685.289</v>
      </c>
      <c r="O2407" s="3">
        <f>(IF(L2407&lt;4172.98,0,MIN(L2407*0.3,L2407-4172.98)))-M2407</f>
        <v>1.0000000000445652E-2</v>
      </c>
      <c r="P2407" s="6">
        <v>46388</v>
      </c>
      <c r="Q2407" t="s">
        <v>59</v>
      </c>
      <c r="R2407" s="3">
        <v>1336.64</v>
      </c>
      <c r="S2407" s="3" t="s">
        <v>204</v>
      </c>
      <c r="V2407" s="51">
        <v>0.36805555555555558</v>
      </c>
    </row>
    <row r="2408" spans="1:22" hidden="1">
      <c r="A2408" s="12">
        <v>24659454</v>
      </c>
      <c r="B2408" s="13">
        <v>46284</v>
      </c>
      <c r="C2408" s="14">
        <v>0.41012731481481479</v>
      </c>
      <c r="D2408" s="15" t="s">
        <v>66</v>
      </c>
      <c r="E2408" s="16">
        <v>5219821080165</v>
      </c>
      <c r="F2408" s="15"/>
      <c r="G2408" s="15" t="s">
        <v>2253</v>
      </c>
      <c r="H2408" s="17">
        <v>81846204576</v>
      </c>
      <c r="I2408" s="15"/>
      <c r="J2408" s="18"/>
      <c r="K2408" t="s">
        <v>30</v>
      </c>
      <c r="L2408" s="111">
        <v>9081.52</v>
      </c>
      <c r="M2408" s="111">
        <v>2597.98</v>
      </c>
      <c r="N2408" s="3">
        <f>L2408*0.3</f>
        <v>2724.4560000000001</v>
      </c>
      <c r="O2408" s="3">
        <f>(IF(L2408&lt;4172.98,0,MIN(L2408*0.3,L2408-4172.98)))-M2408</f>
        <v>126.47600000000011</v>
      </c>
      <c r="P2408" s="6">
        <v>46600</v>
      </c>
      <c r="Q2408" t="s">
        <v>2242</v>
      </c>
      <c r="R2408" s="111">
        <v>2597.98</v>
      </c>
      <c r="S2408" s="3" t="s">
        <v>204</v>
      </c>
      <c r="V2408" s="51">
        <v>0.42708333333333331</v>
      </c>
    </row>
    <row r="2409" spans="1:22">
      <c r="A2409" s="30">
        <v>24659436</v>
      </c>
      <c r="B2409" s="31">
        <v>46284</v>
      </c>
      <c r="C2409" s="32">
        <v>0.4192939814814815</v>
      </c>
      <c r="D2409" s="33" t="s">
        <v>2254</v>
      </c>
      <c r="E2409" s="34">
        <v>5218716159404</v>
      </c>
      <c r="F2409" s="33"/>
      <c r="G2409" s="33" t="s">
        <v>2255</v>
      </c>
      <c r="H2409" s="35">
        <v>32896406348</v>
      </c>
      <c r="I2409" s="33"/>
      <c r="J2409" s="36"/>
      <c r="K2409" t="s">
        <v>54</v>
      </c>
      <c r="L2409" s="3">
        <v>10636.54</v>
      </c>
      <c r="N2409" s="3">
        <f>L2409*0.3</f>
        <v>3190.962</v>
      </c>
      <c r="O2409" s="3">
        <f>(IF(L2409&lt;4172.98,0,MIN(L2409*0.3,L2409-4172.98)))-M2409</f>
        <v>3190.962</v>
      </c>
      <c r="S2409" s="3" t="s">
        <v>886</v>
      </c>
      <c r="T2409" s="48">
        <v>46284</v>
      </c>
      <c r="V2409" s="51">
        <v>0.42708333333333331</v>
      </c>
    </row>
    <row r="2410" spans="1:22">
      <c r="A2410" s="30">
        <v>24660100</v>
      </c>
      <c r="B2410" s="31">
        <v>46284</v>
      </c>
      <c r="C2410" s="32">
        <v>0.43961805555555555</v>
      </c>
      <c r="D2410" s="33"/>
      <c r="E2410" s="34">
        <v>5214426194487</v>
      </c>
      <c r="F2410" s="33"/>
      <c r="G2410" s="33" t="s">
        <v>2256</v>
      </c>
      <c r="H2410" s="35">
        <v>8981620783</v>
      </c>
      <c r="I2410" s="33"/>
      <c r="J2410" s="36"/>
      <c r="K2410" t="s">
        <v>38</v>
      </c>
      <c r="L2410" s="111">
        <v>19485.38</v>
      </c>
      <c r="M2410" s="111">
        <v>5384.34</v>
      </c>
      <c r="N2410" s="3">
        <f>L2410*0.3</f>
        <v>5845.6140000000005</v>
      </c>
      <c r="O2410" s="3">
        <f>(IF(L2410&lt;4172.98,0,MIN(L2410*0.3,L2410-4172.98)))-M2410</f>
        <v>461.27400000000034</v>
      </c>
      <c r="P2410" s="6">
        <v>46478</v>
      </c>
      <c r="Q2410" t="s">
        <v>80</v>
      </c>
      <c r="R2410" s="3">
        <v>1789.65</v>
      </c>
      <c r="S2410" s="3" t="s">
        <v>39</v>
      </c>
      <c r="T2410" s="48">
        <v>46284</v>
      </c>
      <c r="V2410" s="51">
        <v>0.42708333333333331</v>
      </c>
    </row>
    <row r="2411" spans="1:22" hidden="1">
      <c r="A2411" s="12">
        <v>24660306</v>
      </c>
      <c r="B2411" s="13">
        <v>46284</v>
      </c>
      <c r="C2411" s="14">
        <v>0.44868055555555558</v>
      </c>
      <c r="D2411" s="15"/>
      <c r="E2411" s="16">
        <v>5218683505885</v>
      </c>
      <c r="F2411" s="15"/>
      <c r="G2411" s="15"/>
      <c r="H2411" s="17">
        <v>49856935959</v>
      </c>
      <c r="I2411" s="15"/>
      <c r="J2411" s="18"/>
      <c r="K2411" t="s">
        <v>30</v>
      </c>
      <c r="L2411" s="111">
        <v>4989.3999999999996</v>
      </c>
      <c r="M2411" s="111">
        <v>816</v>
      </c>
      <c r="N2411" s="3">
        <f>L2411*0.3</f>
        <v>1496.82</v>
      </c>
      <c r="O2411" s="3">
        <f>(IF(L2411&lt;4172.98,0,MIN(L2411*0.3,L2411-4172.98)))-M2411</f>
        <v>0.42000000000007276</v>
      </c>
      <c r="P2411" s="6">
        <v>46813</v>
      </c>
      <c r="Q2411" t="s">
        <v>80</v>
      </c>
      <c r="R2411" s="111">
        <v>816</v>
      </c>
      <c r="S2411" s="3" t="s">
        <v>204</v>
      </c>
      <c r="V2411" s="51">
        <v>0.45833333333333331</v>
      </c>
    </row>
    <row r="2412" spans="1:22" hidden="1">
      <c r="A2412" s="12">
        <v>24660262</v>
      </c>
      <c r="B2412" s="13">
        <v>46284</v>
      </c>
      <c r="C2412" s="14">
        <v>0.44884259259259257</v>
      </c>
      <c r="D2412" s="15"/>
      <c r="E2412" s="16">
        <v>5215644767327</v>
      </c>
      <c r="F2412" s="15"/>
      <c r="G2412" s="15" t="s">
        <v>2257</v>
      </c>
      <c r="H2412" s="17"/>
      <c r="I2412" s="15"/>
      <c r="J2412" s="18"/>
      <c r="K2412" t="s">
        <v>30</v>
      </c>
      <c r="L2412" s="111">
        <v>6262.86</v>
      </c>
      <c r="M2412" s="111">
        <v>1876.01</v>
      </c>
      <c r="N2412" s="3">
        <f>L2412*0.3</f>
        <v>1878.8579999999997</v>
      </c>
      <c r="O2412" s="3">
        <f>(IF(L2412&lt;4172.98,0,MIN(L2412*0.3,L2412-4172.98)))-M2412</f>
        <v>2.847999999999729</v>
      </c>
      <c r="P2412" s="6">
        <v>46997</v>
      </c>
      <c r="Q2412" t="s">
        <v>43</v>
      </c>
      <c r="R2412" s="3">
        <v>1574.63</v>
      </c>
      <c r="S2412" s="3" t="s">
        <v>204</v>
      </c>
      <c r="V2412" s="51">
        <v>0.45833333333333331</v>
      </c>
    </row>
    <row r="2413" spans="1:22">
      <c r="A2413" s="12">
        <v>24660042</v>
      </c>
      <c r="B2413" s="13">
        <v>46284</v>
      </c>
      <c r="C2413" s="14">
        <v>0.45105324074074077</v>
      </c>
      <c r="D2413" s="15"/>
      <c r="E2413" s="16">
        <v>5218123425236</v>
      </c>
      <c r="F2413" s="15"/>
      <c r="G2413" s="15"/>
      <c r="H2413" s="17" t="s">
        <v>2258</v>
      </c>
      <c r="I2413" s="15"/>
      <c r="J2413" s="18"/>
      <c r="K2413" t="s">
        <v>54</v>
      </c>
      <c r="L2413" s="3">
        <v>10636.54</v>
      </c>
      <c r="N2413" s="3">
        <f>L2413*0.3</f>
        <v>3190.962</v>
      </c>
      <c r="O2413" s="3">
        <f>(IF(L2413&lt;4172.98,0,MIN(L2413*0.3,L2413-4172.98)))-M2413</f>
        <v>3190.962</v>
      </c>
      <c r="S2413" s="3" t="s">
        <v>1091</v>
      </c>
      <c r="T2413" s="48">
        <v>46284</v>
      </c>
      <c r="V2413" s="51">
        <v>0.45833333333333331</v>
      </c>
    </row>
    <row r="2414" spans="1:22" hidden="1">
      <c r="A2414" s="12">
        <v>24660332</v>
      </c>
      <c r="B2414" s="13">
        <v>46284</v>
      </c>
      <c r="C2414" s="14">
        <v>0.45354166666666668</v>
      </c>
      <c r="D2414" s="15"/>
      <c r="E2414" s="16">
        <v>5215511846714</v>
      </c>
      <c r="F2414" s="15"/>
      <c r="G2414" s="15" t="s">
        <v>2259</v>
      </c>
      <c r="H2414" s="17"/>
      <c r="I2414" s="15"/>
      <c r="J2414" s="18"/>
      <c r="K2414" t="s">
        <v>30</v>
      </c>
      <c r="L2414" s="3">
        <f>4230.97+1386.66</f>
        <v>5617.63</v>
      </c>
      <c r="M2414" s="3">
        <v>1386.66</v>
      </c>
      <c r="N2414" s="3">
        <f>L2414*0.3</f>
        <v>1685.289</v>
      </c>
      <c r="O2414" s="3">
        <f>(IF(L2414&lt;4172.98,0,MIN(L2414*0.3,L2414-4172.98)))-M2414</f>
        <v>57.990000000000464</v>
      </c>
      <c r="P2414" s="6">
        <v>46722</v>
      </c>
      <c r="Q2414" t="s">
        <v>43</v>
      </c>
      <c r="R2414" s="3">
        <v>1386.66</v>
      </c>
      <c r="S2414" s="3" t="s">
        <v>204</v>
      </c>
      <c r="V2414" s="51">
        <v>0.45833333333333331</v>
      </c>
    </row>
    <row r="2415" spans="1:22">
      <c r="A2415" s="12">
        <v>24660188</v>
      </c>
      <c r="B2415" s="13">
        <v>46284</v>
      </c>
      <c r="C2415" s="14">
        <v>0.45444444444444443</v>
      </c>
      <c r="D2415" s="15"/>
      <c r="E2415" s="16">
        <v>5219821291422</v>
      </c>
      <c r="F2415" s="15"/>
      <c r="G2415" s="15"/>
      <c r="H2415" s="17">
        <v>81866201924</v>
      </c>
      <c r="I2415" s="15"/>
      <c r="J2415" s="18"/>
      <c r="K2415" t="s">
        <v>54</v>
      </c>
      <c r="L2415" s="3">
        <v>7116.73</v>
      </c>
      <c r="N2415" s="3">
        <f>L2415*0.3</f>
        <v>2135.0189999999998</v>
      </c>
      <c r="O2415" s="3">
        <f>(IF(L2415&lt;4172.98,0,MIN(L2415*0.3,L2415-4172.98)))-M2415</f>
        <v>2135.0189999999998</v>
      </c>
      <c r="S2415" s="3" t="s">
        <v>95</v>
      </c>
      <c r="T2415" s="48">
        <v>46284</v>
      </c>
      <c r="V2415" s="51">
        <v>0.45833333333333331</v>
      </c>
    </row>
    <row r="2416" spans="1:22" hidden="1">
      <c r="A2416" s="30">
        <v>24660540</v>
      </c>
      <c r="B2416" s="31">
        <v>46284</v>
      </c>
      <c r="C2416" s="32">
        <v>0.45934027777777775</v>
      </c>
      <c r="D2416" s="33"/>
      <c r="E2416" s="34">
        <v>5218332677625</v>
      </c>
      <c r="F2416" s="33"/>
      <c r="G2416" s="33"/>
      <c r="H2416" s="35">
        <v>49895305891</v>
      </c>
      <c r="I2416" s="33"/>
      <c r="J2416" s="36"/>
      <c r="K2416" t="s">
        <v>30</v>
      </c>
      <c r="L2416" s="111">
        <v>7888.26</v>
      </c>
      <c r="M2416" s="111">
        <v>2366.48</v>
      </c>
      <c r="N2416" s="3">
        <f>L2416*0.3</f>
        <v>2366.4780000000001</v>
      </c>
      <c r="O2416" s="3">
        <f>(IF(L2416&lt;4172.98,0,MIN(L2416*0.3,L2416-4172.98)))-M2416</f>
        <v>-1.9999999999527063E-3</v>
      </c>
      <c r="P2416" s="6">
        <v>46508</v>
      </c>
      <c r="Q2416" t="s">
        <v>80</v>
      </c>
      <c r="R2416" s="3">
        <v>412.28</v>
      </c>
      <c r="S2416" s="3" t="s">
        <v>204</v>
      </c>
      <c r="V2416" s="51">
        <v>0.45833333333333331</v>
      </c>
    </row>
    <row r="2417" spans="1:25">
      <c r="A2417" s="30">
        <v>24660698</v>
      </c>
      <c r="B2417" s="31">
        <v>46284</v>
      </c>
      <c r="C2417" s="32">
        <v>0.46618055555555554</v>
      </c>
      <c r="D2417" s="33"/>
      <c r="E2417" s="34">
        <v>5214931691883</v>
      </c>
      <c r="F2417" s="33"/>
      <c r="G2417" s="33"/>
      <c r="H2417" s="35">
        <v>51826005046</v>
      </c>
      <c r="I2417" s="33"/>
      <c r="J2417" s="36"/>
      <c r="K2417" t="s">
        <v>107</v>
      </c>
      <c r="L2417" s="111">
        <v>25050.42</v>
      </c>
      <c r="M2417" s="111">
        <v>7514.51</v>
      </c>
      <c r="N2417" s="3">
        <f>L2417*0.3</f>
        <v>7515.1259999999993</v>
      </c>
      <c r="O2417" s="3">
        <f>(IF(L2417&lt;4172.98,0,MIN(L2417*0.3,L2417-4172.98)))-M2417</f>
        <v>0.61599999999907595</v>
      </c>
      <c r="P2417" s="6">
        <v>46235</v>
      </c>
      <c r="Q2417" t="s">
        <v>59</v>
      </c>
      <c r="R2417" s="3">
        <v>736.65</v>
      </c>
      <c r="S2417" s="3" t="s">
        <v>39</v>
      </c>
      <c r="T2417" s="48">
        <v>46284</v>
      </c>
      <c r="V2417" s="51">
        <v>0.46805555555555556</v>
      </c>
    </row>
    <row r="2418" spans="1:25" hidden="1">
      <c r="A2418" s="12">
        <v>24661716</v>
      </c>
      <c r="B2418" s="13">
        <v>46284</v>
      </c>
      <c r="C2418" s="14">
        <v>0.52208333333333334</v>
      </c>
      <c r="D2418" s="15"/>
      <c r="E2418" s="16">
        <v>5218126387261</v>
      </c>
      <c r="F2418" s="15"/>
      <c r="G2418" s="15" t="s">
        <v>2260</v>
      </c>
      <c r="H2418" s="17"/>
      <c r="I2418" s="15"/>
      <c r="J2418" s="18"/>
      <c r="K2418" t="s">
        <v>32</v>
      </c>
      <c r="N2418" s="3">
        <f>L2418*0.3</f>
        <v>0</v>
      </c>
      <c r="O2418" s="3">
        <f>(IF(L2418&lt;4172.98,0,MIN(L2418*0.3,L2418-4172.98)))-M2418</f>
        <v>0</v>
      </c>
      <c r="S2418" s="3" t="s">
        <v>204</v>
      </c>
      <c r="V2418" s="51">
        <v>0.53194444444444444</v>
      </c>
    </row>
    <row r="2419" spans="1:25" hidden="1">
      <c r="A2419" s="30">
        <v>24662170</v>
      </c>
      <c r="B2419" s="31">
        <v>46284</v>
      </c>
      <c r="C2419" s="32">
        <v>0.53568287037037032</v>
      </c>
      <c r="D2419" s="33"/>
      <c r="E2419" s="34">
        <v>5212881313768</v>
      </c>
      <c r="F2419" s="33"/>
      <c r="G2419" s="33"/>
      <c r="H2419" s="35">
        <v>83846530620</v>
      </c>
      <c r="I2419" s="33"/>
      <c r="J2419" s="36"/>
      <c r="K2419" t="s">
        <v>32</v>
      </c>
      <c r="N2419" s="3">
        <f>L2419*0.3</f>
        <v>0</v>
      </c>
      <c r="O2419" s="3">
        <f>(IF(L2419&lt;4172.98,0,MIN(L2419*0.3,L2419-4172.98)))-M2419</f>
        <v>0</v>
      </c>
      <c r="S2419" s="3" t="s">
        <v>204</v>
      </c>
      <c r="V2419" s="51">
        <v>0.54166666666666663</v>
      </c>
    </row>
    <row r="2420" spans="1:25" hidden="1">
      <c r="A2420" s="30">
        <v>24662814</v>
      </c>
      <c r="B2420" s="31">
        <v>46284</v>
      </c>
      <c r="C2420" s="32">
        <v>0.57401620370370365</v>
      </c>
      <c r="D2420" s="33"/>
      <c r="E2420" s="34">
        <v>5215626221594</v>
      </c>
      <c r="F2420" s="33"/>
      <c r="G2420" s="33"/>
      <c r="H2420" s="35" t="s">
        <v>2261</v>
      </c>
      <c r="I2420" s="33"/>
      <c r="J2420" s="36"/>
      <c r="K2420" t="s">
        <v>30</v>
      </c>
      <c r="L2420" s="111">
        <v>5617.63</v>
      </c>
      <c r="M2420" s="111">
        <v>1443</v>
      </c>
      <c r="N2420" s="3">
        <f>L2420*0.3</f>
        <v>1685.289</v>
      </c>
      <c r="O2420" s="3">
        <f>(IF(L2420&lt;4172.98,0,MIN(L2420*0.3,L2420-4172.98)))-M2420</f>
        <v>1.6500000000005457</v>
      </c>
      <c r="P2420" s="6">
        <v>47027</v>
      </c>
      <c r="Q2420" t="s">
        <v>906</v>
      </c>
      <c r="R2420" s="111">
        <v>1443</v>
      </c>
      <c r="S2420" s="3" t="s">
        <v>204</v>
      </c>
      <c r="V2420" s="51">
        <v>0.29583333333333334</v>
      </c>
    </row>
    <row r="2421" spans="1:25" hidden="1">
      <c r="A2421" s="12">
        <v>24663166</v>
      </c>
      <c r="B2421" s="13">
        <v>46284</v>
      </c>
      <c r="C2421" s="14">
        <v>0.58975694444444449</v>
      </c>
      <c r="D2421" s="15" t="s">
        <v>2262</v>
      </c>
      <c r="E2421" s="16">
        <v>5213329598157</v>
      </c>
      <c r="F2421" s="15"/>
      <c r="G2421" s="15" t="s">
        <v>2263</v>
      </c>
      <c r="H2421" s="17" t="s">
        <v>2264</v>
      </c>
      <c r="I2421" s="15"/>
      <c r="J2421" s="18"/>
      <c r="K2421" t="s">
        <v>32</v>
      </c>
      <c r="N2421" s="3">
        <f>L2421*0.3</f>
        <v>0</v>
      </c>
      <c r="O2421" s="3">
        <f>(IF(L2421&lt;4172.98,0,MIN(L2421*0.3,L2421-4172.98)))-M2421</f>
        <v>0</v>
      </c>
      <c r="S2421" s="3" t="s">
        <v>204</v>
      </c>
      <c r="V2421" s="51">
        <v>0.29583333333333334</v>
      </c>
    </row>
    <row r="2422" spans="1:25">
      <c r="A2422" s="12">
        <v>24663412</v>
      </c>
      <c r="B2422" s="13">
        <v>46284</v>
      </c>
      <c r="C2422" s="14">
        <v>0.60586805555555556</v>
      </c>
      <c r="D2422" s="15"/>
      <c r="E2422" s="16">
        <v>5214437234073</v>
      </c>
      <c r="F2422" s="15"/>
      <c r="G2422" s="15" t="s">
        <v>2265</v>
      </c>
      <c r="H2422" s="17"/>
      <c r="I2422" s="15"/>
      <c r="J2422" s="18"/>
      <c r="K2422" t="s">
        <v>54</v>
      </c>
      <c r="L2422" s="3">
        <v>11029.03</v>
      </c>
      <c r="N2422" s="3">
        <f>L2422*0.3</f>
        <v>3308.7090000000003</v>
      </c>
      <c r="O2422" s="3">
        <f>(IF(L2422&lt;4172.98,0,MIN(L2422*0.3,L2422-4172.98)))-M2422</f>
        <v>3308.7090000000003</v>
      </c>
      <c r="S2422" s="3" t="s">
        <v>55</v>
      </c>
      <c r="T2422" s="48">
        <v>46286</v>
      </c>
      <c r="V2422" s="51">
        <v>0.29583333333333334</v>
      </c>
      <c r="W2422" s="51">
        <v>0.39583333333333331</v>
      </c>
      <c r="X2422" s="51">
        <v>0.39583333333333331</v>
      </c>
      <c r="Y2422" s="51">
        <v>0.52152777777777781</v>
      </c>
    </row>
    <row r="2423" spans="1:25" hidden="1">
      <c r="A2423" s="12">
        <v>24663566</v>
      </c>
      <c r="B2423" s="13">
        <v>46284</v>
      </c>
      <c r="C2423" s="14">
        <v>0.61524305555555558</v>
      </c>
      <c r="D2423" s="15"/>
      <c r="E2423" s="16">
        <v>5215645262103</v>
      </c>
      <c r="F2423" s="15"/>
      <c r="G2423" s="15" t="s">
        <v>2266</v>
      </c>
      <c r="H2423" s="17" t="s">
        <v>2267</v>
      </c>
      <c r="I2423" s="15"/>
      <c r="J2423" s="18"/>
      <c r="K2423" t="s">
        <v>32</v>
      </c>
      <c r="N2423" s="3">
        <f>L2423*0.3</f>
        <v>0</v>
      </c>
      <c r="O2423" s="3">
        <f>(IF(L2423&lt;4172.98,0,MIN(L2423*0.3,L2423-4172.98)))-M2423</f>
        <v>0</v>
      </c>
      <c r="S2423" s="3" t="s">
        <v>204</v>
      </c>
      <c r="V2423" s="51">
        <v>0.29583333333333334</v>
      </c>
    </row>
    <row r="2424" spans="1:25">
      <c r="A2424" s="12">
        <v>24663694</v>
      </c>
      <c r="B2424" s="13">
        <v>46284</v>
      </c>
      <c r="C2424" s="14">
        <v>0.62020833333333336</v>
      </c>
      <c r="D2424" s="15"/>
      <c r="E2424" s="16">
        <v>5215522561773</v>
      </c>
      <c r="F2424" s="15"/>
      <c r="G2424" s="15"/>
      <c r="H2424" s="17">
        <v>45886261705</v>
      </c>
      <c r="I2424" s="15"/>
      <c r="J2424" s="18"/>
      <c r="K2424" t="s">
        <v>54</v>
      </c>
      <c r="L2424" s="3">
        <v>23691.17</v>
      </c>
      <c r="N2424" s="3">
        <f>L2424*0.3</f>
        <v>7107.3509999999997</v>
      </c>
      <c r="O2424" s="3">
        <f>(IF(L2424&lt;4172.98,0,MIN(L2424*0.3,L2424-4172.98)))-M2424</f>
        <v>7107.3509999999997</v>
      </c>
      <c r="S2424" s="3" t="s">
        <v>55</v>
      </c>
      <c r="T2424" s="48">
        <v>46286</v>
      </c>
      <c r="V2424" s="51">
        <v>0.29583333333333334</v>
      </c>
      <c r="W2424" s="51">
        <v>0.39652777777777776</v>
      </c>
      <c r="X2424" s="51">
        <v>0.40625</v>
      </c>
      <c r="Y2424" s="51">
        <v>0.52152777777777781</v>
      </c>
    </row>
    <row r="2425" spans="1:25" hidden="1">
      <c r="A2425" s="12">
        <v>24663682</v>
      </c>
      <c r="B2425" s="13">
        <v>46284</v>
      </c>
      <c r="C2425" s="14">
        <v>0.62083333333333335</v>
      </c>
      <c r="D2425" s="15"/>
      <c r="E2425" s="16">
        <v>5218711431802</v>
      </c>
      <c r="F2425" s="15"/>
      <c r="G2425" s="15" t="s">
        <v>2268</v>
      </c>
      <c r="H2425" s="17"/>
      <c r="I2425" s="15"/>
      <c r="J2425" s="18"/>
      <c r="K2425" t="s">
        <v>32</v>
      </c>
      <c r="N2425" s="3">
        <f>L2425*0.3</f>
        <v>0</v>
      </c>
      <c r="O2425" s="3">
        <f>(IF(L2425&lt;4172.98,0,MIN(L2425*0.3,L2425-4172.98)))-M2425</f>
        <v>0</v>
      </c>
      <c r="S2425" s="3" t="s">
        <v>204</v>
      </c>
      <c r="V2425" s="51">
        <v>0.29583333333333334</v>
      </c>
    </row>
    <row r="2426" spans="1:25" hidden="1">
      <c r="A2426" s="12">
        <v>24663830</v>
      </c>
      <c r="B2426" s="13">
        <v>46284</v>
      </c>
      <c r="C2426" s="14">
        <v>0.63020833333333337</v>
      </c>
      <c r="D2426" s="15"/>
      <c r="E2426" s="16">
        <v>5212228455553</v>
      </c>
      <c r="F2426" s="15"/>
      <c r="G2426" s="15" t="s">
        <v>2269</v>
      </c>
      <c r="H2426" s="17"/>
      <c r="I2426" s="15"/>
      <c r="J2426" s="18"/>
      <c r="K2426" t="s">
        <v>30</v>
      </c>
      <c r="L2426" s="111">
        <v>8793.09</v>
      </c>
      <c r="M2426" s="111">
        <v>2574.75</v>
      </c>
      <c r="N2426" s="3">
        <f>L2426*0.3</f>
        <v>2637.9270000000001</v>
      </c>
      <c r="O2426" s="3">
        <f>(IF(L2426&lt;4172.98,0,MIN(L2426*0.3,L2426-4172.98)))-M2426</f>
        <v>63.177000000000135</v>
      </c>
      <c r="P2426" s="6">
        <v>46997</v>
      </c>
      <c r="Q2426" t="s">
        <v>210</v>
      </c>
      <c r="R2426" s="3">
        <v>2574.75</v>
      </c>
      <c r="S2426" s="3" t="s">
        <v>204</v>
      </c>
      <c r="V2426" s="51">
        <v>0.29583333333333334</v>
      </c>
    </row>
    <row r="2427" spans="1:25">
      <c r="A2427" s="12">
        <v>24663966</v>
      </c>
      <c r="B2427" s="13">
        <v>46284</v>
      </c>
      <c r="C2427" s="14">
        <v>0.63744212962962965</v>
      </c>
      <c r="D2427" s="15"/>
      <c r="E2427" s="16">
        <v>5215637886872</v>
      </c>
      <c r="F2427" s="15"/>
      <c r="G2427" s="15" t="s">
        <v>2270</v>
      </c>
      <c r="H2427" s="17"/>
      <c r="I2427" s="15"/>
      <c r="J2427" s="18"/>
      <c r="K2427" t="s">
        <v>34</v>
      </c>
      <c r="L2427" s="111">
        <v>5617.63</v>
      </c>
      <c r="M2427" s="111">
        <v>1443.44</v>
      </c>
      <c r="N2427" s="3">
        <f>L2427*0.3</f>
        <v>1685.289</v>
      </c>
      <c r="O2427" s="3">
        <f>(IF(L2427&lt;4172.98,0,MIN(L2427*0.3,L2427-4172.98)))-M2427</f>
        <v>1.2100000000004911</v>
      </c>
      <c r="P2427" s="6">
        <v>46266</v>
      </c>
      <c r="Q2427" t="s">
        <v>57</v>
      </c>
      <c r="R2427" s="3">
        <v>1335.44</v>
      </c>
      <c r="S2427" s="3" t="s">
        <v>35</v>
      </c>
      <c r="T2427" s="48">
        <v>46286</v>
      </c>
      <c r="V2427" s="51">
        <v>0.29583333333333334</v>
      </c>
      <c r="W2427" s="51">
        <v>0.41736111111111113</v>
      </c>
      <c r="X2427" s="51">
        <v>0.42222222222222222</v>
      </c>
      <c r="Y2427" s="51">
        <v>0.42291666666666666</v>
      </c>
    </row>
    <row r="2428" spans="1:25" hidden="1">
      <c r="A2428" s="12">
        <v>24664016</v>
      </c>
      <c r="B2428" s="13">
        <v>46284</v>
      </c>
      <c r="C2428" s="14">
        <v>0.64287037037037043</v>
      </c>
      <c r="D2428" s="15"/>
      <c r="E2428" s="16">
        <v>5215510117520</v>
      </c>
      <c r="F2428" s="15"/>
      <c r="G2428" s="15"/>
      <c r="H2428" s="17" t="s">
        <v>2271</v>
      </c>
      <c r="I2428" s="15"/>
      <c r="J2428" s="18"/>
      <c r="K2428" t="s">
        <v>32</v>
      </c>
      <c r="N2428" s="3">
        <f>L2428*0.3</f>
        <v>0</v>
      </c>
      <c r="O2428" s="3">
        <f>(IF(L2428&lt;4172.98,0,MIN(L2428*0.3,L2428-4172.98)))-M2428</f>
        <v>0</v>
      </c>
      <c r="S2428" s="3" t="s">
        <v>204</v>
      </c>
      <c r="V2428" s="51">
        <v>0.29583333333333334</v>
      </c>
    </row>
    <row r="2429" spans="1:25" hidden="1">
      <c r="A2429" s="12">
        <v>24664356</v>
      </c>
      <c r="B2429" s="13">
        <v>46284</v>
      </c>
      <c r="C2429" s="14">
        <v>0.6646643518518518</v>
      </c>
      <c r="D2429" s="15"/>
      <c r="E2429" s="16">
        <v>5217445873493</v>
      </c>
      <c r="F2429" s="15"/>
      <c r="G2429" s="15" t="s">
        <v>2272</v>
      </c>
      <c r="H2429" s="17"/>
      <c r="I2429" s="15"/>
      <c r="J2429" s="18"/>
      <c r="K2429" t="s">
        <v>32</v>
      </c>
      <c r="N2429" s="3">
        <f>L2429*0.3</f>
        <v>0</v>
      </c>
      <c r="O2429" s="3">
        <f>(IF(L2429&lt;4172.98,0,MIN(L2429*0.3,L2429-4172.98)))-M2429</f>
        <v>0</v>
      </c>
      <c r="S2429" s="3" t="s">
        <v>204</v>
      </c>
      <c r="V2429" s="51">
        <v>0.29583333333333334</v>
      </c>
    </row>
    <row r="2430" spans="1:25" hidden="1">
      <c r="A2430" s="12">
        <v>24664840</v>
      </c>
      <c r="B2430" s="13">
        <v>46284</v>
      </c>
      <c r="C2430" s="14">
        <v>0.69032407407407403</v>
      </c>
      <c r="D2430" s="15"/>
      <c r="E2430" s="16">
        <v>5219341008264</v>
      </c>
      <c r="F2430" s="15"/>
      <c r="G2430" s="15"/>
      <c r="H2430" s="17">
        <v>83816219709</v>
      </c>
      <c r="I2430" s="15"/>
      <c r="J2430" s="18"/>
      <c r="K2430" t="s">
        <v>32</v>
      </c>
      <c r="N2430" s="3">
        <f>L2430*0.3</f>
        <v>0</v>
      </c>
      <c r="O2430" s="3">
        <f>(IF(L2430&lt;4172.98,0,MIN(L2430*0.3,L2430-4172.98)))-M2430</f>
        <v>0</v>
      </c>
      <c r="S2430" s="3" t="s">
        <v>204</v>
      </c>
      <c r="V2430" s="51">
        <v>0.29583333333333334</v>
      </c>
    </row>
    <row r="2431" spans="1:25" hidden="1">
      <c r="A2431" s="12">
        <v>24664926</v>
      </c>
      <c r="B2431" s="13">
        <v>46284</v>
      </c>
      <c r="C2431" s="14">
        <v>0.69540509259259264</v>
      </c>
      <c r="D2431" s="15"/>
      <c r="E2431" s="16">
        <v>5215519199119</v>
      </c>
      <c r="F2431" s="15"/>
      <c r="G2431" s="15"/>
      <c r="H2431" s="17" t="s">
        <v>2273</v>
      </c>
      <c r="I2431" s="15"/>
      <c r="J2431" s="18"/>
      <c r="K2431" t="s">
        <v>32</v>
      </c>
      <c r="N2431" s="3">
        <f>L2431*0.3</f>
        <v>0</v>
      </c>
      <c r="O2431" s="3">
        <f>(IF(L2431&lt;4172.98,0,MIN(L2431*0.3,L2431-4172.98)))-M2431</f>
        <v>0</v>
      </c>
      <c r="S2431" s="3" t="s">
        <v>204</v>
      </c>
      <c r="V2431" s="51">
        <v>0.29583333333333334</v>
      </c>
    </row>
    <row r="2432" spans="1:25" hidden="1">
      <c r="A2432" s="12">
        <v>24665486</v>
      </c>
      <c r="B2432" s="13">
        <v>46284</v>
      </c>
      <c r="C2432" s="14">
        <v>0.71497685185185189</v>
      </c>
      <c r="D2432" s="15"/>
      <c r="E2432" s="16">
        <v>5218714845462</v>
      </c>
      <c r="F2432" s="15"/>
      <c r="G2432" s="15" t="s">
        <v>2274</v>
      </c>
      <c r="H2432" s="17"/>
      <c r="I2432" s="15"/>
      <c r="J2432" s="18"/>
      <c r="K2432" t="s">
        <v>32</v>
      </c>
      <c r="N2432" s="3">
        <f>L2432*0.3</f>
        <v>0</v>
      </c>
      <c r="O2432" s="3">
        <f>(IF(L2432&lt;4172.98,0,MIN(L2432*0.3,L2432-4172.98)))-M2432</f>
        <v>0</v>
      </c>
      <c r="S2432" s="3" t="s">
        <v>204</v>
      </c>
      <c r="V2432" s="51">
        <v>0.29583333333333334</v>
      </c>
    </row>
    <row r="2433" spans="1:25" hidden="1">
      <c r="A2433" s="12">
        <v>24665474</v>
      </c>
      <c r="B2433" s="13">
        <v>46284</v>
      </c>
      <c r="C2433" s="14">
        <v>0.74228009259259264</v>
      </c>
      <c r="D2433" s="15"/>
      <c r="E2433" s="16">
        <v>5218331009566</v>
      </c>
      <c r="F2433" s="15"/>
      <c r="G2433" s="15" t="s">
        <v>2275</v>
      </c>
      <c r="H2433" s="17"/>
      <c r="I2433" s="15"/>
      <c r="J2433" s="18"/>
      <c r="K2433" t="s">
        <v>32</v>
      </c>
      <c r="N2433" s="3">
        <f>L2433*0.3</f>
        <v>0</v>
      </c>
      <c r="O2433" s="3">
        <f>(IF(L2433&lt;4172.98,0,MIN(L2433*0.3,L2433-4172.98)))-M2433</f>
        <v>0</v>
      </c>
      <c r="S2433" s="3" t="s">
        <v>204</v>
      </c>
      <c r="V2433" s="51">
        <v>0.29583333333333334</v>
      </c>
    </row>
    <row r="2434" spans="1:25">
      <c r="A2434" s="12">
        <v>24666022</v>
      </c>
      <c r="B2434" s="13">
        <v>46284</v>
      </c>
      <c r="C2434" s="14"/>
      <c r="D2434" s="15"/>
      <c r="E2434" s="16">
        <v>5218445551712</v>
      </c>
      <c r="F2434" s="15"/>
      <c r="G2434" s="15"/>
      <c r="H2434" s="17">
        <v>43786030247</v>
      </c>
      <c r="I2434" s="15"/>
      <c r="J2434" s="18"/>
      <c r="K2434" t="s">
        <v>34</v>
      </c>
      <c r="L2434" s="111">
        <v>5617.63</v>
      </c>
      <c r="M2434" s="111">
        <v>1247.24</v>
      </c>
      <c r="N2434" s="3">
        <f>L2434*0.3</f>
        <v>1685.289</v>
      </c>
      <c r="O2434" s="3">
        <f>(IF(L2434&lt;4172.98,0,MIN(L2434*0.3,L2434-4172.98)))-M2434</f>
        <v>197.41000000000054</v>
      </c>
      <c r="P2434" s="6">
        <v>45748</v>
      </c>
      <c r="Q2434" t="s">
        <v>2276</v>
      </c>
      <c r="R2434" s="111">
        <v>1247.24</v>
      </c>
      <c r="S2434" s="3" t="s">
        <v>35</v>
      </c>
      <c r="T2434" s="48">
        <v>46286</v>
      </c>
      <c r="V2434" s="51">
        <v>0.29583333333333334</v>
      </c>
      <c r="W2434" s="51">
        <v>0.43402777777777779</v>
      </c>
      <c r="X2434" s="51">
        <v>0.43402777777777779</v>
      </c>
      <c r="Y2434" s="51">
        <v>0.43472222222222223</v>
      </c>
    </row>
    <row r="2435" spans="1:25">
      <c r="A2435" s="12">
        <v>24666184</v>
      </c>
      <c r="B2435" s="13">
        <v>46284</v>
      </c>
      <c r="C2435" s="14">
        <v>0.74464120370370368</v>
      </c>
      <c r="D2435" s="15"/>
      <c r="E2435" s="16">
        <v>5218442767642</v>
      </c>
      <c r="F2435" s="15"/>
      <c r="G2435" s="15"/>
      <c r="H2435" s="17">
        <v>43856515242</v>
      </c>
      <c r="I2435" s="15"/>
      <c r="J2435" s="18"/>
      <c r="K2435" t="s">
        <v>38</v>
      </c>
      <c r="L2435" s="111">
        <v>20198.78</v>
      </c>
      <c r="M2435" s="111">
        <v>5574.86</v>
      </c>
      <c r="N2435" s="3">
        <f>L2435*0.3</f>
        <v>6059.6339999999991</v>
      </c>
      <c r="O2435" s="3">
        <f>(IF(L2435&lt;4172.98,0,MIN(L2435*0.3,L2435-4172.98)))-M2435</f>
        <v>484.77399999999943</v>
      </c>
      <c r="P2435" s="6">
        <v>46813</v>
      </c>
      <c r="Q2435" t="s">
        <v>739</v>
      </c>
      <c r="S2435" s="3" t="s">
        <v>39</v>
      </c>
      <c r="T2435" s="48">
        <v>46286</v>
      </c>
      <c r="V2435" s="51">
        <v>0.29583333333333334</v>
      </c>
      <c r="W2435" s="51">
        <v>0.43611111111111112</v>
      </c>
      <c r="X2435" s="51">
        <v>0.45277777777777778</v>
      </c>
      <c r="Y2435" s="51">
        <v>0.45555555555555555</v>
      </c>
    </row>
    <row r="2436" spans="1:25" hidden="1">
      <c r="A2436" s="12">
        <v>24666846</v>
      </c>
      <c r="B2436" s="13">
        <v>46284</v>
      </c>
      <c r="C2436" s="14">
        <v>0.77579861111111115</v>
      </c>
      <c r="D2436" s="15"/>
      <c r="E2436" s="16">
        <v>5543737196</v>
      </c>
      <c r="F2436" s="15"/>
      <c r="G2436" s="15" t="s">
        <v>2277</v>
      </c>
      <c r="H2436" s="17"/>
      <c r="I2436" s="15"/>
      <c r="J2436" s="18"/>
      <c r="K2436" t="s">
        <v>30</v>
      </c>
      <c r="L2436" s="111">
        <v>11899.68</v>
      </c>
      <c r="M2436" s="111">
        <v>3568.86</v>
      </c>
      <c r="N2436" s="3">
        <f>L2436*0.3</f>
        <v>3569.904</v>
      </c>
      <c r="O2436" s="3">
        <f>(IF(L2436&lt;4172.98,0,MIN(L2436*0.3,L2436-4172.98)))-M2436</f>
        <v>1.043999999999869</v>
      </c>
      <c r="P2436" s="6">
        <v>46508</v>
      </c>
      <c r="Q2436" t="s">
        <v>141</v>
      </c>
      <c r="R2436" s="3">
        <v>3439.86</v>
      </c>
      <c r="S2436" s="3" t="s">
        <v>204</v>
      </c>
      <c r="V2436" s="51">
        <v>0.29583333333333334</v>
      </c>
    </row>
    <row r="2437" spans="1:25">
      <c r="A2437" s="12">
        <v>24666996</v>
      </c>
      <c r="B2437" s="13">
        <v>46284</v>
      </c>
      <c r="C2437" s="14">
        <v>0.78439814814814812</v>
      </c>
      <c r="D2437" s="15"/>
      <c r="E2437" s="16">
        <v>5215527562555</v>
      </c>
      <c r="F2437" s="15"/>
      <c r="G2437" s="15"/>
      <c r="H2437" s="17">
        <v>63806207229</v>
      </c>
      <c r="I2437" s="15"/>
      <c r="J2437" s="18"/>
      <c r="K2437" t="s">
        <v>34</v>
      </c>
      <c r="L2437" s="111">
        <v>9081.52</v>
      </c>
      <c r="M2437" s="111">
        <v>2514.25</v>
      </c>
      <c r="N2437" s="3">
        <f>L2437*0.3</f>
        <v>2724.4560000000001</v>
      </c>
      <c r="O2437" s="3">
        <f>(IF(L2437&lt;4172.98,0,MIN(L2437*0.3,L2437-4172.98)))-M2437</f>
        <v>210.20600000000013</v>
      </c>
      <c r="P2437" s="6">
        <v>46174</v>
      </c>
      <c r="Q2437" t="s">
        <v>141</v>
      </c>
      <c r="R2437" s="111">
        <v>2514.25</v>
      </c>
      <c r="S2437" s="3" t="s">
        <v>35</v>
      </c>
      <c r="T2437" s="48">
        <v>46286</v>
      </c>
      <c r="V2437" s="51">
        <v>0.29583333333333334</v>
      </c>
      <c r="W2437" s="51">
        <v>0.44444444444444442</v>
      </c>
      <c r="X2437" s="51">
        <v>0.45208333333333334</v>
      </c>
      <c r="Y2437" s="51">
        <v>0.45277777777777778</v>
      </c>
    </row>
    <row r="2438" spans="1:25" hidden="1">
      <c r="A2438" s="12">
        <v>24667612</v>
      </c>
      <c r="B2438" s="13">
        <v>46284</v>
      </c>
      <c r="C2438" s="14">
        <v>0.80793981481481481</v>
      </c>
      <c r="D2438" s="15"/>
      <c r="E2438" s="16">
        <v>5215665129442</v>
      </c>
      <c r="F2438" s="15"/>
      <c r="G2438" s="15"/>
      <c r="H2438" s="17">
        <v>55893491</v>
      </c>
      <c r="I2438" s="15"/>
      <c r="J2438" s="18"/>
      <c r="K2438" t="s">
        <v>32</v>
      </c>
      <c r="N2438" s="3">
        <f>L2438*0.3</f>
        <v>0</v>
      </c>
      <c r="O2438" s="3">
        <f>(IF(L2438&lt;4172.98,0,MIN(L2438*0.3,L2438-4172.98)))-M2438</f>
        <v>0</v>
      </c>
      <c r="S2438" s="3" t="s">
        <v>204</v>
      </c>
      <c r="V2438" s="51">
        <v>0.29583333333333334</v>
      </c>
    </row>
    <row r="2439" spans="1:25" hidden="1">
      <c r="A2439" s="12">
        <v>24668000</v>
      </c>
      <c r="B2439" s="13">
        <v>46284</v>
      </c>
      <c r="C2439" s="14">
        <v>0.84422453703703704</v>
      </c>
      <c r="D2439" s="15"/>
      <c r="E2439" s="16">
        <v>5219989326633</v>
      </c>
      <c r="F2439" s="15"/>
      <c r="G2439" s="15"/>
      <c r="H2439" s="17">
        <v>67766005267</v>
      </c>
      <c r="I2439" s="15"/>
      <c r="J2439" s="18"/>
      <c r="K2439" t="s">
        <v>30</v>
      </c>
      <c r="L2439" s="111">
        <v>7920.51</v>
      </c>
      <c r="M2439" s="111">
        <v>2376.15</v>
      </c>
      <c r="N2439" s="3">
        <f>L2439*0.3</f>
        <v>2376.1529999999998</v>
      </c>
      <c r="O2439" s="3">
        <f>(IF(L2439&lt;4172.98,0,MIN(L2439*0.3,L2439-4172.98)))-M2439</f>
        <v>2.9999999997016857E-3</v>
      </c>
      <c r="P2439" s="6">
        <v>46692</v>
      </c>
      <c r="Q2439" t="s">
        <v>80</v>
      </c>
      <c r="R2439" s="3">
        <v>2291</v>
      </c>
      <c r="S2439" s="3" t="s">
        <v>204</v>
      </c>
      <c r="V2439" s="51">
        <v>0.29583333333333334</v>
      </c>
    </row>
    <row r="2440" spans="1:25" hidden="1">
      <c r="A2440" s="12">
        <v>24668404</v>
      </c>
      <c r="B2440" s="13">
        <v>46284</v>
      </c>
      <c r="C2440" s="14">
        <v>0.86310185185185184</v>
      </c>
      <c r="D2440" s="15"/>
      <c r="E2440" s="16">
        <v>5216699930808</v>
      </c>
      <c r="F2440" s="15"/>
      <c r="G2440" s="15" t="s">
        <v>2278</v>
      </c>
      <c r="H2440" s="17"/>
      <c r="I2440" s="15"/>
      <c r="J2440" s="18"/>
      <c r="K2440" t="s">
        <v>30</v>
      </c>
      <c r="L2440" s="111">
        <v>10171.24</v>
      </c>
      <c r="M2440" s="111">
        <v>2942.69</v>
      </c>
      <c r="N2440" s="3">
        <f>L2440*0.3</f>
        <v>3051.3719999999998</v>
      </c>
      <c r="O2440" s="3">
        <f>(IF(L2440&lt;4172.98,0,MIN(L2440*0.3,L2440-4172.98)))-M2440</f>
        <v>108.68199999999979</v>
      </c>
      <c r="P2440" s="6">
        <v>46631</v>
      </c>
      <c r="Q2440" t="s">
        <v>77</v>
      </c>
      <c r="R2440" s="111">
        <v>2942.69</v>
      </c>
      <c r="S2440" s="3" t="s">
        <v>204</v>
      </c>
      <c r="V2440" s="51">
        <v>0.29583333333333334</v>
      </c>
    </row>
    <row r="2441" spans="1:25" hidden="1">
      <c r="A2441" s="12">
        <v>24668844</v>
      </c>
      <c r="B2441" s="13">
        <v>46284</v>
      </c>
      <c r="C2441" s="14">
        <v>0.8970717592592593</v>
      </c>
      <c r="D2441" s="15"/>
      <c r="E2441" s="16">
        <v>5212731023200</v>
      </c>
      <c r="F2441" s="15"/>
      <c r="G2441" s="15"/>
      <c r="H2441" s="17">
        <v>67937301249</v>
      </c>
      <c r="I2441" s="15"/>
      <c r="J2441" s="18"/>
      <c r="K2441" t="s">
        <v>30</v>
      </c>
      <c r="L2441" s="3">
        <v>9572.8799999999992</v>
      </c>
      <c r="M2441" s="3">
        <v>2871.86</v>
      </c>
      <c r="N2441" s="3">
        <f>L2441*0.3</f>
        <v>2871.8639999999996</v>
      </c>
      <c r="O2441" s="3">
        <f>(IF(L2441&lt;4172.98,0,MIN(L2441*0.3,L2441-4172.98)))-M2441</f>
        <v>3.9999999994506652E-3</v>
      </c>
      <c r="P2441" s="6">
        <v>46966</v>
      </c>
      <c r="Q2441" t="s">
        <v>57</v>
      </c>
      <c r="R2441" s="3">
        <v>2871.86</v>
      </c>
      <c r="S2441" s="3" t="s">
        <v>204</v>
      </c>
      <c r="V2441" s="51">
        <v>0.29583333333333334</v>
      </c>
    </row>
    <row r="2442" spans="1:25" hidden="1">
      <c r="A2442" s="12">
        <v>24670104</v>
      </c>
      <c r="B2442" s="13">
        <v>46285</v>
      </c>
      <c r="C2442" s="14">
        <v>0.16210648148148149</v>
      </c>
      <c r="D2442" s="15"/>
      <c r="E2442" s="16">
        <v>5215531599081</v>
      </c>
      <c r="F2442" s="15"/>
      <c r="G2442" s="15" t="s">
        <v>2279</v>
      </c>
      <c r="H2442" s="17">
        <v>92917321140</v>
      </c>
      <c r="I2442" s="15"/>
      <c r="J2442" s="18"/>
      <c r="K2442" t="s">
        <v>58</v>
      </c>
      <c r="L2442" s="3">
        <v>2931.18</v>
      </c>
      <c r="N2442" s="3">
        <f>L2442*0.3</f>
        <v>879.35399999999993</v>
      </c>
      <c r="O2442" s="3">
        <f>(IF(L2442&lt;4172.98,0,MIN(L2442*0.3,L2442-4172.98)))-M2442</f>
        <v>0</v>
      </c>
      <c r="S2442" s="3" t="s">
        <v>204</v>
      </c>
      <c r="V2442" s="51">
        <v>0.29583333333333334</v>
      </c>
    </row>
    <row r="2443" spans="1:25" hidden="1">
      <c r="A2443" s="12">
        <v>24670600</v>
      </c>
      <c r="B2443" s="13">
        <v>46285</v>
      </c>
      <c r="C2443" s="14">
        <v>0.24164351851851851</v>
      </c>
      <c r="D2443" s="15" t="s">
        <v>2280</v>
      </c>
      <c r="E2443" s="16">
        <v>5216621818463</v>
      </c>
      <c r="F2443" s="15"/>
      <c r="G2443" s="15"/>
      <c r="H2443" s="17">
        <v>24806502290</v>
      </c>
      <c r="I2443" s="15"/>
      <c r="J2443" s="18"/>
      <c r="K2443" t="s">
        <v>30</v>
      </c>
      <c r="L2443" s="111">
        <v>9760.32</v>
      </c>
      <c r="M2443" s="111">
        <v>2823.89</v>
      </c>
      <c r="N2443" s="3">
        <f>L2443*0.3</f>
        <v>2928.096</v>
      </c>
      <c r="O2443" s="3">
        <f>(IF(L2443&lt;4172.98,0,MIN(L2443*0.3,L2443-4172.98)))-M2443</f>
        <v>104.20600000000013</v>
      </c>
      <c r="P2443" s="6">
        <v>46600</v>
      </c>
      <c r="Q2443" t="s">
        <v>44</v>
      </c>
      <c r="R2443" s="111">
        <v>2823.89</v>
      </c>
      <c r="S2443" s="3" t="s">
        <v>204</v>
      </c>
      <c r="V2443" s="51">
        <v>0.29583333333333334</v>
      </c>
    </row>
    <row r="2444" spans="1:25" hidden="1">
      <c r="A2444" s="12">
        <v>24671436</v>
      </c>
      <c r="B2444" s="13">
        <v>46285</v>
      </c>
      <c r="C2444" s="14">
        <v>0.3003587962962963</v>
      </c>
      <c r="D2444" s="15" t="s">
        <v>2281</v>
      </c>
      <c r="E2444" s="16">
        <v>5218311131380</v>
      </c>
      <c r="F2444" s="15"/>
      <c r="G2444" s="15"/>
      <c r="H2444" s="17">
        <v>49917174960</v>
      </c>
      <c r="I2444" s="15"/>
      <c r="J2444" s="18"/>
      <c r="K2444" t="s">
        <v>30</v>
      </c>
      <c r="L2444" s="111">
        <v>6848.63</v>
      </c>
      <c r="M2444" s="111">
        <v>2050</v>
      </c>
      <c r="N2444" s="3">
        <f>L2444*0.3</f>
        <v>2054.5889999999999</v>
      </c>
      <c r="O2444" s="3">
        <f>(IF(L2444&lt;4172.98,0,MIN(L2444*0.3,L2444-4172.98)))-M2444</f>
        <v>4.5889999999999418</v>
      </c>
      <c r="P2444" s="6">
        <v>46997</v>
      </c>
      <c r="Q2444" t="s">
        <v>75</v>
      </c>
      <c r="R2444" s="111">
        <v>2050</v>
      </c>
      <c r="S2444" s="3" t="s">
        <v>204</v>
      </c>
      <c r="V2444" s="51">
        <v>0.29583333333333334</v>
      </c>
    </row>
    <row r="2445" spans="1:25" hidden="1">
      <c r="A2445" s="12">
        <v>24672176</v>
      </c>
      <c r="B2445" s="13">
        <v>46285</v>
      </c>
      <c r="C2445" s="14">
        <v>0.33761574074074074</v>
      </c>
      <c r="D2445" s="15" t="s">
        <v>2282</v>
      </c>
      <c r="E2445" s="16">
        <v>5215647216079</v>
      </c>
      <c r="F2445" s="15"/>
      <c r="G2445" s="15" t="s">
        <v>2283</v>
      </c>
      <c r="H2445" s="17">
        <v>82138807902</v>
      </c>
      <c r="I2445" s="15"/>
      <c r="J2445" s="18"/>
      <c r="K2445" t="s">
        <v>32</v>
      </c>
      <c r="N2445" s="3">
        <f>L2445*0.3</f>
        <v>0</v>
      </c>
      <c r="O2445" s="3">
        <f>(IF(L2445&lt;4172.98,0,MIN(L2445*0.3,L2445-4172.98)))-M2445</f>
        <v>0</v>
      </c>
      <c r="S2445" s="3" t="s">
        <v>204</v>
      </c>
      <c r="V2445" s="51">
        <v>0.29583333333333334</v>
      </c>
    </row>
    <row r="2446" spans="1:25" hidden="1">
      <c r="A2446" s="12">
        <v>24672864</v>
      </c>
      <c r="B2446" s="13">
        <v>46285</v>
      </c>
      <c r="C2446" s="14">
        <v>0.36812499999999998</v>
      </c>
      <c r="D2446" s="15"/>
      <c r="E2446" s="16">
        <v>7441150188</v>
      </c>
      <c r="F2446" s="15"/>
      <c r="G2446" s="15"/>
      <c r="H2446" s="17">
        <v>54796049408</v>
      </c>
      <c r="I2446" s="15"/>
      <c r="J2446" s="18"/>
      <c r="K2446" t="s">
        <v>30</v>
      </c>
      <c r="L2446" s="3">
        <f>6834.44+2925.88</f>
        <v>9760.32</v>
      </c>
      <c r="M2446" s="3">
        <v>2925.88</v>
      </c>
      <c r="N2446" s="3">
        <f>L2446*0.3</f>
        <v>2928.096</v>
      </c>
      <c r="O2446" s="3">
        <f>(IF(L2446&lt;4172.98,0,MIN(L2446*0.3,L2446-4172.98)))-M2446</f>
        <v>2.2159999999998945</v>
      </c>
      <c r="P2446" s="6">
        <v>46935</v>
      </c>
      <c r="Q2446" t="s">
        <v>43</v>
      </c>
      <c r="R2446" s="3">
        <v>2925.88</v>
      </c>
      <c r="S2446" s="3" t="s">
        <v>204</v>
      </c>
      <c r="V2446" s="51">
        <v>0.29583333333333334</v>
      </c>
    </row>
    <row r="2447" spans="1:25" hidden="1">
      <c r="A2447" s="12">
        <v>24672854</v>
      </c>
      <c r="B2447" s="13">
        <v>46285</v>
      </c>
      <c r="C2447" s="14">
        <v>0.37958333333333333</v>
      </c>
      <c r="D2447" s="15"/>
      <c r="E2447" s="16">
        <v>5218114741997</v>
      </c>
      <c r="F2447" s="15"/>
      <c r="G2447" s="15" t="s">
        <v>2284</v>
      </c>
      <c r="H2447" s="201">
        <v>43816242271</v>
      </c>
      <c r="I2447" s="15"/>
      <c r="J2447" s="18"/>
      <c r="K2447" t="s">
        <v>32</v>
      </c>
      <c r="N2447" s="3">
        <f>L2447*0.3</f>
        <v>0</v>
      </c>
      <c r="O2447" s="3">
        <f>(IF(L2447&lt;4172.98,0,MIN(L2447*0.3,L2447-4172.98)))-M2447</f>
        <v>0</v>
      </c>
      <c r="S2447" s="3" t="s">
        <v>204</v>
      </c>
      <c r="V2447" s="51">
        <v>0.29583333333333334</v>
      </c>
    </row>
    <row r="2448" spans="1:25" hidden="1">
      <c r="A2448" s="12">
        <v>24673026</v>
      </c>
      <c r="B2448" s="13">
        <v>46285</v>
      </c>
      <c r="C2448" s="14">
        <v>0.37996527777777778</v>
      </c>
      <c r="D2448" s="15"/>
      <c r="E2448" s="16">
        <v>5215521485152</v>
      </c>
      <c r="F2448" s="15"/>
      <c r="G2448" s="15"/>
      <c r="H2448" s="17">
        <v>12886617195</v>
      </c>
      <c r="I2448" s="15"/>
      <c r="J2448" s="18"/>
      <c r="K2448" t="s">
        <v>32</v>
      </c>
      <c r="N2448" s="3">
        <f>L2448*0.3</f>
        <v>0</v>
      </c>
      <c r="O2448" s="3">
        <f>(IF(L2448&lt;4172.98,0,MIN(L2448*0.3,L2448-4172.98)))-M2448</f>
        <v>0</v>
      </c>
      <c r="S2448" s="3" t="s">
        <v>204</v>
      </c>
      <c r="V2448" s="51">
        <v>0.29583333333333334</v>
      </c>
    </row>
    <row r="2449" spans="1:25" hidden="1">
      <c r="A2449" s="12">
        <v>24673288</v>
      </c>
      <c r="B2449" s="13">
        <v>46285</v>
      </c>
      <c r="C2449" s="14">
        <v>0.39143518518518516</v>
      </c>
      <c r="D2449" s="15"/>
      <c r="E2449" s="16">
        <v>5218126227013</v>
      </c>
      <c r="F2449" s="15"/>
      <c r="G2449" s="15"/>
      <c r="H2449" s="17">
        <v>92987501200</v>
      </c>
      <c r="I2449" s="15"/>
      <c r="J2449" s="18"/>
      <c r="K2449" t="s">
        <v>32</v>
      </c>
      <c r="N2449" s="3">
        <f>L2449*0.3</f>
        <v>0</v>
      </c>
      <c r="O2449" s="3">
        <f>(IF(L2449&lt;4172.98,0,MIN(L2449*0.3,L2449-4172.98)))-M2449</f>
        <v>0</v>
      </c>
      <c r="S2449" s="3" t="s">
        <v>204</v>
      </c>
      <c r="V2449" s="51">
        <v>0.29583333333333334</v>
      </c>
    </row>
    <row r="2450" spans="1:25" hidden="1">
      <c r="A2450" s="12">
        <v>24674166</v>
      </c>
      <c r="B2450" s="13">
        <v>46285</v>
      </c>
      <c r="C2450" s="14">
        <v>0.41627314814814814</v>
      </c>
      <c r="D2450" s="15"/>
      <c r="E2450" s="16">
        <v>5216463861207</v>
      </c>
      <c r="F2450" s="15"/>
      <c r="G2450" s="15"/>
      <c r="H2450" s="17">
        <v>21664917164</v>
      </c>
      <c r="I2450" s="15"/>
      <c r="J2450" s="18"/>
      <c r="K2450" t="s">
        <v>58</v>
      </c>
      <c r="L2450" s="111">
        <v>3818.93</v>
      </c>
      <c r="M2450" s="111">
        <v>848</v>
      </c>
      <c r="N2450" s="3">
        <f>L2450*0.3</f>
        <v>1145.6789999999999</v>
      </c>
      <c r="O2450" s="3">
        <f>(IF(L2450&lt;4172.98,0,MIN(L2450*0.3,L2450-4172.98)))-M2450</f>
        <v>-848</v>
      </c>
      <c r="S2450" s="3" t="s">
        <v>204</v>
      </c>
      <c r="V2450" s="51">
        <v>0.29583333333333334</v>
      </c>
    </row>
    <row r="2451" spans="1:25" hidden="1">
      <c r="A2451" s="12">
        <v>24675350</v>
      </c>
      <c r="B2451" s="13">
        <v>46285</v>
      </c>
      <c r="C2451" s="14">
        <v>0.43763888888888891</v>
      </c>
      <c r="D2451" s="15"/>
      <c r="E2451" s="16">
        <v>5219221216004</v>
      </c>
      <c r="F2451" s="15"/>
      <c r="G2451" s="15" t="s">
        <v>2285</v>
      </c>
      <c r="H2451" s="17"/>
      <c r="I2451" s="15"/>
      <c r="J2451" s="18"/>
      <c r="K2451" t="s">
        <v>30</v>
      </c>
      <c r="L2451" s="111">
        <v>28414.99</v>
      </c>
      <c r="M2451" s="111">
        <v>8514.5</v>
      </c>
      <c r="N2451" s="3">
        <f>L2451*0.3</f>
        <v>8524.4969999999994</v>
      </c>
      <c r="O2451" s="3">
        <f>(IF(L2451&lt;4172.98,0,MIN(L2451*0.3,L2451-4172.98)))-M2451</f>
        <v>9.9969999999993888</v>
      </c>
      <c r="P2451" s="6">
        <v>46661</v>
      </c>
      <c r="Q2451" t="s">
        <v>141</v>
      </c>
      <c r="R2451" s="3">
        <v>8205.73</v>
      </c>
      <c r="S2451" s="3" t="s">
        <v>204</v>
      </c>
      <c r="V2451" s="51">
        <v>0.29583333333333334</v>
      </c>
    </row>
    <row r="2452" spans="1:25">
      <c r="A2452" s="12">
        <v>24676438</v>
      </c>
      <c r="B2452" s="13">
        <v>46285</v>
      </c>
      <c r="C2452" s="14">
        <v>0.46832175925925928</v>
      </c>
      <c r="D2452" s="15"/>
      <c r="E2452" s="16">
        <v>5215537743018</v>
      </c>
      <c r="F2452" s="15"/>
      <c r="G2452" s="15"/>
      <c r="H2452" s="17">
        <v>17806324442</v>
      </c>
      <c r="I2452" s="15"/>
      <c r="J2452" s="18"/>
      <c r="K2452" t="s">
        <v>107</v>
      </c>
      <c r="L2452" s="111">
        <v>10939.41</v>
      </c>
      <c r="M2452" s="111">
        <v>3280.92</v>
      </c>
      <c r="N2452" s="3">
        <f>L2452*0.3</f>
        <v>3281.8229999999999</v>
      </c>
      <c r="O2452" s="3">
        <f>(IF(L2452&lt;4172.98,0,MIN(L2452*0.3,L2452-4172.98)))-M2452</f>
        <v>0.90299999999979264</v>
      </c>
      <c r="P2452" s="6">
        <v>46235</v>
      </c>
      <c r="Q2452" t="s">
        <v>47</v>
      </c>
      <c r="R2452" s="111">
        <v>393.39</v>
      </c>
      <c r="S2452" s="3" t="s">
        <v>2179</v>
      </c>
      <c r="T2452" s="48">
        <v>46286</v>
      </c>
      <c r="V2452" s="51">
        <v>0.29583333333333334</v>
      </c>
      <c r="W2452" s="51">
        <v>0.42499999999999999</v>
      </c>
      <c r="X2452" s="51">
        <v>0.43680555555555556</v>
      </c>
      <c r="Y2452" s="51">
        <v>0.44374999999999998</v>
      </c>
    </row>
    <row r="2453" spans="1:25">
      <c r="A2453" s="12">
        <v>24676700</v>
      </c>
      <c r="B2453" s="13">
        <v>46285</v>
      </c>
      <c r="C2453" s="14">
        <v>0.48236111111111113</v>
      </c>
      <c r="D2453" s="15" t="s">
        <v>2286</v>
      </c>
      <c r="E2453" s="16">
        <v>5213333920226</v>
      </c>
      <c r="F2453" s="15"/>
      <c r="G2453" s="15" t="s">
        <v>2287</v>
      </c>
      <c r="H2453" s="17">
        <v>54786068640</v>
      </c>
      <c r="I2453" s="15"/>
      <c r="J2453" s="18"/>
      <c r="K2453" t="s">
        <v>54</v>
      </c>
      <c r="L2453" s="111">
        <v>8539.89</v>
      </c>
      <c r="M2453" s="111">
        <v>879</v>
      </c>
      <c r="N2453" s="3">
        <f>L2453*0.3</f>
        <v>2561.9669999999996</v>
      </c>
      <c r="O2453" s="3">
        <f>(IF(L2453&lt;4172.98,0,MIN(L2453*0.3,L2453-4172.98)))-M2453</f>
        <v>1682.9669999999996</v>
      </c>
      <c r="S2453" s="3" t="s">
        <v>358</v>
      </c>
      <c r="T2453" s="48">
        <v>46286</v>
      </c>
      <c r="V2453" s="51">
        <v>0.29583333333333334</v>
      </c>
      <c r="W2453" s="51">
        <v>0.42638888888888887</v>
      </c>
      <c r="X2453" s="51">
        <v>0.43819444444444444</v>
      </c>
      <c r="Y2453" s="51">
        <v>0.44236111111111109</v>
      </c>
    </row>
    <row r="2454" spans="1:25">
      <c r="A2454" s="12">
        <v>24676916</v>
      </c>
      <c r="B2454" s="13">
        <v>46285</v>
      </c>
      <c r="C2454" s="14">
        <v>0.48914351851851851</v>
      </c>
      <c r="D2454" s="15"/>
      <c r="E2454" s="16">
        <v>5216671065651</v>
      </c>
      <c r="F2454" s="15"/>
      <c r="G2454" s="15"/>
      <c r="H2454" s="17">
        <v>23937213025</v>
      </c>
      <c r="I2454" s="15"/>
      <c r="J2454" s="18"/>
      <c r="K2454" t="s">
        <v>27</v>
      </c>
      <c r="L2454" s="111">
        <v>7644.18</v>
      </c>
      <c r="M2454" s="111">
        <v>2563.23</v>
      </c>
      <c r="N2454" s="3">
        <f>L2454*0.3</f>
        <v>2293.2539999999999</v>
      </c>
      <c r="O2454" s="3">
        <f>(IF(L2454&lt;4172.98,0,MIN(L2454*0.3,L2454-4172.98)))-M2454</f>
        <v>-269.97600000000011</v>
      </c>
      <c r="P2454" s="6">
        <v>46174</v>
      </c>
      <c r="Q2454" t="s">
        <v>75</v>
      </c>
      <c r="R2454" s="3">
        <v>2372.16</v>
      </c>
      <c r="S2454" s="3" t="s">
        <v>1080</v>
      </c>
      <c r="T2454" s="48">
        <v>46286</v>
      </c>
      <c r="V2454" s="51">
        <v>0.29583333333333334</v>
      </c>
      <c r="W2454" s="51">
        <v>0.4284722222222222</v>
      </c>
      <c r="X2454" s="51">
        <v>0.43958333333333333</v>
      </c>
      <c r="Y2454" s="51">
        <v>0.44027777777777777</v>
      </c>
    </row>
    <row r="2455" spans="1:25">
      <c r="A2455" s="12">
        <v>24677020</v>
      </c>
      <c r="B2455" s="13">
        <v>46285</v>
      </c>
      <c r="C2455" s="14">
        <v>0.4931712962962963</v>
      </c>
      <c r="D2455" s="15"/>
      <c r="E2455" s="16">
        <v>5216221167534</v>
      </c>
      <c r="F2455" s="15"/>
      <c r="G2455" s="15"/>
      <c r="H2455" s="17">
        <v>24836350900</v>
      </c>
      <c r="I2455" s="15"/>
      <c r="J2455" s="18"/>
      <c r="K2455" t="s">
        <v>27</v>
      </c>
      <c r="L2455" s="111">
        <v>11833.89</v>
      </c>
      <c r="M2455" s="111">
        <v>3421.82</v>
      </c>
      <c r="N2455" s="3">
        <f>L2455*0.3</f>
        <v>3550.1669999999999</v>
      </c>
      <c r="O2455" s="3">
        <f>(IF(L2455&lt;4172.98,0,MIN(L2455*0.3,L2455-4172.98)))-M2455</f>
        <v>128.34699999999975</v>
      </c>
      <c r="P2455" s="6">
        <v>46235</v>
      </c>
      <c r="Q2455" t="s">
        <v>80</v>
      </c>
      <c r="R2455" s="3">
        <v>3131.89</v>
      </c>
      <c r="S2455" s="3" t="s">
        <v>2059</v>
      </c>
      <c r="T2455" s="48">
        <v>46286</v>
      </c>
      <c r="V2455" s="51">
        <v>0.29583333333333334</v>
      </c>
      <c r="W2455" s="51">
        <v>0.42986111111111114</v>
      </c>
      <c r="X2455" s="51">
        <v>0.44374999999999998</v>
      </c>
      <c r="Y2455" s="51">
        <v>0.44513888888888886</v>
      </c>
    </row>
    <row r="2456" spans="1:25">
      <c r="A2456" s="12">
        <v>24677048</v>
      </c>
      <c r="B2456" s="13">
        <v>46285</v>
      </c>
      <c r="C2456" s="14">
        <v>0.49840277777777775</v>
      </c>
      <c r="D2456" s="15"/>
      <c r="E2456" s="16">
        <v>5217772970527</v>
      </c>
      <c r="F2456" s="15"/>
      <c r="G2456" s="15"/>
      <c r="H2456" s="17" t="s">
        <v>2288</v>
      </c>
      <c r="I2456" s="15"/>
      <c r="J2456" s="18"/>
      <c r="K2456" t="s">
        <v>54</v>
      </c>
      <c r="L2456" s="3">
        <v>27646.12</v>
      </c>
      <c r="N2456" s="3">
        <f>L2456*0.3</f>
        <v>8293.8359999999993</v>
      </c>
      <c r="O2456" s="3">
        <f>(IF(L2456&lt;4172.98,0,MIN(L2456*0.3,L2456-4172.98)))-M2456</f>
        <v>8293.8359999999993</v>
      </c>
      <c r="S2456" s="3" t="s">
        <v>35</v>
      </c>
      <c r="T2456" s="48">
        <v>46286</v>
      </c>
      <c r="U2456" t="s">
        <v>368</v>
      </c>
      <c r="V2456" s="51">
        <v>0.29583333333333334</v>
      </c>
      <c r="W2456" s="51">
        <v>0.52777777777777779</v>
      </c>
      <c r="X2456" s="51">
        <v>0.56458333333333333</v>
      </c>
      <c r="Y2456" s="51">
        <v>0.5708333333333333</v>
      </c>
    </row>
    <row r="2457" spans="1:25">
      <c r="A2457" s="12">
        <v>24677192</v>
      </c>
      <c r="B2457" s="13">
        <v>46285</v>
      </c>
      <c r="C2457" s="14">
        <v>0.50521990740740741</v>
      </c>
      <c r="D2457" s="15"/>
      <c r="E2457" s="16">
        <v>5215512797026</v>
      </c>
      <c r="F2457" s="15"/>
      <c r="G2457" s="15"/>
      <c r="H2457" s="17">
        <v>88806129305</v>
      </c>
      <c r="I2457" s="15"/>
      <c r="J2457" s="18"/>
      <c r="K2457" t="s">
        <v>54</v>
      </c>
      <c r="L2457" s="3">
        <v>7640.52</v>
      </c>
      <c r="N2457" s="3">
        <f>L2457*0.3</f>
        <v>2292.1559999999999</v>
      </c>
      <c r="O2457" s="3">
        <f>(IF(L2457&lt;4172.98,0,MIN(L2457*0.3,L2457-4172.98)))-M2457</f>
        <v>2292.1559999999999</v>
      </c>
      <c r="S2457" s="3" t="s">
        <v>1808</v>
      </c>
      <c r="T2457" s="48">
        <v>46286</v>
      </c>
      <c r="V2457" s="51">
        <v>0.29583333333333334</v>
      </c>
      <c r="W2457" s="51">
        <v>0.43055555555555558</v>
      </c>
      <c r="X2457" s="51">
        <v>0.44166666666666665</v>
      </c>
      <c r="Y2457" s="51">
        <v>0.44305555555555554</v>
      </c>
    </row>
    <row r="2458" spans="1:25">
      <c r="A2458" s="12">
        <v>24677434</v>
      </c>
      <c r="B2458" s="13">
        <v>46285</v>
      </c>
      <c r="C2458" s="14">
        <v>0.51846064814814818</v>
      </c>
      <c r="D2458" s="15"/>
      <c r="E2458" s="16">
        <v>5219611564740</v>
      </c>
      <c r="F2458" s="15"/>
      <c r="G2458" s="15" t="s">
        <v>2289</v>
      </c>
      <c r="H2458" s="17"/>
      <c r="I2458" s="15"/>
      <c r="J2458" s="18"/>
      <c r="K2458" t="s">
        <v>54</v>
      </c>
      <c r="L2458" s="3">
        <v>10636.54</v>
      </c>
      <c r="N2458" s="3">
        <f>L2458*0.3</f>
        <v>3190.962</v>
      </c>
      <c r="O2458" s="3">
        <f>(IF(L2458&lt;4172.98,0,MIN(L2458*0.3,L2458-4172.98)))-M2458</f>
        <v>3190.962</v>
      </c>
      <c r="S2458" s="3" t="s">
        <v>327</v>
      </c>
      <c r="T2458" s="48">
        <v>46286</v>
      </c>
      <c r="V2458" s="51">
        <v>0.29583333333333334</v>
      </c>
      <c r="W2458" s="51">
        <v>0.43125000000000002</v>
      </c>
      <c r="X2458" s="51">
        <v>0.44305555555555554</v>
      </c>
      <c r="Y2458" s="51">
        <v>0.44791666666666669</v>
      </c>
    </row>
    <row r="2459" spans="1:25" hidden="1">
      <c r="A2459" s="12">
        <v>24677474</v>
      </c>
      <c r="B2459" s="13">
        <v>46285</v>
      </c>
      <c r="C2459" s="14">
        <v>0.51920138888888889</v>
      </c>
      <c r="D2459" s="15"/>
      <c r="E2459" s="16">
        <v>5215656379420</v>
      </c>
      <c r="F2459" s="15"/>
      <c r="G2459" s="15"/>
      <c r="H2459" s="17" t="s">
        <v>2290</v>
      </c>
      <c r="I2459" s="15"/>
      <c r="J2459" s="18"/>
      <c r="K2459" t="s">
        <v>30</v>
      </c>
      <c r="L2459" s="111">
        <v>12832.28</v>
      </c>
      <c r="M2459" s="111">
        <v>3710.26</v>
      </c>
      <c r="N2459" s="3">
        <f>L2459*0.3</f>
        <v>3849.6840000000002</v>
      </c>
      <c r="O2459" s="3">
        <f>(IF(L2459&lt;4172.98,0,MIN(L2459*0.3,L2459-4172.98)))-M2459</f>
        <v>139.42399999999998</v>
      </c>
      <c r="P2459" s="6">
        <v>46447</v>
      </c>
      <c r="Q2459" t="s">
        <v>59</v>
      </c>
      <c r="R2459" s="3">
        <v>1947.41</v>
      </c>
      <c r="S2459" s="3" t="s">
        <v>204</v>
      </c>
      <c r="V2459" s="51">
        <v>0.29583333333333334</v>
      </c>
    </row>
    <row r="2460" spans="1:25" hidden="1">
      <c r="A2460" s="12">
        <v>24677738</v>
      </c>
      <c r="B2460" s="13">
        <v>46285</v>
      </c>
      <c r="C2460" s="14">
        <v>0.52799768518518519</v>
      </c>
      <c r="D2460" s="15" t="s">
        <v>2291</v>
      </c>
      <c r="E2460" s="16">
        <v>5214621574379</v>
      </c>
      <c r="F2460" s="15"/>
      <c r="G2460" s="15"/>
      <c r="H2460" s="17">
        <v>42815108443</v>
      </c>
      <c r="I2460" s="15"/>
      <c r="J2460" s="18"/>
      <c r="K2460" t="s">
        <v>32</v>
      </c>
      <c r="N2460" s="3">
        <f>L2460*0.3</f>
        <v>0</v>
      </c>
      <c r="O2460" s="3">
        <f>(IF(L2460&lt;4172.98,0,MIN(L2460*0.3,L2460-4172.98)))-M2460</f>
        <v>0</v>
      </c>
      <c r="S2460" s="3" t="s">
        <v>204</v>
      </c>
      <c r="V2460" s="51">
        <v>0.29583333333333334</v>
      </c>
    </row>
    <row r="2461" spans="1:25" hidden="1">
      <c r="A2461" s="12">
        <v>24677808</v>
      </c>
      <c r="B2461" s="13">
        <v>46285</v>
      </c>
      <c r="C2461" s="14">
        <v>0.53621527777777778</v>
      </c>
      <c r="D2461" s="15"/>
      <c r="E2461" s="16">
        <v>5215523227941</v>
      </c>
      <c r="F2461" s="15"/>
      <c r="G2461" s="15" t="s">
        <v>2292</v>
      </c>
      <c r="H2461" s="17" t="s">
        <v>2293</v>
      </c>
      <c r="I2461" s="15"/>
      <c r="J2461" s="18"/>
      <c r="K2461" t="s">
        <v>32</v>
      </c>
      <c r="N2461" s="3">
        <f>L2461*0.3</f>
        <v>0</v>
      </c>
      <c r="O2461" s="3">
        <f>(IF(L2461&lt;4172.98,0,MIN(L2461*0.3,L2461-4172.98)))-M2461</f>
        <v>0</v>
      </c>
      <c r="S2461" s="3" t="s">
        <v>204</v>
      </c>
      <c r="V2461" s="51">
        <v>0.29583333333333334</v>
      </c>
    </row>
    <row r="2462" spans="1:25">
      <c r="A2462" s="12">
        <v>24678226</v>
      </c>
      <c r="B2462" s="13">
        <v>46285</v>
      </c>
      <c r="C2462" s="14">
        <v>0.5566550925925926</v>
      </c>
      <c r="D2462" s="15"/>
      <c r="E2462" s="16">
        <v>5213316247099</v>
      </c>
      <c r="F2462" s="15"/>
      <c r="G2462" s="15"/>
      <c r="H2462" s="17" t="s">
        <v>2294</v>
      </c>
      <c r="I2462" s="15"/>
      <c r="J2462" s="18"/>
      <c r="K2462" t="s">
        <v>34</v>
      </c>
      <c r="L2462" s="111">
        <v>5723.39</v>
      </c>
      <c r="M2462" s="111">
        <v>1277.45</v>
      </c>
      <c r="N2462" s="3">
        <f>L2462*0.3</f>
        <v>1717.0170000000001</v>
      </c>
      <c r="O2462" s="3">
        <f>(IF(L2462&lt;4172.98,0,MIN(L2462*0.3,L2462-4172.98)))-M2462</f>
        <v>272.96000000000072</v>
      </c>
      <c r="P2462" s="6">
        <v>45809</v>
      </c>
      <c r="Q2462" t="s">
        <v>169</v>
      </c>
      <c r="R2462" s="111">
        <v>1277.45</v>
      </c>
      <c r="S2462" s="3" t="s">
        <v>35</v>
      </c>
      <c r="T2462" s="48">
        <v>46286</v>
      </c>
      <c r="V2462" s="51">
        <v>0.29583333333333334</v>
      </c>
      <c r="W2462" s="51">
        <v>0.53333333333333333</v>
      </c>
      <c r="X2462" s="51">
        <v>0.56111111111111112</v>
      </c>
      <c r="Y2462" s="51">
        <v>0.56180555555555556</v>
      </c>
    </row>
    <row r="2463" spans="1:25">
      <c r="A2463" s="12">
        <v>24678512</v>
      </c>
      <c r="B2463" s="13">
        <v>46285</v>
      </c>
      <c r="C2463" s="14">
        <v>0.56738425925925928</v>
      </c>
      <c r="D2463" s="15"/>
      <c r="E2463" s="16">
        <v>5215513455601</v>
      </c>
      <c r="F2463" s="15"/>
      <c r="G2463" s="15"/>
      <c r="H2463" s="17">
        <v>89806214303</v>
      </c>
      <c r="I2463" s="15"/>
      <c r="J2463" s="18"/>
      <c r="K2463" t="s">
        <v>34</v>
      </c>
      <c r="L2463" s="111">
        <v>15068.4</v>
      </c>
      <c r="M2463" s="111">
        <v>3995.74</v>
      </c>
      <c r="N2463" s="3">
        <f>L2463*0.3</f>
        <v>4520.5199999999995</v>
      </c>
      <c r="O2463" s="3">
        <f>(IF(L2463&lt;4172.98,0,MIN(L2463*0.3,L2463-4172.98)))-M2463</f>
        <v>524.77999999999975</v>
      </c>
      <c r="P2463" s="6">
        <v>45992</v>
      </c>
      <c r="Q2463" t="s">
        <v>73</v>
      </c>
      <c r="R2463" s="111">
        <v>3995.74</v>
      </c>
      <c r="S2463" s="3" t="s">
        <v>35</v>
      </c>
      <c r="T2463" s="48">
        <v>46286</v>
      </c>
      <c r="V2463" s="51">
        <v>0.29583333333333334</v>
      </c>
      <c r="W2463" s="51">
        <v>0.43402777777777779</v>
      </c>
      <c r="X2463" s="51">
        <v>0.43541666666666667</v>
      </c>
      <c r="Y2463" s="51">
        <v>0.43611111111111112</v>
      </c>
    </row>
    <row r="2464" spans="1:25" hidden="1">
      <c r="A2464" s="12">
        <v>24678506</v>
      </c>
      <c r="B2464" s="13">
        <v>46285</v>
      </c>
      <c r="C2464" s="14">
        <v>0.57050925925925922</v>
      </c>
      <c r="D2464" s="15"/>
      <c r="E2464" s="16">
        <v>5212482067492</v>
      </c>
      <c r="F2464" s="15"/>
      <c r="G2464" s="15" t="s">
        <v>2295</v>
      </c>
      <c r="H2464" s="17"/>
      <c r="I2464" s="15"/>
      <c r="J2464" s="18"/>
      <c r="K2464" t="s">
        <v>32</v>
      </c>
      <c r="N2464" s="3">
        <f>L2464*0.3</f>
        <v>0</v>
      </c>
      <c r="O2464" s="3">
        <f>(IF(L2464&lt;4172.98,0,MIN(L2464*0.3,L2464-4172.98)))-M2464</f>
        <v>0</v>
      </c>
      <c r="S2464" s="3" t="s">
        <v>204</v>
      </c>
      <c r="V2464" s="51">
        <v>0.29583333333333334</v>
      </c>
    </row>
    <row r="2465" spans="1:25" hidden="1">
      <c r="A2465" s="12">
        <v>24678522</v>
      </c>
      <c r="B2465" s="13">
        <v>46285</v>
      </c>
      <c r="C2465" s="14">
        <v>0.57281249999999995</v>
      </c>
      <c r="D2465" s="15"/>
      <c r="E2465" s="16">
        <v>5219611500474</v>
      </c>
      <c r="F2465" s="15"/>
      <c r="G2465" s="15"/>
      <c r="H2465" s="17">
        <v>14816601489</v>
      </c>
      <c r="I2465" s="15"/>
      <c r="J2465" s="18"/>
      <c r="K2465" t="s">
        <v>58</v>
      </c>
      <c r="L2465" s="111">
        <v>3430.34</v>
      </c>
      <c r="M2465" s="111">
        <v>879</v>
      </c>
      <c r="N2465" s="3">
        <f>L2465*0.3</f>
        <v>1029.1020000000001</v>
      </c>
      <c r="O2465" s="3">
        <f>(IF(L2465&lt;4172.98,0,MIN(L2465*0.3,L2465-4172.98)))-M2465</f>
        <v>-879</v>
      </c>
      <c r="S2465" s="3" t="s">
        <v>204</v>
      </c>
      <c r="V2465" s="51">
        <v>0.29583333333333334</v>
      </c>
    </row>
    <row r="2466" spans="1:25" hidden="1">
      <c r="A2466" s="12">
        <v>24678874</v>
      </c>
      <c r="B2466" s="13">
        <v>46285</v>
      </c>
      <c r="C2466" s="14">
        <v>0.58712962962962967</v>
      </c>
      <c r="D2466" s="15"/>
      <c r="E2466" s="16">
        <v>6572470769</v>
      </c>
      <c r="F2466" s="15"/>
      <c r="G2466" s="15" t="s">
        <v>2296</v>
      </c>
      <c r="H2466" s="17"/>
      <c r="I2466" s="15"/>
      <c r="J2466" s="18"/>
      <c r="K2466" t="s">
        <v>32</v>
      </c>
      <c r="N2466" s="3">
        <f>L2466*0.3</f>
        <v>0</v>
      </c>
      <c r="O2466" s="3">
        <f>(IF(L2466&lt;4172.98,0,MIN(L2466*0.3,L2466-4172.98)))-M2466</f>
        <v>0</v>
      </c>
      <c r="S2466" s="3" t="s">
        <v>204</v>
      </c>
      <c r="V2466" s="51">
        <v>0.29583333333333334</v>
      </c>
    </row>
    <row r="2467" spans="1:25">
      <c r="A2467" s="12">
        <v>24679636</v>
      </c>
      <c r="B2467" s="13">
        <v>46285</v>
      </c>
      <c r="C2467" s="14">
        <v>0.62579861111111112</v>
      </c>
      <c r="D2467" s="15"/>
      <c r="E2467" s="16">
        <v>5212712447062</v>
      </c>
      <c r="F2467" s="15"/>
      <c r="G2467" s="15" t="s">
        <v>2297</v>
      </c>
      <c r="H2467" s="17"/>
      <c r="I2467" s="15"/>
      <c r="J2467" s="18"/>
      <c r="K2467" t="s">
        <v>54</v>
      </c>
      <c r="L2467" s="3">
        <v>10636.54</v>
      </c>
      <c r="N2467" s="3">
        <f>L2467*0.3</f>
        <v>3190.962</v>
      </c>
      <c r="O2467" s="3">
        <f>(IF(L2467&lt;4172.98,0,MIN(L2467*0.3,L2467-4172.98)))-M2467</f>
        <v>3190.962</v>
      </c>
      <c r="S2467" s="3" t="s">
        <v>266</v>
      </c>
      <c r="T2467" s="48">
        <v>46286</v>
      </c>
      <c r="V2467" s="51">
        <v>0.29583333333333334</v>
      </c>
      <c r="W2467" s="51">
        <v>0.44583333333333336</v>
      </c>
      <c r="X2467" s="51">
        <v>0.45416666666666666</v>
      </c>
      <c r="Y2467" s="51">
        <v>0.45624999999999999</v>
      </c>
    </row>
    <row r="2468" spans="1:25" hidden="1">
      <c r="A2468" s="12">
        <v>23632832</v>
      </c>
      <c r="B2468" s="13">
        <v>46285</v>
      </c>
      <c r="C2468" s="14">
        <v>0.64020833333333338</v>
      </c>
      <c r="D2468" s="15"/>
      <c r="E2468" s="16"/>
      <c r="F2468" s="15"/>
      <c r="G2468" s="15"/>
      <c r="H2468" s="17" t="s">
        <v>2298</v>
      </c>
      <c r="I2468" s="15"/>
      <c r="J2468" s="18"/>
      <c r="K2468" t="s">
        <v>30</v>
      </c>
      <c r="L2468" s="111">
        <v>5636.59</v>
      </c>
      <c r="M2468" s="111">
        <v>1628.76</v>
      </c>
      <c r="N2468" s="3">
        <f>L2468*0.3</f>
        <v>1690.9770000000001</v>
      </c>
      <c r="O2468" s="3">
        <f>(IF(L2468&lt;4172.98,0,MIN(L2468*0.3,L2468-4172.98)))-M2468</f>
        <v>-165.14999999999941</v>
      </c>
      <c r="P2468" s="6">
        <v>46419</v>
      </c>
      <c r="Q2468" t="s">
        <v>75</v>
      </c>
      <c r="R2468" s="111">
        <v>1628.76</v>
      </c>
      <c r="S2468" s="3" t="s">
        <v>204</v>
      </c>
      <c r="V2468" s="51">
        <v>0.29583333333333334</v>
      </c>
    </row>
    <row r="2469" spans="1:25" hidden="1">
      <c r="A2469" s="12">
        <v>24680352</v>
      </c>
      <c r="B2469" s="13">
        <v>46285</v>
      </c>
      <c r="C2469" s="14">
        <v>0.65953703703703703</v>
      </c>
      <c r="D2469" s="15"/>
      <c r="E2469" s="16">
        <v>5219983898375</v>
      </c>
      <c r="F2469" s="15"/>
      <c r="G2469" s="15" t="s">
        <v>2299</v>
      </c>
      <c r="H2469" s="17"/>
      <c r="I2469" s="15"/>
      <c r="J2469" s="18"/>
      <c r="K2469" t="s">
        <v>30</v>
      </c>
      <c r="L2469" s="3">
        <f>6953.44+2806.88</f>
        <v>9760.32</v>
      </c>
      <c r="M2469" s="3">
        <v>2806.88</v>
      </c>
      <c r="N2469" s="3">
        <f>L2469*0.3</f>
        <v>2928.096</v>
      </c>
      <c r="O2469" s="3">
        <f>(IF(L2469&lt;4172.98,0,MIN(L2469*0.3,L2469-4172.98)))-M2469</f>
        <v>121.21599999999989</v>
      </c>
      <c r="P2469" s="6">
        <v>46661</v>
      </c>
      <c r="Q2469" t="s">
        <v>73</v>
      </c>
      <c r="R2469" s="3">
        <v>2806.88</v>
      </c>
      <c r="S2469" s="3" t="s">
        <v>204</v>
      </c>
      <c r="V2469" s="51">
        <v>0.29583333333333334</v>
      </c>
    </row>
    <row r="2470" spans="1:25" hidden="1">
      <c r="A2470" s="12">
        <v>24680436</v>
      </c>
      <c r="B2470" s="13">
        <v>46285</v>
      </c>
      <c r="C2470" s="14">
        <v>0.664525462962963</v>
      </c>
      <c r="D2470" s="15"/>
      <c r="E2470" s="16">
        <v>5213339525926</v>
      </c>
      <c r="F2470" s="15"/>
      <c r="G2470" s="15"/>
      <c r="H2470" s="17" t="s">
        <v>2300</v>
      </c>
      <c r="I2470" s="15"/>
      <c r="J2470" s="18"/>
      <c r="K2470" t="s">
        <v>30</v>
      </c>
      <c r="L2470" s="111">
        <v>5501.11</v>
      </c>
      <c r="M2470" s="111">
        <v>1280.8499999999999</v>
      </c>
      <c r="N2470" s="3">
        <f>L2470*0.3</f>
        <v>1650.3329999999999</v>
      </c>
      <c r="O2470" s="3">
        <f>(IF(L2470&lt;4172.98,0,MIN(L2470*0.3,L2470-4172.98)))-M2470</f>
        <v>47.2800000000002</v>
      </c>
      <c r="P2470" s="6">
        <v>46296</v>
      </c>
      <c r="Q2470" t="s">
        <v>75</v>
      </c>
      <c r="R2470" s="3">
        <v>926.12</v>
      </c>
      <c r="S2470" s="3" t="s">
        <v>204</v>
      </c>
      <c r="V2470" s="51">
        <v>0.29583333333333334</v>
      </c>
    </row>
    <row r="2471" spans="1:25" hidden="1">
      <c r="A2471" s="12">
        <v>24680494</v>
      </c>
      <c r="B2471" s="13">
        <v>46285</v>
      </c>
      <c r="C2471" s="14">
        <v>0.66734953703703703</v>
      </c>
      <c r="D2471" s="15"/>
      <c r="E2471" s="16">
        <v>5215536555930</v>
      </c>
      <c r="F2471" s="15"/>
      <c r="G2471" s="15" t="s">
        <v>2301</v>
      </c>
      <c r="H2471" s="17"/>
      <c r="I2471" s="15"/>
      <c r="J2471" s="18"/>
      <c r="K2471" t="s">
        <v>30</v>
      </c>
      <c r="L2471" s="111">
        <v>38268.53</v>
      </c>
      <c r="M2471" s="111">
        <v>11050.67</v>
      </c>
      <c r="N2471" s="3">
        <f>L2471*0.3</f>
        <v>11480.558999999999</v>
      </c>
      <c r="O2471" s="3">
        <f>(IF(L2471&lt;4172.98,0,MIN(L2471*0.3,L2471-4172.98)))-M2471</f>
        <v>429.88899999999921</v>
      </c>
      <c r="P2471" s="6">
        <v>46296</v>
      </c>
      <c r="Q2471" t="s">
        <v>141</v>
      </c>
      <c r="R2471" s="3">
        <v>7561.51</v>
      </c>
      <c r="S2471" s="3" t="s">
        <v>204</v>
      </c>
      <c r="V2471" s="51">
        <v>0.29583333333333334</v>
      </c>
    </row>
    <row r="2472" spans="1:25" hidden="1">
      <c r="A2472" s="12">
        <v>24680552</v>
      </c>
      <c r="B2472" s="13">
        <v>46285</v>
      </c>
      <c r="C2472" s="14">
        <v>0.67660879629629633</v>
      </c>
      <c r="D2472" s="15"/>
      <c r="E2472" s="16">
        <v>5212227179318</v>
      </c>
      <c r="F2472" s="15"/>
      <c r="G2472" s="15" t="s">
        <v>2302</v>
      </c>
      <c r="H2472" s="17"/>
      <c r="I2472" s="15"/>
      <c r="J2472" s="18"/>
      <c r="K2472" t="s">
        <v>32</v>
      </c>
      <c r="N2472" s="3">
        <f>L2472*0.3</f>
        <v>0</v>
      </c>
      <c r="O2472" s="3">
        <f>(IF(L2472&lt;4172.98,0,MIN(L2472*0.3,L2472-4172.98)))-M2472</f>
        <v>0</v>
      </c>
      <c r="S2472" s="3" t="s">
        <v>204</v>
      </c>
      <c r="V2472" s="51">
        <v>0.29583333333333334</v>
      </c>
    </row>
    <row r="2473" spans="1:25" hidden="1">
      <c r="A2473" s="12">
        <v>24680654</v>
      </c>
      <c r="B2473" s="13">
        <v>46285</v>
      </c>
      <c r="C2473" s="14">
        <v>0.68365740740740744</v>
      </c>
      <c r="D2473" s="15"/>
      <c r="E2473" s="16">
        <v>5216391154989</v>
      </c>
      <c r="F2473" s="15"/>
      <c r="G2473" s="15" t="s">
        <v>2303</v>
      </c>
      <c r="H2473" s="17"/>
      <c r="I2473" s="15"/>
      <c r="J2473" s="18"/>
      <c r="K2473" t="s">
        <v>32</v>
      </c>
      <c r="N2473" s="3">
        <f>L2473*0.3</f>
        <v>0</v>
      </c>
      <c r="O2473" s="3">
        <f>(IF(L2473&lt;4172.98,0,MIN(L2473*0.3,L2473-4172.98)))-M2473</f>
        <v>0</v>
      </c>
      <c r="S2473" s="3" t="s">
        <v>204</v>
      </c>
      <c r="V2473" s="51">
        <v>0.29583333333333334</v>
      </c>
    </row>
    <row r="2474" spans="1:25" hidden="1">
      <c r="A2474" s="12">
        <v>24680778</v>
      </c>
      <c r="B2474" s="13">
        <v>46285</v>
      </c>
      <c r="C2474" s="14">
        <v>0.68518518518518523</v>
      </c>
      <c r="D2474" s="15"/>
      <c r="E2474" s="16" t="s">
        <v>2304</v>
      </c>
      <c r="F2474" s="15"/>
      <c r="G2474" s="15" t="s">
        <v>2305</v>
      </c>
      <c r="H2474" s="17"/>
      <c r="I2474" s="15"/>
      <c r="J2474" s="18"/>
      <c r="K2474" t="s">
        <v>32</v>
      </c>
      <c r="N2474" s="3">
        <f>L2474*0.3</f>
        <v>0</v>
      </c>
      <c r="O2474" s="3">
        <f>(IF(L2474&lt;4172.98,0,MIN(L2474*0.3,L2474-4172.98)))-M2474</f>
        <v>0</v>
      </c>
      <c r="S2474" s="3" t="s">
        <v>204</v>
      </c>
      <c r="V2474" s="51">
        <v>0.29583333333333334</v>
      </c>
    </row>
    <row r="2475" spans="1:25">
      <c r="A2475" s="12">
        <v>24680986</v>
      </c>
      <c r="B2475" s="13">
        <v>46285</v>
      </c>
      <c r="C2475" s="14">
        <v>0.69893518518518516</v>
      </c>
      <c r="D2475" s="15"/>
      <c r="E2475" s="16">
        <v>5213131416199</v>
      </c>
      <c r="F2475" s="15"/>
      <c r="G2475" s="15"/>
      <c r="H2475" s="17">
        <v>5273541167</v>
      </c>
      <c r="I2475" s="15"/>
      <c r="J2475" s="18"/>
      <c r="K2475" t="s">
        <v>54</v>
      </c>
      <c r="L2475" s="3">
        <v>12608.45</v>
      </c>
      <c r="N2475" s="3">
        <f>L2475*0.3</f>
        <v>3782.5349999999999</v>
      </c>
      <c r="O2475" s="3">
        <f>(IF(L2475&lt;4172.98,0,MIN(L2475*0.3,L2475-4172.98)))-M2475</f>
        <v>3782.5349999999999</v>
      </c>
      <c r="S2475" s="3" t="s">
        <v>879</v>
      </c>
      <c r="T2475" s="48">
        <v>46286</v>
      </c>
      <c r="V2475" s="51">
        <v>0.29583333333333334</v>
      </c>
      <c r="W2475" s="51">
        <v>0.43819444444444444</v>
      </c>
      <c r="X2475" s="51">
        <v>0.4465277777777778</v>
      </c>
      <c r="Y2475" s="51">
        <v>0.44722222222222224</v>
      </c>
    </row>
    <row r="2476" spans="1:25" hidden="1">
      <c r="A2476" s="12">
        <v>24681070</v>
      </c>
      <c r="B2476" s="13">
        <v>46285</v>
      </c>
      <c r="C2476" s="14">
        <v>0.70391203703703709</v>
      </c>
      <c r="D2476" s="15"/>
      <c r="E2476" s="16">
        <v>5218184774812</v>
      </c>
      <c r="F2476" s="15"/>
      <c r="G2476" s="15"/>
      <c r="H2476" s="17">
        <v>32705314180</v>
      </c>
      <c r="I2476" s="15"/>
      <c r="J2476" s="18"/>
      <c r="K2476" t="s">
        <v>32</v>
      </c>
      <c r="N2476" s="3">
        <f>L2476*0.3</f>
        <v>0</v>
      </c>
      <c r="O2476" s="3">
        <f>(IF(L2476&lt;4172.98,0,MIN(L2476*0.3,L2476-4172.98)))-M2476</f>
        <v>0</v>
      </c>
      <c r="S2476" s="3" t="s">
        <v>204</v>
      </c>
      <c r="V2476" s="51">
        <v>0.29583333333333334</v>
      </c>
    </row>
    <row r="2477" spans="1:25">
      <c r="A2477" s="12">
        <v>24681192</v>
      </c>
      <c r="B2477" s="13">
        <v>46285</v>
      </c>
      <c r="C2477" s="14">
        <v>0.70578703703703705</v>
      </c>
      <c r="D2477" s="15"/>
      <c r="E2477" s="16">
        <v>5215630441727</v>
      </c>
      <c r="F2477" s="15"/>
      <c r="G2477" s="15" t="s">
        <v>2306</v>
      </c>
      <c r="H2477" s="17"/>
      <c r="I2477" s="15"/>
      <c r="J2477" s="18"/>
      <c r="K2477" t="s">
        <v>54</v>
      </c>
      <c r="L2477" s="3">
        <v>11391.56</v>
      </c>
      <c r="N2477" s="3">
        <f>L2477*0.3</f>
        <v>3417.4679999999998</v>
      </c>
      <c r="O2477" s="3">
        <f>(IF(L2477&lt;4172.98,0,MIN(L2477*0.3,L2477-4172.98)))-M2477</f>
        <v>3417.4679999999998</v>
      </c>
      <c r="S2477" s="3" t="s">
        <v>1091</v>
      </c>
      <c r="T2477" s="48">
        <v>46286</v>
      </c>
      <c r="V2477" s="51">
        <v>0.29583333333333334</v>
      </c>
      <c r="W2477" s="51">
        <v>0.43680555555555556</v>
      </c>
      <c r="X2477" s="51">
        <v>0.44930555555555557</v>
      </c>
      <c r="Y2477" s="51">
        <v>0.45069444444444445</v>
      </c>
    </row>
    <row r="2478" spans="1:25" hidden="1">
      <c r="A2478" s="12">
        <v>24681358</v>
      </c>
      <c r="B2478" s="13">
        <v>46285</v>
      </c>
      <c r="C2478" s="14">
        <v>0.711400462962963</v>
      </c>
      <c r="D2478" s="15"/>
      <c r="E2478" s="16">
        <v>5217207337080</v>
      </c>
      <c r="F2478" s="15"/>
      <c r="G2478" s="15"/>
      <c r="H2478" s="17">
        <v>24866400229</v>
      </c>
      <c r="I2478" s="15"/>
      <c r="J2478" s="18"/>
      <c r="K2478" t="s">
        <v>30</v>
      </c>
      <c r="L2478" s="111">
        <v>9081.52</v>
      </c>
      <c r="M2478" s="111">
        <v>2627.5</v>
      </c>
      <c r="N2478" s="3">
        <f>L2478*0.3</f>
        <v>2724.4560000000001</v>
      </c>
      <c r="O2478" s="3">
        <f>(IF(L2478&lt;4172.98,0,MIN(L2478*0.3,L2478-4172.98)))-M2478</f>
        <v>96.956000000000131</v>
      </c>
      <c r="P2478" s="6">
        <v>46388</v>
      </c>
      <c r="Q2478" t="s">
        <v>75</v>
      </c>
      <c r="R2478" s="3">
        <v>1362.43</v>
      </c>
      <c r="S2478" s="3" t="s">
        <v>204</v>
      </c>
      <c r="V2478" s="51">
        <v>0.29583333333333334</v>
      </c>
    </row>
    <row r="2479" spans="1:25" hidden="1">
      <c r="A2479" s="12">
        <v>24681328</v>
      </c>
      <c r="B2479" s="13">
        <v>46285</v>
      </c>
      <c r="C2479" s="14">
        <v>0.71416666666666662</v>
      </c>
      <c r="D2479" s="15" t="s">
        <v>2307</v>
      </c>
      <c r="E2479" s="16">
        <v>5217774405170</v>
      </c>
      <c r="F2479" s="15"/>
      <c r="G2479" s="15" t="s">
        <v>2308</v>
      </c>
      <c r="H2479" s="17" t="s">
        <v>2309</v>
      </c>
      <c r="I2479" s="15"/>
      <c r="J2479" s="18"/>
      <c r="K2479" t="s">
        <v>32</v>
      </c>
      <c r="N2479" s="3">
        <f>L2479*0.3</f>
        <v>0</v>
      </c>
      <c r="O2479" s="3">
        <f>(IF(L2479&lt;4172.98,0,MIN(L2479*0.3,L2479-4172.98)))-M2479</f>
        <v>0</v>
      </c>
      <c r="S2479" s="3" t="s">
        <v>204</v>
      </c>
      <c r="V2479" s="51">
        <v>0.29583333333333334</v>
      </c>
    </row>
    <row r="2480" spans="1:25" hidden="1">
      <c r="A2480" s="12">
        <v>24681444</v>
      </c>
      <c r="B2480" s="13">
        <v>46285</v>
      </c>
      <c r="C2480" s="14">
        <v>0.71863425925925928</v>
      </c>
      <c r="D2480" s="15"/>
      <c r="E2480" s="16">
        <v>5218341111998</v>
      </c>
      <c r="F2480" s="15"/>
      <c r="G2480" s="15" t="s">
        <v>2310</v>
      </c>
      <c r="H2480" s="17"/>
      <c r="I2480" s="15"/>
      <c r="J2480" s="18"/>
      <c r="K2480" t="s">
        <v>32</v>
      </c>
      <c r="N2480" s="3">
        <f>L2480*0.3</f>
        <v>0</v>
      </c>
      <c r="O2480" s="3">
        <f>(IF(L2480&lt;4172.98,0,MIN(L2480*0.3,L2480-4172.98)))-M2480</f>
        <v>0</v>
      </c>
      <c r="S2480" s="3" t="s">
        <v>204</v>
      </c>
      <c r="V2480" s="51">
        <v>0.29583333333333334</v>
      </c>
    </row>
    <row r="2481" spans="1:25" hidden="1">
      <c r="A2481" s="12">
        <v>24681558</v>
      </c>
      <c r="B2481" s="13">
        <v>46285</v>
      </c>
      <c r="C2481" s="14">
        <v>0.72339120370370369</v>
      </c>
      <c r="D2481" s="15"/>
      <c r="E2481" s="16">
        <v>5214613655665</v>
      </c>
      <c r="F2481" s="15"/>
      <c r="G2481" s="15"/>
      <c r="H2481" s="17" t="s">
        <v>2311</v>
      </c>
      <c r="I2481" s="15"/>
      <c r="J2481" s="18"/>
      <c r="K2481" t="s">
        <v>58</v>
      </c>
      <c r="L2481" s="3">
        <v>3869.36</v>
      </c>
      <c r="N2481" s="3">
        <f>L2481*0.3</f>
        <v>1160.808</v>
      </c>
      <c r="O2481" s="3">
        <f>(IF(L2481&lt;4172.98,0,MIN(L2481*0.3,L2481-4172.98)))-M2481</f>
        <v>0</v>
      </c>
      <c r="S2481" s="3" t="s">
        <v>204</v>
      </c>
      <c r="V2481" s="51">
        <v>0.29583333333333334</v>
      </c>
    </row>
    <row r="2482" spans="1:25" hidden="1">
      <c r="A2482" s="12">
        <v>24681906</v>
      </c>
      <c r="B2482" s="13">
        <v>46285</v>
      </c>
      <c r="C2482" s="14">
        <v>0.7432523148148148</v>
      </c>
      <c r="D2482" s="15"/>
      <c r="E2482" s="16">
        <v>5213331965547</v>
      </c>
      <c r="F2482" s="15"/>
      <c r="G2482" s="15"/>
      <c r="H2482" s="17">
        <v>54816303512</v>
      </c>
      <c r="I2482" s="15"/>
      <c r="J2482" s="18"/>
      <c r="K2482" t="s">
        <v>30</v>
      </c>
      <c r="L2482" s="111">
        <v>9760.32</v>
      </c>
      <c r="M2482" s="111">
        <v>2823.89</v>
      </c>
      <c r="N2482" s="3">
        <f>L2482*0.3</f>
        <v>2928.096</v>
      </c>
      <c r="O2482" s="3">
        <f>(IF(L2482&lt;4172.98,0,MIN(L2482*0.3,L2482-4172.98)))-M2482</f>
        <v>104.20600000000013</v>
      </c>
      <c r="P2482" s="6">
        <v>46692</v>
      </c>
      <c r="Q2482" t="s">
        <v>75</v>
      </c>
      <c r="R2482" s="111">
        <v>2823.89</v>
      </c>
      <c r="S2482" s="3" t="s">
        <v>204</v>
      </c>
      <c r="V2482" s="51">
        <v>0.29583333333333334</v>
      </c>
    </row>
    <row r="2483" spans="1:25" hidden="1">
      <c r="A2483" s="12">
        <v>24681940</v>
      </c>
      <c r="B2483" s="13">
        <v>46285</v>
      </c>
      <c r="C2483" s="14">
        <v>0.74383101851851852</v>
      </c>
      <c r="D2483" s="15"/>
      <c r="E2483" s="16">
        <v>5218116734740</v>
      </c>
      <c r="F2483" s="15"/>
      <c r="G2483" s="201" t="s">
        <v>2312</v>
      </c>
      <c r="H2483" s="17" t="s">
        <v>2313</v>
      </c>
      <c r="I2483" s="15"/>
      <c r="J2483" s="18"/>
      <c r="K2483" t="s">
        <v>32</v>
      </c>
      <c r="N2483" s="3">
        <f>L2483*0.3</f>
        <v>0</v>
      </c>
      <c r="O2483" s="3">
        <f>(IF(L2483&lt;4172.98,0,MIN(L2483*0.3,L2483-4172.98)))-M2483</f>
        <v>0</v>
      </c>
      <c r="S2483" s="3" t="s">
        <v>204</v>
      </c>
      <c r="V2483" s="51">
        <v>0.29583333333333334</v>
      </c>
    </row>
    <row r="2484" spans="1:25" hidden="1">
      <c r="A2484" s="12">
        <v>24681878</v>
      </c>
      <c r="B2484" s="13">
        <v>46285</v>
      </c>
      <c r="C2484" s="14">
        <v>0.74434027777777778</v>
      </c>
      <c r="D2484" s="15"/>
      <c r="E2484" s="16">
        <v>5216641544002</v>
      </c>
      <c r="F2484" s="15"/>
      <c r="G2484" s="15"/>
      <c r="H2484" s="17">
        <v>20876100536</v>
      </c>
      <c r="I2484" s="15"/>
      <c r="J2484" s="18"/>
      <c r="K2484" t="s">
        <v>30</v>
      </c>
      <c r="L2484" s="111">
        <v>7116.73</v>
      </c>
      <c r="M2484" s="111">
        <v>2128.46</v>
      </c>
      <c r="N2484" s="3">
        <f>L2484*0.3</f>
        <v>2135.0189999999998</v>
      </c>
      <c r="O2484" s="3">
        <f>(IF(L2484&lt;4172.98,0,MIN(L2484*0.3,L2484-4172.98)))-M2484</f>
        <v>6.5589999999997417</v>
      </c>
      <c r="P2484" s="6">
        <v>46935</v>
      </c>
      <c r="Q2484" t="s">
        <v>43</v>
      </c>
      <c r="R2484" s="111">
        <v>2128.46</v>
      </c>
      <c r="S2484" s="3" t="s">
        <v>204</v>
      </c>
      <c r="V2484" s="51">
        <v>0.29583333333333334</v>
      </c>
    </row>
    <row r="2485" spans="1:25" hidden="1">
      <c r="A2485" s="12">
        <v>24681930</v>
      </c>
      <c r="B2485" s="13">
        <v>46285</v>
      </c>
      <c r="C2485" s="14">
        <v>0.74501157407407403</v>
      </c>
      <c r="D2485" s="15"/>
      <c r="E2485" s="16">
        <v>5215567822302</v>
      </c>
      <c r="F2485" s="15"/>
      <c r="G2485" s="15" t="s">
        <v>2314</v>
      </c>
      <c r="H2485" s="17"/>
      <c r="I2485" s="15"/>
      <c r="J2485" s="18"/>
      <c r="K2485" t="s">
        <v>32</v>
      </c>
      <c r="N2485" s="3">
        <f>L2485*0.3</f>
        <v>0</v>
      </c>
      <c r="O2485" s="3">
        <f>(IF(L2485&lt;4172.98,0,MIN(L2485*0.3,L2485-4172.98)))-M2485</f>
        <v>0</v>
      </c>
      <c r="S2485" s="3" t="s">
        <v>204</v>
      </c>
      <c r="V2485" s="51">
        <v>0.29583333333333334</v>
      </c>
    </row>
    <row r="2486" spans="1:25" hidden="1">
      <c r="A2486" s="12">
        <v>24682164</v>
      </c>
      <c r="B2486" s="13">
        <v>46285</v>
      </c>
      <c r="C2486" s="14">
        <v>0.75796296296296295</v>
      </c>
      <c r="D2486" s="15"/>
      <c r="E2486" s="16">
        <v>5219996057712</v>
      </c>
      <c r="F2486" s="15"/>
      <c r="G2486" s="15"/>
      <c r="H2486" s="17">
        <v>84806304329</v>
      </c>
      <c r="I2486" s="15"/>
      <c r="J2486" s="18"/>
      <c r="K2486" t="s">
        <v>30</v>
      </c>
      <c r="L2486" s="111">
        <v>9760.32</v>
      </c>
      <c r="M2486" s="111">
        <v>2923.08</v>
      </c>
      <c r="N2486" s="3">
        <f>L2486*0.3</f>
        <v>2928.096</v>
      </c>
      <c r="O2486" s="3">
        <f>(IF(L2486&lt;4172.98,0,MIN(L2486*0.3,L2486-4172.98)))-M2486</f>
        <v>5.0160000000000764</v>
      </c>
      <c r="P2486" s="6">
        <v>46569</v>
      </c>
      <c r="Q2486" t="s">
        <v>57</v>
      </c>
      <c r="R2486" s="3">
        <v>1015.84</v>
      </c>
      <c r="S2486" s="3" t="s">
        <v>204</v>
      </c>
      <c r="V2486" s="51">
        <v>0.29583333333333334</v>
      </c>
    </row>
    <row r="2487" spans="1:25">
      <c r="A2487" s="12">
        <v>24682248</v>
      </c>
      <c r="B2487" s="13">
        <v>46285</v>
      </c>
      <c r="C2487" s="14">
        <v>0.7619097222222222</v>
      </c>
      <c r="D2487" s="15"/>
      <c r="E2487" s="16">
        <v>5218713692991</v>
      </c>
      <c r="F2487" s="15"/>
      <c r="G2487" s="15"/>
      <c r="H2487" s="17">
        <v>31826611977</v>
      </c>
      <c r="I2487" s="15"/>
      <c r="J2487" s="18"/>
      <c r="K2487" t="s">
        <v>54</v>
      </c>
      <c r="L2487" s="3">
        <v>34488.239999999998</v>
      </c>
      <c r="N2487" s="3">
        <f>L2487*0.3</f>
        <v>10346.472</v>
      </c>
      <c r="O2487" s="3">
        <f>(IF(L2487&lt;4172.98,0,MIN(L2487*0.3,L2487-4172.98)))-M2487</f>
        <v>10346.472</v>
      </c>
      <c r="S2487" s="3" t="s">
        <v>886</v>
      </c>
      <c r="T2487" s="48">
        <v>46286</v>
      </c>
      <c r="V2487" s="51">
        <v>0.29583333333333334</v>
      </c>
      <c r="W2487" s="51">
        <v>0.4548611111111111</v>
      </c>
      <c r="X2487" s="51">
        <v>0.45833333333333331</v>
      </c>
      <c r="Y2487" s="51">
        <v>0.4597222222222222</v>
      </c>
    </row>
    <row r="2488" spans="1:25" hidden="1">
      <c r="A2488" s="12">
        <v>24682298</v>
      </c>
      <c r="B2488" s="13">
        <v>46285</v>
      </c>
      <c r="C2488" s="14">
        <v>0.76495370370370375</v>
      </c>
      <c r="D2488" s="15"/>
      <c r="E2488" s="16">
        <v>5215572263696</v>
      </c>
      <c r="F2488" s="15"/>
      <c r="G2488" s="15" t="s">
        <v>2315</v>
      </c>
      <c r="H2488" s="17" t="s">
        <v>2316</v>
      </c>
      <c r="I2488" s="15"/>
      <c r="J2488" s="18"/>
      <c r="K2488" t="s">
        <v>32</v>
      </c>
      <c r="N2488" s="3">
        <f>L2488*0.3</f>
        <v>0</v>
      </c>
      <c r="O2488" s="3">
        <f>(IF(L2488&lt;4172.98,0,MIN(L2488*0.3,L2488-4172.98)))-M2488</f>
        <v>0</v>
      </c>
      <c r="S2488" s="3" t="s">
        <v>204</v>
      </c>
      <c r="V2488" s="51">
        <v>0.29583333333333334</v>
      </c>
    </row>
    <row r="2489" spans="1:25" hidden="1">
      <c r="A2489" s="12">
        <v>24682396</v>
      </c>
      <c r="B2489" s="13">
        <v>46285</v>
      </c>
      <c r="C2489" s="14">
        <v>0.77106481481481481</v>
      </c>
      <c r="D2489" s="15"/>
      <c r="E2489" s="16">
        <v>5212231257320</v>
      </c>
      <c r="F2489" s="15"/>
      <c r="G2489" s="15" t="s">
        <v>2317</v>
      </c>
      <c r="H2489" s="17"/>
      <c r="I2489" s="15"/>
      <c r="J2489" s="18"/>
      <c r="K2489" t="s">
        <v>32</v>
      </c>
      <c r="N2489" s="3">
        <f>L2489*0.3</f>
        <v>0</v>
      </c>
      <c r="O2489" s="3">
        <f>(IF(L2489&lt;4172.98,0,MIN(L2489*0.3,L2489-4172.98)))-M2489</f>
        <v>0</v>
      </c>
      <c r="S2489" s="3" t="s">
        <v>204</v>
      </c>
      <c r="V2489" s="51">
        <v>0.29583333333333334</v>
      </c>
    </row>
    <row r="2490" spans="1:25">
      <c r="A2490" s="12">
        <v>24682442</v>
      </c>
      <c r="B2490" s="13">
        <v>46285</v>
      </c>
      <c r="C2490" s="14">
        <v>0.77290509259259255</v>
      </c>
      <c r="D2490" s="15"/>
      <c r="E2490" s="16">
        <v>5215521305336</v>
      </c>
      <c r="F2490" s="15"/>
      <c r="G2490" s="15"/>
      <c r="H2490" s="17">
        <v>45906615484</v>
      </c>
      <c r="I2490" s="15"/>
      <c r="J2490" s="18"/>
      <c r="K2490" t="s">
        <v>54</v>
      </c>
      <c r="L2490" s="3">
        <v>10636.54</v>
      </c>
      <c r="N2490" s="3">
        <f>L2490*0.3</f>
        <v>3190.962</v>
      </c>
      <c r="O2490" s="3">
        <f>(IF(L2490&lt;4172.98,0,MIN(L2490*0.3,L2490-4172.98)))-M2490</f>
        <v>3190.962</v>
      </c>
      <c r="S2490" s="3" t="s">
        <v>348</v>
      </c>
      <c r="T2490" s="48">
        <v>46286</v>
      </c>
      <c r="V2490" s="51">
        <v>0.29583333333333334</v>
      </c>
      <c r="W2490" s="51">
        <v>0.46875</v>
      </c>
      <c r="X2490" s="51">
        <v>0.47291666666666665</v>
      </c>
      <c r="Y2490" s="51">
        <v>0.47430555555555554</v>
      </c>
    </row>
    <row r="2491" spans="1:25" hidden="1">
      <c r="A2491" s="12">
        <v>24682588</v>
      </c>
      <c r="B2491" s="13">
        <v>46285</v>
      </c>
      <c r="C2491" s="14">
        <v>0.78695601851851849</v>
      </c>
      <c r="D2491" s="15" t="s">
        <v>2318</v>
      </c>
      <c r="E2491" s="16">
        <v>5212361044056</v>
      </c>
      <c r="F2491" s="15"/>
      <c r="G2491" s="15" t="s">
        <v>2319</v>
      </c>
      <c r="H2491" s="17"/>
      <c r="I2491" s="15"/>
      <c r="J2491" s="18"/>
      <c r="K2491" t="s">
        <v>32</v>
      </c>
      <c r="N2491" s="3">
        <f>L2491*0.3</f>
        <v>0</v>
      </c>
      <c r="O2491" s="3">
        <f>(IF(L2491&lt;4172.98,0,MIN(L2491*0.3,L2491-4172.98)))-M2491</f>
        <v>0</v>
      </c>
      <c r="S2491" s="3" t="s">
        <v>204</v>
      </c>
      <c r="V2491" s="51">
        <v>0.29583333333333334</v>
      </c>
    </row>
    <row r="2492" spans="1:25" hidden="1">
      <c r="A2492" s="12">
        <v>24682478</v>
      </c>
      <c r="B2492" s="13">
        <v>46285</v>
      </c>
      <c r="C2492" s="14">
        <v>0.78646990740740741</v>
      </c>
      <c r="D2492" s="15" t="s">
        <v>2320</v>
      </c>
      <c r="E2492" s="16">
        <v>5219831854180</v>
      </c>
      <c r="F2492" s="15"/>
      <c r="G2492" s="15" t="s">
        <v>2321</v>
      </c>
      <c r="H2492" s="17"/>
      <c r="I2492" s="15"/>
      <c r="J2492" s="18"/>
      <c r="K2492" t="s">
        <v>58</v>
      </c>
      <c r="L2492" s="3">
        <v>4199.87</v>
      </c>
      <c r="N2492" s="3">
        <f>L2492*0.3</f>
        <v>1259.961</v>
      </c>
      <c r="O2492" s="3">
        <f>(IF(L2492&lt;4172.98,0,MIN(L2492*0.3,L2492-4172.98)))-M2492</f>
        <v>26.890000000000327</v>
      </c>
      <c r="S2492" s="3" t="s">
        <v>204</v>
      </c>
      <c r="V2492" s="51">
        <v>0.29583333333333334</v>
      </c>
    </row>
    <row r="2493" spans="1:25">
      <c r="A2493" s="12">
        <v>24682710</v>
      </c>
      <c r="B2493" s="13">
        <v>46285</v>
      </c>
      <c r="C2493" s="14">
        <v>0.79092592592592592</v>
      </c>
      <c r="D2493" s="15"/>
      <c r="E2493" s="16">
        <v>5214733331585</v>
      </c>
      <c r="F2493" s="15"/>
      <c r="G2493" s="15"/>
      <c r="H2493" s="17">
        <v>12806341678</v>
      </c>
      <c r="I2493" s="15"/>
      <c r="J2493" s="18"/>
      <c r="K2493" t="s">
        <v>38</v>
      </c>
      <c r="L2493" s="111">
        <v>9039.1299999999992</v>
      </c>
      <c r="M2493" s="111">
        <v>2047.45</v>
      </c>
      <c r="N2493" s="3">
        <f>L2493*0.3</f>
        <v>2711.7389999999996</v>
      </c>
      <c r="O2493" s="3">
        <f>(IF(L2493&lt;4172.98,0,MIN(L2493*0.3,L2493-4172.98)))-M2493</f>
        <v>664.28899999999953</v>
      </c>
      <c r="P2493" s="6">
        <v>46539</v>
      </c>
      <c r="Q2493" t="s">
        <v>75</v>
      </c>
      <c r="R2493" s="111">
        <v>2047.45</v>
      </c>
      <c r="S2493" s="3" t="s">
        <v>39</v>
      </c>
      <c r="T2493" s="48">
        <v>46286</v>
      </c>
      <c r="V2493" s="51">
        <v>0.29583333333333334</v>
      </c>
      <c r="W2493" s="51">
        <v>0.47152777777777777</v>
      </c>
      <c r="X2493" s="51">
        <v>0.47708333333333336</v>
      </c>
      <c r="Y2493" s="51">
        <v>0.47916666666666669</v>
      </c>
    </row>
    <row r="2494" spans="1:25" hidden="1">
      <c r="A2494" s="30">
        <v>24682680</v>
      </c>
      <c r="B2494" s="31">
        <v>46285</v>
      </c>
      <c r="C2494" s="32">
        <v>0.79278935185185184</v>
      </c>
      <c r="D2494" s="33"/>
      <c r="E2494" s="34">
        <v>5215523337324</v>
      </c>
      <c r="F2494" s="33"/>
      <c r="G2494" s="33"/>
      <c r="H2494" s="35">
        <v>21865502112</v>
      </c>
      <c r="I2494" s="33"/>
      <c r="J2494" s="36"/>
      <c r="K2494" t="s">
        <v>58</v>
      </c>
      <c r="L2494" s="111">
        <v>3882.85</v>
      </c>
      <c r="M2494" s="111">
        <v>879</v>
      </c>
      <c r="N2494" s="3">
        <f>L2494*0.3</f>
        <v>1164.855</v>
      </c>
      <c r="O2494" s="3">
        <f>(IF(L2494&lt;4172.98,0,MIN(L2494*0.3,L2494-4172.98)))-M2494</f>
        <v>-879</v>
      </c>
      <c r="S2494" s="3" t="s">
        <v>204</v>
      </c>
      <c r="V2494" s="51">
        <v>0.29583333333333334</v>
      </c>
    </row>
    <row r="2495" spans="1:25" hidden="1">
      <c r="A2495" s="12">
        <v>24682924</v>
      </c>
      <c r="B2495" s="13">
        <v>46285</v>
      </c>
      <c r="C2495" s="14">
        <v>0.81613425925925931</v>
      </c>
      <c r="D2495" s="15"/>
      <c r="E2495" s="16">
        <v>5213343227681</v>
      </c>
      <c r="F2495" s="15"/>
      <c r="G2495" s="15"/>
      <c r="H2495" s="17" t="s">
        <v>2322</v>
      </c>
      <c r="I2495" s="15"/>
      <c r="J2495" s="18"/>
      <c r="K2495" t="s">
        <v>30</v>
      </c>
      <c r="L2495" s="111">
        <v>9760.32</v>
      </c>
      <c r="M2495" s="111">
        <v>2927.47</v>
      </c>
      <c r="N2495" s="3">
        <f>L2495*0.3</f>
        <v>2928.096</v>
      </c>
      <c r="O2495" s="3">
        <f>(IF(L2495&lt;4172.98,0,MIN(L2495*0.3,L2495-4172.98)))-M2495</f>
        <v>0.62600000000020373</v>
      </c>
      <c r="P2495" s="6">
        <v>46813</v>
      </c>
      <c r="Q2495" t="s">
        <v>44</v>
      </c>
      <c r="R2495" s="111">
        <v>2927.47</v>
      </c>
      <c r="S2495" s="3" t="s">
        <v>204</v>
      </c>
      <c r="V2495" s="51">
        <v>0.29583333333333334</v>
      </c>
    </row>
    <row r="2496" spans="1:25" hidden="1">
      <c r="A2496" s="12">
        <v>24683100</v>
      </c>
      <c r="B2496" s="13">
        <v>46285</v>
      </c>
      <c r="C2496" s="14">
        <v>0.8244097222222222</v>
      </c>
      <c r="D2496" s="15" t="s">
        <v>2323</v>
      </c>
      <c r="E2496" s="16">
        <v>5219987054774</v>
      </c>
      <c r="F2496" s="15"/>
      <c r="G2496" s="15" t="s">
        <v>2324</v>
      </c>
      <c r="H2496" s="17"/>
      <c r="I2496" s="15"/>
      <c r="J2496" s="18"/>
      <c r="K2496" t="s">
        <v>32</v>
      </c>
      <c r="N2496" s="3">
        <f>L2496*0.3</f>
        <v>0</v>
      </c>
      <c r="O2496" s="3">
        <f>(IF(L2496&lt;4172.98,0,MIN(L2496*0.3,L2496-4172.98)))-M2496</f>
        <v>0</v>
      </c>
      <c r="S2496" s="3" t="s">
        <v>204</v>
      </c>
      <c r="V2496" s="51">
        <v>0.29583333333333334</v>
      </c>
    </row>
    <row r="2497" spans="1:25" hidden="1">
      <c r="A2497" s="12">
        <v>24683558</v>
      </c>
      <c r="B2497" s="13">
        <v>46285</v>
      </c>
      <c r="C2497" s="14">
        <v>0.82883101851851848</v>
      </c>
      <c r="D2497" s="15" t="s">
        <v>2325</v>
      </c>
      <c r="E2497" s="16">
        <v>5218714096790</v>
      </c>
      <c r="F2497" s="15"/>
      <c r="G2497" s="15" t="s">
        <v>2326</v>
      </c>
      <c r="H2497" s="201">
        <v>32805714246</v>
      </c>
      <c r="I2497" s="15"/>
      <c r="J2497" s="18"/>
      <c r="K2497" t="s">
        <v>30</v>
      </c>
      <c r="L2497" s="111">
        <v>7041.97</v>
      </c>
      <c r="M2497" s="111">
        <v>2032.84</v>
      </c>
      <c r="N2497" s="3">
        <f>L2497*0.3</f>
        <v>2112.5909999999999</v>
      </c>
      <c r="O2497" s="3">
        <f>(IF(L2497&lt;4172.98,0,MIN(L2497*0.3,L2497-4172.98)))-M2497</f>
        <v>79.750999999999976</v>
      </c>
      <c r="P2497" s="6">
        <v>46447</v>
      </c>
      <c r="Q2497" t="s">
        <v>80</v>
      </c>
      <c r="R2497" s="3">
        <v>1805.93</v>
      </c>
      <c r="S2497" s="3" t="s">
        <v>204</v>
      </c>
      <c r="V2497" s="51">
        <v>0.29583333333333334</v>
      </c>
    </row>
    <row r="2498" spans="1:25" hidden="1">
      <c r="A2498" s="12">
        <v>24683620</v>
      </c>
      <c r="B2498" s="13">
        <v>46285</v>
      </c>
      <c r="C2498" s="14">
        <v>0.83805555555555555</v>
      </c>
      <c r="D2498" s="15"/>
      <c r="E2498" s="16">
        <v>5212218286375</v>
      </c>
      <c r="F2498" s="15"/>
      <c r="G2498" s="15"/>
      <c r="H2498" s="17" t="s">
        <v>2327</v>
      </c>
      <c r="I2498" s="15"/>
      <c r="J2498" s="18"/>
      <c r="K2498" t="s">
        <v>32</v>
      </c>
      <c r="N2498" s="3">
        <f>L2498*0.3</f>
        <v>0</v>
      </c>
      <c r="O2498" s="3">
        <f>(IF(L2498&lt;4172.98,0,MIN(L2498*0.3,L2498-4172.98)))-M2498</f>
        <v>0</v>
      </c>
      <c r="S2498" s="3" t="s">
        <v>204</v>
      </c>
      <c r="V2498" s="51">
        <v>0.29583333333333334</v>
      </c>
    </row>
    <row r="2499" spans="1:25" hidden="1">
      <c r="A2499" s="30">
        <v>24683880</v>
      </c>
      <c r="B2499" s="31">
        <v>46285</v>
      </c>
      <c r="C2499" s="32">
        <v>0.84375</v>
      </c>
      <c r="D2499" s="33"/>
      <c r="E2499" s="34">
        <v>5219848078359</v>
      </c>
      <c r="F2499" s="33"/>
      <c r="G2499" s="33"/>
      <c r="H2499" s="35" t="s">
        <v>2328</v>
      </c>
      <c r="I2499" s="33"/>
      <c r="J2499" s="36"/>
      <c r="K2499" t="s">
        <v>58</v>
      </c>
      <c r="L2499" s="3">
        <v>3551.29</v>
      </c>
      <c r="N2499" s="3">
        <f>L2499*0.3</f>
        <v>1065.3869999999999</v>
      </c>
      <c r="O2499" s="3">
        <f>(IF(L2499&lt;4172.98,0,MIN(L2499*0.3,L2499-4172.98)))-M2499</f>
        <v>0</v>
      </c>
      <c r="S2499" s="3" t="s">
        <v>204</v>
      </c>
      <c r="V2499" s="51">
        <v>0.29583333333333334</v>
      </c>
    </row>
    <row r="2500" spans="1:25" hidden="1">
      <c r="A2500" s="30">
        <v>24683948</v>
      </c>
      <c r="B2500" s="31">
        <v>46285</v>
      </c>
      <c r="C2500" s="32">
        <v>0.85041666666666671</v>
      </c>
      <c r="D2500" s="33"/>
      <c r="E2500" s="34">
        <v>5212482267359</v>
      </c>
      <c r="F2500" s="33"/>
      <c r="G2500" s="33" t="s">
        <v>2329</v>
      </c>
      <c r="H2500" s="35"/>
      <c r="I2500" s="33"/>
      <c r="J2500" s="36"/>
      <c r="K2500" t="s">
        <v>32</v>
      </c>
      <c r="N2500" s="3">
        <f>L2500*0.3</f>
        <v>0</v>
      </c>
      <c r="O2500" s="3">
        <f>(IF(L2500&lt;4172.98,0,MIN(L2500*0.3,L2500-4172.98)))-M2500</f>
        <v>0</v>
      </c>
      <c r="S2500" s="3" t="s">
        <v>204</v>
      </c>
      <c r="V2500" s="51">
        <v>0.29583333333333334</v>
      </c>
    </row>
    <row r="2501" spans="1:25" hidden="1">
      <c r="A2501" s="12">
        <v>24683910</v>
      </c>
      <c r="B2501" s="13">
        <v>46285</v>
      </c>
      <c r="C2501" s="14">
        <v>0.85141203703703705</v>
      </c>
      <c r="D2501" s="15"/>
      <c r="E2501" s="16">
        <v>5214491373256</v>
      </c>
      <c r="F2501" s="15"/>
      <c r="G2501" s="15" t="s">
        <v>2330</v>
      </c>
      <c r="H2501" s="17"/>
      <c r="I2501" s="15"/>
      <c r="J2501" s="18"/>
      <c r="K2501" t="s">
        <v>58</v>
      </c>
      <c r="L2501" s="3">
        <v>2057.87</v>
      </c>
      <c r="N2501" s="3">
        <f>L2501*0.3</f>
        <v>617.36099999999999</v>
      </c>
      <c r="O2501" s="3">
        <f>(IF(L2501&lt;4172.98,0,MIN(L2501*0.3,L2501-4172.98)))-M2501</f>
        <v>0</v>
      </c>
      <c r="S2501" s="3" t="s">
        <v>204</v>
      </c>
      <c r="V2501" s="51">
        <v>0.29583333333333334</v>
      </c>
    </row>
    <row r="2502" spans="1:25" hidden="1">
      <c r="A2502" s="12">
        <v>24684160</v>
      </c>
      <c r="B2502" s="13">
        <v>46285</v>
      </c>
      <c r="C2502" s="14">
        <v>0.86284722222222221</v>
      </c>
      <c r="D2502" s="15" t="s">
        <v>2331</v>
      </c>
      <c r="E2502" s="16">
        <v>5215512982094</v>
      </c>
      <c r="F2502" s="15"/>
      <c r="G2502" s="15" t="s">
        <v>2332</v>
      </c>
      <c r="H2502" s="17"/>
      <c r="I2502" s="15"/>
      <c r="J2502" s="18"/>
      <c r="K2502" t="s">
        <v>30</v>
      </c>
      <c r="L2502" s="111">
        <v>9081.52</v>
      </c>
      <c r="M2502" s="111">
        <v>2606.7800000000002</v>
      </c>
      <c r="N2502" s="3">
        <f>L2502*0.3</f>
        <v>2724.4560000000001</v>
      </c>
      <c r="O2502" s="3">
        <f>(IF(L2502&lt;4172.98,0,MIN(L2502*0.3,L2502-4172.98)))-M2502</f>
        <v>117.67599999999993</v>
      </c>
      <c r="P2502" s="6">
        <v>46539</v>
      </c>
      <c r="Q2502" t="s">
        <v>75</v>
      </c>
      <c r="R2502" s="3">
        <v>1637.96</v>
      </c>
      <c r="S2502" s="3" t="s">
        <v>204</v>
      </c>
      <c r="V2502" s="51">
        <v>0.29583333333333334</v>
      </c>
    </row>
    <row r="2503" spans="1:25" hidden="1">
      <c r="A2503" s="30">
        <v>24684192</v>
      </c>
      <c r="B2503" s="31">
        <v>46285</v>
      </c>
      <c r="C2503" s="32">
        <v>0.8677083333333333</v>
      </c>
      <c r="D2503" s="33"/>
      <c r="E2503" s="34">
        <v>5214434934936</v>
      </c>
      <c r="F2503" s="33"/>
      <c r="G2503" s="33" t="s">
        <v>2333</v>
      </c>
      <c r="H2503" s="35"/>
      <c r="I2503" s="33"/>
      <c r="J2503" s="36"/>
      <c r="K2503" t="s">
        <v>30</v>
      </c>
      <c r="L2503" s="111">
        <v>15141.58</v>
      </c>
      <c r="M2503" s="111">
        <v>4539.2700000000004</v>
      </c>
      <c r="N2503" s="3">
        <f>L2503*0.3</f>
        <v>4542.4740000000002</v>
      </c>
      <c r="O2503" s="3">
        <f>(IF(L2503&lt;4172.98,0,MIN(L2503*0.3,L2503-4172.98)))-M2503</f>
        <v>3.2039999999997235</v>
      </c>
      <c r="P2503" s="6">
        <v>46478</v>
      </c>
      <c r="Q2503" t="s">
        <v>43</v>
      </c>
      <c r="R2503" s="3">
        <v>565.61</v>
      </c>
      <c r="S2503" s="3" t="s">
        <v>204</v>
      </c>
      <c r="V2503" s="51">
        <v>0.29583333333333334</v>
      </c>
    </row>
    <row r="2504" spans="1:25" hidden="1">
      <c r="A2504" s="12">
        <v>24684400</v>
      </c>
      <c r="B2504" s="13">
        <v>46285</v>
      </c>
      <c r="C2504" s="14">
        <v>0.88230324074074074</v>
      </c>
      <c r="D2504" s="15"/>
      <c r="E2504" s="16">
        <v>5213333595446</v>
      </c>
      <c r="F2504" s="15"/>
      <c r="G2504" s="15" t="s">
        <v>2334</v>
      </c>
      <c r="H2504" s="17"/>
      <c r="I2504" s="15"/>
      <c r="J2504" s="18"/>
      <c r="K2504" t="s">
        <v>51</v>
      </c>
      <c r="N2504" s="3">
        <f t="shared" ref="N2504:N2516" si="322">L2504*0.3</f>
        <v>0</v>
      </c>
      <c r="O2504" s="3">
        <f t="shared" ref="O2504:O2516" si="323">(IF(L2504&lt;4172.98,0,MIN(L2504*0.3,L2504-4172.98)))-M2504</f>
        <v>0</v>
      </c>
      <c r="S2504" s="3" t="s">
        <v>204</v>
      </c>
      <c r="V2504" s="51">
        <v>0.29583333333333334</v>
      </c>
    </row>
    <row r="2505" spans="1:25" hidden="1">
      <c r="A2505" s="12">
        <v>24684514</v>
      </c>
      <c r="B2505" s="13">
        <v>46285</v>
      </c>
      <c r="C2505" s="14">
        <v>0.89215277777777779</v>
      </c>
      <c r="D2505" s="15"/>
      <c r="E2505" s="16">
        <v>5212215916490</v>
      </c>
      <c r="F2505" s="15"/>
      <c r="G2505" s="15" t="s">
        <v>2335</v>
      </c>
      <c r="H2505" s="17"/>
      <c r="I2505" s="15"/>
      <c r="J2505" s="18"/>
      <c r="K2505" t="s">
        <v>32</v>
      </c>
      <c r="N2505" s="3">
        <f t="shared" si="322"/>
        <v>0</v>
      </c>
      <c r="O2505" s="3">
        <f t="shared" si="323"/>
        <v>0</v>
      </c>
      <c r="S2505" s="3" t="s">
        <v>204</v>
      </c>
      <c r="V2505" s="51">
        <v>0.29583333333333334</v>
      </c>
    </row>
    <row r="2506" spans="1:25" hidden="1">
      <c r="A2506" s="12">
        <v>24684550</v>
      </c>
      <c r="B2506" s="13">
        <v>46285</v>
      </c>
      <c r="C2506" s="14">
        <v>0.89686342592592594</v>
      </c>
      <c r="D2506" s="15"/>
      <c r="E2506" s="16">
        <v>5212321553668</v>
      </c>
      <c r="F2506" s="15"/>
      <c r="G2506" s="15" t="s">
        <v>2336</v>
      </c>
      <c r="H2506" s="17"/>
      <c r="I2506" s="15"/>
      <c r="J2506" s="18"/>
      <c r="K2506" t="s">
        <v>32</v>
      </c>
      <c r="N2506" s="3">
        <f t="shared" si="322"/>
        <v>0</v>
      </c>
      <c r="O2506" s="3">
        <f t="shared" si="323"/>
        <v>0</v>
      </c>
      <c r="S2506" s="3" t="s">
        <v>204</v>
      </c>
      <c r="V2506" s="51">
        <v>0.29583333333333334</v>
      </c>
    </row>
    <row r="2507" spans="1:25" hidden="1">
      <c r="A2507" s="12">
        <v>24684594</v>
      </c>
      <c r="B2507" s="13">
        <v>46285</v>
      </c>
      <c r="C2507" s="14">
        <v>0.91693287037037041</v>
      </c>
      <c r="D2507" s="15"/>
      <c r="E2507" s="16">
        <v>5215562276351</v>
      </c>
      <c r="F2507" s="15"/>
      <c r="G2507" s="15" t="s">
        <v>2337</v>
      </c>
      <c r="H2507" s="17"/>
      <c r="I2507" s="15"/>
      <c r="J2507" s="18"/>
      <c r="K2507" t="s">
        <v>189</v>
      </c>
      <c r="N2507" s="3">
        <f t="shared" si="322"/>
        <v>0</v>
      </c>
      <c r="O2507" s="3">
        <f t="shared" si="323"/>
        <v>0</v>
      </c>
      <c r="S2507" s="3" t="s">
        <v>204</v>
      </c>
      <c r="V2507" s="51">
        <v>0.29583333333333334</v>
      </c>
    </row>
    <row r="2508" spans="1:25">
      <c r="A2508" s="12">
        <v>24684778</v>
      </c>
      <c r="B2508" s="13">
        <v>46285</v>
      </c>
      <c r="C2508" s="14">
        <v>0.92274305555555558</v>
      </c>
      <c r="D2508" s="15"/>
      <c r="E2508" s="16">
        <v>5216951084815</v>
      </c>
      <c r="F2508" s="15"/>
      <c r="G2508" s="15"/>
      <c r="H2508" s="17" t="s">
        <v>2338</v>
      </c>
      <c r="I2508" s="15"/>
      <c r="J2508" s="18"/>
      <c r="K2508" t="s">
        <v>54</v>
      </c>
      <c r="L2508" s="3">
        <v>7116.73</v>
      </c>
      <c r="N2508" s="3">
        <f t="shared" si="322"/>
        <v>2135.0189999999998</v>
      </c>
      <c r="O2508" s="3">
        <f t="shared" si="323"/>
        <v>2135.0189999999998</v>
      </c>
      <c r="S2508" s="3" t="s">
        <v>1808</v>
      </c>
      <c r="T2508" s="48">
        <v>46286</v>
      </c>
      <c r="V2508" s="51">
        <v>0.29583333333333334</v>
      </c>
      <c r="W2508" s="51">
        <v>0.50138888888888888</v>
      </c>
      <c r="X2508" s="51">
        <v>0.50416666666666665</v>
      </c>
      <c r="Y2508" s="51">
        <v>0.50763888888888886</v>
      </c>
    </row>
    <row r="2509" spans="1:25">
      <c r="A2509" s="12">
        <v>24684954</v>
      </c>
      <c r="B2509" s="13">
        <v>46285</v>
      </c>
      <c r="C2509" s="14">
        <v>0.94331018518518517</v>
      </c>
      <c r="D2509" s="15" t="s">
        <v>2339</v>
      </c>
      <c r="E2509" s="16">
        <v>5218110705600</v>
      </c>
      <c r="F2509" s="15"/>
      <c r="G2509" s="15" t="s">
        <v>2340</v>
      </c>
      <c r="H2509" s="17" t="s">
        <v>2341</v>
      </c>
      <c r="I2509" s="15"/>
      <c r="J2509" s="18"/>
      <c r="K2509" t="s">
        <v>34</v>
      </c>
      <c r="L2509" s="111">
        <v>31367.16</v>
      </c>
      <c r="M2509" s="111">
        <v>8698.7000000000007</v>
      </c>
      <c r="N2509" s="3">
        <f t="shared" si="322"/>
        <v>9410.1479999999992</v>
      </c>
      <c r="O2509" s="3">
        <f t="shared" si="323"/>
        <v>711.4479999999985</v>
      </c>
      <c r="P2509" s="6">
        <v>45748</v>
      </c>
      <c r="Q2509" t="s">
        <v>141</v>
      </c>
      <c r="R2509" s="111">
        <v>2410.66</v>
      </c>
      <c r="S2509" s="3" t="s">
        <v>35</v>
      </c>
      <c r="T2509" s="48">
        <v>46286</v>
      </c>
      <c r="V2509" s="51">
        <v>0.29583333333333334</v>
      </c>
      <c r="W2509" s="51">
        <v>0.50347222222222221</v>
      </c>
      <c r="X2509" s="51">
        <v>0.51111111111111107</v>
      </c>
      <c r="Y2509" s="51">
        <v>0.51458333333333328</v>
      </c>
    </row>
    <row r="2510" spans="1:25" hidden="1">
      <c r="A2510" s="12">
        <v>24684958</v>
      </c>
      <c r="B2510" s="13">
        <v>46285</v>
      </c>
      <c r="C2510" s="14">
        <v>0.94589120370370372</v>
      </c>
      <c r="D2510" s="15"/>
      <c r="E2510" s="16">
        <v>5212851154505</v>
      </c>
      <c r="F2510" s="15"/>
      <c r="G2510" s="15" t="s">
        <v>2342</v>
      </c>
      <c r="H2510" s="17"/>
      <c r="I2510" s="15"/>
      <c r="J2510" s="18"/>
      <c r="K2510" t="s">
        <v>32</v>
      </c>
      <c r="N2510" s="3">
        <f t="shared" si="322"/>
        <v>0</v>
      </c>
      <c r="O2510" s="3">
        <f t="shared" si="323"/>
        <v>0</v>
      </c>
      <c r="S2510" s="3" t="s">
        <v>204</v>
      </c>
      <c r="V2510" s="51">
        <v>0.29583333333333334</v>
      </c>
    </row>
    <row r="2511" spans="1:25" hidden="1">
      <c r="A2511" s="12">
        <v>24684986</v>
      </c>
      <c r="B2511" s="13">
        <v>46285</v>
      </c>
      <c r="C2511" s="14">
        <v>0.94988425925925923</v>
      </c>
      <c r="D2511" s="15" t="s">
        <v>2343</v>
      </c>
      <c r="E2511" s="16">
        <v>5213231208614</v>
      </c>
      <c r="F2511" s="15"/>
      <c r="G2511" s="15" t="s">
        <v>2344</v>
      </c>
      <c r="H2511" s="17"/>
      <c r="I2511" s="15"/>
      <c r="J2511" s="18"/>
      <c r="K2511" t="s">
        <v>32</v>
      </c>
      <c r="N2511" s="3">
        <f t="shared" si="322"/>
        <v>0</v>
      </c>
      <c r="O2511" s="3">
        <f t="shared" si="323"/>
        <v>0</v>
      </c>
      <c r="S2511" s="3" t="s">
        <v>204</v>
      </c>
      <c r="V2511" s="51">
        <v>0.29583333333333334</v>
      </c>
    </row>
    <row r="2512" spans="1:25" hidden="1">
      <c r="A2512" s="12">
        <v>24685250</v>
      </c>
      <c r="B2512" s="13">
        <v>46285</v>
      </c>
      <c r="C2512" s="14">
        <v>0.9603356481481482</v>
      </c>
      <c r="D2512" s="15"/>
      <c r="E2512" s="16">
        <v>5215534438674</v>
      </c>
      <c r="F2512" s="15"/>
      <c r="G2512" s="15"/>
      <c r="H2512" s="17" t="s">
        <v>2345</v>
      </c>
      <c r="I2512" s="15"/>
      <c r="J2512" s="18"/>
      <c r="K2512" t="s">
        <v>30</v>
      </c>
      <c r="L2512" s="111">
        <v>5856.19</v>
      </c>
      <c r="M2512" s="111">
        <v>1674.3</v>
      </c>
      <c r="N2512" s="3">
        <f t="shared" si="322"/>
        <v>1756.8569999999997</v>
      </c>
      <c r="O2512" s="3">
        <f t="shared" si="323"/>
        <v>8.9100000000000819</v>
      </c>
      <c r="P2512" s="6">
        <v>46661</v>
      </c>
      <c r="Q2512" t="s">
        <v>75</v>
      </c>
      <c r="R2512" s="3">
        <v>1211.03</v>
      </c>
      <c r="S2512" s="3" t="s">
        <v>204</v>
      </c>
      <c r="V2512" s="51">
        <v>0.29583333333333334</v>
      </c>
    </row>
    <row r="2513" spans="1:25" hidden="1">
      <c r="A2513" s="12">
        <v>24684996</v>
      </c>
      <c r="B2513" s="13">
        <v>46285</v>
      </c>
      <c r="C2513" s="14">
        <v>0.97025462962962961</v>
      </c>
      <c r="D2513" s="15"/>
      <c r="E2513" s="16">
        <v>5212462978252</v>
      </c>
      <c r="F2513" s="15"/>
      <c r="G2513" s="15" t="s">
        <v>2346</v>
      </c>
      <c r="H2513" s="17"/>
      <c r="I2513" s="15"/>
      <c r="J2513" s="18"/>
      <c r="K2513" t="s">
        <v>32</v>
      </c>
      <c r="N2513" s="3">
        <f t="shared" si="322"/>
        <v>0</v>
      </c>
      <c r="O2513" s="3">
        <f t="shared" si="323"/>
        <v>0</v>
      </c>
      <c r="S2513" s="3" t="s">
        <v>204</v>
      </c>
      <c r="V2513" s="51">
        <v>0.29583333333333334</v>
      </c>
    </row>
    <row r="2514" spans="1:25" hidden="1">
      <c r="A2514" s="12">
        <v>24685732</v>
      </c>
      <c r="B2514" s="13">
        <v>46286</v>
      </c>
      <c r="C2514" s="14">
        <v>5.3078703703703704E-2</v>
      </c>
      <c r="D2514" s="15"/>
      <c r="E2514" s="16">
        <v>5214341354854</v>
      </c>
      <c r="F2514" s="15"/>
      <c r="G2514" s="15" t="s">
        <v>2347</v>
      </c>
      <c r="H2514" s="17"/>
      <c r="I2514" s="15"/>
      <c r="J2514" s="18"/>
      <c r="K2514" t="s">
        <v>32</v>
      </c>
      <c r="N2514" s="3">
        <f t="shared" si="322"/>
        <v>0</v>
      </c>
      <c r="O2514" s="3">
        <f t="shared" si="323"/>
        <v>0</v>
      </c>
      <c r="S2514" s="3" t="s">
        <v>204</v>
      </c>
      <c r="V2514" s="51">
        <v>0.29583333333333334</v>
      </c>
    </row>
    <row r="2515" spans="1:25" hidden="1">
      <c r="A2515" s="12">
        <v>24688494</v>
      </c>
      <c r="B2515" s="13">
        <v>46286</v>
      </c>
      <c r="C2515" s="14">
        <v>0.24085648148148148</v>
      </c>
      <c r="D2515" s="15"/>
      <c r="E2515" s="16">
        <v>5218130380475</v>
      </c>
      <c r="F2515" s="15"/>
      <c r="G2515" s="15"/>
      <c r="H2515" s="17" t="s">
        <v>2348</v>
      </c>
      <c r="I2515" s="15"/>
      <c r="J2515" s="18"/>
      <c r="K2515" t="s">
        <v>30</v>
      </c>
      <c r="L2515" s="111">
        <v>7920.51</v>
      </c>
      <c r="M2515" s="111">
        <v>2287.39</v>
      </c>
      <c r="N2515" s="3">
        <f t="shared" si="322"/>
        <v>2376.1529999999998</v>
      </c>
      <c r="O2515" s="3">
        <f t="shared" si="323"/>
        <v>88.76299999999992</v>
      </c>
      <c r="P2515" s="6">
        <v>46661</v>
      </c>
      <c r="Q2515" t="s">
        <v>47</v>
      </c>
      <c r="R2515" s="3">
        <v>2095</v>
      </c>
      <c r="S2515" s="3" t="s">
        <v>204</v>
      </c>
      <c r="V2515" s="51">
        <v>0.29583333333333334</v>
      </c>
    </row>
    <row r="2516" spans="1:25" hidden="1">
      <c r="A2516" s="30">
        <v>24689854</v>
      </c>
      <c r="B2516" s="31">
        <v>46286</v>
      </c>
      <c r="C2516" s="32">
        <v>0.26645833333333335</v>
      </c>
      <c r="D2516" s="33"/>
      <c r="E2516" s="34">
        <v>5219991342836</v>
      </c>
      <c r="F2516" s="33"/>
      <c r="G2516" s="33"/>
      <c r="H2516" s="35" t="s">
        <v>2349</v>
      </c>
      <c r="I2516" s="33"/>
      <c r="J2516" s="36"/>
      <c r="K2516" t="s">
        <v>58</v>
      </c>
      <c r="L2516" s="3">
        <v>3956.44</v>
      </c>
      <c r="N2516" s="3">
        <f t="shared" si="322"/>
        <v>1186.932</v>
      </c>
      <c r="O2516" s="3">
        <f t="shared" si="323"/>
        <v>0</v>
      </c>
      <c r="S2516" s="3" t="s">
        <v>204</v>
      </c>
      <c r="V2516" s="51">
        <v>0.29583333333333334</v>
      </c>
    </row>
    <row r="2517" spans="1:25" hidden="1">
      <c r="A2517" s="12">
        <v>24691412</v>
      </c>
      <c r="B2517" s="13">
        <v>46286</v>
      </c>
      <c r="C2517" s="14">
        <v>0.31399305555555557</v>
      </c>
      <c r="D2517" s="15"/>
      <c r="E2517" s="16">
        <v>5218682642840</v>
      </c>
      <c r="F2517" s="15"/>
      <c r="G2517" s="15" t="s">
        <v>2350</v>
      </c>
      <c r="H2517" s="17"/>
      <c r="I2517" s="15"/>
      <c r="J2517" s="18"/>
      <c r="K2517" t="s">
        <v>30</v>
      </c>
      <c r="L2517" s="111">
        <v>7920.51</v>
      </c>
      <c r="M2517" s="111">
        <v>2291.59</v>
      </c>
      <c r="N2517" s="3">
        <f>L2517*0.3</f>
        <v>2376.1529999999998</v>
      </c>
      <c r="O2517" s="3">
        <f>(IF(L2517&lt;4172.98,0,MIN(L2517*0.3,L2517-4172.98)))-M2517</f>
        <v>84.562999999999647</v>
      </c>
      <c r="P2517" s="6">
        <v>46508</v>
      </c>
      <c r="Q2517" t="s">
        <v>75</v>
      </c>
      <c r="R2517" s="111">
        <v>2291.59</v>
      </c>
      <c r="S2517" s="3" t="s">
        <v>204</v>
      </c>
      <c r="V2517" s="51">
        <v>0.375</v>
      </c>
    </row>
    <row r="2518" spans="1:25">
      <c r="A2518" s="12">
        <v>24691494</v>
      </c>
      <c r="B2518" s="13">
        <v>46286</v>
      </c>
      <c r="C2518" s="14">
        <v>0.31465277777777778</v>
      </c>
      <c r="D2518" s="15"/>
      <c r="E2518" s="16">
        <v>5213325798017</v>
      </c>
      <c r="F2518" s="15"/>
      <c r="G2518" s="15"/>
      <c r="H2518" s="17" t="s">
        <v>2351</v>
      </c>
      <c r="I2518" s="15"/>
      <c r="J2518" s="18"/>
      <c r="K2518" t="s">
        <v>54</v>
      </c>
      <c r="L2518" s="3">
        <f>136151.68-114766.6</f>
        <v>21385.079999999987</v>
      </c>
      <c r="N2518" s="3">
        <f>L2518*0.3</f>
        <v>6415.5239999999958</v>
      </c>
      <c r="O2518" s="3">
        <f>(IF(L2518&lt;4172.98,0,MIN(L2518*0.3,L2518-4172.98)))-M2518</f>
        <v>6415.5239999999958</v>
      </c>
      <c r="S2518" s="3" t="s">
        <v>62</v>
      </c>
      <c r="T2518" s="48">
        <v>46286</v>
      </c>
      <c r="V2518" s="51">
        <v>0.375</v>
      </c>
      <c r="W2518" s="51">
        <v>0.49305555555555558</v>
      </c>
      <c r="X2518" s="51">
        <v>0.49513888888888891</v>
      </c>
      <c r="Y2518" s="51">
        <v>0.49722222222222223</v>
      </c>
    </row>
    <row r="2519" spans="1:25" hidden="1">
      <c r="A2519" s="12">
        <v>24691286</v>
      </c>
      <c r="B2519" s="13">
        <v>46286</v>
      </c>
      <c r="C2519" s="14">
        <v>0.32210648148148147</v>
      </c>
      <c r="D2519" s="15" t="s">
        <v>2352</v>
      </c>
      <c r="E2519" s="16">
        <v>5212292234931</v>
      </c>
      <c r="F2519" s="15"/>
      <c r="G2519" s="15" t="s">
        <v>2353</v>
      </c>
      <c r="H2519" s="17"/>
      <c r="I2519" s="15"/>
      <c r="J2519" s="18"/>
      <c r="K2519" t="s">
        <v>32</v>
      </c>
      <c r="N2519" s="3">
        <f>L2519*0.3</f>
        <v>0</v>
      </c>
      <c r="O2519" s="3">
        <f>(IF(L2519&lt;4172.98,0,MIN(L2519*0.3,L2519-4172.98)))-M2519</f>
        <v>0</v>
      </c>
      <c r="S2519" s="3" t="s">
        <v>204</v>
      </c>
      <c r="V2519" s="51">
        <v>0.375</v>
      </c>
    </row>
    <row r="2520" spans="1:25" hidden="1">
      <c r="A2520" s="12">
        <v>24691578</v>
      </c>
      <c r="B2520" s="13">
        <v>46286</v>
      </c>
      <c r="C2520" s="14">
        <v>0.32890046296296294</v>
      </c>
      <c r="D2520" s="15"/>
      <c r="E2520" s="16">
        <v>5214461241991</v>
      </c>
      <c r="F2520" s="15"/>
      <c r="G2520" s="15" t="s">
        <v>2354</v>
      </c>
      <c r="H2520" s="17"/>
      <c r="I2520" s="15"/>
      <c r="J2520" s="18"/>
      <c r="K2520" t="s">
        <v>32</v>
      </c>
      <c r="N2520" s="3">
        <f>L2520*0.3</f>
        <v>0</v>
      </c>
      <c r="O2520" s="3">
        <f>(IF(L2520&lt;4172.98,0,MIN(L2520*0.3,L2520-4172.98)))-M2520</f>
        <v>0</v>
      </c>
      <c r="S2520" s="3" t="s">
        <v>204</v>
      </c>
      <c r="V2520" s="51">
        <v>0.375</v>
      </c>
    </row>
    <row r="2521" spans="1:25" hidden="1">
      <c r="A2521" s="12">
        <v>24692250</v>
      </c>
      <c r="B2521" s="13">
        <v>46286</v>
      </c>
      <c r="C2521" s="14">
        <v>0.33908564814814812</v>
      </c>
      <c r="D2521" s="15"/>
      <c r="E2521" s="16">
        <v>5212281547406</v>
      </c>
      <c r="F2521" s="15"/>
      <c r="G2521" s="15" t="s">
        <v>2355</v>
      </c>
      <c r="H2521" s="17"/>
      <c r="I2521" s="15"/>
      <c r="J2521" s="18"/>
      <c r="K2521" t="s">
        <v>32</v>
      </c>
      <c r="N2521" s="3">
        <f>L2521*0.3</f>
        <v>0</v>
      </c>
      <c r="O2521" s="3">
        <f>(IF(L2521&lt;4172.98,0,MIN(L2521*0.3,L2521-4172.98)))-M2521</f>
        <v>0</v>
      </c>
      <c r="S2521" s="3" t="s">
        <v>204</v>
      </c>
      <c r="V2521" s="51">
        <v>0.375</v>
      </c>
    </row>
    <row r="2522" spans="1:25" hidden="1">
      <c r="A2522" s="12">
        <v>24692238</v>
      </c>
      <c r="B2522" s="13">
        <v>46286</v>
      </c>
      <c r="C2522" s="14">
        <v>0.34493055555555557</v>
      </c>
      <c r="D2522" s="15"/>
      <c r="E2522" s="16">
        <v>5215520318036</v>
      </c>
      <c r="F2522" s="15"/>
      <c r="G2522" s="15"/>
      <c r="H2522" s="17" t="s">
        <v>2356</v>
      </c>
      <c r="I2522" s="15"/>
      <c r="J2522" s="18"/>
      <c r="K2522" t="s">
        <v>30</v>
      </c>
      <c r="L2522" s="111">
        <v>9760.32</v>
      </c>
      <c r="M2522" s="111">
        <v>2928.1</v>
      </c>
      <c r="N2522" s="3">
        <f>L2522*0.3</f>
        <v>2928.096</v>
      </c>
      <c r="O2522" s="3">
        <f>(IF(L2522&lt;4172.98,0,MIN(L2522*0.3,L2522-4172.98)))-M2522</f>
        <v>-3.9999999999054126E-3</v>
      </c>
      <c r="P2522" s="6">
        <v>46966</v>
      </c>
      <c r="Q2522" t="s">
        <v>44</v>
      </c>
      <c r="R2522" s="3">
        <v>2928.1</v>
      </c>
      <c r="S2522" s="3" t="s">
        <v>204</v>
      </c>
      <c r="V2522" s="51">
        <v>0.375</v>
      </c>
    </row>
    <row r="2523" spans="1:25">
      <c r="A2523" s="12">
        <v>24693322</v>
      </c>
      <c r="B2523" s="13">
        <v>46286</v>
      </c>
      <c r="C2523" s="14">
        <v>0.36364583333333333</v>
      </c>
      <c r="D2523" s="15" t="s">
        <v>2357</v>
      </c>
      <c r="E2523" s="16">
        <v>5218131364002</v>
      </c>
      <c r="F2523" s="15"/>
      <c r="G2523" s="15" t="s">
        <v>2358</v>
      </c>
      <c r="H2523" s="17">
        <v>47947865557</v>
      </c>
      <c r="I2523" s="15"/>
      <c r="J2523" s="18"/>
      <c r="K2523" t="s">
        <v>27</v>
      </c>
      <c r="L2523" s="111">
        <v>12345.26</v>
      </c>
      <c r="M2523" s="111">
        <v>4703.5600000000004</v>
      </c>
      <c r="N2523" s="3">
        <f t="shared" ref="N2523:N2525" si="324">L2523*0.3</f>
        <v>3703.578</v>
      </c>
      <c r="O2523" s="3">
        <f t="shared" ref="O2523:O2525" si="325">(IF(L2523&lt;4172.98,0,MIN(L2523*0.3,L2523-4172.98)))-M2523</f>
        <v>-999.98200000000043</v>
      </c>
      <c r="P2523" s="6">
        <v>46054</v>
      </c>
      <c r="Q2523" t="s">
        <v>2359</v>
      </c>
      <c r="R2523" s="111">
        <v>4703.5600000000004</v>
      </c>
      <c r="S2523" s="3" t="s">
        <v>90</v>
      </c>
      <c r="T2523" s="48">
        <v>46286</v>
      </c>
      <c r="V2523" s="51">
        <v>0.375</v>
      </c>
      <c r="W2523" s="51">
        <v>0.54097222222222219</v>
      </c>
      <c r="X2523" s="51">
        <v>0.54722222222222228</v>
      </c>
      <c r="Y2523" s="51">
        <v>0.55069444444444449</v>
      </c>
    </row>
    <row r="2524" spans="1:25" hidden="1">
      <c r="A2524" s="12">
        <v>24693188</v>
      </c>
      <c r="B2524" s="13">
        <v>46286</v>
      </c>
      <c r="C2524" s="14">
        <v>0.36549768518518516</v>
      </c>
      <c r="D2524" s="15"/>
      <c r="E2524" s="16">
        <v>5215530086653</v>
      </c>
      <c r="F2524" s="15"/>
      <c r="G2524" s="15" t="s">
        <v>2360</v>
      </c>
      <c r="H2524" s="17"/>
      <c r="I2524" s="15"/>
      <c r="J2524" s="18"/>
      <c r="K2524" t="s">
        <v>30</v>
      </c>
      <c r="L2524" s="111">
        <v>9081.52</v>
      </c>
      <c r="M2524" s="111">
        <v>2722.83</v>
      </c>
      <c r="N2524" s="3">
        <f t="shared" si="324"/>
        <v>2724.4560000000001</v>
      </c>
      <c r="O2524" s="3">
        <f t="shared" si="325"/>
        <v>1.6260000000002037</v>
      </c>
      <c r="P2524" s="6">
        <v>46997</v>
      </c>
      <c r="Q2524" t="s">
        <v>73</v>
      </c>
      <c r="R2524" s="111">
        <v>2722.83</v>
      </c>
      <c r="S2524" s="3" t="s">
        <v>204</v>
      </c>
      <c r="V2524" s="51">
        <v>0.375</v>
      </c>
    </row>
    <row r="2525" spans="1:25">
      <c r="A2525" s="30">
        <v>24685378</v>
      </c>
      <c r="B2525" s="31">
        <v>46286</v>
      </c>
      <c r="C2525" s="32">
        <v>0.36827546296296299</v>
      </c>
      <c r="D2525" s="33"/>
      <c r="E2525" s="34">
        <v>5216258374503</v>
      </c>
      <c r="F2525" s="33"/>
      <c r="G2525" s="33"/>
      <c r="H2525" s="35">
        <v>49806163793</v>
      </c>
      <c r="I2525" s="33"/>
      <c r="J2525" s="36"/>
      <c r="K2525" t="s">
        <v>34</v>
      </c>
      <c r="L2525" s="111">
        <v>50986.8</v>
      </c>
      <c r="M2525" s="111">
        <v>15294.83</v>
      </c>
      <c r="N2525" s="3">
        <f t="shared" si="324"/>
        <v>15296.04</v>
      </c>
      <c r="O2525" s="3">
        <f t="shared" si="325"/>
        <v>1.2100000000009459</v>
      </c>
      <c r="P2525" s="6">
        <v>46174</v>
      </c>
      <c r="Q2525" t="s">
        <v>141</v>
      </c>
      <c r="R2525" s="3">
        <v>713</v>
      </c>
      <c r="S2525" s="3" t="s">
        <v>35</v>
      </c>
      <c r="T2525" s="48">
        <v>46286</v>
      </c>
      <c r="V2525" s="51">
        <v>0.375</v>
      </c>
      <c r="W2525" s="51">
        <v>0.54166666666666663</v>
      </c>
      <c r="X2525" s="51">
        <v>0.54236111111111107</v>
      </c>
      <c r="Y2525" s="51">
        <v>0.54374999999999996</v>
      </c>
    </row>
    <row r="2526" spans="1:25" hidden="1">
      <c r="A2526" s="12">
        <v>24695066</v>
      </c>
      <c r="B2526" s="13">
        <v>46286</v>
      </c>
      <c r="C2526" s="14">
        <v>0.40980324074074076</v>
      </c>
      <c r="D2526" s="15"/>
      <c r="E2526" s="16">
        <v>5218448306954</v>
      </c>
      <c r="F2526" s="15"/>
      <c r="G2526" s="15"/>
      <c r="H2526" s="17">
        <v>32078910091</v>
      </c>
      <c r="I2526" s="15"/>
      <c r="J2526" s="18"/>
      <c r="K2526" t="s">
        <v>51</v>
      </c>
      <c r="N2526" s="3">
        <f t="shared" ref="N2526:N2528" si="326">L2526*0.3</f>
        <v>0</v>
      </c>
      <c r="O2526" s="3">
        <f t="shared" ref="O2526:O2528" si="327">(IF(L2526&lt;4172.98,0,MIN(L2526*0.3,L2526-4172.98)))-M2526</f>
        <v>0</v>
      </c>
      <c r="S2526" s="3" t="s">
        <v>204</v>
      </c>
      <c r="V2526" s="51">
        <v>0.4152777777777778</v>
      </c>
    </row>
    <row r="2527" spans="1:25">
      <c r="A2527" s="12">
        <v>24695022</v>
      </c>
      <c r="B2527" s="13">
        <v>46286</v>
      </c>
      <c r="C2527" s="14">
        <v>0.41410879629629632</v>
      </c>
      <c r="D2527" s="15"/>
      <c r="E2527" s="16">
        <v>5215624747475</v>
      </c>
      <c r="F2527" s="15"/>
      <c r="G2527" s="15"/>
      <c r="H2527" s="17" t="s">
        <v>2361</v>
      </c>
      <c r="I2527" s="15"/>
      <c r="J2527" s="18"/>
      <c r="K2527" t="s">
        <v>54</v>
      </c>
      <c r="L2527" s="3">
        <v>7116.73</v>
      </c>
      <c r="N2527" s="3">
        <f t="shared" si="326"/>
        <v>2135.0189999999998</v>
      </c>
      <c r="O2527" s="3">
        <f t="shared" si="327"/>
        <v>2135.0189999999998</v>
      </c>
      <c r="S2527" s="3" t="s">
        <v>327</v>
      </c>
      <c r="T2527" s="48">
        <v>46286</v>
      </c>
      <c r="V2527" s="51">
        <v>0.4152777777777778</v>
      </c>
      <c r="W2527" s="51">
        <v>0.55277777777777781</v>
      </c>
      <c r="X2527" s="51">
        <v>0.55763888888888891</v>
      </c>
      <c r="Y2527" s="51">
        <v>0.57222222222222219</v>
      </c>
    </row>
    <row r="2528" spans="1:25" hidden="1">
      <c r="A2528" s="30">
        <v>24695160</v>
      </c>
      <c r="B2528" s="31">
        <v>46286</v>
      </c>
      <c r="C2528" s="32">
        <v>0.4150462962962963</v>
      </c>
      <c r="D2528" s="33"/>
      <c r="E2528" s="34">
        <v>5216871105519</v>
      </c>
      <c r="F2528" s="33"/>
      <c r="G2528" s="201" t="s">
        <v>2362</v>
      </c>
      <c r="H2528" s="35" t="s">
        <v>2363</v>
      </c>
      <c r="I2528" s="33"/>
      <c r="J2528" s="36"/>
      <c r="K2528" t="s">
        <v>58</v>
      </c>
      <c r="L2528" s="3">
        <v>4458.1000000000004</v>
      </c>
      <c r="N2528" s="3">
        <f t="shared" si="326"/>
        <v>1337.43</v>
      </c>
      <c r="O2528" s="3">
        <f t="shared" si="327"/>
        <v>285.1200000000008</v>
      </c>
      <c r="S2528" s="3" t="s">
        <v>204</v>
      </c>
      <c r="V2528" s="51">
        <v>0.4152777777777778</v>
      </c>
    </row>
    <row r="2529" spans="1:25" hidden="1">
      <c r="A2529" s="30">
        <v>24695208</v>
      </c>
      <c r="B2529" s="31">
        <v>46286</v>
      </c>
      <c r="C2529" s="32">
        <v>0.42122685185185182</v>
      </c>
      <c r="D2529" s="33" t="s">
        <v>2364</v>
      </c>
      <c r="E2529" s="34">
        <v>5216291520631</v>
      </c>
      <c r="F2529" s="33"/>
      <c r="G2529" s="33" t="s">
        <v>2365</v>
      </c>
      <c r="H2529" s="35" t="s">
        <v>2366</v>
      </c>
      <c r="I2529" s="33"/>
      <c r="J2529" s="36"/>
      <c r="K2529" t="s">
        <v>30</v>
      </c>
      <c r="L2529" s="111">
        <v>7116.73</v>
      </c>
      <c r="M2529" s="111">
        <v>2058.33</v>
      </c>
      <c r="N2529" s="3">
        <f>L2529*0.3</f>
        <v>2135.0189999999998</v>
      </c>
      <c r="O2529" s="3">
        <f>(IF(L2529&lt;4172.98,0,MIN(L2529*0.3,L2529-4172.98)))-M2529</f>
        <v>76.688999999999851</v>
      </c>
      <c r="P2529" s="6">
        <v>46539</v>
      </c>
      <c r="Q2529" t="s">
        <v>141</v>
      </c>
      <c r="R2529" s="111">
        <v>2058.33</v>
      </c>
      <c r="S2529" s="3" t="s">
        <v>204</v>
      </c>
      <c r="V2529" s="51">
        <v>0.42152777777777778</v>
      </c>
    </row>
    <row r="2530" spans="1:25">
      <c r="A2530" s="30">
        <v>24695764</v>
      </c>
      <c r="B2530" s="31">
        <v>46286</v>
      </c>
      <c r="C2530" s="32">
        <v>0.4268865740740741</v>
      </c>
      <c r="D2530" s="33"/>
      <c r="E2530" s="34">
        <v>5213338434145</v>
      </c>
      <c r="F2530" s="33"/>
      <c r="G2530" s="33"/>
      <c r="H2530" s="35">
        <v>23745517492</v>
      </c>
      <c r="I2530" s="33"/>
      <c r="J2530" s="36"/>
      <c r="K2530" t="s">
        <v>38</v>
      </c>
      <c r="L2530" s="3">
        <f>5557.06+848</f>
        <v>6405.06</v>
      </c>
      <c r="M2530" s="3">
        <v>848</v>
      </c>
      <c r="N2530" s="3">
        <f>L2530*0.3</f>
        <v>1921.518</v>
      </c>
      <c r="O2530" s="3">
        <f>(IF(L2530&lt;4172.98,0,MIN(L2530*0.3,L2530-4172.98)))-M2530</f>
        <v>1073.518</v>
      </c>
      <c r="S2530" s="3" t="s">
        <v>39</v>
      </c>
      <c r="T2530" s="48">
        <v>46286</v>
      </c>
      <c r="V2530" s="51">
        <v>0.42708333333333331</v>
      </c>
      <c r="W2530" s="51">
        <v>0.54166666666666663</v>
      </c>
      <c r="X2530" s="51">
        <v>0.5493055555555556</v>
      </c>
      <c r="Y2530" s="51">
        <v>0.55069444444444449</v>
      </c>
    </row>
    <row r="2531" spans="1:25" hidden="1">
      <c r="A2531" s="30">
        <v>24695800</v>
      </c>
      <c r="B2531" s="31">
        <v>46286</v>
      </c>
      <c r="C2531" s="32">
        <v>0.42913194444444447</v>
      </c>
      <c r="D2531" s="33"/>
      <c r="E2531" s="34">
        <v>5215517552223</v>
      </c>
      <c r="F2531" s="33"/>
      <c r="G2531" s="33" t="s">
        <v>2367</v>
      </c>
      <c r="H2531" s="35"/>
      <c r="I2531" s="33"/>
      <c r="J2531" s="36"/>
      <c r="K2531" t="s">
        <v>32</v>
      </c>
      <c r="N2531" s="3">
        <f>L2531*0.3</f>
        <v>0</v>
      </c>
      <c r="O2531" s="3">
        <f>(IF(L2531&lt;4172.98,0,MIN(L2531*0.3,L2531-4172.98)))-M2531</f>
        <v>0</v>
      </c>
      <c r="S2531" s="3" t="s">
        <v>204</v>
      </c>
      <c r="V2531" s="51">
        <v>0.42916666666666664</v>
      </c>
    </row>
    <row r="2532" spans="1:25" hidden="1">
      <c r="A2532" s="12">
        <v>24695946</v>
      </c>
      <c r="B2532" s="13">
        <v>46286</v>
      </c>
      <c r="C2532" s="14">
        <v>0.43434027777777778</v>
      </c>
      <c r="D2532" s="15"/>
      <c r="E2532" s="16">
        <v>5213351457961</v>
      </c>
      <c r="F2532" s="15"/>
      <c r="G2532" s="15" t="s">
        <v>2368</v>
      </c>
      <c r="H2532" s="17"/>
      <c r="I2532" s="15"/>
      <c r="J2532" s="18"/>
      <c r="K2532" t="s">
        <v>32</v>
      </c>
      <c r="N2532" s="3">
        <f>L2532*0.3</f>
        <v>0</v>
      </c>
      <c r="O2532" s="3">
        <f>(IF(L2532&lt;4172.98,0,MIN(L2532*0.3,L2532-4172.98)))-M2532</f>
        <v>0</v>
      </c>
      <c r="S2532" s="3" t="s">
        <v>204</v>
      </c>
      <c r="V2532" s="51">
        <v>0.44444444444444442</v>
      </c>
    </row>
    <row r="2533" spans="1:25" hidden="1">
      <c r="A2533" s="12">
        <v>24696170</v>
      </c>
      <c r="B2533" s="13">
        <v>46286</v>
      </c>
      <c r="C2533" s="14">
        <v>0.43782407407407409</v>
      </c>
      <c r="D2533" s="15"/>
      <c r="E2533" s="16">
        <v>5217971255966</v>
      </c>
      <c r="F2533" s="15"/>
      <c r="G2533" s="15" t="s">
        <v>2369</v>
      </c>
      <c r="H2533" s="17"/>
      <c r="I2533" s="15"/>
      <c r="J2533" s="18"/>
      <c r="K2533" t="s">
        <v>32</v>
      </c>
      <c r="N2533" s="3">
        <f>L2533*0.3</f>
        <v>0</v>
      </c>
      <c r="O2533" s="3">
        <f>(IF(L2533&lt;4172.98,0,MIN(L2533*0.3,L2533-4172.98)))-M2533</f>
        <v>0</v>
      </c>
      <c r="S2533" s="3" t="s">
        <v>204</v>
      </c>
      <c r="V2533" s="51">
        <v>0.44444444444444442</v>
      </c>
    </row>
    <row r="2534" spans="1:25" hidden="1">
      <c r="A2534" s="30">
        <v>24696110</v>
      </c>
      <c r="B2534" s="31">
        <v>46286</v>
      </c>
      <c r="C2534" s="32">
        <v>0.44181712962962966</v>
      </c>
      <c r="D2534" s="33"/>
      <c r="E2534" s="34">
        <v>5212216586571</v>
      </c>
      <c r="F2534" s="33"/>
      <c r="G2534" s="33" t="s">
        <v>2370</v>
      </c>
      <c r="H2534" s="35"/>
      <c r="I2534" s="33"/>
      <c r="J2534" s="36"/>
      <c r="K2534" t="s">
        <v>32</v>
      </c>
      <c r="N2534" s="3">
        <f>L2534*0.3</f>
        <v>0</v>
      </c>
      <c r="O2534" s="3">
        <f>(IF(L2534&lt;4172.98,0,MIN(L2534*0.3,L2534-4172.98)))-M2534</f>
        <v>0</v>
      </c>
      <c r="S2534" s="3" t="s">
        <v>204</v>
      </c>
      <c r="V2534" s="51">
        <v>0.44444444444444442</v>
      </c>
    </row>
    <row r="2535" spans="1:25" hidden="1">
      <c r="A2535" s="30">
        <v>24698440</v>
      </c>
      <c r="B2535" s="31">
        <v>46286</v>
      </c>
      <c r="C2535" s="32">
        <v>0.46060185185185187</v>
      </c>
      <c r="D2535" s="33"/>
      <c r="E2535" s="34">
        <v>5216141151363</v>
      </c>
      <c r="F2535" s="33"/>
      <c r="G2535" s="33" t="s">
        <v>2371</v>
      </c>
      <c r="H2535" s="35">
        <v>35856603739</v>
      </c>
      <c r="I2535" s="33"/>
      <c r="J2535" s="36"/>
      <c r="K2535" t="s">
        <v>189</v>
      </c>
      <c r="N2535" s="3">
        <f>L2535*0.3</f>
        <v>0</v>
      </c>
      <c r="O2535" s="3">
        <f>(IF(L2535&lt;4172.98,0,MIN(L2535*0.3,L2535-4172.98)))-M2535</f>
        <v>0</v>
      </c>
      <c r="S2535" s="3" t="s">
        <v>204</v>
      </c>
      <c r="V2535" s="51">
        <v>0.46041666666666664</v>
      </c>
    </row>
    <row r="2536" spans="1:25">
      <c r="A2536" s="30">
        <v>24698676</v>
      </c>
      <c r="B2536" s="31">
        <v>46286</v>
      </c>
      <c r="C2536" s="32">
        <v>0.46979166666666666</v>
      </c>
      <c r="D2536" s="33"/>
      <c r="E2536" s="34">
        <v>5215517549810</v>
      </c>
      <c r="F2536" s="33"/>
      <c r="G2536" s="33"/>
      <c r="H2536" s="35" t="s">
        <v>2372</v>
      </c>
      <c r="I2536" s="33"/>
      <c r="J2536" s="36"/>
      <c r="K2536" t="s">
        <v>54</v>
      </c>
      <c r="L2536" s="3">
        <v>9760.32</v>
      </c>
      <c r="N2536" s="3">
        <f>L2536*0.3</f>
        <v>2928.096</v>
      </c>
      <c r="O2536" s="3">
        <f>(IF(L2536&lt;4172.98,0,MIN(L2536*0.3,L2536-4172.98)))-M2536</f>
        <v>2928.096</v>
      </c>
      <c r="S2536" s="3" t="s">
        <v>55</v>
      </c>
      <c r="T2536" s="48">
        <v>46286</v>
      </c>
      <c r="V2536" s="51">
        <v>0.47013888888888888</v>
      </c>
      <c r="W2536" s="51">
        <v>0.54027777777777775</v>
      </c>
      <c r="X2536" s="51">
        <v>0.54374999999999996</v>
      </c>
      <c r="Y2536" s="51">
        <v>0.54513888888888884</v>
      </c>
    </row>
    <row r="2537" spans="1:25" hidden="1">
      <c r="A2537" s="30">
        <v>24698686</v>
      </c>
      <c r="B2537" s="31">
        <v>46286</v>
      </c>
      <c r="C2537" s="32">
        <v>0.47854166666666664</v>
      </c>
      <c r="D2537" s="33"/>
      <c r="E2537" s="34">
        <v>5218341382069</v>
      </c>
      <c r="F2537" s="33"/>
      <c r="G2537" s="33"/>
      <c r="H2537" s="35" t="s">
        <v>2373</v>
      </c>
      <c r="I2537" s="33"/>
      <c r="J2537" s="36"/>
      <c r="K2537" t="s">
        <v>32</v>
      </c>
      <c r="N2537" s="3">
        <f>L2537*0.3</f>
        <v>0</v>
      </c>
      <c r="O2537" s="3">
        <f>(IF(L2537&lt;4172.98,0,MIN(L2537*0.3,L2537-4172.98)))-M2537</f>
        <v>0</v>
      </c>
      <c r="S2537" s="3" t="s">
        <v>204</v>
      </c>
      <c r="V2537" s="51">
        <v>0.47847222222222224</v>
      </c>
    </row>
    <row r="2538" spans="1:25" hidden="1">
      <c r="A2538" s="12">
        <v>24699118</v>
      </c>
      <c r="B2538" s="13">
        <v>46286</v>
      </c>
      <c r="C2538" s="14">
        <v>0.48106481481481483</v>
      </c>
      <c r="D2538" s="15"/>
      <c r="E2538" s="16">
        <v>5219381418664</v>
      </c>
      <c r="F2538" s="15"/>
      <c r="G2538" s="15" t="s">
        <v>2374</v>
      </c>
      <c r="H2538" s="17"/>
      <c r="I2538" s="15"/>
      <c r="J2538" s="18"/>
      <c r="K2538" t="s">
        <v>30</v>
      </c>
      <c r="L2538" s="111">
        <v>8206.8799999999992</v>
      </c>
      <c r="M2538" s="111">
        <v>2461.2199999999998</v>
      </c>
      <c r="N2538" s="3">
        <f>L2538*0.3</f>
        <v>2462.0639999999999</v>
      </c>
      <c r="O2538" s="3">
        <f>(IF(L2538&lt;4172.98,0,MIN(L2538*0.3,L2538-4172.98)))-M2538</f>
        <v>0.84400000000005093</v>
      </c>
      <c r="P2538" s="6">
        <v>46447</v>
      </c>
      <c r="Q2538" t="s">
        <v>80</v>
      </c>
      <c r="R2538" s="3">
        <v>1198.1300000000001</v>
      </c>
      <c r="S2538" s="3" t="s">
        <v>204</v>
      </c>
      <c r="V2538" s="51">
        <v>0.48194444444444445</v>
      </c>
    </row>
    <row r="2539" spans="1:25">
      <c r="A2539" s="30">
        <v>24699030</v>
      </c>
      <c r="B2539" s="31">
        <v>46286</v>
      </c>
      <c r="C2539" s="32">
        <v>0.48119212962962965</v>
      </c>
      <c r="D2539" s="33"/>
      <c r="E2539" s="34">
        <v>5212292452872</v>
      </c>
      <c r="F2539" s="33"/>
      <c r="G2539" s="33" t="s">
        <v>2375</v>
      </c>
      <c r="H2539" s="35"/>
      <c r="I2539" s="33"/>
      <c r="J2539" s="36"/>
      <c r="K2539" t="s">
        <v>54</v>
      </c>
      <c r="L2539" s="3">
        <v>10636.54</v>
      </c>
      <c r="N2539" s="3">
        <f>L2539*0.3</f>
        <v>3190.962</v>
      </c>
      <c r="O2539" s="3">
        <f>(IF(L2539&lt;4172.98,0,MIN(L2539*0.3,L2539-4172.98)))-M2539</f>
        <v>3190.962</v>
      </c>
      <c r="S2539" s="3" t="s">
        <v>879</v>
      </c>
      <c r="T2539" s="48">
        <v>46286</v>
      </c>
      <c r="V2539" s="51">
        <v>0.48194444444444445</v>
      </c>
      <c r="W2539" s="51">
        <v>0.5708333333333333</v>
      </c>
      <c r="X2539" s="51">
        <v>0.57222222222222219</v>
      </c>
      <c r="Y2539" s="51">
        <v>0.57291666666666663</v>
      </c>
    </row>
    <row r="2540" spans="1:25" hidden="1">
      <c r="A2540" s="30">
        <v>24699350</v>
      </c>
      <c r="B2540" s="31">
        <v>46286</v>
      </c>
      <c r="C2540" s="32">
        <v>0.48875000000000002</v>
      </c>
      <c r="D2540" s="33"/>
      <c r="E2540" s="34">
        <v>5218641009889</v>
      </c>
      <c r="F2540" s="33"/>
      <c r="G2540" s="33"/>
      <c r="H2540" s="35">
        <v>32846105107</v>
      </c>
      <c r="I2540" s="33"/>
      <c r="J2540" s="36"/>
      <c r="K2540" t="s">
        <v>30</v>
      </c>
      <c r="L2540" s="111">
        <v>6262.86</v>
      </c>
      <c r="M2540" s="111">
        <v>1789.29</v>
      </c>
      <c r="N2540" s="3">
        <f>L2540*0.3</f>
        <v>1878.8579999999997</v>
      </c>
      <c r="O2540" s="3">
        <f>(IF(L2540&lt;4172.98,0,MIN(L2540*0.3,L2540-4172.98)))-M2540</f>
        <v>89.567999999999756</v>
      </c>
      <c r="P2540" s="6">
        <v>46600</v>
      </c>
      <c r="Q2540" t="s">
        <v>75</v>
      </c>
      <c r="R2540" s="3">
        <v>1637.91</v>
      </c>
      <c r="S2540" s="3" t="s">
        <v>204</v>
      </c>
      <c r="V2540" s="51">
        <v>0.48888888888888887</v>
      </c>
    </row>
    <row r="2541" spans="1:25" hidden="1">
      <c r="A2541" s="30">
        <v>24698866</v>
      </c>
      <c r="B2541" s="31">
        <v>46286</v>
      </c>
      <c r="C2541" s="32">
        <v>0.48975694444444445</v>
      </c>
      <c r="D2541" s="33"/>
      <c r="E2541" s="34">
        <v>5219931340818</v>
      </c>
      <c r="F2541" s="33"/>
      <c r="G2541" s="33" t="s">
        <v>2376</v>
      </c>
      <c r="H2541" s="35"/>
      <c r="I2541" s="33"/>
      <c r="J2541" s="36"/>
      <c r="K2541" t="s">
        <v>32</v>
      </c>
      <c r="N2541" s="3">
        <f>L2541*0.3</f>
        <v>0</v>
      </c>
      <c r="O2541" s="3">
        <f>(IF(L2541&lt;4172.98,0,MIN(L2541*0.3,L2541-4172.98)))-M2541</f>
        <v>0</v>
      </c>
      <c r="S2541" s="3" t="s">
        <v>204</v>
      </c>
      <c r="V2541" s="51">
        <v>0.49305555555555558</v>
      </c>
    </row>
    <row r="2542" spans="1:25">
      <c r="A2542" s="30">
        <v>24698950</v>
      </c>
      <c r="B2542" s="31">
        <v>46286</v>
      </c>
      <c r="C2542" s="32">
        <v>0.49225694444444446</v>
      </c>
      <c r="D2542" s="33" t="s">
        <v>1308</v>
      </c>
      <c r="E2542" s="34">
        <v>5217531194601</v>
      </c>
      <c r="F2542" s="33"/>
      <c r="G2542" s="33" t="s">
        <v>2377</v>
      </c>
      <c r="H2542" s="35" t="s">
        <v>2378</v>
      </c>
      <c r="I2542" s="33"/>
      <c r="J2542" s="36"/>
      <c r="K2542" t="s">
        <v>27</v>
      </c>
      <c r="L2542" s="111">
        <v>7111.96</v>
      </c>
      <c r="M2542" s="111">
        <v>2130.71</v>
      </c>
      <c r="N2542" s="3">
        <f>L2542*0.3</f>
        <v>2133.5879999999997</v>
      </c>
      <c r="O2542" s="3">
        <f>(IF(L2542&lt;4172.98,0,MIN(L2542*0.3,L2542-4172.98)))-M2542</f>
        <v>2.8779999999997017</v>
      </c>
      <c r="P2542" s="6">
        <v>46174</v>
      </c>
      <c r="Q2542" t="s">
        <v>59</v>
      </c>
      <c r="R2542" s="3">
        <v>1480.03</v>
      </c>
      <c r="S2542" s="3" t="s">
        <v>98</v>
      </c>
      <c r="T2542" s="48">
        <v>46286</v>
      </c>
      <c r="V2542" s="51">
        <v>0.49305555555555558</v>
      </c>
      <c r="W2542" s="51">
        <v>0.57430555555555551</v>
      </c>
      <c r="X2542" s="51">
        <v>0.57916666666666672</v>
      </c>
      <c r="Y2542" s="51">
        <v>0.5854166666666667</v>
      </c>
    </row>
    <row r="2543" spans="1:25">
      <c r="A2543" s="30">
        <v>24699862</v>
      </c>
      <c r="B2543" s="31">
        <v>46286</v>
      </c>
      <c r="C2543" s="32">
        <v>0.50346064814814817</v>
      </c>
      <c r="D2543" s="33"/>
      <c r="E2543" s="34">
        <v>5216311237408</v>
      </c>
      <c r="F2543" s="33"/>
      <c r="G2543" s="33"/>
      <c r="H2543" s="35" t="s">
        <v>2379</v>
      </c>
      <c r="I2543" s="33"/>
      <c r="J2543" s="36"/>
      <c r="K2543" t="s">
        <v>38</v>
      </c>
      <c r="L2543" s="111">
        <v>9081.52</v>
      </c>
      <c r="M2543" s="111">
        <v>1870.87</v>
      </c>
      <c r="N2543" s="3">
        <f>L2543*0.3</f>
        <v>2724.4560000000001</v>
      </c>
      <c r="O2543" s="3">
        <f>(IF(L2543&lt;4172.98,0,MIN(L2543*0.3,L2543-4172.98)))-M2543</f>
        <v>853.58600000000024</v>
      </c>
      <c r="P2543" s="6">
        <v>46722</v>
      </c>
      <c r="Q2543" t="s">
        <v>75</v>
      </c>
      <c r="R2543" s="3">
        <v>809.56</v>
      </c>
      <c r="S2543" s="3" t="s">
        <v>2179</v>
      </c>
      <c r="T2543" s="48">
        <v>46286</v>
      </c>
      <c r="V2543" s="51">
        <v>0.50486111111111109</v>
      </c>
      <c r="W2543" s="51">
        <v>0.57638888888888884</v>
      </c>
      <c r="X2543" s="51">
        <v>0.57777777777777772</v>
      </c>
      <c r="Y2543" s="51">
        <v>0.59236111111111112</v>
      </c>
    </row>
    <row r="2544" spans="1:25" hidden="1">
      <c r="A2544" s="12">
        <v>24699840</v>
      </c>
      <c r="B2544" s="13">
        <v>46286</v>
      </c>
      <c r="C2544" s="14">
        <v>0.50596064814814812</v>
      </c>
      <c r="D2544" s="15"/>
      <c r="E2544" s="16">
        <v>5215649818410</v>
      </c>
      <c r="F2544" s="15"/>
      <c r="G2544" s="15" t="s">
        <v>2380</v>
      </c>
      <c r="H2544" s="17"/>
      <c r="I2544" s="15"/>
      <c r="J2544" s="18"/>
      <c r="K2544" t="s">
        <v>32</v>
      </c>
      <c r="N2544" s="3">
        <f>L2544*0.3</f>
        <v>0</v>
      </c>
      <c r="O2544" s="3">
        <f>(IF(L2544&lt;4172.98,0,MIN(L2544*0.3,L2544-4172.98)))-M2544</f>
        <v>0</v>
      </c>
      <c r="S2544" s="3" t="s">
        <v>204</v>
      </c>
      <c r="V2544" s="51">
        <v>0.5083333333333333</v>
      </c>
    </row>
    <row r="2545" spans="1:25" hidden="1">
      <c r="A2545" s="30">
        <v>24699916</v>
      </c>
      <c r="B2545" s="31">
        <v>46286</v>
      </c>
      <c r="C2545" s="32">
        <v>0.50618055555555552</v>
      </c>
      <c r="D2545" s="33"/>
      <c r="E2545" s="34">
        <v>5215543912753</v>
      </c>
      <c r="F2545" s="33"/>
      <c r="G2545" s="33"/>
      <c r="H2545" s="35" t="s">
        <v>2381</v>
      </c>
      <c r="I2545" s="33"/>
      <c r="J2545" s="36"/>
      <c r="K2545" t="s">
        <v>30</v>
      </c>
      <c r="L2545" s="111">
        <v>5822.29</v>
      </c>
      <c r="M2545" s="111">
        <v>1444.75</v>
      </c>
      <c r="N2545" s="3">
        <f>L2545*0.3</f>
        <v>1746.6869999999999</v>
      </c>
      <c r="O2545" s="3">
        <f>(IF(L2545&lt;4172.98,0,MIN(L2545*0.3,L2545-4172.98)))-M2545</f>
        <v>204.5600000000004</v>
      </c>
      <c r="P2545" s="6">
        <v>46357</v>
      </c>
      <c r="Q2545" t="s">
        <v>43</v>
      </c>
      <c r="R2545" s="111">
        <v>1444.75</v>
      </c>
      <c r="S2545" s="3" t="s">
        <v>204</v>
      </c>
      <c r="V2545" s="51">
        <v>0.5083333333333333</v>
      </c>
    </row>
    <row r="2546" spans="1:25" hidden="1">
      <c r="A2546" s="30">
        <v>24700090</v>
      </c>
      <c r="B2546" s="31">
        <v>46286</v>
      </c>
      <c r="C2546" s="32">
        <v>0.51829861111111108</v>
      </c>
      <c r="D2546" s="33"/>
      <c r="E2546" s="34">
        <v>5216684636053</v>
      </c>
      <c r="F2546" s="33"/>
      <c r="G2546" s="33" t="s">
        <v>2382</v>
      </c>
      <c r="H2546" s="35">
        <v>23866426259</v>
      </c>
      <c r="I2546" s="33"/>
      <c r="J2546" s="36"/>
      <c r="K2546" t="s">
        <v>30</v>
      </c>
      <c r="L2546" s="3">
        <f>17787.69+7614.73</f>
        <v>25402.42</v>
      </c>
      <c r="M2546" s="3">
        <f>7614.73</f>
        <v>7614.73</v>
      </c>
      <c r="N2546" s="3">
        <f>L2546*0.3</f>
        <v>7620.7259999999987</v>
      </c>
      <c r="O2546" s="3">
        <f>(IF(L2546&lt;4172.98,0,MIN(L2546*0.3,L2546-4172.98)))-M2546</f>
        <v>5.9959999999991851</v>
      </c>
      <c r="P2546" s="6">
        <v>46966</v>
      </c>
      <c r="Q2546" t="s">
        <v>141</v>
      </c>
      <c r="R2546" s="3">
        <v>7614.73</v>
      </c>
      <c r="S2546" s="3" t="s">
        <v>204</v>
      </c>
      <c r="V2546" s="51">
        <v>0.51875000000000004</v>
      </c>
    </row>
    <row r="2547" spans="1:25" hidden="1">
      <c r="A2547" s="30">
        <v>24700232</v>
      </c>
      <c r="B2547" s="31">
        <v>46286</v>
      </c>
      <c r="C2547" s="32">
        <v>0.5198842592592593</v>
      </c>
      <c r="D2547" s="33"/>
      <c r="E2547" s="34">
        <v>5215645446275</v>
      </c>
      <c r="F2547" s="33"/>
      <c r="G2547" s="33"/>
      <c r="H2547" s="35" t="s">
        <v>2383</v>
      </c>
      <c r="I2547" s="33"/>
      <c r="J2547" s="36"/>
      <c r="K2547" t="s">
        <v>30</v>
      </c>
      <c r="L2547" s="3">
        <v>8784.2900000000009</v>
      </c>
      <c r="M2547" s="3">
        <v>2633.6</v>
      </c>
      <c r="N2547" s="3">
        <f>L2547*0.3</f>
        <v>2635.2870000000003</v>
      </c>
      <c r="O2547" s="3">
        <f>(IF(L2547&lt;4172.98,0,MIN(L2547*0.3,L2547-4172.98)))-M2547</f>
        <v>1.6870000000003529</v>
      </c>
      <c r="P2547" s="6">
        <v>46966</v>
      </c>
      <c r="Q2547" t="s">
        <v>47</v>
      </c>
      <c r="R2547" s="3">
        <v>2633.6</v>
      </c>
      <c r="S2547" s="3" t="s">
        <v>204</v>
      </c>
      <c r="V2547" s="51">
        <v>0.52222222222222225</v>
      </c>
    </row>
    <row r="2548" spans="1:25">
      <c r="A2548" s="30">
        <v>24701104</v>
      </c>
      <c r="B2548" s="31">
        <v>46286</v>
      </c>
      <c r="C2548" s="32">
        <v>0.53913194444444446</v>
      </c>
      <c r="D2548" s="33"/>
      <c r="E2548" s="34">
        <v>5216331315282</v>
      </c>
      <c r="F2548" s="33"/>
      <c r="G2548" s="33" t="s">
        <v>2384</v>
      </c>
      <c r="H2548" s="35"/>
      <c r="I2548" s="33"/>
      <c r="J2548" s="36"/>
      <c r="K2548" t="s">
        <v>27</v>
      </c>
      <c r="L2548" s="3">
        <f>17804.62+315.94+271.99+1792+529+577+4144.62</f>
        <v>25435.17</v>
      </c>
      <c r="M2548" s="3">
        <f>315.94+271.99+1792+529+577+4144.62</f>
        <v>7630.55</v>
      </c>
      <c r="N2548" s="3">
        <f>L2548*0.3</f>
        <v>7630.5509999999995</v>
      </c>
      <c r="O2548" s="3">
        <f>(IF(L2548&lt;4172.98,0,MIN(L2548*0.3,L2548-4172.98)))-M2548</f>
        <v>9.9999999929423211E-4</v>
      </c>
      <c r="P2548" s="6">
        <v>46266</v>
      </c>
      <c r="Q2548" t="s">
        <v>59</v>
      </c>
      <c r="R2548" s="3">
        <v>4144.62</v>
      </c>
      <c r="S2548" s="202" t="s">
        <v>2385</v>
      </c>
      <c r="V2548" s="51">
        <v>0.54097222222222219</v>
      </c>
      <c r="W2548" s="51">
        <v>0.59097222222222223</v>
      </c>
      <c r="X2548" s="51">
        <v>0.59166666666666667</v>
      </c>
      <c r="Y2548" s="51">
        <v>0.59375</v>
      </c>
    </row>
    <row r="2549" spans="1:25" hidden="1">
      <c r="A2549" s="30">
        <v>24701136</v>
      </c>
      <c r="B2549" s="31">
        <v>46286</v>
      </c>
      <c r="C2549" s="32">
        <v>0.54615740740740737</v>
      </c>
      <c r="D2549" s="33"/>
      <c r="E2549" s="34">
        <v>5216573000745</v>
      </c>
      <c r="F2549" s="33"/>
      <c r="G2549" s="33"/>
      <c r="H2549" s="35">
        <v>32826306170</v>
      </c>
      <c r="I2549" s="33"/>
      <c r="J2549" s="36"/>
      <c r="K2549" t="s">
        <v>30</v>
      </c>
      <c r="L2549" s="111">
        <v>10063.879999999999</v>
      </c>
      <c r="M2549" s="111">
        <v>2997.92</v>
      </c>
      <c r="N2549" s="3">
        <f>L2549*0.3</f>
        <v>3019.1639999999998</v>
      </c>
      <c r="O2549" s="3">
        <f>(IF(L2549&lt;4172.98,0,MIN(L2549*0.3,L2549-4172.98)))-M2549</f>
        <v>21.243999999999687</v>
      </c>
      <c r="P2549" s="6">
        <v>46296</v>
      </c>
      <c r="Q2549" t="s">
        <v>44</v>
      </c>
      <c r="R2549" s="3">
        <v>1560.99</v>
      </c>
      <c r="S2549" s="3" t="s">
        <v>204</v>
      </c>
      <c r="V2549" s="51">
        <v>0.54652777777777772</v>
      </c>
    </row>
    <row r="2550" spans="1:25" hidden="1">
      <c r="A2550" s="30">
        <v>24701492</v>
      </c>
      <c r="B2550" s="31">
        <v>46286</v>
      </c>
      <c r="C2550" s="32">
        <v>0.54684027777777777</v>
      </c>
      <c r="D2550" s="33"/>
      <c r="E2550" s="34">
        <v>5218336458054</v>
      </c>
      <c r="F2550" s="33"/>
      <c r="G2550" s="33" t="s">
        <v>2386</v>
      </c>
      <c r="H2550" s="35"/>
      <c r="I2550" s="33"/>
      <c r="J2550" s="36"/>
      <c r="K2550" t="s">
        <v>32</v>
      </c>
      <c r="N2550" s="3">
        <f>L2550*0.3</f>
        <v>0</v>
      </c>
      <c r="O2550" s="3">
        <f>(IF(L2550&lt;4172.98,0,MIN(L2550*0.3,L2550-4172.98)))-M2550</f>
        <v>0</v>
      </c>
      <c r="S2550" s="3" t="s">
        <v>204</v>
      </c>
      <c r="V2550" s="51">
        <v>0.54791666666666672</v>
      </c>
    </row>
    <row r="2551" spans="1:25" hidden="1">
      <c r="A2551" s="30">
        <v>24701644</v>
      </c>
      <c r="B2551" s="31">
        <v>46286</v>
      </c>
      <c r="C2551" s="32">
        <v>0.55359953703703701</v>
      </c>
      <c r="D2551" s="33"/>
      <c r="E2551" s="34">
        <v>5216861748003</v>
      </c>
      <c r="F2551" s="33"/>
      <c r="G2551" s="33"/>
      <c r="H2551" s="35">
        <v>23745607814</v>
      </c>
      <c r="I2551" s="33"/>
      <c r="J2551" s="36"/>
      <c r="K2551" t="s">
        <v>58</v>
      </c>
      <c r="L2551" s="111">
        <v>4948.37</v>
      </c>
      <c r="M2551" s="111">
        <v>879</v>
      </c>
      <c r="N2551" s="3">
        <f>L2551*0.3</f>
        <v>1484.511</v>
      </c>
      <c r="O2551" s="3">
        <f>(IF(L2551&lt;4172.98,0,MIN(L2551*0.3,L2551-4172.98)))-M2551</f>
        <v>-103.60999999999967</v>
      </c>
      <c r="S2551" s="3" t="s">
        <v>204</v>
      </c>
      <c r="V2551" s="51">
        <v>0.5541666666666667</v>
      </c>
    </row>
    <row r="2552" spans="1:25">
      <c r="A2552" s="30">
        <v>24701646</v>
      </c>
      <c r="B2552" s="31">
        <v>46286</v>
      </c>
      <c r="C2552" s="32">
        <v>0.55717592592592591</v>
      </c>
      <c r="D2552" s="33"/>
      <c r="E2552" s="34">
        <v>5213313527149</v>
      </c>
      <c r="F2552" s="33"/>
      <c r="G2552" s="33" t="s">
        <v>2387</v>
      </c>
      <c r="H2552" s="35">
        <v>56946410679</v>
      </c>
      <c r="I2552" s="33"/>
      <c r="J2552" s="36"/>
      <c r="K2552" t="s">
        <v>54</v>
      </c>
      <c r="L2552" s="3">
        <v>16440.96</v>
      </c>
      <c r="N2552" s="3">
        <f>L2552*0.3</f>
        <v>4932.2879999999996</v>
      </c>
      <c r="O2552" s="3">
        <f>(IF(L2552&lt;4172.98,0,MIN(L2552*0.3,L2552-4172.98)))-M2552</f>
        <v>4932.2879999999996</v>
      </c>
      <c r="S2552" s="3" t="s">
        <v>1091</v>
      </c>
      <c r="T2552" s="48">
        <v>46286</v>
      </c>
      <c r="V2552" s="51">
        <v>0.55972222222222223</v>
      </c>
      <c r="W2552" s="51">
        <v>0.59236111111111112</v>
      </c>
      <c r="X2552" s="51">
        <v>0.59375</v>
      </c>
      <c r="Y2552" s="51">
        <v>0.59513888888888888</v>
      </c>
    </row>
    <row r="2553" spans="1:25" hidden="1">
      <c r="A2553" s="30">
        <v>24701998</v>
      </c>
      <c r="B2553" s="31">
        <v>46286</v>
      </c>
      <c r="C2553" s="32">
        <v>0.56467592592592597</v>
      </c>
      <c r="D2553" s="33"/>
      <c r="E2553" s="34">
        <v>5218135723076</v>
      </c>
      <c r="F2553" s="33"/>
      <c r="G2553" s="33" t="s">
        <v>2388</v>
      </c>
      <c r="H2553" s="35"/>
      <c r="I2553" s="33"/>
      <c r="J2553" s="36"/>
      <c r="K2553" t="s">
        <v>30</v>
      </c>
      <c r="L2553" s="111">
        <v>6262.86</v>
      </c>
      <c r="M2553" s="111">
        <v>1809.21</v>
      </c>
      <c r="N2553" s="3">
        <f>L2553*0.3</f>
        <v>1878.8579999999997</v>
      </c>
      <c r="O2553" s="3">
        <f>(IF(L2553&lt;4172.98,0,MIN(L2553*0.3,L2553-4172.98)))-M2553</f>
        <v>69.647999999999683</v>
      </c>
      <c r="P2553" s="6">
        <v>46600</v>
      </c>
      <c r="Q2553" t="s">
        <v>43</v>
      </c>
      <c r="R2553" s="111">
        <v>1809.21</v>
      </c>
      <c r="S2553" s="3" t="s">
        <v>204</v>
      </c>
      <c r="V2553" s="51">
        <v>0.56597222222222221</v>
      </c>
    </row>
    <row r="2554" spans="1:25">
      <c r="A2554" s="12">
        <v>24701662</v>
      </c>
      <c r="B2554" s="13">
        <v>46286</v>
      </c>
      <c r="C2554" s="14">
        <v>0.56643518518518521</v>
      </c>
      <c r="D2554" s="15"/>
      <c r="E2554" s="16">
        <v>5215559390329</v>
      </c>
      <c r="F2554" s="15"/>
      <c r="G2554" s="15"/>
      <c r="H2554" s="17" t="s">
        <v>2389</v>
      </c>
      <c r="I2554" s="15"/>
      <c r="J2554" s="18"/>
      <c r="K2554" t="s">
        <v>107</v>
      </c>
      <c r="L2554" s="111">
        <v>26904.77</v>
      </c>
      <c r="M2554" s="111">
        <v>7463.65</v>
      </c>
      <c r="N2554" s="3">
        <f>L2554*0.3</f>
        <v>8071.4309999999996</v>
      </c>
      <c r="O2554" s="3">
        <f>(IF(L2554&lt;4172.98,0,MIN(L2554*0.3,L2554-4172.98)))-M2554</f>
        <v>607.78099999999995</v>
      </c>
      <c r="P2554" s="6">
        <v>46082</v>
      </c>
      <c r="Q2554" t="s">
        <v>59</v>
      </c>
      <c r="R2554" s="3">
        <v>850.37</v>
      </c>
      <c r="S2554" s="3" t="s">
        <v>2179</v>
      </c>
      <c r="T2554" s="48">
        <v>46286</v>
      </c>
      <c r="V2554" s="51">
        <v>0.56805555555555554</v>
      </c>
      <c r="W2554" s="51">
        <v>0.59722222222222221</v>
      </c>
      <c r="X2554" s="51">
        <v>0.60486111111111107</v>
      </c>
      <c r="Y2554" s="51">
        <v>0.61527777777777781</v>
      </c>
    </row>
    <row r="2555" spans="1:25">
      <c r="A2555" s="30">
        <v>24702058</v>
      </c>
      <c r="B2555" s="31">
        <v>46286</v>
      </c>
      <c r="C2555" s="32">
        <v>0.56768518518518518</v>
      </c>
      <c r="D2555" s="33"/>
      <c r="E2555" s="34">
        <v>5212271075408</v>
      </c>
      <c r="F2555" s="33"/>
      <c r="G2555" s="33"/>
      <c r="H2555" s="35">
        <v>62735510190</v>
      </c>
      <c r="I2555" s="33"/>
      <c r="J2555" s="36"/>
      <c r="K2555" t="s">
        <v>27</v>
      </c>
      <c r="L2555" s="3">
        <f>16356.17+542+741+3375.97+2349.88</f>
        <v>23365.02</v>
      </c>
      <c r="M2555" s="3">
        <f>542+741+3375.97+2349.88</f>
        <v>7008.8499999999995</v>
      </c>
      <c r="N2555" s="3">
        <f>L2555*0.3</f>
        <v>7009.5060000000003</v>
      </c>
      <c r="O2555" s="3">
        <f>(IF(L2555&lt;4172.98,0,MIN(L2555*0.3,L2555-4172.98)))-M2555</f>
        <v>0.65600000000085856</v>
      </c>
      <c r="P2555" s="6">
        <v>46266</v>
      </c>
      <c r="Q2555" t="s">
        <v>59</v>
      </c>
      <c r="R2555" s="3">
        <v>2349.8000000000002</v>
      </c>
      <c r="S2555" s="3" t="s">
        <v>1080</v>
      </c>
      <c r="T2555" s="48">
        <v>46286</v>
      </c>
      <c r="V2555" s="51">
        <v>0.56805555555555554</v>
      </c>
      <c r="W2555" s="51">
        <v>0.59583333333333333</v>
      </c>
      <c r="X2555" s="51">
        <v>0.60069444444444442</v>
      </c>
      <c r="Y2555" s="51">
        <v>0.60277777777777775</v>
      </c>
    </row>
    <row r="2556" spans="1:25">
      <c r="A2556" s="12">
        <v>24701958</v>
      </c>
      <c r="B2556" s="13">
        <v>46286</v>
      </c>
      <c r="C2556" s="14">
        <v>0.57119212962962962</v>
      </c>
      <c r="D2556" s="15"/>
      <c r="E2556" s="16">
        <v>5216141220102</v>
      </c>
      <c r="F2556" s="15"/>
      <c r="G2556" s="15" t="s">
        <v>2390</v>
      </c>
      <c r="H2556" s="17"/>
      <c r="I2556" s="15"/>
      <c r="J2556" s="18"/>
      <c r="K2556" t="s">
        <v>54</v>
      </c>
      <c r="L2556" s="3">
        <v>20873.43</v>
      </c>
      <c r="N2556" s="3">
        <f>L2556*0.3</f>
        <v>6262.0289999999995</v>
      </c>
      <c r="O2556" s="3">
        <f>(IF(L2556&lt;4172.98,0,MIN(L2556*0.3,L2556-4172.98)))-M2556</f>
        <v>6262.0289999999995</v>
      </c>
      <c r="P2556" s="6"/>
      <c r="S2556" s="3" t="s">
        <v>886</v>
      </c>
      <c r="T2556" s="48">
        <v>46286</v>
      </c>
      <c r="V2556" s="51">
        <v>0.57291666666666663</v>
      </c>
      <c r="W2556" s="51">
        <v>0.59791666666666665</v>
      </c>
      <c r="X2556" s="51">
        <v>0.6020833333333333</v>
      </c>
      <c r="Y2556" s="51">
        <v>0.60416666666666663</v>
      </c>
    </row>
    <row r="2557" spans="1:25">
      <c r="A2557" s="30">
        <v>24702288</v>
      </c>
      <c r="B2557" s="31">
        <v>46286</v>
      </c>
      <c r="C2557" s="32">
        <v>0.5718981481481481</v>
      </c>
      <c r="D2557" s="33"/>
      <c r="E2557" s="34">
        <v>5215561401376</v>
      </c>
      <c r="F2557" s="33"/>
      <c r="G2557" s="33"/>
      <c r="H2557" s="35">
        <v>17826525333</v>
      </c>
      <c r="I2557" s="33"/>
      <c r="J2557" s="36"/>
      <c r="K2557" t="s">
        <v>54</v>
      </c>
      <c r="L2557" s="3">
        <v>12371.64</v>
      </c>
      <c r="N2557" s="3">
        <f>L2557*0.3</f>
        <v>3711.4919999999997</v>
      </c>
      <c r="O2557" s="3">
        <f>(IF(L2557&lt;4172.98,0,MIN(L2557*0.3,L2557-4172.98)))-M2557</f>
        <v>3711.4919999999997</v>
      </c>
      <c r="S2557" s="3" t="s">
        <v>358</v>
      </c>
      <c r="T2557" s="48">
        <v>46286</v>
      </c>
      <c r="V2557" s="51">
        <v>0.57291666666666663</v>
      </c>
      <c r="W2557" s="51">
        <v>0.70902777777777781</v>
      </c>
      <c r="X2557" s="51">
        <v>0.72499999999999998</v>
      </c>
      <c r="Y2557" s="51">
        <v>0.72569444444444442</v>
      </c>
    </row>
    <row r="2558" spans="1:25">
      <c r="A2558" s="30">
        <v>24702366</v>
      </c>
      <c r="B2558" s="31">
        <v>46286</v>
      </c>
      <c r="C2558" s="32">
        <v>0.57658564814814817</v>
      </c>
      <c r="D2558" s="33"/>
      <c r="E2558" s="34">
        <v>5216631261884</v>
      </c>
      <c r="F2558" s="33"/>
      <c r="G2558" s="33" t="s">
        <v>2391</v>
      </c>
      <c r="H2558" s="35">
        <v>21846618672</v>
      </c>
      <c r="I2558" s="33"/>
      <c r="J2558" s="36"/>
      <c r="K2558" t="s">
        <v>54</v>
      </c>
      <c r="L2558" s="3">
        <f>9479.79+1156.75</f>
        <v>10636.54</v>
      </c>
      <c r="M2558" s="3">
        <v>1156.75</v>
      </c>
      <c r="N2558" s="3">
        <f>L2558*0.3</f>
        <v>3190.962</v>
      </c>
      <c r="O2558" s="3">
        <f>(IF(L2558&lt;4172.98,0,MIN(L2558*0.3,L2558-4172.98)))-M2558</f>
        <v>2034.212</v>
      </c>
      <c r="P2558" s="6">
        <v>46966</v>
      </c>
      <c r="Q2558" t="s">
        <v>43</v>
      </c>
      <c r="R2558" s="3">
        <v>1156.75</v>
      </c>
      <c r="S2558" s="3" t="s">
        <v>266</v>
      </c>
      <c r="T2558" s="48">
        <v>46286</v>
      </c>
      <c r="V2558" s="51">
        <v>0.5805555555555556</v>
      </c>
      <c r="W2558" s="51">
        <v>0.59236111111111112</v>
      </c>
      <c r="X2558" s="51">
        <v>0.59513888888888888</v>
      </c>
      <c r="Y2558" s="51">
        <v>0.59861111111111109</v>
      </c>
    </row>
    <row r="2559" spans="1:25" hidden="1">
      <c r="A2559" s="30">
        <v>24702654</v>
      </c>
      <c r="B2559" s="31">
        <v>46286</v>
      </c>
      <c r="C2559" s="32">
        <v>0.58121527777777782</v>
      </c>
      <c r="D2559" s="33" t="s">
        <v>2392</v>
      </c>
      <c r="E2559" s="34">
        <v>5214251352120</v>
      </c>
      <c r="F2559" s="33"/>
      <c r="G2559" s="33" t="s">
        <v>2393</v>
      </c>
      <c r="H2559" s="35">
        <v>53816241243</v>
      </c>
      <c r="I2559" s="33"/>
      <c r="J2559" s="36"/>
      <c r="K2559" t="s">
        <v>30</v>
      </c>
      <c r="L2559" s="111">
        <v>7116.73</v>
      </c>
      <c r="M2559" s="111">
        <v>2117.17</v>
      </c>
      <c r="N2559" s="3">
        <f>L2559*0.3</f>
        <v>2135.0189999999998</v>
      </c>
      <c r="O2559" s="3">
        <f>(IF(L2559&lt;4172.98,0,MIN(L2559*0.3,L2559-4172.98)))-M2559</f>
        <v>17.848999999999705</v>
      </c>
      <c r="P2559" s="6">
        <v>46357</v>
      </c>
      <c r="Q2559" t="s">
        <v>2394</v>
      </c>
      <c r="R2559" s="3">
        <v>1745.74</v>
      </c>
      <c r="S2559" s="3" t="s">
        <v>204</v>
      </c>
      <c r="V2559" s="51">
        <v>0.58333333333333337</v>
      </c>
    </row>
    <row r="2560" spans="1:25">
      <c r="A2560" s="30">
        <v>24703106</v>
      </c>
      <c r="B2560" s="31">
        <v>46286</v>
      </c>
      <c r="C2560" s="32">
        <v>0.59543981481481478</v>
      </c>
      <c r="D2560" s="33"/>
      <c r="E2560" s="34">
        <v>5218119779858</v>
      </c>
      <c r="F2560" s="33"/>
      <c r="G2560" s="33"/>
      <c r="H2560" s="35">
        <v>43967857210</v>
      </c>
      <c r="I2560" s="33"/>
      <c r="J2560" s="36"/>
      <c r="K2560" t="s">
        <v>34</v>
      </c>
      <c r="L2560" s="111">
        <v>8664.69</v>
      </c>
      <c r="M2560" s="111">
        <v>2504.21</v>
      </c>
      <c r="N2560" s="3">
        <f>L2560*0.3</f>
        <v>2599.4070000000002</v>
      </c>
      <c r="O2560" s="3">
        <f>(IF(L2560&lt;4172.98,0,MIN(L2560*0.3,L2560-4172.98)))-M2560</f>
        <v>95.197000000000116</v>
      </c>
      <c r="P2560" s="6">
        <v>46113</v>
      </c>
      <c r="Q2560" t="s">
        <v>57</v>
      </c>
      <c r="R2560" s="3">
        <v>883.75</v>
      </c>
      <c r="S2560" s="3" t="s">
        <v>35</v>
      </c>
      <c r="T2560" s="48">
        <v>46286</v>
      </c>
      <c r="V2560" s="51">
        <v>0.59583333333333333</v>
      </c>
      <c r="W2560" s="51">
        <v>0.69305555555555554</v>
      </c>
      <c r="X2560" s="51">
        <v>0.69861111111111107</v>
      </c>
      <c r="Y2560" s="51">
        <v>0.70138888888888884</v>
      </c>
    </row>
    <row r="2561" spans="1:25" hidden="1">
      <c r="A2561" s="12">
        <v>24703434</v>
      </c>
      <c r="B2561" s="13">
        <v>46286</v>
      </c>
      <c r="C2561" s="14">
        <v>0.61081018518518515</v>
      </c>
      <c r="D2561" s="15"/>
      <c r="E2561" s="16">
        <v>5217122144836</v>
      </c>
      <c r="F2561" s="15"/>
      <c r="G2561" s="15"/>
      <c r="H2561" s="17">
        <v>19796374254</v>
      </c>
      <c r="I2561" s="15"/>
      <c r="J2561" s="18"/>
      <c r="K2561" t="s">
        <v>30</v>
      </c>
      <c r="L2561" s="111">
        <v>7920.51</v>
      </c>
      <c r="M2561" s="111">
        <v>2196.21</v>
      </c>
      <c r="N2561" s="3">
        <f>L2561*0.3</f>
        <v>2376.1529999999998</v>
      </c>
      <c r="O2561" s="3">
        <f>(IF(L2561&lt;4172.98,0,MIN(L2561*0.3,L2561-4172.98)))-M2561</f>
        <v>179.94299999999976</v>
      </c>
      <c r="P2561" s="6">
        <v>46357</v>
      </c>
      <c r="Q2561" t="s">
        <v>75</v>
      </c>
      <c r="R2561" s="111">
        <v>2196.21</v>
      </c>
      <c r="S2561" s="3" t="s">
        <v>204</v>
      </c>
      <c r="V2561" s="51">
        <v>0.6118055555555556</v>
      </c>
    </row>
    <row r="2562" spans="1:25" hidden="1">
      <c r="A2562" s="30">
        <v>24703794</v>
      </c>
      <c r="B2562" s="31">
        <v>46286</v>
      </c>
      <c r="C2562" s="32">
        <v>0.61136574074074079</v>
      </c>
      <c r="D2562" s="33"/>
      <c r="E2562" s="34">
        <v>5214613309992</v>
      </c>
      <c r="F2562" s="33"/>
      <c r="G2562" s="33"/>
      <c r="H2562" s="35" t="s">
        <v>2395</v>
      </c>
      <c r="I2562" s="33"/>
      <c r="J2562" s="36"/>
      <c r="K2562" t="s">
        <v>30</v>
      </c>
      <c r="L2562" s="111">
        <v>6262.86</v>
      </c>
      <c r="M2562" s="111">
        <v>1811.99</v>
      </c>
      <c r="N2562" s="3">
        <f>L2562*0.3</f>
        <v>1878.8579999999997</v>
      </c>
      <c r="O2562" s="3">
        <f>(IF(L2562&lt;4172.98,0,MIN(L2562*0.3,L2562-4172.98)))-M2562</f>
        <v>66.867999999999711</v>
      </c>
      <c r="P2562" s="6">
        <v>46631</v>
      </c>
      <c r="Q2562" t="s">
        <v>47</v>
      </c>
      <c r="R2562" s="111">
        <v>1811.99</v>
      </c>
      <c r="S2562" s="3" t="s">
        <v>204</v>
      </c>
      <c r="V2562" s="51">
        <v>0.6118055555555556</v>
      </c>
    </row>
    <row r="2563" spans="1:25" hidden="1">
      <c r="A2563" s="30">
        <v>24703868</v>
      </c>
      <c r="B2563" s="31">
        <v>46286</v>
      </c>
      <c r="C2563" s="32">
        <v>0.61428240740740736</v>
      </c>
      <c r="D2563" s="33"/>
      <c r="E2563" s="34">
        <v>5212381043114</v>
      </c>
      <c r="F2563" s="33"/>
      <c r="G2563" s="33" t="s">
        <v>2396</v>
      </c>
      <c r="H2563" s="35"/>
      <c r="I2563" s="33"/>
      <c r="J2563" s="36"/>
      <c r="K2563" t="s">
        <v>32</v>
      </c>
      <c r="N2563" s="3">
        <f>L2563*0.3</f>
        <v>0</v>
      </c>
      <c r="O2563" s="3">
        <f>(IF(L2563&lt;4172.98,0,MIN(L2563*0.3,L2563-4172.98)))-M2563</f>
        <v>0</v>
      </c>
      <c r="S2563" s="3" t="s">
        <v>204</v>
      </c>
      <c r="V2563" s="51">
        <v>0.61388888888888893</v>
      </c>
    </row>
    <row r="2564" spans="1:25" hidden="1">
      <c r="A2564" s="30">
        <v>24703578</v>
      </c>
      <c r="B2564" s="31">
        <v>46286</v>
      </c>
      <c r="C2564" s="32">
        <v>0.61505787037037041</v>
      </c>
      <c r="D2564" s="33"/>
      <c r="E2564" s="34">
        <v>5218681329692</v>
      </c>
      <c r="F2564" s="33"/>
      <c r="G2564" s="33"/>
      <c r="H2564" s="35" t="s">
        <v>2397</v>
      </c>
      <c r="I2564" s="33"/>
      <c r="J2564" s="36"/>
      <c r="K2564" t="s">
        <v>30</v>
      </c>
      <c r="L2564" s="125">
        <v>4960.8</v>
      </c>
      <c r="M2564" s="125">
        <v>787.81</v>
      </c>
      <c r="N2564" s="3">
        <f>L2564*0.3</f>
        <v>1488.24</v>
      </c>
      <c r="O2564" s="3">
        <f>(IF(L2564&lt;4172.98,0,MIN(L2564*0.3,L2564-4172.98)))-M2564</f>
        <v>1.0000000000673026E-2</v>
      </c>
      <c r="P2564" s="6">
        <v>46905</v>
      </c>
      <c r="Q2564" t="s">
        <v>75</v>
      </c>
      <c r="R2564" s="125">
        <v>787.81</v>
      </c>
      <c r="S2564" s="3" t="s">
        <v>204</v>
      </c>
      <c r="V2564" s="51">
        <v>0.61527777777777781</v>
      </c>
    </row>
    <row r="2565" spans="1:25">
      <c r="A2565" s="12">
        <v>24704206</v>
      </c>
      <c r="B2565" s="13">
        <v>46286</v>
      </c>
      <c r="C2565" s="14">
        <v>0.62571759259259263</v>
      </c>
      <c r="D2565" s="15"/>
      <c r="E2565" s="16">
        <v>5219983181519</v>
      </c>
      <c r="F2565" s="15"/>
      <c r="G2565" s="15" t="s">
        <v>2398</v>
      </c>
      <c r="H2565" s="17"/>
      <c r="I2565" s="15"/>
      <c r="J2565" s="18"/>
      <c r="K2565" t="s">
        <v>34</v>
      </c>
      <c r="L2565" s="125">
        <v>7920.51</v>
      </c>
      <c r="M2565" s="125">
        <v>2172.2600000000002</v>
      </c>
      <c r="N2565" s="3">
        <f t="shared" ref="N2565:N2566" si="328">L2565*0.3</f>
        <v>2376.1529999999998</v>
      </c>
      <c r="O2565" s="3">
        <f t="shared" ref="O2565:O2566" si="329">(IF(L2565&lt;4172.98,0,MIN(L2565*0.3,L2565-4172.98)))-M2565</f>
        <v>203.89299999999957</v>
      </c>
      <c r="P2565" s="6">
        <v>46266</v>
      </c>
      <c r="Q2565" t="s">
        <v>2399</v>
      </c>
      <c r="R2565" s="125">
        <v>2172.2600000000002</v>
      </c>
      <c r="S2565" s="3" t="s">
        <v>35</v>
      </c>
      <c r="T2565" s="48">
        <v>46286</v>
      </c>
      <c r="V2565" s="51">
        <v>0.63888888888888884</v>
      </c>
      <c r="W2565" s="51">
        <v>0.69652777777777775</v>
      </c>
      <c r="X2565" s="51">
        <v>0.69722222222222219</v>
      </c>
      <c r="Y2565" s="51">
        <v>0.69791666666666663</v>
      </c>
    </row>
    <row r="2566" spans="1:25" hidden="1">
      <c r="A2566" s="30">
        <v>24704400</v>
      </c>
      <c r="B2566" s="31">
        <v>46286</v>
      </c>
      <c r="C2566" s="32">
        <v>0.63011574074074073</v>
      </c>
      <c r="D2566" s="33"/>
      <c r="E2566" s="34">
        <v>5215510783508</v>
      </c>
      <c r="F2566" s="33"/>
      <c r="G2566" s="33"/>
      <c r="H2566" s="35">
        <v>11705214085</v>
      </c>
      <c r="I2566" s="33"/>
      <c r="J2566" s="36"/>
      <c r="K2566" t="s">
        <v>30</v>
      </c>
      <c r="L2566" s="125">
        <v>7829.74</v>
      </c>
      <c r="M2566" s="125">
        <v>2344.64</v>
      </c>
      <c r="N2566" s="3">
        <f t="shared" si="328"/>
        <v>2348.922</v>
      </c>
      <c r="O2566" s="3">
        <f t="shared" si="329"/>
        <v>4.2820000000001528</v>
      </c>
      <c r="P2566" s="6">
        <v>46997</v>
      </c>
      <c r="Q2566" t="s">
        <v>43</v>
      </c>
      <c r="R2566" s="125">
        <v>2344.64</v>
      </c>
      <c r="S2566" s="3" t="s">
        <v>204</v>
      </c>
      <c r="V2566" s="51">
        <v>0.63888888888888884</v>
      </c>
    </row>
    <row r="2567" spans="1:25">
      <c r="A2567" s="30">
        <v>24705364</v>
      </c>
      <c r="B2567" s="31">
        <v>46286</v>
      </c>
      <c r="C2567" s="32">
        <v>0.66041666666666665</v>
      </c>
      <c r="D2567" s="33"/>
      <c r="E2567" s="34">
        <v>8994679779</v>
      </c>
      <c r="F2567" s="33"/>
      <c r="G2567" s="33"/>
      <c r="H2567" s="35">
        <v>49785712610</v>
      </c>
      <c r="I2567" s="33"/>
      <c r="J2567" s="36"/>
      <c r="K2567" t="s">
        <v>54</v>
      </c>
      <c r="L2567" s="3">
        <v>7920.51</v>
      </c>
      <c r="N2567" s="3">
        <f>L2567*0.3</f>
        <v>2376.1529999999998</v>
      </c>
      <c r="O2567" s="3">
        <f>(IF(L2567&lt;4172.98,0,MIN(L2567*0.3,L2567-4172.98)))-M2567</f>
        <v>2376.1529999999998</v>
      </c>
      <c r="S2567" s="3" t="s">
        <v>266</v>
      </c>
      <c r="T2567" s="48">
        <v>46286</v>
      </c>
      <c r="V2567" s="51">
        <v>0.66111111111111109</v>
      </c>
      <c r="W2567" s="51">
        <v>0.69027777777777777</v>
      </c>
      <c r="X2567" s="51">
        <v>0.69236111111111109</v>
      </c>
      <c r="Y2567" s="51">
        <v>0.69444444444444442</v>
      </c>
    </row>
    <row r="2568" spans="1:25">
      <c r="A2568" s="30">
        <v>24705192</v>
      </c>
      <c r="B2568" s="31">
        <v>46286</v>
      </c>
      <c r="C2568" s="32">
        <v>0.65609953703703705</v>
      </c>
      <c r="D2568" s="33" t="s">
        <v>2400</v>
      </c>
      <c r="E2568" s="34">
        <v>5213221885032</v>
      </c>
      <c r="F2568" s="33"/>
      <c r="G2568" s="33"/>
      <c r="H2568" s="35">
        <v>55866414745</v>
      </c>
      <c r="I2568" s="33"/>
      <c r="J2568" s="36"/>
      <c r="K2568" t="s">
        <v>38</v>
      </c>
      <c r="L2568" s="125">
        <v>9081.52</v>
      </c>
      <c r="M2568" s="125">
        <v>2166.39</v>
      </c>
      <c r="N2568" s="3">
        <f>L2568*0.3</f>
        <v>2724.4560000000001</v>
      </c>
      <c r="O2568" s="3">
        <f>(IF(L2568&lt;4172.98,0,MIN(L2568*0.3,L2568-4172.98)))-M2568</f>
        <v>558.06600000000026</v>
      </c>
      <c r="P2568" s="6">
        <v>46631</v>
      </c>
      <c r="Q2568" t="s">
        <v>75</v>
      </c>
      <c r="R2568" s="125">
        <v>2166.39</v>
      </c>
      <c r="S2568" s="3" t="s">
        <v>2179</v>
      </c>
      <c r="T2568" s="48">
        <v>46286</v>
      </c>
      <c r="V2568" s="51">
        <v>0.66597222222222219</v>
      </c>
      <c r="W2568" s="51">
        <v>0.69236111111111109</v>
      </c>
      <c r="X2568" s="51">
        <v>0.6958333333333333</v>
      </c>
      <c r="Y2568" s="51">
        <v>0.72499999999999998</v>
      </c>
    </row>
    <row r="2569" spans="1:25" hidden="1">
      <c r="A2569" s="30">
        <v>24705472</v>
      </c>
      <c r="B2569" s="31">
        <v>46286</v>
      </c>
      <c r="C2569" s="32">
        <v>0.6637615740740741</v>
      </c>
      <c r="D2569" s="33"/>
      <c r="E2569" s="34">
        <v>5215554788864</v>
      </c>
      <c r="F2569" s="33"/>
      <c r="G2569" s="33" t="s">
        <v>2401</v>
      </c>
      <c r="H2569" s="35"/>
      <c r="I2569" s="33"/>
      <c r="J2569" s="36"/>
      <c r="K2569" t="s">
        <v>32</v>
      </c>
      <c r="N2569" s="3">
        <f>L2569*0.3</f>
        <v>0</v>
      </c>
      <c r="O2569" s="3">
        <f>(IF(L2569&lt;4172.98,0,MIN(L2569*0.3,L2569-4172.98)))-M2569</f>
        <v>0</v>
      </c>
      <c r="S2569" s="3" t="s">
        <v>204</v>
      </c>
      <c r="V2569" s="51">
        <v>0.66597222222222219</v>
      </c>
    </row>
    <row r="2570" spans="1:25">
      <c r="A2570" s="30">
        <v>24705430</v>
      </c>
      <c r="B2570" s="31">
        <v>46286</v>
      </c>
      <c r="C2570" s="32">
        <v>0.66891203703703705</v>
      </c>
      <c r="D2570" s="33"/>
      <c r="E2570" s="34">
        <v>5215513386408</v>
      </c>
      <c r="F2570" s="33"/>
      <c r="G2570" s="33" t="s">
        <v>2402</v>
      </c>
      <c r="H2570" s="35" t="s">
        <v>2403</v>
      </c>
      <c r="I2570" s="33"/>
      <c r="J2570" s="36"/>
      <c r="K2570" t="s">
        <v>54</v>
      </c>
      <c r="L2570" s="3">
        <v>10636.54</v>
      </c>
      <c r="N2570" s="3">
        <f>L2570*0.3</f>
        <v>3190.962</v>
      </c>
      <c r="O2570" s="3">
        <f>(IF(L2570&lt;4172.98,0,MIN(L2570*0.3,L2570-4172.98)))-M2570</f>
        <v>3190.962</v>
      </c>
      <c r="S2570" s="3" t="s">
        <v>886</v>
      </c>
      <c r="T2570" s="48">
        <v>46286</v>
      </c>
      <c r="V2570" s="51">
        <v>0.67152777777777772</v>
      </c>
      <c r="W2570" s="51">
        <v>0.69097222222222221</v>
      </c>
      <c r="X2570" s="51">
        <v>0.69374999999999998</v>
      </c>
      <c r="Y2570" s="51">
        <v>0.69513888888888886</v>
      </c>
    </row>
    <row r="2571" spans="1:25" hidden="1">
      <c r="A2571" s="30">
        <v>24705850</v>
      </c>
      <c r="B2571" s="31">
        <v>46286</v>
      </c>
      <c r="C2571" s="32">
        <v>0.67590277777777774</v>
      </c>
      <c r="D2571" s="33"/>
      <c r="E2571" s="34">
        <v>5218445314511</v>
      </c>
      <c r="F2571" s="33"/>
      <c r="G2571" s="33"/>
      <c r="H2571" s="35">
        <v>43977926351</v>
      </c>
      <c r="I2571" s="33"/>
      <c r="J2571" s="36"/>
      <c r="K2571" t="s">
        <v>30</v>
      </c>
      <c r="L2571" s="111">
        <v>9081.51</v>
      </c>
      <c r="M2571" s="111">
        <v>2624.22</v>
      </c>
      <c r="N2571" s="3">
        <f>L2571*0.3</f>
        <v>2724.453</v>
      </c>
      <c r="O2571" s="3">
        <f>(IF(L2571&lt;4172.98,0,MIN(L2571*0.3,L2571-4172.98)))-M2571</f>
        <v>100.23300000000017</v>
      </c>
      <c r="P2571" s="6">
        <v>46661</v>
      </c>
      <c r="Q2571" t="s">
        <v>77</v>
      </c>
      <c r="R2571" s="3">
        <v>2624.22</v>
      </c>
      <c r="S2571" s="3" t="s">
        <v>204</v>
      </c>
      <c r="V2571" s="51">
        <v>0.67777777777777781</v>
      </c>
    </row>
    <row r="2572" spans="1:25">
      <c r="A2572" s="30">
        <v>24705988</v>
      </c>
      <c r="B2572" s="31">
        <v>46286</v>
      </c>
      <c r="C2572" s="32">
        <v>0.68142361111111116</v>
      </c>
      <c r="D2572" s="33"/>
      <c r="E2572" s="34">
        <v>5215569869763</v>
      </c>
      <c r="F2572" s="33"/>
      <c r="G2572" s="33" t="s">
        <v>2404</v>
      </c>
      <c r="H2572" s="35">
        <v>42866212881</v>
      </c>
      <c r="I2572" s="33"/>
      <c r="J2572" s="36"/>
      <c r="K2572" t="s">
        <v>54</v>
      </c>
      <c r="L2572" s="3">
        <v>10636.54</v>
      </c>
      <c r="N2572" s="3">
        <f>L2572*0.3</f>
        <v>3190.962</v>
      </c>
      <c r="O2572" s="3">
        <f>(IF(L2572&lt;4172.98,0,MIN(L2572*0.3,L2572-4172.98)))-M2572</f>
        <v>3190.962</v>
      </c>
      <c r="S2572" s="3" t="s">
        <v>1946</v>
      </c>
      <c r="T2572" s="48">
        <v>46286</v>
      </c>
      <c r="V2572" s="51">
        <v>0.68263888888888891</v>
      </c>
      <c r="W2572" s="51">
        <v>0.7006944444444444</v>
      </c>
      <c r="X2572" s="51">
        <v>0.7055555555555556</v>
      </c>
      <c r="Y2572" s="51">
        <v>0.71388888888888891</v>
      </c>
    </row>
    <row r="2573" spans="1:25" hidden="1">
      <c r="A2573" s="30">
        <v>24706062</v>
      </c>
      <c r="B2573" s="31">
        <v>46286</v>
      </c>
      <c r="C2573" s="32">
        <v>0.6881828703703704</v>
      </c>
      <c r="D2573" s="33"/>
      <c r="E2573" s="34">
        <v>5216563385322</v>
      </c>
      <c r="F2573" s="33"/>
      <c r="G2573" s="33"/>
      <c r="H2573" s="35">
        <v>33795932228</v>
      </c>
      <c r="I2573" s="33"/>
      <c r="J2573" s="36"/>
      <c r="K2573" t="s">
        <v>30</v>
      </c>
      <c r="L2573" s="111">
        <v>35869.68</v>
      </c>
      <c r="M2573" s="111">
        <v>10760.31</v>
      </c>
      <c r="N2573" s="3">
        <f>L2573*0.3</f>
        <v>10760.904</v>
      </c>
      <c r="O2573" s="3">
        <f>(IF(L2573&lt;4172.98,0,MIN(L2573*0.3,L2573-4172.98)))-M2573</f>
        <v>0.59400000000096043</v>
      </c>
      <c r="P2573" s="6">
        <v>46753</v>
      </c>
      <c r="Q2573" t="s">
        <v>75</v>
      </c>
      <c r="R2573" s="3">
        <v>6463</v>
      </c>
      <c r="S2573" s="3" t="s">
        <v>204</v>
      </c>
      <c r="V2573" s="51">
        <v>0.69097222222222221</v>
      </c>
    </row>
    <row r="2574" spans="1:25" hidden="1">
      <c r="A2574" s="30">
        <v>24706594</v>
      </c>
      <c r="B2574" s="31">
        <v>46286</v>
      </c>
      <c r="C2574" s="32">
        <v>0.70187500000000003</v>
      </c>
      <c r="D2574" s="33"/>
      <c r="E2574" s="34">
        <v>5213143761654</v>
      </c>
      <c r="F2574" s="33"/>
      <c r="G2574" s="33" t="s">
        <v>2405</v>
      </c>
      <c r="H2574" s="35"/>
      <c r="I2574" s="33"/>
      <c r="J2574" s="36"/>
      <c r="K2574" t="s">
        <v>58</v>
      </c>
      <c r="L2574" s="3">
        <v>2502.2800000000002</v>
      </c>
      <c r="N2574" s="3">
        <f>L2574*0.3</f>
        <v>750.68400000000008</v>
      </c>
      <c r="O2574" s="3">
        <f>(IF(L2574&lt;4172.98,0,MIN(L2574*0.3,L2574-4172.98)))-M2574</f>
        <v>0</v>
      </c>
      <c r="S2574" s="3" t="s">
        <v>204</v>
      </c>
      <c r="V2574" s="51">
        <v>0.70347222222222228</v>
      </c>
    </row>
    <row r="2575" spans="1:25" hidden="1">
      <c r="A2575" s="30">
        <v>24706914</v>
      </c>
      <c r="B2575" s="31">
        <v>46286</v>
      </c>
      <c r="C2575" s="32">
        <v>0.71510416666666665</v>
      </c>
      <c r="D2575" s="33"/>
      <c r="E2575" s="34">
        <v>5216621391162</v>
      </c>
      <c r="F2575" s="33"/>
      <c r="G2575" s="33"/>
      <c r="H2575" s="35">
        <v>24925912693</v>
      </c>
      <c r="I2575" s="33"/>
      <c r="J2575" s="36"/>
      <c r="K2575" t="s">
        <v>32</v>
      </c>
      <c r="N2575" s="3">
        <f>L2575*0.3</f>
        <v>0</v>
      </c>
      <c r="O2575" s="3">
        <f>(IF(L2575&lt;4172.98,0,MIN(L2575*0.3,L2575-4172.98)))-M2575</f>
        <v>0</v>
      </c>
      <c r="S2575" s="3" t="s">
        <v>204</v>
      </c>
      <c r="V2575" s="51">
        <v>0.71597222222222223</v>
      </c>
    </row>
    <row r="2576" spans="1:25" hidden="1">
      <c r="A2576" s="30">
        <v>24707316</v>
      </c>
      <c r="B2576" s="31">
        <v>46286</v>
      </c>
      <c r="C2576" s="32">
        <v>0.72813657407407406</v>
      </c>
      <c r="D2576" s="33" t="s">
        <v>2406</v>
      </c>
      <c r="E2576" s="34">
        <v>5213223526239</v>
      </c>
      <c r="F2576" s="33"/>
      <c r="G2576" s="33" t="s">
        <v>2407</v>
      </c>
      <c r="H2576" s="35"/>
      <c r="I2576" s="33"/>
      <c r="J2576" s="36"/>
      <c r="K2576" t="s">
        <v>32</v>
      </c>
      <c r="N2576" s="3">
        <f>L2576*0.3</f>
        <v>0</v>
      </c>
      <c r="O2576" s="3">
        <f>(IF(L2576&lt;4172.98,0,MIN(L2576*0.3,L2576-4172.98)))-M2576</f>
        <v>0</v>
      </c>
      <c r="S2576" s="3" t="s">
        <v>204</v>
      </c>
      <c r="V2576" s="51">
        <v>0.72986111111111107</v>
      </c>
    </row>
    <row r="2577" spans="1:25">
      <c r="A2577" s="30">
        <v>24707364</v>
      </c>
      <c r="B2577" s="31">
        <v>46286</v>
      </c>
      <c r="C2577" s="32">
        <v>0.73482638888888885</v>
      </c>
      <c r="D2577" s="33"/>
      <c r="E2577" s="34">
        <v>5214779158546</v>
      </c>
      <c r="F2577" s="33"/>
      <c r="G2577" s="33"/>
      <c r="H2577" s="35" t="s">
        <v>2408</v>
      </c>
      <c r="I2577" s="33"/>
      <c r="J2577" s="36"/>
      <c r="K2577" t="s">
        <v>38</v>
      </c>
      <c r="L2577" s="125">
        <v>6926.24</v>
      </c>
      <c r="M2577" s="125">
        <v>1720.67</v>
      </c>
      <c r="N2577" s="3">
        <f>L2577*0.3</f>
        <v>2077.8719999999998</v>
      </c>
      <c r="O2577" s="3">
        <f>(IF(L2577&lt;4172.98,0,MIN(L2577*0.3,L2577-4172.98)))-M2577</f>
        <v>357.20199999999977</v>
      </c>
      <c r="P2577" s="6">
        <v>46447</v>
      </c>
      <c r="Q2577" t="s">
        <v>75</v>
      </c>
      <c r="R2577" s="125">
        <v>1720.67</v>
      </c>
      <c r="S2577" s="3" t="s">
        <v>39</v>
      </c>
      <c r="T2577" s="48">
        <v>46286</v>
      </c>
      <c r="V2577" s="51">
        <v>0.7368055555555556</v>
      </c>
      <c r="W2577" s="51">
        <v>0.7583333333333333</v>
      </c>
      <c r="X2577" s="51">
        <v>0.76041666666666663</v>
      </c>
      <c r="Y2577" s="51">
        <v>0.76180555555555551</v>
      </c>
    </row>
    <row r="2578" spans="1:25" hidden="1">
      <c r="A2578" s="30">
        <v>24707664</v>
      </c>
      <c r="B2578" s="31">
        <v>46286</v>
      </c>
      <c r="C2578" s="32">
        <v>0.75065972222222221</v>
      </c>
      <c r="D2578" s="33"/>
      <c r="E2578" s="34">
        <v>5219212573621</v>
      </c>
      <c r="F2578" s="33"/>
      <c r="G2578" s="33"/>
      <c r="H2578" s="35" t="s">
        <v>2409</v>
      </c>
      <c r="I2578" s="33"/>
      <c r="J2578" s="36"/>
      <c r="K2578" t="s">
        <v>30</v>
      </c>
      <c r="L2578" s="125">
        <v>9760.32</v>
      </c>
      <c r="M2578" s="125">
        <v>2822.92</v>
      </c>
      <c r="N2578" s="3">
        <f>L2578*0.3</f>
        <v>2928.096</v>
      </c>
      <c r="O2578" s="3">
        <f>(IF(L2578&lt;4172.98,0,MIN(L2578*0.3,L2578-4172.98)))-M2578</f>
        <v>105.17599999999993</v>
      </c>
      <c r="P2578" s="6">
        <v>46631</v>
      </c>
      <c r="Q2578" t="s">
        <v>44</v>
      </c>
      <c r="R2578" s="125">
        <v>2822.92</v>
      </c>
      <c r="S2578" s="3" t="s">
        <v>204</v>
      </c>
      <c r="V2578" s="51">
        <v>0.75069444444444444</v>
      </c>
    </row>
    <row r="2579" spans="1:25" hidden="1">
      <c r="A2579" s="30">
        <v>24708146</v>
      </c>
      <c r="B2579" s="31">
        <v>46286</v>
      </c>
      <c r="C2579" s="32">
        <v>0.7701041666666667</v>
      </c>
      <c r="D2579" s="33"/>
      <c r="E2579" s="34">
        <v>5219361205316</v>
      </c>
      <c r="F2579" s="33"/>
      <c r="G2579" s="33" t="s">
        <v>2410</v>
      </c>
      <c r="H2579" s="35"/>
      <c r="I2579" s="33"/>
      <c r="J2579" s="36"/>
      <c r="K2579" t="s">
        <v>51</v>
      </c>
      <c r="N2579" s="3">
        <f>L2579*0.3</f>
        <v>0</v>
      </c>
      <c r="O2579" s="3">
        <f>(IF(L2579&lt;4172.98,0,MIN(L2579*0.3,L2579-4172.98)))-M2579</f>
        <v>0</v>
      </c>
      <c r="S2579" s="3" t="s">
        <v>204</v>
      </c>
      <c r="V2579" s="51">
        <v>0.77083333333333337</v>
      </c>
    </row>
    <row r="2580" spans="1:25" hidden="1">
      <c r="A2580" s="30">
        <v>24708316</v>
      </c>
      <c r="B2580" s="31">
        <v>46286</v>
      </c>
      <c r="C2580" s="32">
        <v>0.77332175925925928</v>
      </c>
      <c r="D2580" s="33"/>
      <c r="E2580" s="34">
        <v>5215611741664</v>
      </c>
      <c r="F2580" s="33"/>
      <c r="G2580" s="33" t="s">
        <v>2411</v>
      </c>
      <c r="H2580" s="35"/>
      <c r="I2580" s="33"/>
      <c r="J2580" s="36"/>
      <c r="K2580" t="s">
        <v>32</v>
      </c>
      <c r="N2580" s="3">
        <f>L2580*0.3</f>
        <v>0</v>
      </c>
      <c r="O2580" s="3">
        <f>(IF(L2580&lt;4172.98,0,MIN(L2580*0.3,L2580-4172.98)))-M2580</f>
        <v>0</v>
      </c>
      <c r="S2580" s="3" t="s">
        <v>204</v>
      </c>
      <c r="U2580" s="85"/>
      <c r="V2580" s="51">
        <v>0.7729166666666667</v>
      </c>
    </row>
    <row r="2581" spans="1:25" hidden="1">
      <c r="A2581" s="12">
        <v>24708544</v>
      </c>
      <c r="B2581" s="13">
        <v>46286</v>
      </c>
      <c r="C2581" s="14">
        <v>0.8004282407407407</v>
      </c>
      <c r="D2581" s="15"/>
      <c r="E2581" s="16">
        <v>42816476123</v>
      </c>
      <c r="F2581" s="15"/>
      <c r="G2581" s="15" t="s">
        <v>2412</v>
      </c>
      <c r="H2581" s="17" t="s">
        <v>2413</v>
      </c>
      <c r="I2581" s="15"/>
      <c r="J2581" s="18"/>
      <c r="K2581" t="s">
        <v>30</v>
      </c>
      <c r="L2581" s="111">
        <v>9081.52</v>
      </c>
      <c r="M2581" s="111">
        <v>2506.59</v>
      </c>
      <c r="N2581" s="3">
        <f t="shared" ref="N2581:N2599" si="330">L2581*0.3</f>
        <v>2724.4560000000001</v>
      </c>
      <c r="O2581" s="3">
        <f t="shared" ref="O2581:O2599" si="331">(IF(L2581&lt;4172.98,0,MIN(L2581*0.3,L2581-4172.98)))-M2581</f>
        <v>217.86599999999999</v>
      </c>
      <c r="P2581" s="6">
        <v>46388</v>
      </c>
      <c r="Q2581" t="s">
        <v>73</v>
      </c>
      <c r="R2581" s="111">
        <v>2506.59</v>
      </c>
      <c r="S2581" s="3" t="s">
        <v>204</v>
      </c>
      <c r="V2581" s="51">
        <v>0.33402777777777776</v>
      </c>
    </row>
    <row r="2582" spans="1:25" hidden="1">
      <c r="A2582" s="12">
        <v>24709566</v>
      </c>
      <c r="B2582" s="13">
        <v>46286</v>
      </c>
      <c r="C2582" s="14">
        <v>0.8168171296296296</v>
      </c>
      <c r="D2582" s="15"/>
      <c r="E2582" s="16">
        <v>5212713974761</v>
      </c>
      <c r="F2582" s="15"/>
      <c r="G2582" s="15"/>
      <c r="H2582" s="17" t="s">
        <v>2414</v>
      </c>
      <c r="I2582" s="15"/>
      <c r="J2582" s="18"/>
      <c r="K2582" t="s">
        <v>58</v>
      </c>
      <c r="L2582" s="3">
        <v>3602.45</v>
      </c>
      <c r="N2582" s="3">
        <f t="shared" si="330"/>
        <v>1080.7349999999999</v>
      </c>
      <c r="O2582" s="3">
        <f t="shared" si="331"/>
        <v>0</v>
      </c>
      <c r="S2582" s="3" t="s">
        <v>204</v>
      </c>
      <c r="V2582" s="51">
        <v>0.33402777777777776</v>
      </c>
    </row>
    <row r="2583" spans="1:25" hidden="1">
      <c r="A2583" s="12">
        <v>24710184</v>
      </c>
      <c r="B2583" s="13">
        <v>46286</v>
      </c>
      <c r="C2583" s="14">
        <v>0.83140046296296299</v>
      </c>
      <c r="D2583" s="15"/>
      <c r="E2583" s="16">
        <v>5212213486165</v>
      </c>
      <c r="F2583" s="15"/>
      <c r="G2583" s="15"/>
      <c r="H2583" s="17" t="s">
        <v>2415</v>
      </c>
      <c r="I2583" s="15"/>
      <c r="J2583" s="18"/>
      <c r="K2583" t="s">
        <v>58</v>
      </c>
      <c r="L2583" s="3">
        <f>2561.48+879</f>
        <v>3440.48</v>
      </c>
      <c r="N2583" s="3">
        <f t="shared" si="330"/>
        <v>1032.144</v>
      </c>
      <c r="O2583" s="3">
        <f t="shared" si="331"/>
        <v>0</v>
      </c>
      <c r="S2583" s="3" t="s">
        <v>204</v>
      </c>
      <c r="V2583" s="51">
        <v>0.33402777777777776</v>
      </c>
    </row>
    <row r="2584" spans="1:25" hidden="1">
      <c r="A2584" s="12">
        <v>24710284</v>
      </c>
      <c r="B2584" s="13">
        <v>46286</v>
      </c>
      <c r="C2584" s="14">
        <v>0.8371643518518519</v>
      </c>
      <c r="D2584" s="15"/>
      <c r="E2584" s="16">
        <v>5216634142708</v>
      </c>
      <c r="F2584" s="15"/>
      <c r="G2584" s="15" t="s">
        <v>2416</v>
      </c>
      <c r="H2584" s="17" t="s">
        <v>2417</v>
      </c>
      <c r="I2584" s="15"/>
      <c r="J2584" s="18"/>
      <c r="K2584" t="s">
        <v>32</v>
      </c>
      <c r="N2584" s="3">
        <f t="shared" si="330"/>
        <v>0</v>
      </c>
      <c r="O2584" s="3">
        <f t="shared" si="331"/>
        <v>0</v>
      </c>
      <c r="S2584" s="3" t="s">
        <v>204</v>
      </c>
      <c r="V2584" s="51">
        <v>0.33402777777777776</v>
      </c>
    </row>
    <row r="2585" spans="1:25" hidden="1">
      <c r="A2585" s="12">
        <v>24710168</v>
      </c>
      <c r="B2585" s="13">
        <v>46286</v>
      </c>
      <c r="C2585" s="14">
        <v>0.84355324074074078</v>
      </c>
      <c r="D2585" s="15"/>
      <c r="E2585" s="16">
        <v>5212297479443</v>
      </c>
      <c r="F2585" s="15"/>
      <c r="G2585" s="15" t="s">
        <v>2418</v>
      </c>
      <c r="H2585" s="17"/>
      <c r="I2585" s="15"/>
      <c r="J2585" s="18"/>
      <c r="K2585" t="s">
        <v>32</v>
      </c>
      <c r="N2585" s="3">
        <f t="shared" si="330"/>
        <v>0</v>
      </c>
      <c r="O2585" s="3">
        <f t="shared" si="331"/>
        <v>0</v>
      </c>
      <c r="S2585" s="3" t="s">
        <v>204</v>
      </c>
      <c r="V2585" s="51">
        <v>0.33402777777777776</v>
      </c>
    </row>
    <row r="2586" spans="1:25" hidden="1">
      <c r="A2586" s="12">
        <v>24710682</v>
      </c>
      <c r="B2586" s="13">
        <v>46286</v>
      </c>
      <c r="C2586" s="14">
        <v>0.86436342592592597</v>
      </c>
      <c r="D2586" s="15"/>
      <c r="E2586" s="16">
        <v>5212294521133</v>
      </c>
      <c r="F2586" s="15"/>
      <c r="G2586" s="15" t="s">
        <v>2419</v>
      </c>
      <c r="H2586" s="17"/>
      <c r="I2586" s="15"/>
      <c r="J2586" s="18"/>
      <c r="K2586" t="s">
        <v>32</v>
      </c>
      <c r="N2586" s="3">
        <f t="shared" si="330"/>
        <v>0</v>
      </c>
      <c r="O2586" s="3">
        <f t="shared" si="331"/>
        <v>0</v>
      </c>
      <c r="S2586" s="3" t="s">
        <v>204</v>
      </c>
      <c r="V2586" s="51">
        <v>0.33402777777777776</v>
      </c>
    </row>
    <row r="2587" spans="1:25" hidden="1">
      <c r="A2587" s="12">
        <v>24710810</v>
      </c>
      <c r="B2587" s="13">
        <v>46286</v>
      </c>
      <c r="C2587" s="14">
        <v>0.86685185185185187</v>
      </c>
      <c r="D2587" s="15"/>
      <c r="E2587" s="16">
        <v>5216692540408</v>
      </c>
      <c r="F2587" s="15"/>
      <c r="G2587" s="15"/>
      <c r="H2587" s="17" t="s">
        <v>2420</v>
      </c>
      <c r="I2587" s="15" t="str">
        <f>UPPER(Tabla1[[#This Row],[CURP]])</f>
        <v/>
      </c>
      <c r="J2587" s="18"/>
      <c r="K2587" t="s">
        <v>58</v>
      </c>
      <c r="L2587" s="3">
        <v>4081.72</v>
      </c>
      <c r="N2587" s="3">
        <f t="shared" si="330"/>
        <v>1224.5159999999998</v>
      </c>
      <c r="O2587" s="3">
        <f t="shared" si="331"/>
        <v>0</v>
      </c>
      <c r="S2587" s="3" t="s">
        <v>204</v>
      </c>
      <c r="V2587" s="51">
        <v>0.33402777777777776</v>
      </c>
    </row>
    <row r="2588" spans="1:25" hidden="1">
      <c r="A2588" s="12">
        <v>24711172</v>
      </c>
      <c r="B2588" s="13">
        <v>46286</v>
      </c>
      <c r="C2588" s="14">
        <v>0.89048611111111109</v>
      </c>
      <c r="D2588" s="15"/>
      <c r="E2588" s="16">
        <v>5216421181224</v>
      </c>
      <c r="F2588" s="15"/>
      <c r="G2588" s="15"/>
      <c r="H2588" s="17" t="s">
        <v>2421</v>
      </c>
      <c r="I2588" s="15" t="str">
        <f>UPPER(Tabla1[[#This Row],[CURP]])</f>
        <v/>
      </c>
      <c r="J2588" s="18"/>
      <c r="K2588" t="s">
        <v>58</v>
      </c>
      <c r="L2588" s="3">
        <f>2809.71+879</f>
        <v>3688.71</v>
      </c>
      <c r="M2588" s="3">
        <v>879</v>
      </c>
      <c r="N2588" s="3">
        <f t="shared" si="330"/>
        <v>1106.6130000000001</v>
      </c>
      <c r="O2588" s="3">
        <f t="shared" si="331"/>
        <v>-879</v>
      </c>
      <c r="S2588" s="3" t="s">
        <v>204</v>
      </c>
      <c r="V2588" s="51">
        <v>0.33402777777777776</v>
      </c>
    </row>
    <row r="2589" spans="1:25" hidden="1">
      <c r="A2589" s="12">
        <v>24711316</v>
      </c>
      <c r="B2589" s="13">
        <v>46286</v>
      </c>
      <c r="C2589" s="14">
        <v>0.89940972222222226</v>
      </c>
      <c r="D2589" s="15"/>
      <c r="E2589" s="16">
        <v>5216622253627</v>
      </c>
      <c r="F2589" s="15"/>
      <c r="G2589" s="15"/>
      <c r="H2589" s="17" t="s">
        <v>2422</v>
      </c>
      <c r="I2589" s="15" t="str">
        <f>UPPER(Tabla1[[#This Row],[CURP]])</f>
        <v/>
      </c>
      <c r="J2589" s="18"/>
      <c r="K2589" t="s">
        <v>30</v>
      </c>
      <c r="L2589" s="111">
        <v>9760.32</v>
      </c>
      <c r="M2589" s="111">
        <v>2823.89</v>
      </c>
      <c r="N2589" s="3">
        <f t="shared" si="330"/>
        <v>2928.096</v>
      </c>
      <c r="O2589" s="3">
        <f t="shared" si="331"/>
        <v>104.20600000000013</v>
      </c>
      <c r="P2589" s="6">
        <v>46661</v>
      </c>
      <c r="Q2589" t="s">
        <v>77</v>
      </c>
      <c r="R2589" s="111">
        <v>2823.89</v>
      </c>
      <c r="S2589" s="3" t="s">
        <v>204</v>
      </c>
      <c r="V2589" s="51">
        <v>0.33402777777777776</v>
      </c>
    </row>
    <row r="2590" spans="1:25">
      <c r="A2590" s="12">
        <v>24711516</v>
      </c>
      <c r="B2590" s="13">
        <v>46286</v>
      </c>
      <c r="C2590" s="14">
        <v>0.91517361111111106</v>
      </c>
      <c r="D2590" s="15"/>
      <c r="E2590" s="16">
        <v>5214441591383</v>
      </c>
      <c r="F2590" s="15"/>
      <c r="G2590" s="15"/>
      <c r="H2590" s="17" t="s">
        <v>2423</v>
      </c>
      <c r="I2590" s="15" t="str">
        <f>UPPER(Tabla1[[#This Row],[CURP]])</f>
        <v/>
      </c>
      <c r="J2590" s="18"/>
      <c r="K2590" t="s">
        <v>107</v>
      </c>
      <c r="L2590" s="3">
        <f>6646.12+2368</f>
        <v>9014.119999999999</v>
      </c>
      <c r="M2590" s="3">
        <v>2368</v>
      </c>
      <c r="N2590" s="3">
        <f t="shared" si="330"/>
        <v>2704.2359999999994</v>
      </c>
      <c r="O2590" s="3">
        <f t="shared" si="331"/>
        <v>336.23599999999942</v>
      </c>
      <c r="S2590" s="3" t="s">
        <v>39</v>
      </c>
      <c r="T2590" s="48">
        <v>46287</v>
      </c>
      <c r="V2590" s="51">
        <v>0.33402777777777776</v>
      </c>
      <c r="W2590" s="51">
        <v>0.34930555555555554</v>
      </c>
      <c r="X2590" s="51">
        <v>0.35069444444444442</v>
      </c>
      <c r="Y2590" s="51">
        <v>0.35347222222222224</v>
      </c>
    </row>
    <row r="2591" spans="1:25" hidden="1">
      <c r="A2591" s="12">
        <v>24712424</v>
      </c>
      <c r="B2591" s="13">
        <v>46286</v>
      </c>
      <c r="C2591" s="14">
        <v>0.9568402777777778</v>
      </c>
      <c r="D2591" s="15"/>
      <c r="E2591" s="16">
        <v>5214341071233</v>
      </c>
      <c r="F2591" s="15"/>
      <c r="G2591" s="15" t="s">
        <v>2424</v>
      </c>
      <c r="H2591" s="17"/>
      <c r="I2591" s="15"/>
      <c r="J2591" s="18"/>
      <c r="K2591" t="s">
        <v>32</v>
      </c>
      <c r="N2591" s="3">
        <f t="shared" si="330"/>
        <v>0</v>
      </c>
      <c r="O2591" s="3">
        <f t="shared" si="331"/>
        <v>0</v>
      </c>
      <c r="S2591" s="3" t="s">
        <v>204</v>
      </c>
      <c r="V2591" s="51">
        <v>0.33402777777777776</v>
      </c>
    </row>
    <row r="2592" spans="1:25">
      <c r="A2592" s="12">
        <v>24731902</v>
      </c>
      <c r="B2592" s="13">
        <v>46286</v>
      </c>
      <c r="C2592" s="14">
        <v>0.96166666666666667</v>
      </c>
      <c r="D2592" s="15"/>
      <c r="E2592" s="16">
        <v>5214421594117</v>
      </c>
      <c r="F2592" s="15"/>
      <c r="G2592" s="15" t="s">
        <v>2425</v>
      </c>
      <c r="H2592" s="17"/>
      <c r="I2592" s="15"/>
      <c r="J2592" s="18"/>
      <c r="K2592" t="s">
        <v>34</v>
      </c>
      <c r="L2592" s="111">
        <v>7116.73</v>
      </c>
      <c r="M2592" s="111">
        <v>1871.82</v>
      </c>
      <c r="N2592" s="3">
        <f t="shared" si="330"/>
        <v>2135.0189999999998</v>
      </c>
      <c r="O2592" s="3">
        <f t="shared" si="331"/>
        <v>263.19899999999984</v>
      </c>
      <c r="P2592" s="6">
        <v>45839</v>
      </c>
      <c r="Q2592" t="s">
        <v>57</v>
      </c>
      <c r="R2592" s="111">
        <v>1871.82</v>
      </c>
      <c r="S2592" s="3" t="s">
        <v>35</v>
      </c>
      <c r="T2592" s="48">
        <v>46287</v>
      </c>
      <c r="V2592" s="51">
        <v>0.33402777777777776</v>
      </c>
      <c r="W2592" s="51">
        <v>0.3576388888888889</v>
      </c>
      <c r="X2592" s="51">
        <v>0.3576388888888889</v>
      </c>
      <c r="Y2592" s="51">
        <v>0.35972222222222222</v>
      </c>
    </row>
    <row r="2593" spans="1:25" hidden="1">
      <c r="A2593" s="12">
        <v>24732602</v>
      </c>
      <c r="B2593" s="13">
        <v>46286</v>
      </c>
      <c r="C2593" s="14">
        <v>0.99050925925925926</v>
      </c>
      <c r="D2593" s="15"/>
      <c r="E2593" s="16">
        <v>5213312058311</v>
      </c>
      <c r="F2593" s="15"/>
      <c r="G2593" s="15" t="s">
        <v>2426</v>
      </c>
      <c r="H2593" s="17"/>
      <c r="I2593" s="15"/>
      <c r="J2593" s="18"/>
      <c r="K2593" t="s">
        <v>32</v>
      </c>
      <c r="N2593" s="3">
        <f t="shared" si="330"/>
        <v>0</v>
      </c>
      <c r="O2593" s="3">
        <f t="shared" si="331"/>
        <v>0</v>
      </c>
      <c r="S2593" s="3" t="s">
        <v>204</v>
      </c>
      <c r="V2593" s="51">
        <v>0.33402777777777776</v>
      </c>
    </row>
    <row r="2594" spans="1:25" hidden="1">
      <c r="A2594" s="12">
        <v>24734298</v>
      </c>
      <c r="B2594" s="13">
        <v>46287</v>
      </c>
      <c r="C2594" s="14">
        <v>0.20392361111111112</v>
      </c>
      <c r="D2594" s="15" t="s">
        <v>2427</v>
      </c>
      <c r="E2594" s="16">
        <v>5216621736264</v>
      </c>
      <c r="F2594" s="15"/>
      <c r="G2594" s="15"/>
      <c r="H2594" s="17" t="s">
        <v>2428</v>
      </c>
      <c r="I2594" s="15"/>
      <c r="J2594" s="18"/>
      <c r="K2594" t="s">
        <v>30</v>
      </c>
      <c r="L2594" s="3">
        <v>7917.2</v>
      </c>
      <c r="M2594" s="3">
        <v>2359.0300000000002</v>
      </c>
      <c r="N2594" s="3">
        <f t="shared" si="330"/>
        <v>2375.16</v>
      </c>
      <c r="O2594" s="3">
        <f t="shared" si="331"/>
        <v>16.129999999999654</v>
      </c>
      <c r="P2594" s="6">
        <v>46905</v>
      </c>
      <c r="Q2594" t="s">
        <v>57</v>
      </c>
      <c r="R2594" s="3">
        <v>2359.0300000000002</v>
      </c>
      <c r="S2594" s="3" t="s">
        <v>204</v>
      </c>
      <c r="V2594" s="51">
        <v>0.33402777777777776</v>
      </c>
    </row>
    <row r="2595" spans="1:25" hidden="1">
      <c r="A2595" s="12">
        <v>24734074</v>
      </c>
      <c r="B2595" s="13">
        <v>46287</v>
      </c>
      <c r="C2595" s="14">
        <v>0.20523148148148149</v>
      </c>
      <c r="D2595" s="15"/>
      <c r="E2595" s="16">
        <v>5219992691683</v>
      </c>
      <c r="F2595" s="15"/>
      <c r="G2595" s="15"/>
      <c r="H2595" s="17" t="s">
        <v>2429</v>
      </c>
      <c r="I2595" s="15"/>
      <c r="J2595" s="18"/>
      <c r="K2595" t="s">
        <v>30</v>
      </c>
      <c r="L2595" s="111">
        <v>6867.52</v>
      </c>
      <c r="M2595" s="111">
        <v>1986.08</v>
      </c>
      <c r="N2595" s="3">
        <f t="shared" si="330"/>
        <v>2060.2559999999999</v>
      </c>
      <c r="O2595" s="3">
        <f t="shared" si="331"/>
        <v>74.175999999999931</v>
      </c>
      <c r="P2595" s="6">
        <v>46661</v>
      </c>
      <c r="Q2595" t="s">
        <v>75</v>
      </c>
      <c r="R2595" s="111">
        <v>1986.08</v>
      </c>
      <c r="S2595" s="3" t="s">
        <v>204</v>
      </c>
      <c r="V2595" s="51">
        <v>0.33402777777777776</v>
      </c>
    </row>
    <row r="2596" spans="1:25">
      <c r="A2596" s="12">
        <v>24736262</v>
      </c>
      <c r="B2596" s="13">
        <v>46287</v>
      </c>
      <c r="C2596" s="14">
        <v>0.27952546296296299</v>
      </c>
      <c r="D2596" s="15"/>
      <c r="E2596" s="16">
        <v>5218681294008</v>
      </c>
      <c r="F2596" s="15"/>
      <c r="G2596" s="15"/>
      <c r="H2596" s="17" t="s">
        <v>2430</v>
      </c>
      <c r="I2596" s="15"/>
      <c r="J2596" s="18"/>
      <c r="K2596" t="s">
        <v>54</v>
      </c>
      <c r="L2596" s="3">
        <v>9760.32</v>
      </c>
      <c r="N2596" s="3">
        <f t="shared" si="330"/>
        <v>2928.096</v>
      </c>
      <c r="O2596" s="3">
        <f t="shared" si="331"/>
        <v>2928.096</v>
      </c>
      <c r="S2596" s="3" t="s">
        <v>266</v>
      </c>
      <c r="T2596" s="48">
        <v>46287</v>
      </c>
      <c r="V2596" s="51">
        <v>0.33402777777777776</v>
      </c>
      <c r="W2596" s="51">
        <v>0.35486111111111113</v>
      </c>
      <c r="X2596" s="51">
        <v>0.35972222222222222</v>
      </c>
      <c r="Y2596" s="51">
        <v>0.36041666666666666</v>
      </c>
    </row>
    <row r="2597" spans="1:25" hidden="1">
      <c r="A2597" s="12">
        <v>24737234</v>
      </c>
      <c r="B2597" s="13">
        <v>46287</v>
      </c>
      <c r="C2597" s="14">
        <v>0.30108796296296297</v>
      </c>
      <c r="D2597" s="15" t="s">
        <v>2431</v>
      </c>
      <c r="E2597" s="16">
        <v>5218124135054</v>
      </c>
      <c r="F2597" s="15"/>
      <c r="G2597" s="15"/>
      <c r="H2597" s="17" t="s">
        <v>2432</v>
      </c>
      <c r="I2597" s="15"/>
      <c r="J2597" s="18"/>
      <c r="K2597" t="s">
        <v>30</v>
      </c>
      <c r="L2597" s="111">
        <v>6262.86</v>
      </c>
      <c r="M2597" s="111">
        <v>1738.79</v>
      </c>
      <c r="N2597" s="3">
        <f t="shared" si="330"/>
        <v>1878.8579999999997</v>
      </c>
      <c r="O2597" s="3">
        <f t="shared" si="331"/>
        <v>140.06799999999976</v>
      </c>
      <c r="P2597" s="6">
        <v>46296</v>
      </c>
      <c r="Q2597" t="s">
        <v>44</v>
      </c>
      <c r="R2597" s="3">
        <v>1304</v>
      </c>
      <c r="S2597" s="3" t="s">
        <v>204</v>
      </c>
      <c r="V2597" s="51">
        <v>0.33402777777777776</v>
      </c>
    </row>
    <row r="2598" spans="1:25" hidden="1">
      <c r="A2598" s="12">
        <v>24738082</v>
      </c>
      <c r="B2598" s="13">
        <v>46287</v>
      </c>
      <c r="C2598" s="14">
        <v>0.32665509259259257</v>
      </c>
      <c r="D2598" s="15" t="s">
        <v>2433</v>
      </c>
      <c r="E2598" s="16">
        <v>4772900259</v>
      </c>
      <c r="F2598" s="15"/>
      <c r="G2598" s="15" t="s">
        <v>2434</v>
      </c>
      <c r="H2598" s="17" t="s">
        <v>2435</v>
      </c>
      <c r="I2598" s="15"/>
      <c r="J2598" s="18"/>
      <c r="K2598" t="s">
        <v>32</v>
      </c>
      <c r="N2598" s="3">
        <f t="shared" si="330"/>
        <v>0</v>
      </c>
      <c r="O2598" s="3">
        <f t="shared" si="331"/>
        <v>0</v>
      </c>
      <c r="S2598" s="3" t="s">
        <v>204</v>
      </c>
      <c r="V2598" s="51">
        <v>0.33402777777777776</v>
      </c>
    </row>
    <row r="2599" spans="1:25" hidden="1">
      <c r="A2599" s="30">
        <v>24738062</v>
      </c>
      <c r="B2599" s="31">
        <v>46287</v>
      </c>
      <c r="C2599" s="32">
        <v>0.32677083333333334</v>
      </c>
      <c r="D2599" s="33"/>
      <c r="E2599" s="34">
        <v>5219995113313</v>
      </c>
      <c r="F2599" s="33"/>
      <c r="G2599" s="33"/>
      <c r="H2599" s="35" t="s">
        <v>2436</v>
      </c>
      <c r="I2599" s="33"/>
      <c r="J2599" s="36"/>
      <c r="K2599" t="s">
        <v>30</v>
      </c>
      <c r="L2599" s="111">
        <v>5617.63</v>
      </c>
      <c r="M2599" s="111">
        <v>1393</v>
      </c>
      <c r="N2599" s="3">
        <f t="shared" si="330"/>
        <v>1685.289</v>
      </c>
      <c r="O2599" s="3">
        <f t="shared" si="331"/>
        <v>51.650000000000546</v>
      </c>
      <c r="P2599" s="6">
        <v>46569</v>
      </c>
      <c r="Q2599" t="s">
        <v>332</v>
      </c>
      <c r="R2599" s="3">
        <v>558</v>
      </c>
      <c r="S2599" s="3" t="s">
        <v>204</v>
      </c>
      <c r="V2599" s="51">
        <v>0.33402777777777776</v>
      </c>
    </row>
    <row r="2600" spans="1:25" hidden="1">
      <c r="A2600" s="30">
        <v>24739170</v>
      </c>
      <c r="B2600" s="31">
        <v>46287</v>
      </c>
      <c r="C2600" s="32">
        <v>0.35371527777777778</v>
      </c>
      <c r="D2600" s="33" t="s">
        <v>2437</v>
      </c>
      <c r="E2600" s="34">
        <v>5218771647480</v>
      </c>
      <c r="F2600" s="33"/>
      <c r="G2600" s="33" t="s">
        <v>2438</v>
      </c>
      <c r="H2600" s="35">
        <v>41886206337</v>
      </c>
      <c r="I2600" s="33"/>
      <c r="J2600" s="36"/>
      <c r="K2600" t="s">
        <v>30</v>
      </c>
      <c r="L2600" s="3">
        <f>4984.69+177+1955.04</f>
        <v>7116.73</v>
      </c>
      <c r="M2600" s="3">
        <f>1955.04+177</f>
        <v>2132.04</v>
      </c>
      <c r="N2600" s="3">
        <f>L2600*0.3</f>
        <v>2135.0189999999998</v>
      </c>
      <c r="O2600" s="3">
        <f>(IF(L2600&lt;4172.98,0,MIN(L2600*0.3,L2600-4172.98)))-M2600</f>
        <v>2.9789999999998145</v>
      </c>
      <c r="P2600" s="6">
        <v>46874</v>
      </c>
      <c r="Q2600" t="s">
        <v>73</v>
      </c>
      <c r="R2600" s="3">
        <v>2141.14</v>
      </c>
      <c r="S2600" s="3" t="s">
        <v>204</v>
      </c>
      <c r="V2600" s="51">
        <v>0.35555555555555557</v>
      </c>
    </row>
    <row r="2601" spans="1:25" hidden="1">
      <c r="A2601" s="30">
        <v>24739580</v>
      </c>
      <c r="B2601" s="31">
        <v>46287</v>
      </c>
      <c r="C2601" s="32">
        <v>0.37171296296296297</v>
      </c>
      <c r="D2601" s="33"/>
      <c r="E2601" s="34">
        <v>5218126216484</v>
      </c>
      <c r="F2601" s="33"/>
      <c r="G2601" s="33"/>
      <c r="H2601" s="35">
        <v>43906143052</v>
      </c>
      <c r="I2601" s="33"/>
      <c r="J2601" s="36"/>
      <c r="K2601" t="s">
        <v>32</v>
      </c>
      <c r="N2601" s="3">
        <f>L2601*0.3</f>
        <v>0</v>
      </c>
      <c r="O2601" s="3">
        <f>(IF(L2601&lt;4172.98,0,MIN(L2601*0.3,L2601-4172.98)))-M2601</f>
        <v>0</v>
      </c>
      <c r="S2601" s="3" t="s">
        <v>204</v>
      </c>
      <c r="V2601" s="51">
        <v>0.37430555555555556</v>
      </c>
    </row>
    <row r="2602" spans="1:25" hidden="1">
      <c r="A2602" s="12">
        <v>24740524</v>
      </c>
      <c r="B2602" s="13">
        <v>46287</v>
      </c>
      <c r="C2602" s="14">
        <v>0.39046296296296296</v>
      </c>
      <c r="D2602" s="15"/>
      <c r="E2602" s="16">
        <v>5216471896218</v>
      </c>
      <c r="F2602" s="15"/>
      <c r="G2602" s="15" t="s">
        <v>2439</v>
      </c>
      <c r="H2602" s="17"/>
      <c r="I2602" s="15"/>
      <c r="J2602" s="18"/>
      <c r="K2602" t="s">
        <v>32</v>
      </c>
      <c r="N2602" s="3">
        <f>L2602*0.3</f>
        <v>0</v>
      </c>
      <c r="O2602" s="3">
        <f>(IF(L2602&lt;4172.98,0,MIN(L2602*0.3,L2602-4172.98)))-M2602</f>
        <v>0</v>
      </c>
      <c r="S2602" s="3" t="s">
        <v>204</v>
      </c>
      <c r="V2602" s="51">
        <v>0.39166666666666666</v>
      </c>
    </row>
    <row r="2603" spans="1:25" hidden="1">
      <c r="A2603" s="30">
        <v>24740612</v>
      </c>
      <c r="B2603" s="31">
        <v>46287</v>
      </c>
      <c r="C2603" s="32">
        <v>0.39174768518518521</v>
      </c>
      <c r="D2603" s="33"/>
      <c r="E2603" s="34">
        <v>5213131409010</v>
      </c>
      <c r="F2603" s="33"/>
      <c r="G2603" s="33"/>
      <c r="H2603" s="35">
        <v>55826403010</v>
      </c>
      <c r="I2603" s="33"/>
      <c r="J2603" s="36"/>
      <c r="K2603" t="s">
        <v>30</v>
      </c>
      <c r="L2603" s="111">
        <v>9760.32</v>
      </c>
      <c r="M2603" s="111">
        <v>2927.03</v>
      </c>
      <c r="N2603" s="3">
        <f>L2603*0.3</f>
        <v>2928.096</v>
      </c>
      <c r="O2603" s="3">
        <f>(IF(L2603&lt;4172.98,0,MIN(L2603*0.3,L2603-4172.98)))-M2603</f>
        <v>1.0659999999998035</v>
      </c>
      <c r="P2603" s="6">
        <v>46539</v>
      </c>
      <c r="Q2603" t="s">
        <v>44</v>
      </c>
      <c r="R2603" s="3">
        <v>1137.4100000000001</v>
      </c>
      <c r="S2603" s="3" t="s">
        <v>204</v>
      </c>
      <c r="V2603" s="51">
        <v>0.39166666666666666</v>
      </c>
    </row>
    <row r="2604" spans="1:25">
      <c r="A2604" s="30">
        <v>24741016</v>
      </c>
      <c r="B2604" s="31">
        <v>46287</v>
      </c>
      <c r="C2604" s="32">
        <v>0.40259259259259261</v>
      </c>
      <c r="D2604" s="33"/>
      <c r="E2604" s="34">
        <v>5219812930423</v>
      </c>
      <c r="F2604" s="33"/>
      <c r="G2604" s="33" t="s">
        <v>2440</v>
      </c>
      <c r="H2604" s="35"/>
      <c r="I2604" s="33"/>
      <c r="J2604" s="36"/>
      <c r="K2604" t="s">
        <v>38</v>
      </c>
      <c r="L2604" s="111">
        <v>19232.439999999999</v>
      </c>
      <c r="M2604" s="111">
        <v>4826.1099999999997</v>
      </c>
      <c r="N2604" s="3">
        <f>L2604*0.3</f>
        <v>5769.7319999999991</v>
      </c>
      <c r="O2604" s="3">
        <f>(IF(L2604&lt;4172.98,0,MIN(L2604*0.3,L2604-4172.98)))-M2604</f>
        <v>943.62199999999939</v>
      </c>
      <c r="P2604" s="6">
        <v>46692</v>
      </c>
      <c r="Q2604" t="s">
        <v>57</v>
      </c>
      <c r="R2604" s="111">
        <v>4826.1099999999997</v>
      </c>
      <c r="S2604" s="3" t="s">
        <v>2179</v>
      </c>
      <c r="T2604" s="48">
        <v>46287</v>
      </c>
      <c r="V2604" s="51">
        <v>0.40486111111111112</v>
      </c>
      <c r="W2604" s="51">
        <v>0.40694444444444444</v>
      </c>
      <c r="X2604" s="51">
        <v>0.41458333333333336</v>
      </c>
      <c r="Y2604" s="51">
        <v>0.43333333333333335</v>
      </c>
    </row>
    <row r="2605" spans="1:25" hidden="1">
      <c r="A2605" s="12">
        <v>24741380</v>
      </c>
      <c r="B2605" s="13">
        <v>46287</v>
      </c>
      <c r="C2605" s="14">
        <v>0.4167939814814815</v>
      </c>
      <c r="D2605" s="15" t="s">
        <v>2441</v>
      </c>
      <c r="E2605" s="16">
        <v>5214721014959</v>
      </c>
      <c r="F2605" s="15"/>
      <c r="G2605" s="15" t="s">
        <v>2442</v>
      </c>
      <c r="H2605" s="17"/>
      <c r="I2605" s="15"/>
      <c r="J2605" s="18"/>
      <c r="K2605" t="s">
        <v>32</v>
      </c>
      <c r="N2605" s="3">
        <f>L2605*0.3</f>
        <v>0</v>
      </c>
      <c r="O2605" s="3">
        <f>(IF(L2605&lt;4172.98,0,MIN(L2605*0.3,L2605-4172.98)))-M2605</f>
        <v>0</v>
      </c>
      <c r="S2605" s="3" t="s">
        <v>204</v>
      </c>
      <c r="V2605" s="51">
        <v>0.4201388888888889</v>
      </c>
    </row>
    <row r="2606" spans="1:25">
      <c r="A2606" s="30">
        <v>24741298</v>
      </c>
      <c r="B2606" s="31">
        <v>46287</v>
      </c>
      <c r="C2606" s="32">
        <v>0.4196064814814815</v>
      </c>
      <c r="D2606" s="33"/>
      <c r="E2606" s="34">
        <v>5218445409207</v>
      </c>
      <c r="F2606" s="33"/>
      <c r="G2606" s="33" t="s">
        <v>2443</v>
      </c>
      <c r="H2606" s="35"/>
      <c r="I2606" s="33"/>
      <c r="J2606" s="36"/>
      <c r="K2606" t="s">
        <v>38</v>
      </c>
      <c r="L2606" s="111">
        <v>6262.86</v>
      </c>
      <c r="M2606" s="111">
        <v>963.47</v>
      </c>
      <c r="N2606" s="3">
        <f>L2606*0.3</f>
        <v>1878.8579999999997</v>
      </c>
      <c r="O2606" s="3">
        <f>(IF(L2606&lt;4172.98,0,MIN(L2606*0.3,L2606-4172.98)))-M2606</f>
        <v>915.38799999999969</v>
      </c>
      <c r="P2606" s="6">
        <v>46753</v>
      </c>
      <c r="Q2606" t="s">
        <v>44</v>
      </c>
      <c r="R2606" s="111">
        <v>963.47</v>
      </c>
      <c r="S2606" s="3" t="s">
        <v>39</v>
      </c>
      <c r="T2606" s="48">
        <v>46287</v>
      </c>
      <c r="V2606" s="51">
        <v>0.4201388888888889</v>
      </c>
      <c r="W2606" s="51">
        <v>0.42708333333333331</v>
      </c>
      <c r="X2606" s="51">
        <v>0.4375</v>
      </c>
      <c r="Y2606" s="51">
        <v>0.43958333333333333</v>
      </c>
    </row>
    <row r="2607" spans="1:25" hidden="1">
      <c r="A2607" s="30">
        <v>24741800</v>
      </c>
      <c r="B2607" s="31">
        <v>46287</v>
      </c>
      <c r="C2607" s="32">
        <v>0.42486111111111113</v>
      </c>
      <c r="D2607" s="33"/>
      <c r="E2607" s="34">
        <v>5215636935005</v>
      </c>
      <c r="F2607" s="33"/>
      <c r="G2607" s="33" t="s">
        <v>2444</v>
      </c>
      <c r="H2607" s="35"/>
      <c r="I2607" s="33"/>
      <c r="J2607" s="36"/>
      <c r="K2607" t="s">
        <v>58</v>
      </c>
      <c r="L2607" s="3">
        <v>2052.7600000000002</v>
      </c>
      <c r="N2607" s="3">
        <f>L2607*0.3</f>
        <v>615.82800000000009</v>
      </c>
      <c r="O2607" s="3">
        <f>(IF(L2607&lt;4172.98,0,MIN(L2607*0.3,L2607-4172.98)))-M2607</f>
        <v>0</v>
      </c>
      <c r="S2607" s="3" t="s">
        <v>204</v>
      </c>
      <c r="V2607" s="51">
        <v>0.42638888888888887</v>
      </c>
    </row>
    <row r="2608" spans="1:25" hidden="1">
      <c r="A2608" s="30">
        <v>24741962</v>
      </c>
      <c r="B2608" s="31">
        <v>46287</v>
      </c>
      <c r="C2608" s="32">
        <v>0.4346990740740741</v>
      </c>
      <c r="D2608" s="33"/>
      <c r="E2608" s="34">
        <v>5214438435230</v>
      </c>
      <c r="F2608" s="33"/>
      <c r="G2608" s="33" t="s">
        <v>2445</v>
      </c>
      <c r="H2608" s="35"/>
      <c r="I2608" s="33"/>
      <c r="J2608" s="36"/>
      <c r="K2608" t="s">
        <v>32</v>
      </c>
      <c r="N2608" s="3">
        <f>L2608*0.3</f>
        <v>0</v>
      </c>
      <c r="O2608" s="3">
        <f>(IF(L2608&lt;4172.98,0,MIN(L2608*0.3,L2608-4172.98)))-M2608</f>
        <v>0</v>
      </c>
      <c r="S2608" s="3" t="s">
        <v>204</v>
      </c>
      <c r="V2608" s="51">
        <v>0.43541666666666667</v>
      </c>
    </row>
    <row r="2609" spans="1:25" hidden="1">
      <c r="A2609" s="30">
        <v>24742256</v>
      </c>
      <c r="B2609" s="31">
        <v>46287</v>
      </c>
      <c r="C2609" s="32">
        <v>0.44384259259259257</v>
      </c>
      <c r="D2609" s="33"/>
      <c r="E2609" s="34">
        <v>5214434917019</v>
      </c>
      <c r="F2609" s="33"/>
      <c r="G2609" s="33"/>
      <c r="H2609" s="35">
        <v>5390660608</v>
      </c>
      <c r="I2609" s="33"/>
      <c r="J2609" s="36"/>
      <c r="K2609" t="s">
        <v>32</v>
      </c>
      <c r="N2609" s="3">
        <f>L2609*0.3</f>
        <v>0</v>
      </c>
      <c r="O2609" s="3">
        <f>(IF(L2609&lt;4172.98,0,MIN(L2609*0.3,L2609-4172.98)))-M2609</f>
        <v>0</v>
      </c>
      <c r="S2609" s="3" t="s">
        <v>204</v>
      </c>
      <c r="V2609" s="51">
        <v>0.44583333333333336</v>
      </c>
    </row>
    <row r="2610" spans="1:25" hidden="1">
      <c r="A2610" s="30">
        <v>24743050</v>
      </c>
      <c r="B2610" s="31">
        <v>46287</v>
      </c>
      <c r="C2610" s="32">
        <v>0.46069444444444446</v>
      </c>
      <c r="D2610" s="33"/>
      <c r="E2610" s="34">
        <v>5219613735803</v>
      </c>
      <c r="F2610" s="33"/>
      <c r="G2610" s="33" t="s">
        <v>2446</v>
      </c>
      <c r="H2610" s="35"/>
      <c r="I2610" s="33"/>
      <c r="J2610" s="36"/>
      <c r="K2610" t="s">
        <v>32</v>
      </c>
      <c r="N2610" s="3">
        <f>L2610*0.3</f>
        <v>0</v>
      </c>
      <c r="O2610" s="3">
        <f>(IF(L2610&lt;4172.98,0,MIN(L2610*0.3,L2610-4172.98)))-M2610</f>
        <v>0</v>
      </c>
      <c r="S2610" s="3" t="s">
        <v>204</v>
      </c>
      <c r="V2610" s="51">
        <v>0.46041666666666664</v>
      </c>
    </row>
    <row r="2611" spans="1:25" hidden="1">
      <c r="A2611" s="30">
        <v>24743176</v>
      </c>
      <c r="B2611" s="31">
        <v>46287</v>
      </c>
      <c r="C2611" s="32">
        <v>0.46347222222222223</v>
      </c>
      <c r="D2611" s="33"/>
      <c r="E2611" s="34">
        <v>5214281108895</v>
      </c>
      <c r="F2611" s="33"/>
      <c r="G2611" s="33" t="s">
        <v>2447</v>
      </c>
      <c r="H2611" s="35"/>
      <c r="I2611" s="33"/>
      <c r="J2611" s="36"/>
      <c r="K2611" t="s">
        <v>32</v>
      </c>
      <c r="N2611" s="3">
        <f>L2611*0.3</f>
        <v>0</v>
      </c>
      <c r="O2611" s="3">
        <f>(IF(L2611&lt;4172.98,0,MIN(L2611*0.3,L2611-4172.98)))-M2611</f>
        <v>0</v>
      </c>
      <c r="S2611" s="3" t="s">
        <v>204</v>
      </c>
      <c r="V2611" s="51">
        <v>0.46319444444444446</v>
      </c>
    </row>
    <row r="2612" spans="1:25">
      <c r="A2612" s="30">
        <v>24743428</v>
      </c>
      <c r="B2612" s="31">
        <v>46287</v>
      </c>
      <c r="C2612" s="32">
        <v>0.46876157407407409</v>
      </c>
      <c r="D2612" s="33"/>
      <c r="E2612" s="34">
        <v>5214421949670</v>
      </c>
      <c r="F2612" s="33"/>
      <c r="G2612" s="33" t="s">
        <v>2448</v>
      </c>
      <c r="H2612" s="35"/>
      <c r="I2612" s="33"/>
      <c r="J2612" s="36"/>
      <c r="K2612" t="s">
        <v>54</v>
      </c>
      <c r="L2612" s="3">
        <v>9760.32</v>
      </c>
      <c r="N2612" s="3">
        <f>L2612*0.3</f>
        <v>2928.096</v>
      </c>
      <c r="O2612" s="3">
        <f>(IF(L2612&lt;4172.98,0,MIN(L2612*0.3,L2612-4172.98)))-M2612</f>
        <v>2928.096</v>
      </c>
      <c r="S2612" s="3" t="s">
        <v>879</v>
      </c>
      <c r="T2612" s="48">
        <v>46287</v>
      </c>
      <c r="V2612" s="51">
        <v>0.46875</v>
      </c>
      <c r="W2612" s="51">
        <v>0.47083333333333333</v>
      </c>
      <c r="X2612" s="51">
        <v>0.47222222222222221</v>
      </c>
      <c r="Y2612" s="51">
        <v>0.48541666666666666</v>
      </c>
    </row>
    <row r="2613" spans="1:25" hidden="1">
      <c r="A2613" s="30">
        <v>24743182</v>
      </c>
      <c r="B2613" s="31">
        <v>46287</v>
      </c>
      <c r="C2613" s="32">
        <v>0.47052083333333333</v>
      </c>
      <c r="D2613" s="33"/>
      <c r="E2613" s="34">
        <v>5216461461848</v>
      </c>
      <c r="F2613" s="33"/>
      <c r="G2613" s="33"/>
      <c r="H2613" s="35">
        <v>84735306304</v>
      </c>
      <c r="I2613" s="33"/>
      <c r="J2613" s="36"/>
      <c r="K2613" t="s">
        <v>58</v>
      </c>
      <c r="L2613" s="3">
        <v>4009.31</v>
      </c>
      <c r="N2613" s="3">
        <f>L2613*0.3</f>
        <v>1202.7929999999999</v>
      </c>
      <c r="O2613" s="3">
        <f>(IF(L2613&lt;4172.98,0,MIN(L2613*0.3,L2613-4172.98)))-M2613</f>
        <v>0</v>
      </c>
      <c r="S2613" s="3" t="s">
        <v>204</v>
      </c>
      <c r="V2613" s="51">
        <v>0.47083333333333333</v>
      </c>
    </row>
    <row r="2614" spans="1:25" hidden="1">
      <c r="A2614" s="30">
        <v>24743502</v>
      </c>
      <c r="B2614" s="31">
        <v>46287</v>
      </c>
      <c r="C2614" s="32">
        <v>0.47454861111111113</v>
      </c>
      <c r="D2614" s="33"/>
      <c r="E2614" s="34">
        <v>5217442772951</v>
      </c>
      <c r="F2614" s="33"/>
      <c r="G2614" s="33"/>
      <c r="H2614" s="35">
        <v>72816513088</v>
      </c>
      <c r="I2614" s="33"/>
      <c r="J2614" s="36"/>
      <c r="K2614" t="s">
        <v>30</v>
      </c>
      <c r="L2614" s="111">
        <v>11029.03</v>
      </c>
      <c r="M2614" s="111">
        <v>3308.71</v>
      </c>
      <c r="N2614" s="3">
        <f>L2614*0.3</f>
        <v>3308.7090000000003</v>
      </c>
      <c r="O2614" s="3">
        <f>(IF(L2614&lt;4172.98,0,MIN(L2614*0.3,L2614-4172.98)))-M2614</f>
        <v>-9.9999999974897946E-4</v>
      </c>
      <c r="P2614" s="6">
        <v>46813</v>
      </c>
      <c r="Q2614" t="s">
        <v>44</v>
      </c>
      <c r="R2614" s="111">
        <v>3308.71</v>
      </c>
      <c r="S2614" s="3" t="s">
        <v>204</v>
      </c>
      <c r="V2614" s="51">
        <v>0.47430555555555554</v>
      </c>
    </row>
    <row r="2615" spans="1:25">
      <c r="A2615" s="30">
        <v>24743900</v>
      </c>
      <c r="B2615" s="31">
        <v>46287</v>
      </c>
      <c r="C2615" s="32">
        <v>0.49175925925925928</v>
      </c>
      <c r="D2615" s="33"/>
      <c r="E2615" s="34">
        <v>5218443479239</v>
      </c>
      <c r="F2615" s="33"/>
      <c r="G2615" s="33"/>
      <c r="H2615" s="35">
        <v>32674821049</v>
      </c>
      <c r="I2615" s="33"/>
      <c r="J2615" s="36"/>
      <c r="K2615" t="s">
        <v>27</v>
      </c>
      <c r="L2615" s="111">
        <v>15798.92</v>
      </c>
      <c r="M2615" s="111">
        <v>4739</v>
      </c>
      <c r="N2615" s="3">
        <f>L2615*0.3</f>
        <v>4739.6759999999995</v>
      </c>
      <c r="O2615" s="3">
        <f>(IF(L2615&lt;4172.98,0,MIN(L2615*0.3,L2615-4172.98)))-M2615</f>
        <v>0.67599999999947613</v>
      </c>
      <c r="P2615" s="6">
        <v>46113</v>
      </c>
      <c r="Q2615" t="s">
        <v>2449</v>
      </c>
      <c r="R2615" s="111">
        <v>3783</v>
      </c>
      <c r="S2615" s="3" t="s">
        <v>1080</v>
      </c>
      <c r="T2615" s="48">
        <v>46287</v>
      </c>
      <c r="V2615" s="51">
        <v>0.49236111111111114</v>
      </c>
      <c r="W2615" s="51">
        <v>0.5</v>
      </c>
      <c r="X2615" s="51">
        <v>0.50416666666666665</v>
      </c>
      <c r="Y2615" s="51">
        <v>0.50694444444444442</v>
      </c>
    </row>
    <row r="2616" spans="1:25">
      <c r="A2616" s="30">
        <v>24744544</v>
      </c>
      <c r="B2616" s="31">
        <v>46287</v>
      </c>
      <c r="C2616" s="32">
        <v>0.502349537037037</v>
      </c>
      <c r="D2616" s="33"/>
      <c r="E2616" s="34">
        <v>5216562640325</v>
      </c>
      <c r="F2616" s="33"/>
      <c r="G2616" s="33"/>
      <c r="H2616" s="35">
        <v>33816432604</v>
      </c>
      <c r="I2616" s="33"/>
      <c r="J2616" s="36"/>
      <c r="K2616" t="s">
        <v>54</v>
      </c>
      <c r="L2616" s="3">
        <v>28503.03</v>
      </c>
      <c r="N2616" s="3">
        <f>L2616*0.3</f>
        <v>8550.9089999999997</v>
      </c>
      <c r="O2616" s="3">
        <f>(IF(L2616&lt;4172.98,0,MIN(L2616*0.3,L2616-4172.98)))-M2616</f>
        <v>8550.9089999999997</v>
      </c>
      <c r="S2616" s="3" t="s">
        <v>327</v>
      </c>
      <c r="T2616" s="48">
        <v>46287</v>
      </c>
      <c r="V2616" s="51">
        <v>0.50208333333333333</v>
      </c>
      <c r="W2616" s="51">
        <v>0.55208333333333337</v>
      </c>
      <c r="X2616" s="51">
        <v>0.56041666666666667</v>
      </c>
      <c r="Y2616" s="51">
        <v>0.56736111111111109</v>
      </c>
    </row>
    <row r="2617" spans="1:25" hidden="1">
      <c r="A2617" s="30">
        <v>24744458</v>
      </c>
      <c r="B2617" s="31">
        <v>46287</v>
      </c>
      <c r="C2617" s="32">
        <v>0.50609953703703703</v>
      </c>
      <c r="D2617" s="33"/>
      <c r="E2617" s="34">
        <v>5218342181140</v>
      </c>
      <c r="F2617" s="33"/>
      <c r="G2617" s="33" t="s">
        <v>2450</v>
      </c>
      <c r="H2617" s="35"/>
      <c r="I2617" s="33"/>
      <c r="J2617" s="36"/>
      <c r="K2617" t="s">
        <v>30</v>
      </c>
      <c r="L2617" s="125">
        <v>9081.52</v>
      </c>
      <c r="M2617" s="125">
        <v>2493.89</v>
      </c>
      <c r="N2617" s="3">
        <f>L2617*0.3</f>
        <v>2724.4560000000001</v>
      </c>
      <c r="O2617" s="3">
        <f>(IF(L2617&lt;4172.98,0,MIN(L2617*0.3,L2617-4172.98)))-M2617</f>
        <v>230.56600000000026</v>
      </c>
      <c r="P2617" s="6">
        <v>46419</v>
      </c>
      <c r="Q2617" t="s">
        <v>77</v>
      </c>
      <c r="R2617" s="125">
        <v>2493.89</v>
      </c>
      <c r="S2617" s="3" t="s">
        <v>204</v>
      </c>
      <c r="V2617" s="51">
        <v>0.50624999999999998</v>
      </c>
    </row>
    <row r="2618" spans="1:25" hidden="1">
      <c r="A2618" s="30">
        <v>24744694</v>
      </c>
      <c r="B2618" s="31">
        <v>46287</v>
      </c>
      <c r="C2618" s="32">
        <v>0.508275462962963</v>
      </c>
      <c r="D2618" s="33"/>
      <c r="E2618" s="34">
        <v>5219141387025</v>
      </c>
      <c r="F2618" s="33"/>
      <c r="G2618" s="33" t="s">
        <v>2451</v>
      </c>
      <c r="H2618" s="35"/>
      <c r="I2618" s="33"/>
      <c r="J2618" s="36"/>
      <c r="K2618" t="s">
        <v>32</v>
      </c>
      <c r="N2618" s="3">
        <f>L2618*0.3</f>
        <v>0</v>
      </c>
      <c r="O2618" s="3">
        <f>(IF(L2618&lt;4172.98,0,MIN(L2618*0.3,L2618-4172.98)))-M2618</f>
        <v>0</v>
      </c>
      <c r="S2618" s="3" t="s">
        <v>204</v>
      </c>
      <c r="V2618" s="51">
        <v>0.5083333333333333</v>
      </c>
    </row>
    <row r="2619" spans="1:25" hidden="1">
      <c r="A2619" s="30">
        <v>24744864</v>
      </c>
      <c r="B2619" s="31">
        <v>46287</v>
      </c>
      <c r="C2619" s="32">
        <v>0.51163194444444449</v>
      </c>
      <c r="D2619" s="33"/>
      <c r="E2619" s="34">
        <v>5214401052383</v>
      </c>
      <c r="F2619" s="33"/>
      <c r="G2619" s="33"/>
      <c r="H2619" s="35">
        <v>41906408863</v>
      </c>
      <c r="I2619" s="33"/>
      <c r="J2619" s="36"/>
      <c r="K2619" t="s">
        <v>30</v>
      </c>
      <c r="L2619" s="125">
        <v>9081.52</v>
      </c>
      <c r="M2619" s="125">
        <v>2521.1</v>
      </c>
      <c r="N2619" s="3">
        <f>L2619*0.3</f>
        <v>2724.4560000000001</v>
      </c>
      <c r="O2619" s="3">
        <f>(IF(L2619&lt;4172.98,0,MIN(L2619*0.3,L2619-4172.98)))-M2619</f>
        <v>203.35600000000022</v>
      </c>
      <c r="P2619" s="6">
        <v>46388</v>
      </c>
      <c r="Q2619" t="s">
        <v>57</v>
      </c>
      <c r="R2619" s="125">
        <v>2521.1</v>
      </c>
      <c r="S2619" s="3" t="s">
        <v>204</v>
      </c>
      <c r="V2619" s="51">
        <v>0.51249999999999996</v>
      </c>
    </row>
    <row r="2620" spans="1:25" hidden="1">
      <c r="A2620" s="30">
        <v>24745242</v>
      </c>
      <c r="B2620" s="31">
        <v>46287</v>
      </c>
      <c r="C2620" s="32">
        <v>0.52777777777777779</v>
      </c>
      <c r="D2620" s="33"/>
      <c r="E2620" s="34">
        <v>5214495838727</v>
      </c>
      <c r="F2620" s="33"/>
      <c r="G2620" s="33" t="s">
        <v>2452</v>
      </c>
      <c r="H2620" s="35">
        <v>31896722522</v>
      </c>
      <c r="I2620" s="33"/>
      <c r="J2620" s="36"/>
      <c r="K2620" t="s">
        <v>30</v>
      </c>
      <c r="L2620" s="125">
        <v>9582.4699999999993</v>
      </c>
      <c r="M2620" s="125">
        <v>2874.74</v>
      </c>
      <c r="N2620" s="3">
        <f>L2620*0.3</f>
        <v>2874.7409999999995</v>
      </c>
      <c r="O2620" s="3">
        <f>(IF(L2620&lt;4172.98,0,MIN(L2620*0.3,L2620-4172.98)))-M2620</f>
        <v>9.9999999974897946E-4</v>
      </c>
      <c r="P2620" s="6">
        <v>46966</v>
      </c>
      <c r="Q2620" t="s">
        <v>44</v>
      </c>
      <c r="R2620" s="3">
        <f>1205.31+1103.05</f>
        <v>2308.3599999999997</v>
      </c>
      <c r="S2620" s="3" t="s">
        <v>204</v>
      </c>
      <c r="V2620" s="51">
        <v>0.52777777777777779</v>
      </c>
    </row>
    <row r="2621" spans="1:25" hidden="1">
      <c r="A2621" s="30">
        <v>24745366</v>
      </c>
      <c r="B2621" s="31">
        <v>46287</v>
      </c>
      <c r="C2621" s="32">
        <v>0.53635416666666669</v>
      </c>
      <c r="D2621" s="33" t="s">
        <v>2453</v>
      </c>
      <c r="E2621" s="34">
        <v>5215661473566</v>
      </c>
      <c r="F2621" s="33"/>
      <c r="G2621" s="33" t="s">
        <v>2454</v>
      </c>
      <c r="H2621" s="35"/>
      <c r="I2621" s="33"/>
      <c r="J2621" s="36"/>
      <c r="K2621" t="s">
        <v>32</v>
      </c>
      <c r="N2621" s="3">
        <f>L2621*0.3</f>
        <v>0</v>
      </c>
      <c r="O2621" s="3">
        <f>(IF(L2621&lt;4172.98,0,MIN(L2621*0.3,L2621-4172.98)))-M2621</f>
        <v>0</v>
      </c>
      <c r="S2621" s="3" t="s">
        <v>204</v>
      </c>
      <c r="V2621" s="51">
        <v>0.53680555555555554</v>
      </c>
    </row>
    <row r="2622" spans="1:25" hidden="1">
      <c r="A2622" s="30">
        <v>24745796</v>
      </c>
      <c r="B2622" s="31">
        <v>46287</v>
      </c>
      <c r="C2622" s="32">
        <v>0.53704861111111113</v>
      </c>
      <c r="D2622" s="33"/>
      <c r="E2622" s="34">
        <v>5214441113655</v>
      </c>
      <c r="F2622" s="33"/>
      <c r="G2622" s="33"/>
      <c r="H2622" s="35">
        <v>41876104104</v>
      </c>
      <c r="I2622" s="33"/>
      <c r="J2622" s="36"/>
      <c r="K2622" t="s">
        <v>30</v>
      </c>
      <c r="L2622" s="111">
        <v>10011.82</v>
      </c>
      <c r="M2622" s="111">
        <v>3002.84</v>
      </c>
      <c r="N2622" s="3">
        <f>L2622*0.3</f>
        <v>3003.5459999999998</v>
      </c>
      <c r="O2622" s="3">
        <f>(IF(L2622&lt;4172.98,0,MIN(L2622*0.3,L2622-4172.98)))-M2622</f>
        <v>0.70599999999967622</v>
      </c>
      <c r="P2622" s="6">
        <v>46478</v>
      </c>
      <c r="Q2622" t="s">
        <v>184</v>
      </c>
      <c r="R2622" s="3">
        <v>405.5</v>
      </c>
      <c r="S2622" s="3" t="s">
        <v>204</v>
      </c>
      <c r="V2622" s="51">
        <v>0.53680555555555554</v>
      </c>
    </row>
    <row r="2623" spans="1:25" hidden="1">
      <c r="A2623" s="30">
        <v>24745284</v>
      </c>
      <c r="B2623" s="31">
        <v>46287</v>
      </c>
      <c r="C2623" s="32">
        <v>0.53723379629629631</v>
      </c>
      <c r="D2623" s="33"/>
      <c r="E2623" s="34">
        <v>5219811267858</v>
      </c>
      <c r="F2623" s="33"/>
      <c r="G2623" s="33" t="s">
        <v>2455</v>
      </c>
      <c r="H2623" s="35"/>
      <c r="I2623" s="33"/>
      <c r="J2623" s="36"/>
      <c r="K2623" t="s">
        <v>30</v>
      </c>
      <c r="L2623" s="111">
        <v>6411.47</v>
      </c>
      <c r="M2623" s="111">
        <v>1854.97</v>
      </c>
      <c r="N2623" s="3">
        <f>L2623*0.3</f>
        <v>1923.441</v>
      </c>
      <c r="O2623" s="3">
        <f>(IF(L2623&lt;4172.98,0,MIN(L2623*0.3,L2623-4172.98)))-M2623</f>
        <v>68.471000000000004</v>
      </c>
      <c r="P2623" s="6">
        <v>46539</v>
      </c>
      <c r="Q2623" t="s">
        <v>47</v>
      </c>
      <c r="R2623" s="3">
        <v>544.53</v>
      </c>
      <c r="S2623" s="3" t="s">
        <v>204</v>
      </c>
      <c r="V2623" s="51">
        <v>0.53749999999999998</v>
      </c>
    </row>
    <row r="2624" spans="1:25">
      <c r="A2624" s="30">
        <v>24745968</v>
      </c>
      <c r="B2624" s="31">
        <v>46287</v>
      </c>
      <c r="C2624" s="32">
        <v>0.54451388888888885</v>
      </c>
      <c r="D2624" s="33"/>
      <c r="E2624" s="34">
        <v>5215532221569</v>
      </c>
      <c r="F2624" s="33"/>
      <c r="G2624" s="33"/>
      <c r="H2624" s="35">
        <v>28906507562</v>
      </c>
      <c r="I2624" s="33"/>
      <c r="J2624" s="36"/>
      <c r="K2624" t="s">
        <v>54</v>
      </c>
      <c r="L2624" s="3">
        <v>25150.639999999999</v>
      </c>
      <c r="N2624" s="3">
        <f>L2624*0.3</f>
        <v>7545.1919999999991</v>
      </c>
      <c r="O2624" s="3">
        <f>(IF(L2624&lt;4172.98,0,MIN(L2624*0.3,L2624-4172.98)))-M2624</f>
        <v>7545.1919999999991</v>
      </c>
      <c r="S2624" s="3" t="s">
        <v>95</v>
      </c>
      <c r="T2624" s="48">
        <v>46287</v>
      </c>
      <c r="V2624" s="51">
        <v>0.5444444444444444</v>
      </c>
      <c r="W2624" s="51">
        <v>0.58750000000000002</v>
      </c>
      <c r="X2624" s="51">
        <v>0.58819444444444446</v>
      </c>
      <c r="Y2624" s="51">
        <v>0.59444444444444444</v>
      </c>
    </row>
    <row r="2625" spans="1:25">
      <c r="A2625" s="30">
        <v>24746304</v>
      </c>
      <c r="B2625" s="31">
        <v>46287</v>
      </c>
      <c r="C2625" s="32">
        <v>0.55173611111111109</v>
      </c>
      <c r="D2625" s="33"/>
      <c r="E2625" s="34">
        <v>5215518228667</v>
      </c>
      <c r="F2625" s="33"/>
      <c r="G2625" s="33" t="s">
        <v>2456</v>
      </c>
      <c r="H2625" s="35"/>
      <c r="I2625" s="33"/>
      <c r="J2625" s="36"/>
      <c r="K2625" t="s">
        <v>54</v>
      </c>
      <c r="L2625" s="3">
        <v>17276.14</v>
      </c>
      <c r="N2625" s="3">
        <f>L2625*0.3</f>
        <v>5182.8419999999996</v>
      </c>
      <c r="O2625" s="3">
        <f>(IF(L2625&lt;4172.98,0,MIN(L2625*0.3,L2625-4172.98)))-M2625</f>
        <v>5182.8419999999996</v>
      </c>
      <c r="S2625" s="3" t="s">
        <v>1808</v>
      </c>
      <c r="T2625" s="48">
        <v>46287</v>
      </c>
      <c r="V2625" s="51">
        <v>0.55208333333333337</v>
      </c>
      <c r="W2625" s="51">
        <v>0.58819444444444446</v>
      </c>
      <c r="X2625" s="51">
        <v>0.59027777777777779</v>
      </c>
      <c r="Y2625" s="51">
        <v>0.59375</v>
      </c>
    </row>
    <row r="2626" spans="1:25">
      <c r="A2626" s="30">
        <v>24746438</v>
      </c>
      <c r="B2626" s="31">
        <v>46287</v>
      </c>
      <c r="C2626" s="32">
        <v>0.55497685185185186</v>
      </c>
      <c r="D2626" s="33"/>
      <c r="E2626" s="34">
        <v>5213311043367</v>
      </c>
      <c r="F2626" s="33"/>
      <c r="G2626" s="33" t="s">
        <v>2457</v>
      </c>
      <c r="H2626" s="35">
        <v>52796202720</v>
      </c>
      <c r="I2626" s="33"/>
      <c r="J2626" s="36"/>
      <c r="K2626" t="s">
        <v>54</v>
      </c>
      <c r="L2626" s="3">
        <v>9504.7000000000007</v>
      </c>
      <c r="N2626" s="3">
        <f>L2626*0.3</f>
        <v>2851.4100000000003</v>
      </c>
      <c r="O2626" s="3">
        <f>(IF(L2626&lt;4172.98,0,MIN(L2626*0.3,L2626-4172.98)))-M2626</f>
        <v>2851.4100000000003</v>
      </c>
      <c r="S2626" s="3" t="s">
        <v>266</v>
      </c>
      <c r="T2626" s="48">
        <v>46287</v>
      </c>
      <c r="V2626" s="51">
        <v>0.55486111111111114</v>
      </c>
      <c r="W2626" s="51">
        <v>0.58888888888888891</v>
      </c>
      <c r="X2626" s="51">
        <v>0.59166666666666667</v>
      </c>
      <c r="Y2626" s="51">
        <v>0.59375</v>
      </c>
    </row>
    <row r="2627" spans="1:25">
      <c r="A2627" s="30">
        <v>24746546</v>
      </c>
      <c r="B2627" s="31">
        <v>46287</v>
      </c>
      <c r="C2627" s="32">
        <v>0.55949074074074079</v>
      </c>
      <c r="D2627" s="33"/>
      <c r="E2627" s="34">
        <v>5219381328714</v>
      </c>
      <c r="F2627" s="33"/>
      <c r="G2627" s="33" t="s">
        <v>2458</v>
      </c>
      <c r="H2627" s="35"/>
      <c r="I2627" s="33"/>
      <c r="J2627" s="36"/>
      <c r="K2627" t="s">
        <v>54</v>
      </c>
      <c r="L2627" s="3">
        <v>21132.22</v>
      </c>
      <c r="N2627" s="3">
        <f>L2627*0.3</f>
        <v>6339.6660000000002</v>
      </c>
      <c r="O2627" s="3">
        <f>(IF(L2627&lt;4172.98,0,MIN(L2627*0.3,L2627-4172.98)))-M2627</f>
        <v>6339.6660000000002</v>
      </c>
      <c r="S2627" s="3" t="s">
        <v>879</v>
      </c>
      <c r="T2627" s="48">
        <v>46287</v>
      </c>
      <c r="V2627" s="51">
        <v>0.56041666666666667</v>
      </c>
      <c r="W2627" s="51">
        <v>0.59027777777777779</v>
      </c>
      <c r="X2627" s="51">
        <v>0.59513888888888888</v>
      </c>
      <c r="Y2627" s="51">
        <v>0.59722222222222221</v>
      </c>
    </row>
    <row r="2628" spans="1:25" hidden="1">
      <c r="A2628" s="30">
        <v>24747108</v>
      </c>
      <c r="B2628" s="31">
        <v>46287</v>
      </c>
      <c r="C2628" s="32">
        <v>0.5745717592592593</v>
      </c>
      <c r="D2628" s="33"/>
      <c r="E2628" s="34">
        <v>5214435766108</v>
      </c>
      <c r="F2628" s="33"/>
      <c r="G2628" s="33" t="s">
        <v>2459</v>
      </c>
      <c r="H2628" s="35"/>
      <c r="I2628" s="33"/>
      <c r="J2628" s="36"/>
      <c r="K2628" t="s">
        <v>32</v>
      </c>
      <c r="N2628" s="3">
        <f>L2628*0.3</f>
        <v>0</v>
      </c>
      <c r="O2628" s="3">
        <f>(IF(L2628&lt;4172.98,0,MIN(L2628*0.3,L2628-4172.98)))-M2628</f>
        <v>0</v>
      </c>
      <c r="S2628" s="3" t="s">
        <v>204</v>
      </c>
      <c r="V2628" s="51">
        <v>0.57499999999999996</v>
      </c>
    </row>
    <row r="2629" spans="1:25" hidden="1">
      <c r="A2629" s="30">
        <v>24747794</v>
      </c>
      <c r="B2629" s="31">
        <v>46287</v>
      </c>
      <c r="C2629" s="32">
        <v>0.59241898148148153</v>
      </c>
      <c r="D2629" s="33"/>
      <c r="E2629" s="34">
        <v>5217227923959</v>
      </c>
      <c r="F2629" s="33"/>
      <c r="G2629" s="33"/>
      <c r="H2629" s="35" t="s">
        <v>2460</v>
      </c>
      <c r="I2629" s="33"/>
      <c r="J2629" s="36"/>
      <c r="K2629" t="s">
        <v>30</v>
      </c>
      <c r="L2629" s="111">
        <v>16009.64</v>
      </c>
      <c r="M2629" s="111">
        <v>4802.83</v>
      </c>
      <c r="N2629" s="3">
        <f>L2629*0.3</f>
        <v>4802.8919999999998</v>
      </c>
      <c r="O2629" s="3">
        <f>(IF(L2629&lt;4172.98,0,MIN(L2629*0.3,L2629-4172.98)))-M2629</f>
        <v>6.1999999999898137E-2</v>
      </c>
      <c r="P2629" s="6">
        <v>46327</v>
      </c>
      <c r="Q2629" t="s">
        <v>421</v>
      </c>
      <c r="R2629" s="3">
        <v>3343.33</v>
      </c>
      <c r="S2629" s="3" t="s">
        <v>204</v>
      </c>
      <c r="V2629" s="51">
        <v>0.59513888888888888</v>
      </c>
    </row>
    <row r="2630" spans="1:25">
      <c r="A2630" s="12">
        <v>24747870</v>
      </c>
      <c r="B2630" s="13">
        <v>46287</v>
      </c>
      <c r="C2630" s="14">
        <v>0.59692129629629631</v>
      </c>
      <c r="D2630" s="15"/>
      <c r="E2630" s="16">
        <v>5215534577020</v>
      </c>
      <c r="F2630" s="15"/>
      <c r="G2630" s="15" t="s">
        <v>2461</v>
      </c>
      <c r="H2630" s="17"/>
      <c r="I2630" s="15"/>
      <c r="J2630" s="18"/>
      <c r="K2630" t="s">
        <v>38</v>
      </c>
      <c r="L2630" s="125">
        <v>36753.89</v>
      </c>
      <c r="M2630" s="125">
        <v>10633.21</v>
      </c>
      <c r="N2630" s="3">
        <f>L2630*0.3</f>
        <v>11026.166999999999</v>
      </c>
      <c r="O2630" s="3">
        <f>(IF(L2630&lt;4172.98,0,MIN(L2630*0.3,L2630-4172.98)))-M2630</f>
        <v>392.95700000000033</v>
      </c>
      <c r="P2630" s="6">
        <v>46419</v>
      </c>
      <c r="Q2630" t="s">
        <v>47</v>
      </c>
      <c r="R2630" s="3">
        <v>10076.31</v>
      </c>
      <c r="S2630" s="3" t="s">
        <v>2179</v>
      </c>
      <c r="T2630" s="48">
        <v>46287</v>
      </c>
      <c r="V2630" s="51">
        <v>0.59861111111111109</v>
      </c>
      <c r="W2630" s="51">
        <v>0.61458333333333337</v>
      </c>
      <c r="X2630" s="51">
        <v>0.61597222222222225</v>
      </c>
      <c r="Y2630" s="51">
        <v>0.61875000000000002</v>
      </c>
    </row>
    <row r="2631" spans="1:25">
      <c r="A2631" s="12">
        <v>24747832</v>
      </c>
      <c r="B2631" s="13">
        <v>46287</v>
      </c>
      <c r="C2631" s="14">
        <v>0.59703703703703703</v>
      </c>
      <c r="D2631" s="15"/>
      <c r="E2631" s="16">
        <v>5215515116517</v>
      </c>
      <c r="F2631" s="15"/>
      <c r="G2631" s="15" t="s">
        <v>2462</v>
      </c>
      <c r="H2631" s="17"/>
      <c r="I2631" s="15"/>
      <c r="J2631" s="18"/>
      <c r="K2631" t="s">
        <v>38</v>
      </c>
      <c r="L2631" s="3">
        <v>4656.13</v>
      </c>
      <c r="N2631" s="3">
        <f>L2631*0.3</f>
        <v>1396.8389999999999</v>
      </c>
      <c r="O2631" s="3">
        <f>(IF(L2631&lt;4172.98,0,MIN(L2631*0.3,L2631-4172.98)))-M2631</f>
        <v>483.15000000000055</v>
      </c>
      <c r="S2631" s="3" t="s">
        <v>2179</v>
      </c>
      <c r="T2631" s="48">
        <v>46287</v>
      </c>
      <c r="V2631" s="51">
        <v>0.59861111111111109</v>
      </c>
      <c r="W2631" s="51">
        <v>0.61944444444444446</v>
      </c>
      <c r="X2631" s="51">
        <v>0.62986111111111109</v>
      </c>
      <c r="Y2631" s="51">
        <v>0.63611111111111107</v>
      </c>
    </row>
    <row r="2632" spans="1:25">
      <c r="A2632" s="30">
        <v>24747872</v>
      </c>
      <c r="B2632" s="31">
        <v>46287</v>
      </c>
      <c r="C2632" s="32">
        <v>0.59884259259259254</v>
      </c>
      <c r="D2632" s="33" t="s">
        <v>2463</v>
      </c>
      <c r="E2632" s="34">
        <v>5218241088670</v>
      </c>
      <c r="F2632" s="33"/>
      <c r="G2632" s="33" t="s">
        <v>2464</v>
      </c>
      <c r="H2632" s="35">
        <v>43836577726</v>
      </c>
      <c r="I2632" s="33"/>
      <c r="J2632" s="36"/>
      <c r="K2632" t="s">
        <v>54</v>
      </c>
      <c r="L2632" s="3">
        <v>11029.03</v>
      </c>
      <c r="N2632" s="3">
        <f>L2632*0.3</f>
        <v>3308.7090000000003</v>
      </c>
      <c r="O2632" s="3">
        <f>(IF(L2632&lt;4172.98,0,MIN(L2632*0.3,L2632-4172.98)))-M2632</f>
        <v>3308.7090000000003</v>
      </c>
      <c r="S2632" s="3" t="s">
        <v>1808</v>
      </c>
      <c r="T2632" s="48">
        <v>46287</v>
      </c>
      <c r="V2632" s="51">
        <v>0.59861111111111109</v>
      </c>
      <c r="W2632" s="51">
        <v>0.61597222222222225</v>
      </c>
      <c r="X2632" s="51">
        <v>0.62013888888888891</v>
      </c>
      <c r="Y2632" s="51">
        <v>0.62222222222222223</v>
      </c>
    </row>
    <row r="2633" spans="1:25">
      <c r="A2633" s="30">
        <v>24747814</v>
      </c>
      <c r="B2633" s="31">
        <v>46287</v>
      </c>
      <c r="C2633" s="32">
        <v>0.60271990740740744</v>
      </c>
      <c r="D2633" s="33"/>
      <c r="E2633" s="34">
        <v>5213314895196</v>
      </c>
      <c r="F2633" s="33"/>
      <c r="G2633" s="33" t="s">
        <v>2465</v>
      </c>
      <c r="H2633" s="35"/>
      <c r="I2633" s="33"/>
      <c r="J2633" s="36"/>
      <c r="K2633" t="s">
        <v>54</v>
      </c>
      <c r="L2633" s="3">
        <f>7683.8+879</f>
        <v>8562.7999999999993</v>
      </c>
      <c r="M2633" s="3">
        <v>879</v>
      </c>
      <c r="N2633" s="3">
        <f>L2633*0.3</f>
        <v>2568.8399999999997</v>
      </c>
      <c r="O2633" s="3">
        <f>(IF(L2633&lt;4172.98,0,MIN(L2633*0.3,L2633-4172.98)))-M2633</f>
        <v>1689.8399999999997</v>
      </c>
      <c r="S2633" s="3" t="s">
        <v>358</v>
      </c>
      <c r="T2633" s="48">
        <v>46287</v>
      </c>
      <c r="V2633" s="51">
        <v>0.60277777777777775</v>
      </c>
      <c r="W2633" s="51">
        <v>0.61736111111111114</v>
      </c>
      <c r="X2633" s="51">
        <v>0.61875000000000002</v>
      </c>
      <c r="Y2633" s="51">
        <v>0.62013888888888891</v>
      </c>
    </row>
    <row r="2634" spans="1:25">
      <c r="A2634" s="12">
        <v>24748542</v>
      </c>
      <c r="B2634" s="13">
        <v>46287</v>
      </c>
      <c r="C2634" s="14">
        <v>0.61979166666666663</v>
      </c>
      <c r="D2634" s="15"/>
      <c r="E2634" s="16">
        <v>5216465219119</v>
      </c>
      <c r="F2634" s="15"/>
      <c r="G2634" s="15"/>
      <c r="H2634" s="17" t="s">
        <v>2466</v>
      </c>
      <c r="I2634" s="15"/>
      <c r="J2634" s="18"/>
      <c r="K2634" t="s">
        <v>54</v>
      </c>
      <c r="L2634" s="3">
        <v>10636.54</v>
      </c>
      <c r="N2634" s="3">
        <f>L2634*0.3</f>
        <v>3190.962</v>
      </c>
      <c r="O2634" s="3">
        <f>(IF(L2634&lt;4172.98,0,MIN(L2634*0.3,L2634-4172.98)))-M2634</f>
        <v>3190.962</v>
      </c>
      <c r="S2634" s="3" t="s">
        <v>266</v>
      </c>
      <c r="T2634" s="48">
        <v>46287</v>
      </c>
      <c r="V2634" s="51">
        <v>0.62083333333333335</v>
      </c>
      <c r="W2634" s="51">
        <v>0.62361111111111112</v>
      </c>
      <c r="X2634" s="51">
        <v>0.62916666666666665</v>
      </c>
      <c r="Y2634" s="51">
        <v>0.63055555555555554</v>
      </c>
    </row>
    <row r="2635" spans="1:25" hidden="1">
      <c r="A2635" s="30">
        <v>24748734</v>
      </c>
      <c r="B2635" s="31">
        <v>46287</v>
      </c>
      <c r="C2635" s="32">
        <v>0.62064814814814817</v>
      </c>
      <c r="D2635" s="33"/>
      <c r="E2635" s="34">
        <v>5218333462606</v>
      </c>
      <c r="F2635" s="33"/>
      <c r="G2635" s="33"/>
      <c r="H2635" s="35">
        <v>49674912628</v>
      </c>
      <c r="I2635" s="33"/>
      <c r="J2635" s="36"/>
      <c r="K2635" t="s">
        <v>32</v>
      </c>
      <c r="N2635" s="3">
        <f>L2635*0.3</f>
        <v>0</v>
      </c>
      <c r="O2635" s="3">
        <f>(IF(L2635&lt;4172.98,0,MIN(L2635*0.3,L2635-4172.98)))-M2635</f>
        <v>0</v>
      </c>
      <c r="S2635" s="3" t="s">
        <v>204</v>
      </c>
      <c r="V2635" s="51">
        <v>0.62083333333333335</v>
      </c>
    </row>
    <row r="2636" spans="1:25" hidden="1">
      <c r="A2636" s="30">
        <v>24748742</v>
      </c>
      <c r="B2636" s="31">
        <v>46287</v>
      </c>
      <c r="C2636" s="32">
        <v>0.62195601851851856</v>
      </c>
      <c r="D2636" s="33"/>
      <c r="E2636" s="34">
        <v>5216361157202</v>
      </c>
      <c r="F2636" s="33"/>
      <c r="G2636" s="33"/>
      <c r="H2636" s="35">
        <v>35846734552</v>
      </c>
      <c r="I2636" s="33"/>
      <c r="J2636" s="36"/>
      <c r="K2636" t="s">
        <v>58</v>
      </c>
      <c r="L2636" s="3">
        <v>3619.76</v>
      </c>
      <c r="N2636" s="3">
        <f>L2636*0.3</f>
        <v>1085.9280000000001</v>
      </c>
      <c r="O2636" s="3">
        <f>(IF(L2636&lt;4172.98,0,MIN(L2636*0.3,L2636-4172.98)))-M2636</f>
        <v>0</v>
      </c>
      <c r="S2636" s="3" t="s">
        <v>204</v>
      </c>
      <c r="V2636" s="51">
        <v>0.62152777777777779</v>
      </c>
    </row>
    <row r="2637" spans="1:25">
      <c r="A2637" s="30">
        <v>24749238</v>
      </c>
      <c r="B2637" s="31">
        <v>46287</v>
      </c>
      <c r="C2637" s="32">
        <v>0.63353009259259263</v>
      </c>
      <c r="D2637" s="33"/>
      <c r="E2637" s="34">
        <v>5216866746619</v>
      </c>
      <c r="F2637" s="33"/>
      <c r="G2637" s="33"/>
      <c r="H2637" s="35">
        <v>21866117571</v>
      </c>
      <c r="I2637" s="33"/>
      <c r="J2637" s="36"/>
      <c r="K2637" t="s">
        <v>27</v>
      </c>
      <c r="L2637" s="125">
        <v>6262.86</v>
      </c>
      <c r="M2637" s="125">
        <v>1539.98</v>
      </c>
      <c r="N2637" s="3">
        <f>L2637*0.3</f>
        <v>1878.8579999999997</v>
      </c>
      <c r="O2637" s="3">
        <f>(IF(L2637&lt;4172.98,0,MIN(L2637*0.3,L2637-4172.98)))-M2637</f>
        <v>338.8779999999997</v>
      </c>
      <c r="P2637" s="6">
        <v>45474</v>
      </c>
      <c r="Q2637" t="s">
        <v>77</v>
      </c>
      <c r="R2637" s="3">
        <v>1539.98</v>
      </c>
      <c r="S2637" s="3" t="s">
        <v>90</v>
      </c>
      <c r="T2637" s="48">
        <v>46287</v>
      </c>
      <c r="V2637" s="51">
        <v>0.63402777777777775</v>
      </c>
      <c r="W2637" s="51">
        <v>0.63958333333333328</v>
      </c>
      <c r="X2637" s="51">
        <v>0.64236111111111116</v>
      </c>
      <c r="Y2637" s="51">
        <v>0.64444444444444449</v>
      </c>
    </row>
    <row r="2638" spans="1:25" hidden="1">
      <c r="A2638" s="30">
        <v>24749058</v>
      </c>
      <c r="B2638" s="31">
        <v>46287</v>
      </c>
      <c r="C2638" s="32">
        <v>0.64074074074074072</v>
      </c>
      <c r="D2638" s="33"/>
      <c r="E2638" s="34">
        <v>5212299055341</v>
      </c>
      <c r="F2638" s="33"/>
      <c r="G2638" s="33" t="s">
        <v>2467</v>
      </c>
      <c r="H2638" s="35" t="s">
        <v>2468</v>
      </c>
      <c r="I2638" s="33"/>
      <c r="J2638" s="36"/>
      <c r="K2638" t="s">
        <v>30</v>
      </c>
      <c r="L2638" s="111">
        <v>11029.03</v>
      </c>
      <c r="M2638" s="111">
        <v>3308.71</v>
      </c>
      <c r="N2638" s="3">
        <f>L2638*0.3</f>
        <v>3308.7090000000003</v>
      </c>
      <c r="O2638" s="3">
        <f>(IF(L2638&lt;4172.98,0,MIN(L2638*0.3,L2638-4172.98)))-M2638</f>
        <v>-9.9999999974897946E-4</v>
      </c>
      <c r="P2638" s="6">
        <v>46905</v>
      </c>
      <c r="Q2638" t="s">
        <v>57</v>
      </c>
      <c r="R2638" s="111">
        <v>3308.71</v>
      </c>
      <c r="S2638" s="3" t="s">
        <v>204</v>
      </c>
      <c r="V2638" s="51">
        <v>0.64513888888888893</v>
      </c>
    </row>
    <row r="2639" spans="1:25" hidden="1">
      <c r="A2639" s="30">
        <v>24749754</v>
      </c>
      <c r="B2639" s="31">
        <v>46287</v>
      </c>
      <c r="C2639" s="32">
        <v>0.6510069444444444</v>
      </c>
      <c r="D2639" s="33"/>
      <c r="E2639" s="34">
        <v>5213312129907</v>
      </c>
      <c r="F2639" s="33"/>
      <c r="G2639" s="33" t="s">
        <v>2469</v>
      </c>
      <c r="H2639" s="35"/>
      <c r="I2639" s="33"/>
      <c r="J2639" s="36"/>
      <c r="K2639" t="s">
        <v>32</v>
      </c>
      <c r="N2639" s="3">
        <f>L2639*0.3</f>
        <v>0</v>
      </c>
      <c r="O2639" s="3">
        <f>(IF(L2639&lt;4172.98,0,MIN(L2639*0.3,L2639-4172.98)))-M2639</f>
        <v>0</v>
      </c>
      <c r="S2639" s="3" t="s">
        <v>204</v>
      </c>
      <c r="V2639" s="51">
        <v>0.65138888888888891</v>
      </c>
    </row>
    <row r="2640" spans="1:25">
      <c r="A2640" s="30">
        <v>24749780</v>
      </c>
      <c r="B2640" s="31">
        <v>46287</v>
      </c>
      <c r="C2640" s="32">
        <v>0.65519675925925924</v>
      </c>
      <c r="D2640" s="33"/>
      <c r="E2640" s="34">
        <v>5212881143390</v>
      </c>
      <c r="F2640" s="33"/>
      <c r="G2640" s="33" t="s">
        <v>2470</v>
      </c>
      <c r="H2640" s="35"/>
      <c r="I2640" s="33"/>
      <c r="J2640" s="36"/>
      <c r="K2640" t="s">
        <v>54</v>
      </c>
      <c r="L2640" s="111">
        <v>9760.32</v>
      </c>
      <c r="M2640" s="111">
        <v>879</v>
      </c>
      <c r="N2640" s="3">
        <f>L2640*0.3</f>
        <v>2928.096</v>
      </c>
      <c r="O2640" s="3">
        <f>(IF(L2640&lt;4172.98,0,MIN(L2640*0.3,L2640-4172.98)))-M2640</f>
        <v>2049.096</v>
      </c>
      <c r="S2640" s="3" t="s">
        <v>95</v>
      </c>
      <c r="T2640" s="48">
        <v>46287</v>
      </c>
      <c r="V2640" s="51">
        <v>0.65555555555555556</v>
      </c>
      <c r="W2640" s="51">
        <v>0.65833333333333333</v>
      </c>
      <c r="X2640" s="51">
        <v>0.65972222222222221</v>
      </c>
      <c r="Y2640" s="51">
        <v>0.66319444444444442</v>
      </c>
    </row>
    <row r="2641" spans="1:25" hidden="1">
      <c r="A2641" s="30">
        <v>24752392</v>
      </c>
      <c r="B2641" s="31">
        <v>46287</v>
      </c>
      <c r="C2641" s="32">
        <v>0.68707175925925923</v>
      </c>
      <c r="D2641" s="33"/>
      <c r="E2641" s="34">
        <v>5216145324837</v>
      </c>
      <c r="F2641" s="33"/>
      <c r="G2641" s="33"/>
      <c r="H2641" s="35">
        <v>35018416301</v>
      </c>
      <c r="I2641" s="33"/>
      <c r="J2641" s="36"/>
      <c r="K2641" t="s">
        <v>189</v>
      </c>
      <c r="N2641" s="3">
        <f>L2641*0.3</f>
        <v>0</v>
      </c>
      <c r="O2641" s="3">
        <f>(IF(L2641&lt;4172.98,0,MIN(L2641*0.3,L2641-4172.98)))-M2641</f>
        <v>0</v>
      </c>
      <c r="S2641" s="3" t="s">
        <v>204</v>
      </c>
      <c r="V2641" s="51">
        <v>0.68680555555555556</v>
      </c>
    </row>
    <row r="2642" spans="1:25" hidden="1">
      <c r="A2642" s="30">
        <v>24752052</v>
      </c>
      <c r="B2642" s="31">
        <v>46287</v>
      </c>
      <c r="C2642" s="32">
        <v>0.68846064814814811</v>
      </c>
      <c r="D2642" s="33"/>
      <c r="E2642" s="34">
        <v>5218448069765</v>
      </c>
      <c r="F2642" s="33"/>
      <c r="G2642" s="33"/>
      <c r="H2642" s="35" t="s">
        <v>2471</v>
      </c>
      <c r="I2642" s="33"/>
      <c r="J2642" s="36"/>
      <c r="K2642" t="s">
        <v>30</v>
      </c>
      <c r="L2642" s="111">
        <v>6433.1</v>
      </c>
      <c r="M2642" s="111">
        <v>1929.93</v>
      </c>
      <c r="N2642" s="3">
        <f>L2642*0.3</f>
        <v>1929.93</v>
      </c>
      <c r="O2642" s="3">
        <f>(IF(L2642&lt;4172.98,0,MIN(L2642*0.3,L2642-4172.98)))-M2642</f>
        <v>0</v>
      </c>
      <c r="P2642" s="6">
        <v>46600</v>
      </c>
      <c r="Q2642" t="s">
        <v>2472</v>
      </c>
      <c r="R2642" s="3">
        <v>1106.6400000000001</v>
      </c>
      <c r="S2642" s="3" t="s">
        <v>204</v>
      </c>
      <c r="V2642" s="51">
        <v>0.69097222222222221</v>
      </c>
    </row>
    <row r="2643" spans="1:25" hidden="1">
      <c r="A2643" s="30">
        <v>24752464</v>
      </c>
      <c r="B2643" s="31">
        <v>46287</v>
      </c>
      <c r="C2643" s="32">
        <v>0.6983449074074074</v>
      </c>
      <c r="D2643" s="33"/>
      <c r="E2643" s="34">
        <v>5212321098716</v>
      </c>
      <c r="F2643" s="33"/>
      <c r="G2643" s="33" t="s">
        <v>2473</v>
      </c>
      <c r="H2643" s="35"/>
      <c r="I2643" s="33"/>
      <c r="J2643" s="36"/>
      <c r="K2643" t="s">
        <v>32</v>
      </c>
      <c r="N2643" s="3">
        <f>L2643*0.3</f>
        <v>0</v>
      </c>
      <c r="O2643" s="3">
        <f>(IF(L2643&lt;4172.98,0,MIN(L2643*0.3,L2643-4172.98)))-M2643</f>
        <v>0</v>
      </c>
      <c r="S2643" s="3" t="s">
        <v>204</v>
      </c>
      <c r="V2643" s="51">
        <v>0.69861111111111107</v>
      </c>
    </row>
    <row r="2644" spans="1:25">
      <c r="A2644" s="30">
        <v>24752760</v>
      </c>
      <c r="B2644" s="31">
        <v>46287</v>
      </c>
      <c r="C2644" s="32">
        <v>0.7096527777777778</v>
      </c>
      <c r="D2644" s="33"/>
      <c r="E2644" s="34">
        <v>5212411641949</v>
      </c>
      <c r="F2644" s="33"/>
      <c r="G2644" s="33"/>
      <c r="H2644" s="35">
        <v>61816103362</v>
      </c>
      <c r="I2644" s="33"/>
      <c r="J2644" s="36"/>
      <c r="K2644" t="s">
        <v>34</v>
      </c>
      <c r="L2644" s="111">
        <v>18921.96</v>
      </c>
      <c r="M2644" s="111">
        <v>5006.92</v>
      </c>
      <c r="N2644" s="3">
        <f>L2644*0.3</f>
        <v>5676.5879999999997</v>
      </c>
      <c r="O2644" s="3">
        <f>(IF(L2644&lt;4172.98,0,MIN(L2644*0.3,L2644-4172.98)))-M2644</f>
        <v>669.66799999999967</v>
      </c>
      <c r="P2644" s="6">
        <v>46023</v>
      </c>
      <c r="Q2644" t="s">
        <v>43</v>
      </c>
      <c r="R2644" s="3">
        <v>5006.92</v>
      </c>
      <c r="S2644" s="3" t="s">
        <v>35</v>
      </c>
      <c r="T2644" s="48">
        <v>46287</v>
      </c>
      <c r="V2644" s="51">
        <v>0.7104166666666667</v>
      </c>
      <c r="W2644" s="51">
        <v>0.72986111111111107</v>
      </c>
      <c r="X2644" s="51">
        <v>0.73124999999999996</v>
      </c>
      <c r="Y2644" s="51">
        <v>0.73263888888888884</v>
      </c>
    </row>
    <row r="2645" spans="1:25" hidden="1">
      <c r="A2645" s="30">
        <v>24753388</v>
      </c>
      <c r="B2645" s="31">
        <v>46287</v>
      </c>
      <c r="C2645" s="32">
        <v>0.72568287037037038</v>
      </c>
      <c r="D2645" s="33"/>
      <c r="E2645" s="34">
        <v>5215544723708</v>
      </c>
      <c r="F2645" s="33"/>
      <c r="G2645" s="33"/>
      <c r="H2645" s="35" t="s">
        <v>2474</v>
      </c>
      <c r="I2645" s="33"/>
      <c r="J2645" s="36"/>
      <c r="K2645" t="s">
        <v>30</v>
      </c>
      <c r="L2645" s="111">
        <v>10074.18</v>
      </c>
      <c r="M2645" s="111">
        <v>3021.65</v>
      </c>
      <c r="N2645" s="3">
        <f>L2645*0.3</f>
        <v>3022.2539999999999</v>
      </c>
      <c r="O2645" s="3">
        <f>(IF(L2645&lt;4172.98,0,MIN(L2645*0.3,L2645-4172.98)))-M2645</f>
        <v>0.60399999999981446</v>
      </c>
      <c r="P2645" s="6">
        <v>46388</v>
      </c>
      <c r="Q2645" t="s">
        <v>141</v>
      </c>
      <c r="R2645" s="3">
        <v>2066.65</v>
      </c>
      <c r="S2645" s="3" t="s">
        <v>204</v>
      </c>
      <c r="V2645" s="51">
        <v>0.72569444444444442</v>
      </c>
    </row>
    <row r="2646" spans="1:25">
      <c r="A2646" s="30">
        <v>24753562</v>
      </c>
      <c r="B2646" s="31">
        <v>46287</v>
      </c>
      <c r="C2646" s="32">
        <v>0.7361226851851852</v>
      </c>
      <c r="D2646" s="33"/>
      <c r="E2646" s="34">
        <v>5218112859419</v>
      </c>
      <c r="F2646" s="33"/>
      <c r="G2646" s="33"/>
      <c r="H2646" s="35" t="s">
        <v>2475</v>
      </c>
      <c r="I2646" s="33"/>
      <c r="J2646" s="36"/>
      <c r="K2646" t="s">
        <v>54</v>
      </c>
      <c r="L2646" s="3">
        <v>9760.32</v>
      </c>
      <c r="N2646" s="3">
        <f>L2646*0.3</f>
        <v>2928.096</v>
      </c>
      <c r="O2646" s="3">
        <f>(IF(L2646&lt;4172.98,0,MIN(L2646*0.3,L2646-4172.98)))-M2646</f>
        <v>2928.096</v>
      </c>
      <c r="S2646" s="3" t="s">
        <v>879</v>
      </c>
      <c r="T2646" s="48">
        <v>46287</v>
      </c>
      <c r="V2646" s="51">
        <v>0.73611111111111116</v>
      </c>
      <c r="W2646" s="51">
        <v>0.74236111111111114</v>
      </c>
      <c r="X2646" s="51">
        <v>0.74444444444444446</v>
      </c>
      <c r="Y2646" s="51">
        <v>0.74722222222222223</v>
      </c>
    </row>
    <row r="2647" spans="1:25" hidden="1">
      <c r="A2647" s="30">
        <v>24753558</v>
      </c>
      <c r="B2647" s="31">
        <v>46287</v>
      </c>
      <c r="C2647" s="32">
        <v>0.74003472222222222</v>
      </c>
      <c r="D2647" s="33"/>
      <c r="E2647" s="34">
        <v>5216391907574</v>
      </c>
      <c r="F2647" s="33"/>
      <c r="G2647" s="33"/>
      <c r="H2647" s="35">
        <v>89856205060</v>
      </c>
      <c r="I2647" s="33"/>
      <c r="J2647" s="36"/>
      <c r="K2647" t="s">
        <v>189</v>
      </c>
      <c r="N2647" s="3">
        <f>L2647*0.3</f>
        <v>0</v>
      </c>
      <c r="O2647" s="3">
        <f>(IF(L2647&lt;4172.98,0,MIN(L2647*0.3,L2647-4172.98)))-M2647</f>
        <v>0</v>
      </c>
      <c r="S2647" s="3" t="s">
        <v>204</v>
      </c>
      <c r="V2647" s="51">
        <v>0.74027777777777781</v>
      </c>
    </row>
    <row r="2648" spans="1:25">
      <c r="A2648" s="30">
        <v>24753678</v>
      </c>
      <c r="B2648" s="31">
        <v>46287</v>
      </c>
      <c r="C2648" s="32">
        <v>0.74091435185185184</v>
      </c>
      <c r="D2648" s="33"/>
      <c r="E2648" s="34">
        <v>5214442920425</v>
      </c>
      <c r="F2648" s="33"/>
      <c r="G2648" s="33"/>
      <c r="H2648" s="35">
        <v>41826310090</v>
      </c>
      <c r="I2648" s="33"/>
      <c r="J2648" s="36"/>
      <c r="K2648" t="s">
        <v>38</v>
      </c>
      <c r="L2648" s="111">
        <v>9757.32</v>
      </c>
      <c r="M2648" s="111">
        <v>1975.04</v>
      </c>
      <c r="N2648" s="3">
        <f>L2648*0.3</f>
        <v>2927.1959999999999</v>
      </c>
      <c r="O2648" s="3">
        <f>(IF(L2648&lt;4172.98,0,MIN(L2648*0.3,L2648-4172.98)))-M2648</f>
        <v>952.15599999999995</v>
      </c>
      <c r="P2648" s="6">
        <v>46722</v>
      </c>
      <c r="Q2648" t="s">
        <v>75</v>
      </c>
      <c r="R2648" s="111">
        <v>1975.04</v>
      </c>
      <c r="S2648" s="3" t="s">
        <v>39</v>
      </c>
      <c r="T2648" s="48">
        <v>46287</v>
      </c>
      <c r="V2648" s="51">
        <v>0.74236111111111114</v>
      </c>
      <c r="W2648" s="51">
        <v>0.74930555555555556</v>
      </c>
      <c r="X2648" s="51">
        <v>0.75069444444444444</v>
      </c>
      <c r="Y2648" s="51">
        <v>0.75416666666666665</v>
      </c>
    </row>
    <row r="2649" spans="1:25" hidden="1">
      <c r="A2649" s="30">
        <v>24753708</v>
      </c>
      <c r="B2649" s="31">
        <v>46287</v>
      </c>
      <c r="C2649" s="32">
        <v>0.74180555555555561</v>
      </c>
      <c r="D2649" s="33"/>
      <c r="E2649" s="34">
        <v>5218421203517</v>
      </c>
      <c r="F2649" s="33"/>
      <c r="G2649" s="33"/>
      <c r="H2649" s="35">
        <v>3480580157</v>
      </c>
      <c r="I2649" s="33"/>
      <c r="J2649" s="36"/>
      <c r="K2649" t="s">
        <v>32</v>
      </c>
      <c r="N2649" s="3">
        <f>L2649*0.3</f>
        <v>0</v>
      </c>
      <c r="O2649" s="3">
        <f>(IF(L2649&lt;4172.98,0,MIN(L2649*0.3,L2649-4172.98)))-M2649</f>
        <v>0</v>
      </c>
      <c r="S2649" s="3" t="s">
        <v>204</v>
      </c>
      <c r="V2649" s="51">
        <v>0.74444444444444446</v>
      </c>
    </row>
    <row r="2650" spans="1:25" hidden="1">
      <c r="A2650" s="30">
        <v>24753850</v>
      </c>
      <c r="B2650" s="31">
        <v>46287</v>
      </c>
      <c r="C2650" s="32">
        <v>0.74920138888888888</v>
      </c>
      <c r="D2650" s="33"/>
      <c r="E2650" s="34">
        <v>5215574118581</v>
      </c>
      <c r="F2650" s="33"/>
      <c r="G2650" s="33" t="s">
        <v>2476</v>
      </c>
      <c r="H2650" s="35"/>
      <c r="I2650" s="33"/>
      <c r="J2650" s="36"/>
      <c r="K2650" t="s">
        <v>32</v>
      </c>
      <c r="N2650" s="3">
        <f>L2650*0.3</f>
        <v>0</v>
      </c>
      <c r="O2650" s="3">
        <f>(IF(L2650&lt;4172.98,0,MIN(L2650*0.3,L2650-4172.98)))-M2650</f>
        <v>0</v>
      </c>
      <c r="S2650" s="3" t="s">
        <v>204</v>
      </c>
      <c r="V2650" s="51">
        <v>0.74861111111111112</v>
      </c>
    </row>
    <row r="2651" spans="1:25" hidden="1">
      <c r="A2651" s="30">
        <v>24754576</v>
      </c>
      <c r="B2651" s="31">
        <v>46287</v>
      </c>
      <c r="C2651" s="32">
        <v>0.78111111111111109</v>
      </c>
      <c r="D2651" s="33" t="s">
        <v>2477</v>
      </c>
      <c r="E2651" s="34">
        <v>5215535084713</v>
      </c>
      <c r="F2651" s="33"/>
      <c r="G2651" s="33" t="s">
        <v>2478</v>
      </c>
      <c r="H2651" s="35" t="s">
        <v>2479</v>
      </c>
      <c r="I2651" s="33"/>
      <c r="J2651" s="36"/>
      <c r="K2651" t="s">
        <v>58</v>
      </c>
      <c r="L2651" s="3">
        <v>3491.37</v>
      </c>
      <c r="M2651" s="3">
        <v>879</v>
      </c>
      <c r="N2651" s="3">
        <f>L2651*0.3</f>
        <v>1047.4109999999998</v>
      </c>
      <c r="O2651" s="3">
        <f>(IF(L2651&lt;4172.98,0,MIN(L2651*0.3,L2651-4172.98)))-M2651</f>
        <v>-879</v>
      </c>
      <c r="S2651" s="3" t="s">
        <v>204</v>
      </c>
      <c r="V2651" s="51">
        <v>0.78194444444444444</v>
      </c>
    </row>
    <row r="2652" spans="1:25" hidden="1">
      <c r="A2652" s="30">
        <v>24754644</v>
      </c>
      <c r="B2652" s="31">
        <v>46287</v>
      </c>
      <c r="C2652" s="32">
        <v>0.78408564814814818</v>
      </c>
      <c r="D2652" s="33"/>
      <c r="E2652" s="34">
        <v>5213222367787</v>
      </c>
      <c r="F2652" s="33"/>
      <c r="G2652" s="33" t="s">
        <v>2480</v>
      </c>
      <c r="H2652" s="35"/>
      <c r="I2652" s="33"/>
      <c r="J2652" s="36"/>
      <c r="K2652" t="s">
        <v>51</v>
      </c>
      <c r="N2652" s="3">
        <f>L2652*0.3</f>
        <v>0</v>
      </c>
      <c r="O2652" s="3">
        <f>(IF(L2652&lt;4172.98,0,MIN(L2652*0.3,L2652-4172.98)))-M2652</f>
        <v>0</v>
      </c>
      <c r="S2652" s="3" t="s">
        <v>204</v>
      </c>
      <c r="U2652" s="85"/>
      <c r="V2652" s="51">
        <v>0.78402777777777777</v>
      </c>
    </row>
    <row r="2653" spans="1:25">
      <c r="A2653" s="12">
        <v>24754894</v>
      </c>
      <c r="B2653" s="13">
        <v>46287</v>
      </c>
      <c r="C2653" s="14">
        <v>0.8</v>
      </c>
      <c r="D2653" s="15"/>
      <c r="E2653" s="16">
        <v>5216567092793</v>
      </c>
      <c r="F2653" s="15"/>
      <c r="G2653" s="15"/>
      <c r="H2653" s="17">
        <v>33826440993</v>
      </c>
      <c r="I2653" s="15"/>
      <c r="J2653" s="18"/>
      <c r="K2653" t="s">
        <v>54</v>
      </c>
      <c r="L2653" s="3">
        <v>45799.11</v>
      </c>
      <c r="N2653" s="3">
        <f t="shared" ref="N2653:N2664" si="332">L2653*0.3</f>
        <v>13739.733</v>
      </c>
      <c r="O2653" s="3">
        <f t="shared" ref="O2653:O2664" si="333">(IF(L2653&lt;4172.98,0,MIN(L2653*0.3,L2653-4172.98)))-M2653</f>
        <v>13739.733</v>
      </c>
      <c r="S2653" s="3" t="s">
        <v>1808</v>
      </c>
      <c r="T2653" s="48">
        <v>46288</v>
      </c>
      <c r="V2653" s="51">
        <v>0.33611111111111114</v>
      </c>
      <c r="W2653" s="51">
        <v>0.34236111111111112</v>
      </c>
      <c r="X2653" s="51">
        <v>0.35555555555555557</v>
      </c>
      <c r="Y2653" s="51">
        <v>0.35902777777777778</v>
      </c>
    </row>
    <row r="2654" spans="1:25" hidden="1">
      <c r="A2654" s="12">
        <v>24754664</v>
      </c>
      <c r="B2654" s="13">
        <v>46287</v>
      </c>
      <c r="C2654" s="14">
        <v>0.80071759259259256</v>
      </c>
      <c r="D2654" s="15"/>
      <c r="E2654" s="16">
        <v>5214721792420</v>
      </c>
      <c r="F2654" s="15"/>
      <c r="G2654" s="15" t="s">
        <v>2481</v>
      </c>
      <c r="H2654" s="17"/>
      <c r="I2654" s="15"/>
      <c r="J2654" s="18"/>
      <c r="K2654" t="s">
        <v>51</v>
      </c>
      <c r="N2654" s="3">
        <f t="shared" si="332"/>
        <v>0</v>
      </c>
      <c r="O2654" s="3">
        <f t="shared" si="333"/>
        <v>0</v>
      </c>
      <c r="S2654" s="3" t="s">
        <v>204</v>
      </c>
      <c r="V2654" s="51">
        <v>0.33611111111111114</v>
      </c>
    </row>
    <row r="2655" spans="1:25" hidden="1">
      <c r="A2655" s="12">
        <v>24755082</v>
      </c>
      <c r="B2655" s="13">
        <v>46287</v>
      </c>
      <c r="C2655" s="14">
        <v>0.80692129629629628</v>
      </c>
      <c r="D2655" s="15"/>
      <c r="E2655" s="16">
        <v>5215521744621</v>
      </c>
      <c r="F2655" s="15"/>
      <c r="G2655" s="15" t="s">
        <v>2482</v>
      </c>
      <c r="H2655" s="17"/>
      <c r="I2655" s="15"/>
      <c r="J2655" s="18"/>
      <c r="K2655" t="s">
        <v>32</v>
      </c>
      <c r="N2655" s="3">
        <f t="shared" si="332"/>
        <v>0</v>
      </c>
      <c r="O2655" s="3">
        <f t="shared" si="333"/>
        <v>0</v>
      </c>
      <c r="S2655" s="3" t="s">
        <v>204</v>
      </c>
      <c r="V2655" s="51">
        <v>0.33611111111111114</v>
      </c>
    </row>
    <row r="2656" spans="1:25" hidden="1">
      <c r="A2656" s="12">
        <v>24755332</v>
      </c>
      <c r="B2656" s="13">
        <v>46287</v>
      </c>
      <c r="C2656" s="14">
        <v>0.82368055555555553</v>
      </c>
      <c r="D2656" s="15"/>
      <c r="E2656" s="16">
        <v>5215564399073</v>
      </c>
      <c r="F2656" s="15"/>
      <c r="G2656" s="15" t="s">
        <v>2483</v>
      </c>
      <c r="H2656" s="17"/>
      <c r="I2656" s="15"/>
      <c r="J2656" s="18"/>
      <c r="K2656" t="s">
        <v>30</v>
      </c>
      <c r="L2656" s="3">
        <f>15640.32+263.26+2190.41+3689.96+554.2</f>
        <v>22338.149999999998</v>
      </c>
      <c r="M2656" s="3">
        <f>263.26+2190.41+3689.96+554.2</f>
        <v>6697.83</v>
      </c>
      <c r="N2656" s="3">
        <f t="shared" si="332"/>
        <v>6701.4449999999988</v>
      </c>
      <c r="O2656" s="3">
        <f t="shared" si="333"/>
        <v>3.6149999999988722</v>
      </c>
      <c r="P2656" s="6">
        <v>46419</v>
      </c>
      <c r="Q2656" t="s">
        <v>57</v>
      </c>
      <c r="R2656" s="3">
        <v>554</v>
      </c>
      <c r="S2656" s="3" t="s">
        <v>204</v>
      </c>
      <c r="V2656" s="51">
        <v>0.33611111111111114</v>
      </c>
    </row>
    <row r="2657" spans="1:25" hidden="1">
      <c r="A2657" s="12">
        <v>24755458</v>
      </c>
      <c r="B2657" s="13">
        <v>46287</v>
      </c>
      <c r="C2657" s="14">
        <v>0.82962962962962961</v>
      </c>
      <c r="D2657" s="15"/>
      <c r="E2657" s="16">
        <v>5218113163917</v>
      </c>
      <c r="F2657" s="15"/>
      <c r="G2657" s="15" t="s">
        <v>2450</v>
      </c>
      <c r="H2657" s="17"/>
      <c r="I2657" s="15"/>
      <c r="J2657" s="18"/>
      <c r="K2657" t="s">
        <v>30</v>
      </c>
      <c r="L2657" s="3">
        <f>6587.63+2493.89</f>
        <v>9081.52</v>
      </c>
      <c r="M2657" s="3">
        <v>2493.89</v>
      </c>
      <c r="N2657" s="3">
        <f t="shared" si="332"/>
        <v>2724.4560000000001</v>
      </c>
      <c r="O2657" s="3">
        <f t="shared" si="333"/>
        <v>230.56600000000026</v>
      </c>
      <c r="P2657" s="6">
        <v>46419</v>
      </c>
      <c r="Q2657" t="s">
        <v>77</v>
      </c>
      <c r="R2657" s="3">
        <v>2493.89</v>
      </c>
      <c r="S2657" s="3" t="s">
        <v>204</v>
      </c>
      <c r="V2657" s="51">
        <v>0.33611111111111114</v>
      </c>
    </row>
    <row r="2658" spans="1:25" hidden="1">
      <c r="A2658" s="12">
        <v>24755914</v>
      </c>
      <c r="B2658" s="13">
        <v>46287</v>
      </c>
      <c r="C2658" s="14">
        <v>0.86996527777777777</v>
      </c>
      <c r="D2658" s="15"/>
      <c r="E2658" s="16">
        <v>5212297793871</v>
      </c>
      <c r="F2658" s="15"/>
      <c r="G2658" s="15"/>
      <c r="H2658" s="17">
        <v>65675011384</v>
      </c>
      <c r="I2658" s="15"/>
      <c r="J2658" s="18"/>
      <c r="K2658" t="s">
        <v>30</v>
      </c>
      <c r="L2658" s="3">
        <f>4486.82+1918.24</f>
        <v>6405.0599999999995</v>
      </c>
      <c r="M2658" s="3">
        <v>1918.24</v>
      </c>
      <c r="N2658" s="3">
        <f t="shared" si="332"/>
        <v>1921.5179999999998</v>
      </c>
      <c r="O2658" s="3">
        <f t="shared" si="333"/>
        <v>3.2779999999997926</v>
      </c>
      <c r="P2658" s="6">
        <v>46784</v>
      </c>
      <c r="Q2658" t="s">
        <v>43</v>
      </c>
      <c r="R2658" s="3">
        <v>1918.24</v>
      </c>
      <c r="S2658" s="3" t="s">
        <v>204</v>
      </c>
      <c r="V2658" s="51">
        <v>0.33611111111111114</v>
      </c>
    </row>
    <row r="2659" spans="1:25">
      <c r="A2659" s="12">
        <v>24756656</v>
      </c>
      <c r="B2659" s="13">
        <v>46287</v>
      </c>
      <c r="C2659" s="14">
        <v>0.91489583333333335</v>
      </c>
      <c r="D2659" s="15"/>
      <c r="E2659" s="16">
        <v>5218143039961</v>
      </c>
      <c r="F2659" s="15"/>
      <c r="G2659" s="15" t="s">
        <v>2484</v>
      </c>
      <c r="H2659" s="17"/>
      <c r="I2659" s="15"/>
      <c r="J2659" s="18"/>
      <c r="K2659" t="s">
        <v>54</v>
      </c>
      <c r="L2659" s="3">
        <v>10636.54</v>
      </c>
      <c r="N2659" s="3">
        <f t="shared" si="332"/>
        <v>3190.962</v>
      </c>
      <c r="O2659" s="3">
        <f t="shared" si="333"/>
        <v>3190.962</v>
      </c>
      <c r="S2659" s="3" t="s">
        <v>1946</v>
      </c>
      <c r="T2659" s="48">
        <v>46288</v>
      </c>
      <c r="V2659" s="51">
        <v>0.33611111111111114</v>
      </c>
      <c r="W2659" s="51">
        <v>0.35138888888888886</v>
      </c>
      <c r="X2659" s="51">
        <v>0.35833333333333334</v>
      </c>
      <c r="Y2659" s="51">
        <v>0.3659722222222222</v>
      </c>
    </row>
    <row r="2660" spans="1:25">
      <c r="A2660" s="12">
        <v>24756990</v>
      </c>
      <c r="B2660" s="13">
        <v>46287</v>
      </c>
      <c r="C2660" s="14">
        <v>0.9431018518518518</v>
      </c>
      <c r="D2660" s="15"/>
      <c r="E2660" s="16">
        <v>5214792897340</v>
      </c>
      <c r="F2660" s="15"/>
      <c r="G2660" s="15"/>
      <c r="H2660" s="17">
        <v>12755909327</v>
      </c>
      <c r="I2660" s="15"/>
      <c r="J2660" s="18"/>
      <c r="K2660" t="s">
        <v>54</v>
      </c>
      <c r="L2660" s="3">
        <f>6872.13</f>
        <v>6872.13</v>
      </c>
      <c r="M2660" s="3">
        <v>848</v>
      </c>
      <c r="N2660" s="3">
        <f t="shared" si="332"/>
        <v>2061.6390000000001</v>
      </c>
      <c r="O2660" s="3">
        <f t="shared" si="333"/>
        <v>1213.6390000000001</v>
      </c>
      <c r="S2660" s="3" t="s">
        <v>1910</v>
      </c>
      <c r="T2660" s="48">
        <v>46288</v>
      </c>
      <c r="V2660" s="51">
        <v>0.33611111111111114</v>
      </c>
      <c r="W2660" s="51">
        <v>0.35208333333333336</v>
      </c>
      <c r="X2660" s="51">
        <v>0.36041666666666666</v>
      </c>
      <c r="Y2660" s="51">
        <v>0.36180555555555555</v>
      </c>
    </row>
    <row r="2661" spans="1:25" hidden="1">
      <c r="A2661" s="12">
        <v>24756994</v>
      </c>
      <c r="B2661" s="13">
        <v>46287</v>
      </c>
      <c r="C2661" s="14">
        <v>0.9447106481481482</v>
      </c>
      <c r="D2661" s="15"/>
      <c r="E2661" s="16">
        <v>5216568170548</v>
      </c>
      <c r="F2661" s="15"/>
      <c r="G2661" s="15"/>
      <c r="H2661" s="17">
        <v>60776000860</v>
      </c>
      <c r="I2661" s="15"/>
      <c r="J2661" s="18"/>
      <c r="K2661" t="s">
        <v>32</v>
      </c>
      <c r="N2661" s="3">
        <f t="shared" si="332"/>
        <v>0</v>
      </c>
      <c r="O2661" s="3">
        <f t="shared" si="333"/>
        <v>0</v>
      </c>
      <c r="S2661" s="3" t="s">
        <v>204</v>
      </c>
      <c r="V2661" s="51">
        <v>0.33611111111111114</v>
      </c>
    </row>
    <row r="2662" spans="1:25" hidden="1">
      <c r="A2662" s="12">
        <v>24757214</v>
      </c>
      <c r="B2662" s="13">
        <v>46287</v>
      </c>
      <c r="C2662" s="14">
        <v>0.97953703703703698</v>
      </c>
      <c r="D2662" s="15"/>
      <c r="E2662" s="16">
        <v>5215530544962</v>
      </c>
      <c r="F2662" s="15"/>
      <c r="G2662" s="15"/>
      <c r="H2662" s="17">
        <v>68937710272</v>
      </c>
      <c r="I2662" s="15"/>
      <c r="J2662" s="18"/>
      <c r="K2662" t="s">
        <v>51</v>
      </c>
      <c r="N2662" s="3">
        <f t="shared" si="332"/>
        <v>0</v>
      </c>
      <c r="O2662" s="3">
        <f t="shared" si="333"/>
        <v>0</v>
      </c>
      <c r="S2662" s="3" t="s">
        <v>204</v>
      </c>
      <c r="V2662" s="51">
        <v>0.33611111111111114</v>
      </c>
    </row>
    <row r="2663" spans="1:25" hidden="1">
      <c r="A2663" s="12">
        <v>24762868</v>
      </c>
      <c r="B2663" s="13">
        <v>46288</v>
      </c>
      <c r="C2663" s="14">
        <v>0.28664351851851849</v>
      </c>
      <c r="D2663" s="15" t="s">
        <v>2485</v>
      </c>
      <c r="E2663" s="16">
        <v>5215656035485</v>
      </c>
      <c r="F2663" s="15"/>
      <c r="G2663" s="15" t="s">
        <v>2486</v>
      </c>
      <c r="H2663" s="17"/>
      <c r="I2663" s="15"/>
      <c r="J2663" s="18"/>
      <c r="K2663" t="s">
        <v>32</v>
      </c>
      <c r="N2663" s="3">
        <f t="shared" si="332"/>
        <v>0</v>
      </c>
      <c r="O2663" s="3">
        <f t="shared" si="333"/>
        <v>0</v>
      </c>
      <c r="S2663" s="3" t="s">
        <v>204</v>
      </c>
      <c r="V2663" s="51">
        <v>0.33611111111111114</v>
      </c>
    </row>
    <row r="2664" spans="1:25" hidden="1">
      <c r="A2664" s="30">
        <v>24764160</v>
      </c>
      <c r="B2664" s="31">
        <v>46288</v>
      </c>
      <c r="C2664" s="32">
        <v>0.32665509259259257</v>
      </c>
      <c r="D2664" s="33"/>
      <c r="E2664" s="34">
        <v>5213318039369</v>
      </c>
      <c r="F2664" s="33"/>
      <c r="G2664" s="33"/>
      <c r="H2664" s="35">
        <v>72876822973</v>
      </c>
      <c r="I2664" s="33"/>
      <c r="J2664" s="36"/>
      <c r="K2664" t="s">
        <v>30</v>
      </c>
      <c r="L2664" s="3">
        <f>4174.64+1645.31</f>
        <v>5819.9500000000007</v>
      </c>
      <c r="M2664" s="3">
        <v>1645.31</v>
      </c>
      <c r="N2664" s="3">
        <f t="shared" si="332"/>
        <v>1745.9850000000001</v>
      </c>
      <c r="O2664" s="3">
        <f t="shared" si="333"/>
        <v>1.6600000000012187</v>
      </c>
      <c r="P2664" s="6">
        <v>46813</v>
      </c>
      <c r="Q2664" t="s">
        <v>44</v>
      </c>
      <c r="R2664" s="3">
        <v>1645.31</v>
      </c>
      <c r="S2664" s="3" t="s">
        <v>204</v>
      </c>
      <c r="V2664" s="51">
        <v>0.33611111111111114</v>
      </c>
    </row>
    <row r="2665" spans="1:25">
      <c r="A2665" s="30">
        <v>24769090</v>
      </c>
      <c r="B2665" s="31">
        <v>46288</v>
      </c>
      <c r="C2665" s="32">
        <v>0.35393518518518519</v>
      </c>
      <c r="D2665" s="33"/>
      <c r="E2665" s="34">
        <v>8983590665</v>
      </c>
      <c r="F2665" s="33"/>
      <c r="G2665" s="33" t="s">
        <v>2487</v>
      </c>
      <c r="H2665" s="35"/>
      <c r="I2665" s="33"/>
      <c r="J2665" s="36"/>
      <c r="K2665" t="s">
        <v>54</v>
      </c>
      <c r="L2665" s="206">
        <v>19499.169999999998</v>
      </c>
      <c r="M2665" s="206">
        <v>1771.87</v>
      </c>
      <c r="N2665" s="3">
        <f>L2665*0.3</f>
        <v>5849.7509999999993</v>
      </c>
      <c r="O2665" s="3">
        <f>(IF(L2665&lt;4172.98,0,MIN(L2665*0.3,L2665-4172.98)))-M2665</f>
        <v>4077.8809999999994</v>
      </c>
      <c r="P2665" s="6">
        <v>45870</v>
      </c>
      <c r="Q2665" t="s">
        <v>44</v>
      </c>
      <c r="R2665" s="206">
        <v>1771.87</v>
      </c>
      <c r="S2665" s="3" t="s">
        <v>327</v>
      </c>
      <c r="T2665" s="48">
        <v>46288</v>
      </c>
      <c r="V2665" s="51">
        <v>0.35625000000000001</v>
      </c>
      <c r="W2665" s="51">
        <v>0.75208333333333333</v>
      </c>
      <c r="X2665" s="51">
        <v>0.75624999999999998</v>
      </c>
      <c r="Y2665" s="51">
        <v>0.77013888888888893</v>
      </c>
    </row>
    <row r="2666" spans="1:25" hidden="1">
      <c r="A2666" s="30">
        <v>24771440</v>
      </c>
      <c r="B2666" s="31">
        <v>46288</v>
      </c>
      <c r="C2666" s="32">
        <v>0.35868055555555556</v>
      </c>
      <c r="D2666" s="33"/>
      <c r="E2666" s="34">
        <v>5219911099675</v>
      </c>
      <c r="F2666" s="33"/>
      <c r="G2666" s="33"/>
      <c r="H2666" s="35" t="s">
        <v>2488</v>
      </c>
      <c r="I2666" s="33"/>
      <c r="J2666" s="36"/>
      <c r="K2666" t="s">
        <v>30</v>
      </c>
      <c r="L2666" s="3">
        <f>6832.33+2927.99</f>
        <v>9760.32</v>
      </c>
      <c r="M2666" s="3">
        <v>2927.99</v>
      </c>
      <c r="N2666" s="3">
        <f>L2666*0.3</f>
        <v>2928.096</v>
      </c>
      <c r="O2666" s="3">
        <f>(IF(L2666&lt;4172.98,0,MIN(L2666*0.3,L2666-4172.98)))-M2666</f>
        <v>0.10600000000022192</v>
      </c>
      <c r="P2666" s="6">
        <v>46844</v>
      </c>
      <c r="Q2666" t="s">
        <v>929</v>
      </c>
      <c r="R2666" s="3">
        <v>2927.99</v>
      </c>
      <c r="S2666" s="3" t="s">
        <v>204</v>
      </c>
      <c r="V2666" s="51">
        <v>0.35902777777777778</v>
      </c>
    </row>
    <row r="2667" spans="1:25">
      <c r="A2667" s="30">
        <v>24779542</v>
      </c>
      <c r="B2667" s="31">
        <v>46288</v>
      </c>
      <c r="C2667" s="32">
        <v>0.41038194444444442</v>
      </c>
      <c r="D2667" s="33"/>
      <c r="E2667" s="34">
        <v>5214491417485</v>
      </c>
      <c r="F2667" s="33"/>
      <c r="G2667" s="33"/>
      <c r="H2667" s="35">
        <v>51826610019</v>
      </c>
      <c r="I2667" s="33"/>
      <c r="J2667" s="36"/>
      <c r="K2667" t="s">
        <v>54</v>
      </c>
      <c r="L2667" s="3">
        <f>20308.32-10548</f>
        <v>9760.32</v>
      </c>
      <c r="M2667" s="3">
        <v>848</v>
      </c>
      <c r="N2667" s="3">
        <f>L2667*0.3</f>
        <v>2928.096</v>
      </c>
      <c r="O2667" s="3">
        <f>(IF(L2667&lt;4172.98,0,MIN(L2667*0.3,L2667-4172.98)))-M2667</f>
        <v>2080.096</v>
      </c>
      <c r="S2667" s="3" t="s">
        <v>95</v>
      </c>
      <c r="T2667" s="48">
        <v>46288</v>
      </c>
      <c r="V2667" s="51">
        <v>0.41319444444444442</v>
      </c>
      <c r="W2667" s="51">
        <v>0.41944444444444445</v>
      </c>
      <c r="X2667" s="51">
        <v>0.42638888888888887</v>
      </c>
      <c r="Y2667" s="51">
        <v>0.43263888888888891</v>
      </c>
    </row>
    <row r="2668" spans="1:25" hidden="1">
      <c r="A2668" s="12">
        <v>24779476</v>
      </c>
      <c r="B2668" s="13">
        <v>46288</v>
      </c>
      <c r="C2668" s="14">
        <v>0.4183912037037037</v>
      </c>
      <c r="D2668" s="15" t="s">
        <v>2489</v>
      </c>
      <c r="E2668" s="16">
        <v>5212321256296</v>
      </c>
      <c r="F2668" s="15"/>
      <c r="G2668" s="15" t="s">
        <v>2490</v>
      </c>
      <c r="H2668" s="17"/>
      <c r="I2668" s="15"/>
      <c r="J2668" s="18"/>
      <c r="K2668" t="s">
        <v>32</v>
      </c>
      <c r="N2668" s="3">
        <f t="shared" ref="N2668:N2671" si="334">L2668*0.3</f>
        <v>0</v>
      </c>
      <c r="O2668" s="3">
        <f t="shared" ref="O2668:O2671" si="335">(IF(L2668&lt;4172.98,0,MIN(L2668*0.3,L2668-4172.98)))-M2668</f>
        <v>0</v>
      </c>
      <c r="S2668" s="3" t="s">
        <v>204</v>
      </c>
      <c r="V2668" s="51">
        <v>0.42291666666666666</v>
      </c>
    </row>
    <row r="2669" spans="1:25" hidden="1">
      <c r="A2669" s="12">
        <v>24779974</v>
      </c>
      <c r="B2669" s="13">
        <v>46288</v>
      </c>
      <c r="C2669" s="14">
        <v>0.41850694444444442</v>
      </c>
      <c r="D2669" s="15"/>
      <c r="E2669" s="16">
        <v>5216361123549</v>
      </c>
      <c r="F2669" s="15"/>
      <c r="G2669" s="15"/>
      <c r="H2669" s="17" t="s">
        <v>2491</v>
      </c>
      <c r="I2669" s="15"/>
      <c r="J2669" s="18"/>
      <c r="K2669" t="s">
        <v>58</v>
      </c>
      <c r="L2669" s="3">
        <v>4172.97</v>
      </c>
      <c r="N2669" s="3">
        <f t="shared" si="334"/>
        <v>1251.8910000000001</v>
      </c>
      <c r="O2669" s="3">
        <f t="shared" si="335"/>
        <v>0</v>
      </c>
      <c r="S2669" s="3" t="s">
        <v>204</v>
      </c>
      <c r="V2669" s="51">
        <v>0.42291666666666666</v>
      </c>
    </row>
    <row r="2670" spans="1:25" hidden="1">
      <c r="A2670" s="12">
        <v>24779518</v>
      </c>
      <c r="B2670" s="13">
        <v>46288</v>
      </c>
      <c r="C2670" s="14">
        <v>0.41956018518518517</v>
      </c>
      <c r="D2670" s="15"/>
      <c r="E2670" s="16">
        <v>5212221607896</v>
      </c>
      <c r="F2670" s="15"/>
      <c r="G2670" s="15"/>
      <c r="H2670" s="17">
        <v>62795808989</v>
      </c>
      <c r="I2670" s="15"/>
      <c r="J2670" s="18"/>
      <c r="K2670" t="s">
        <v>30</v>
      </c>
      <c r="L2670" s="111">
        <v>64568.72</v>
      </c>
      <c r="M2670" s="111">
        <v>19370.490000000002</v>
      </c>
      <c r="N2670" s="3">
        <f t="shared" si="334"/>
        <v>19370.615999999998</v>
      </c>
      <c r="O2670" s="3">
        <f t="shared" si="335"/>
        <v>0.12599999999656575</v>
      </c>
      <c r="P2670" s="6">
        <v>46447</v>
      </c>
      <c r="Q2670" t="s">
        <v>59</v>
      </c>
      <c r="R2670" s="3">
        <v>749.75</v>
      </c>
      <c r="S2670" s="3" t="s">
        <v>204</v>
      </c>
      <c r="V2670" s="51">
        <v>0.42291666666666666</v>
      </c>
    </row>
    <row r="2671" spans="1:25" hidden="1">
      <c r="A2671" s="30">
        <v>24779942</v>
      </c>
      <c r="B2671" s="31">
        <v>46288</v>
      </c>
      <c r="C2671" s="32">
        <v>0.42195601851851849</v>
      </c>
      <c r="D2671" s="33" t="s">
        <v>2492</v>
      </c>
      <c r="E2671" s="34">
        <v>5216863078307</v>
      </c>
      <c r="F2671" s="33"/>
      <c r="G2671" s="33" t="s">
        <v>2493</v>
      </c>
      <c r="H2671" s="35">
        <v>21877137725</v>
      </c>
      <c r="I2671" s="33"/>
      <c r="J2671" s="36"/>
      <c r="K2671" t="s">
        <v>30</v>
      </c>
      <c r="L2671" s="111">
        <v>9093.09</v>
      </c>
      <c r="M2671" s="111">
        <v>2636.61</v>
      </c>
      <c r="N2671" s="3">
        <f t="shared" si="334"/>
        <v>2727.9270000000001</v>
      </c>
      <c r="O2671" s="3">
        <f t="shared" si="335"/>
        <v>91.317000000000007</v>
      </c>
      <c r="P2671" s="6">
        <v>46844</v>
      </c>
      <c r="Q2671" t="s">
        <v>57</v>
      </c>
      <c r="R2671" s="3">
        <v>1794.26</v>
      </c>
      <c r="S2671" s="3" t="s">
        <v>204</v>
      </c>
      <c r="V2671" s="51">
        <v>0.42291666666666666</v>
      </c>
    </row>
    <row r="2672" spans="1:25" hidden="1">
      <c r="A2672" s="30">
        <v>24780534</v>
      </c>
      <c r="B2672" s="31">
        <v>46288</v>
      </c>
      <c r="C2672" s="32">
        <v>0.43269675925925927</v>
      </c>
      <c r="D2672" s="33"/>
      <c r="E2672" s="34">
        <v>7444009135</v>
      </c>
      <c r="F2672" s="33"/>
      <c r="G2672" s="33"/>
      <c r="H2672" s="35">
        <v>72846616471</v>
      </c>
      <c r="I2672" s="33"/>
      <c r="J2672" s="36"/>
      <c r="K2672" t="s">
        <v>30</v>
      </c>
      <c r="L2672" s="111">
        <v>11029.03</v>
      </c>
      <c r="M2672" s="111">
        <v>3307</v>
      </c>
      <c r="N2672" s="3">
        <f>L2672*0.3</f>
        <v>3308.7090000000003</v>
      </c>
      <c r="O2672" s="3">
        <f>(IF(L2672&lt;4172.98,0,MIN(L2672*0.3,L2672-4172.98)))-M2672</f>
        <v>1.7090000000002874</v>
      </c>
      <c r="P2672" s="6">
        <v>46905</v>
      </c>
      <c r="Q2672" t="s">
        <v>75</v>
      </c>
      <c r="R2672" s="111">
        <v>3307</v>
      </c>
      <c r="S2672" s="3" t="s">
        <v>204</v>
      </c>
      <c r="V2672" s="51">
        <v>0.43263888888888891</v>
      </c>
    </row>
    <row r="2673" spans="1:25" hidden="1">
      <c r="A2673" s="30">
        <v>24644980</v>
      </c>
      <c r="B2673" s="31">
        <v>46288</v>
      </c>
      <c r="C2673" s="32">
        <v>0.43616898148148148</v>
      </c>
      <c r="D2673" s="33" t="s">
        <v>2494</v>
      </c>
      <c r="E2673" s="34">
        <v>5218992546454</v>
      </c>
      <c r="F2673" s="33"/>
      <c r="G2673" s="33" t="s">
        <v>2495</v>
      </c>
      <c r="H2673" s="35"/>
      <c r="I2673" s="33"/>
      <c r="J2673" s="36"/>
      <c r="K2673" t="s">
        <v>32</v>
      </c>
      <c r="N2673" s="3">
        <f>L2673*0.3</f>
        <v>0</v>
      </c>
      <c r="O2673" s="3">
        <f>(IF(L2673&lt;4172.98,0,MIN(L2673*0.3,L2673-4172.98)))-M2673</f>
        <v>0</v>
      </c>
      <c r="S2673" s="53" t="s">
        <v>204</v>
      </c>
      <c r="V2673" s="51">
        <v>0.43611111111111112</v>
      </c>
    </row>
    <row r="2674" spans="1:25" hidden="1">
      <c r="A2674" s="30">
        <v>24661736</v>
      </c>
      <c r="B2674" s="31">
        <v>46288</v>
      </c>
      <c r="C2674" s="32">
        <v>0.43755787037037036</v>
      </c>
      <c r="D2674" s="33"/>
      <c r="E2674" s="34">
        <v>5214426105970</v>
      </c>
      <c r="F2674" s="33"/>
      <c r="G2674" s="33"/>
      <c r="H2674" s="35" t="s">
        <v>2496</v>
      </c>
      <c r="I2674" s="33"/>
      <c r="J2674" s="36"/>
      <c r="K2674" t="s">
        <v>51</v>
      </c>
      <c r="N2674" s="3">
        <f>L2674*0.3</f>
        <v>0</v>
      </c>
      <c r="O2674" s="3">
        <f>(IF(L2674&lt;4172.98,0,MIN(L2674*0.3,L2674-4172.98)))-M2674</f>
        <v>0</v>
      </c>
      <c r="S2674" s="53" t="s">
        <v>204</v>
      </c>
      <c r="V2674" s="51">
        <v>0.4375</v>
      </c>
    </row>
    <row r="2675" spans="1:25" hidden="1">
      <c r="A2675" s="30">
        <v>24663190</v>
      </c>
      <c r="B2675" s="31">
        <v>46288</v>
      </c>
      <c r="C2675" s="32">
        <v>0.43964120370370369</v>
      </c>
      <c r="D2675" s="33" t="s">
        <v>2497</v>
      </c>
      <c r="E2675" s="34">
        <v>5219241163650</v>
      </c>
      <c r="F2675" s="33"/>
      <c r="G2675" s="33" t="s">
        <v>2498</v>
      </c>
      <c r="H2675" s="35"/>
      <c r="I2675" s="33"/>
      <c r="J2675" s="36"/>
      <c r="K2675" t="s">
        <v>30</v>
      </c>
      <c r="L2675" s="111">
        <v>6262.86</v>
      </c>
      <c r="M2675" s="111">
        <v>1811</v>
      </c>
      <c r="N2675" s="3">
        <f>L2675*0.3</f>
        <v>1878.8579999999997</v>
      </c>
      <c r="O2675" s="3">
        <f>(IF(L2675&lt;4172.98,0,MIN(L2675*0.3,L2675-4172.98)))-M2675</f>
        <v>67.85799999999972</v>
      </c>
      <c r="P2675" s="6">
        <v>46508</v>
      </c>
      <c r="Q2675" t="s">
        <v>47</v>
      </c>
      <c r="R2675" s="3">
        <v>1811</v>
      </c>
      <c r="S2675" s="53" t="s">
        <v>204</v>
      </c>
      <c r="V2675" s="51">
        <v>0.43958333333333333</v>
      </c>
    </row>
    <row r="2676" spans="1:25">
      <c r="A2676" s="30">
        <v>24780746</v>
      </c>
      <c r="B2676" s="31">
        <v>46288</v>
      </c>
      <c r="C2676" s="32">
        <v>0.44109953703703703</v>
      </c>
      <c r="D2676" s="33" t="s">
        <v>2499</v>
      </c>
      <c r="E2676" s="34">
        <v>5213471185358</v>
      </c>
      <c r="F2676" s="33"/>
      <c r="G2676" s="33" t="s">
        <v>2500</v>
      </c>
      <c r="H2676" s="35">
        <v>62785403585</v>
      </c>
      <c r="I2676" s="33"/>
      <c r="J2676" s="36"/>
      <c r="K2676" t="s">
        <v>38</v>
      </c>
      <c r="L2676" s="111">
        <v>5617.63</v>
      </c>
      <c r="M2676" s="111">
        <v>552.08000000000004</v>
      </c>
      <c r="N2676" s="3">
        <f>L2676*0.3</f>
        <v>1685.289</v>
      </c>
      <c r="O2676" s="3">
        <f>(IF(L2676&lt;4172.98,0,MIN(L2676*0.3,L2676-4172.98)))-M2676</f>
        <v>892.5700000000005</v>
      </c>
      <c r="P2676" s="6">
        <v>46874</v>
      </c>
      <c r="Q2676" t="s">
        <v>43</v>
      </c>
      <c r="R2676" s="3">
        <v>552</v>
      </c>
      <c r="S2676" s="3" t="s">
        <v>39</v>
      </c>
      <c r="T2676" s="48">
        <v>46288</v>
      </c>
      <c r="V2676" s="51">
        <v>0.44097222222222221</v>
      </c>
      <c r="W2676" s="51">
        <v>0.44861111111111113</v>
      </c>
      <c r="X2676" s="51">
        <v>0.45277777777777778</v>
      </c>
      <c r="Y2676" s="51">
        <v>0.45555555555555555</v>
      </c>
    </row>
    <row r="2677" spans="1:25" hidden="1">
      <c r="A2677" s="30">
        <v>24663682</v>
      </c>
      <c r="B2677" s="31">
        <v>46288</v>
      </c>
      <c r="C2677" s="32">
        <v>0.44457175925925924</v>
      </c>
      <c r="D2677" s="33"/>
      <c r="E2677" s="34">
        <v>5218711431802</v>
      </c>
      <c r="F2677" s="33"/>
      <c r="G2677" s="33"/>
      <c r="H2677" s="35">
        <v>32877163447</v>
      </c>
      <c r="I2677" s="33"/>
      <c r="J2677" s="36"/>
      <c r="K2677" t="s">
        <v>32</v>
      </c>
      <c r="N2677" s="3">
        <f>L2677*0.3</f>
        <v>0</v>
      </c>
      <c r="O2677" s="3">
        <f>(IF(L2677&lt;4172.98,0,MIN(L2677*0.3,L2677-4172.98)))-M2677</f>
        <v>0</v>
      </c>
      <c r="S2677" s="53" t="s">
        <v>204</v>
      </c>
      <c r="V2677" s="51">
        <v>0.44444444444444442</v>
      </c>
    </row>
    <row r="2678" spans="1:25" hidden="1">
      <c r="A2678" s="30">
        <v>24781012</v>
      </c>
      <c r="B2678" s="31">
        <v>46288</v>
      </c>
      <c r="C2678" s="32">
        <v>0.45030092592592591</v>
      </c>
      <c r="D2678" s="33" t="s">
        <v>2501</v>
      </c>
      <c r="E2678" s="34">
        <v>5218442903471</v>
      </c>
      <c r="F2678" s="33"/>
      <c r="G2678" s="33"/>
      <c r="H2678" s="35" t="s">
        <v>2502</v>
      </c>
      <c r="I2678" s="33"/>
      <c r="J2678" s="36"/>
      <c r="K2678" t="s">
        <v>58</v>
      </c>
      <c r="L2678" s="111">
        <v>2421.41</v>
      </c>
      <c r="M2678" s="111">
        <v>525</v>
      </c>
      <c r="N2678" s="3">
        <f>L2678*0.3</f>
        <v>726.42299999999989</v>
      </c>
      <c r="O2678" s="3">
        <f>(IF(L2678&lt;4172.98,0,MIN(L2678*0.3,L2678-4172.98)))-M2678</f>
        <v>-525</v>
      </c>
      <c r="S2678" s="3" t="s">
        <v>204</v>
      </c>
      <c r="V2678" s="51">
        <v>0.45</v>
      </c>
    </row>
    <row r="2679" spans="1:25" hidden="1">
      <c r="A2679" s="30">
        <v>24781060</v>
      </c>
      <c r="B2679" s="31">
        <v>46288</v>
      </c>
      <c r="C2679" s="32">
        <v>0.45326388888888891</v>
      </c>
      <c r="D2679" s="33"/>
      <c r="E2679" s="34">
        <v>5216561754382</v>
      </c>
      <c r="F2679" s="33"/>
      <c r="G2679" s="33"/>
      <c r="H2679" s="35">
        <v>33927621061</v>
      </c>
      <c r="I2679" s="33"/>
      <c r="J2679" s="36"/>
      <c r="K2679" t="s">
        <v>30</v>
      </c>
      <c r="L2679" s="111">
        <v>10171.219999999999</v>
      </c>
      <c r="M2679" s="111">
        <v>3022.41</v>
      </c>
      <c r="N2679" s="3">
        <f>L2679*0.3</f>
        <v>3051.3659999999995</v>
      </c>
      <c r="O2679" s="3">
        <f>(IF(L2679&lt;4172.98,0,MIN(L2679*0.3,L2679-4172.98)))-M2679</f>
        <v>28.955999999999676</v>
      </c>
      <c r="P2679" s="6">
        <v>46905</v>
      </c>
      <c r="Q2679" t="s">
        <v>75</v>
      </c>
      <c r="R2679" s="111">
        <v>3022.41</v>
      </c>
      <c r="S2679" s="3" t="s">
        <v>204</v>
      </c>
      <c r="V2679" s="51">
        <v>0.45416666666666666</v>
      </c>
    </row>
    <row r="2680" spans="1:25" hidden="1">
      <c r="A2680" s="30">
        <v>24666840</v>
      </c>
      <c r="B2680" s="31">
        <v>46288</v>
      </c>
      <c r="C2680" s="32">
        <v>0.46159722222222221</v>
      </c>
      <c r="D2680" s="33"/>
      <c r="E2680" s="34">
        <v>5544723708</v>
      </c>
      <c r="F2680" s="33"/>
      <c r="G2680" s="33"/>
      <c r="H2680" s="35" t="s">
        <v>2474</v>
      </c>
      <c r="I2680" s="33"/>
      <c r="J2680" s="36"/>
      <c r="K2680" t="s">
        <v>30</v>
      </c>
      <c r="L2680" s="111">
        <v>10074.18</v>
      </c>
      <c r="M2680" s="111">
        <v>3021.65</v>
      </c>
      <c r="N2680" s="3">
        <f>L2680*0.3</f>
        <v>3022.2539999999999</v>
      </c>
      <c r="O2680" s="3">
        <f>(IF(L2680&lt;4172.98,0,MIN(L2680*0.3,L2680-4172.98)))-M2680</f>
        <v>0.60399999999981446</v>
      </c>
      <c r="P2680" s="6">
        <v>46388</v>
      </c>
      <c r="Q2680" t="s">
        <v>141</v>
      </c>
      <c r="R2680" s="3">
        <v>2066.65</v>
      </c>
      <c r="S2680" s="53" t="s">
        <v>204</v>
      </c>
      <c r="V2680" s="51">
        <v>0.46111111111111114</v>
      </c>
    </row>
    <row r="2681" spans="1:25" hidden="1">
      <c r="A2681" s="12">
        <v>24781074</v>
      </c>
      <c r="B2681" s="13">
        <v>46288</v>
      </c>
      <c r="C2681" s="14">
        <v>0.46037037037037037</v>
      </c>
      <c r="D2681" s="15"/>
      <c r="E2681" s="16">
        <v>5217861041191</v>
      </c>
      <c r="F2681" s="106"/>
      <c r="G2681" s="203" t="s">
        <v>2503</v>
      </c>
      <c r="H2681" s="107"/>
      <c r="I2681" s="15"/>
      <c r="J2681" s="18"/>
      <c r="K2681" t="s">
        <v>32</v>
      </c>
      <c r="N2681" s="3">
        <f t="shared" ref="N2681:N2682" si="336">L2681*0.3</f>
        <v>0</v>
      </c>
      <c r="O2681" s="3">
        <f t="shared" ref="O2681:O2682" si="337">(IF(L2681&lt;4172.98,0,MIN(L2681*0.3,L2681-4172.98)))-M2681</f>
        <v>0</v>
      </c>
      <c r="S2681" s="3" t="s">
        <v>204</v>
      </c>
      <c r="V2681" s="51">
        <v>0.46180555555555558</v>
      </c>
    </row>
    <row r="2682" spans="1:25">
      <c r="A2682" s="30">
        <v>24781430</v>
      </c>
      <c r="B2682" s="31">
        <v>46288</v>
      </c>
      <c r="C2682" s="32">
        <v>0.46174768518518516</v>
      </c>
      <c r="D2682" s="33"/>
      <c r="E2682" s="34">
        <v>5216142704745</v>
      </c>
      <c r="F2682" s="33"/>
      <c r="G2682" s="204"/>
      <c r="H2682" s="35">
        <v>33856668026</v>
      </c>
      <c r="I2682" s="33"/>
      <c r="J2682" s="36"/>
      <c r="K2682" t="s">
        <v>54</v>
      </c>
      <c r="L2682" s="3">
        <v>10636.54</v>
      </c>
      <c r="N2682" s="3">
        <f t="shared" si="336"/>
        <v>3190.962</v>
      </c>
      <c r="O2682" s="3">
        <f t="shared" si="337"/>
        <v>3190.962</v>
      </c>
      <c r="S2682" s="3" t="s">
        <v>62</v>
      </c>
      <c r="T2682" s="48">
        <v>46288</v>
      </c>
      <c r="V2682" s="51">
        <v>0.46180555555555558</v>
      </c>
      <c r="W2682" s="51">
        <v>0.47013888888888888</v>
      </c>
      <c r="X2682" s="51">
        <v>0.47361111111111109</v>
      </c>
      <c r="Y2682" s="51">
        <v>0.47499999999999998</v>
      </c>
    </row>
    <row r="2683" spans="1:25" hidden="1">
      <c r="A2683" s="12">
        <v>24781404</v>
      </c>
      <c r="B2683" s="13">
        <v>46288</v>
      </c>
      <c r="C2683" s="14">
        <v>0.46310185185185188</v>
      </c>
      <c r="D2683" s="15" t="s">
        <v>2504</v>
      </c>
      <c r="E2683" s="16">
        <v>5219612520782</v>
      </c>
      <c r="F2683" s="15"/>
      <c r="G2683" s="15" t="s">
        <v>2505</v>
      </c>
      <c r="H2683" s="17"/>
      <c r="I2683" s="15"/>
      <c r="J2683" s="18"/>
      <c r="K2683" t="s">
        <v>32</v>
      </c>
      <c r="N2683" s="3">
        <f t="shared" ref="N2683:N2684" si="338">L2683*0.3</f>
        <v>0</v>
      </c>
      <c r="O2683" s="3">
        <f t="shared" ref="O2683:O2684" si="339">(IF(L2683&lt;4172.98,0,MIN(L2683*0.3,L2683-4172.98)))-M2683</f>
        <v>0</v>
      </c>
      <c r="S2683" s="3" t="s">
        <v>204</v>
      </c>
      <c r="V2683" s="51">
        <v>0.46319444444444446</v>
      </c>
    </row>
    <row r="2684" spans="1:25" hidden="1">
      <c r="A2684" s="30">
        <v>24781566</v>
      </c>
      <c r="B2684" s="31">
        <v>46288</v>
      </c>
      <c r="C2684" s="32">
        <v>0.46312500000000001</v>
      </c>
      <c r="D2684" s="33"/>
      <c r="E2684" s="34">
        <v>5215510716097</v>
      </c>
      <c r="F2684" s="33"/>
      <c r="G2684" s="33"/>
      <c r="H2684" s="35" t="s">
        <v>2506</v>
      </c>
      <c r="I2684" s="33"/>
      <c r="J2684" s="36"/>
      <c r="K2684" t="s">
        <v>58</v>
      </c>
      <c r="L2684" s="3">
        <v>4342.43</v>
      </c>
      <c r="N2684" s="3">
        <f t="shared" si="338"/>
        <v>1302.729</v>
      </c>
      <c r="O2684" s="3">
        <f t="shared" si="339"/>
        <v>169.45000000000073</v>
      </c>
      <c r="S2684" s="3" t="s">
        <v>204</v>
      </c>
      <c r="V2684" s="51">
        <v>0.46319444444444446</v>
      </c>
    </row>
    <row r="2685" spans="1:25" hidden="1">
      <c r="A2685" s="30">
        <v>24781742</v>
      </c>
      <c r="B2685" s="31">
        <v>46288</v>
      </c>
      <c r="C2685" s="32">
        <v>0.47714120370370372</v>
      </c>
      <c r="D2685" s="33"/>
      <c r="E2685" s="34">
        <v>5215567835339</v>
      </c>
      <c r="F2685" s="33"/>
      <c r="G2685" s="33" t="s">
        <v>2507</v>
      </c>
      <c r="H2685" s="35"/>
      <c r="I2685" s="33"/>
      <c r="J2685" s="36"/>
      <c r="K2685" t="s">
        <v>30</v>
      </c>
      <c r="L2685" s="111">
        <v>10636.54</v>
      </c>
      <c r="M2685" s="111">
        <v>3143.79</v>
      </c>
      <c r="N2685" s="3">
        <f>L2685*0.3</f>
        <v>3190.962</v>
      </c>
      <c r="O2685" s="3">
        <f>(IF(L2685&lt;4172.98,0,MIN(L2685*0.3,L2685-4172.98)))-M2685</f>
        <v>47.172000000000025</v>
      </c>
      <c r="P2685" s="6">
        <v>46844</v>
      </c>
      <c r="Q2685" t="s">
        <v>80</v>
      </c>
      <c r="R2685" s="111">
        <v>3143.79</v>
      </c>
      <c r="S2685" s="3" t="s">
        <v>204</v>
      </c>
      <c r="V2685" s="51">
        <v>0.47708333333333336</v>
      </c>
    </row>
    <row r="2686" spans="1:25" hidden="1">
      <c r="A2686" s="30">
        <v>24677044</v>
      </c>
      <c r="B2686" s="31">
        <v>46288</v>
      </c>
      <c r="C2686" s="32">
        <v>0.47991898148148149</v>
      </c>
      <c r="D2686" s="33" t="s">
        <v>2508</v>
      </c>
      <c r="E2686" s="34">
        <v>5214775904173</v>
      </c>
      <c r="F2686" s="33"/>
      <c r="G2686" s="33" t="s">
        <v>2509</v>
      </c>
      <c r="H2686" s="35"/>
      <c r="I2686" s="33"/>
      <c r="J2686" s="36"/>
      <c r="K2686" t="s">
        <v>30</v>
      </c>
      <c r="L2686" s="111">
        <v>5617.63</v>
      </c>
      <c r="M2686" s="111">
        <v>1393.24</v>
      </c>
      <c r="N2686" s="3">
        <f>L2686*0.3</f>
        <v>1685.289</v>
      </c>
      <c r="O2686" s="3">
        <f>(IF(L2686&lt;4172.98,0,MIN(L2686*0.3,L2686-4172.98)))-M2686</f>
        <v>51.410000000000537</v>
      </c>
      <c r="P2686" s="6">
        <v>46661</v>
      </c>
      <c r="Q2686" t="s">
        <v>75</v>
      </c>
      <c r="R2686" s="111">
        <v>1393.24</v>
      </c>
      <c r="S2686" s="53" t="s">
        <v>204</v>
      </c>
      <c r="V2686" s="51">
        <v>0.47986111111111113</v>
      </c>
    </row>
    <row r="2687" spans="1:25" hidden="1">
      <c r="A2687" s="30">
        <v>24782264</v>
      </c>
      <c r="B2687" s="31">
        <v>46288</v>
      </c>
      <c r="C2687" s="32">
        <v>0.48673611111111109</v>
      </c>
      <c r="D2687" s="33"/>
      <c r="E2687" s="34">
        <v>5215515628306</v>
      </c>
      <c r="F2687" s="33"/>
      <c r="G2687" s="33"/>
      <c r="H2687" s="35">
        <v>88846111941</v>
      </c>
      <c r="I2687" s="33"/>
      <c r="J2687" s="36"/>
      <c r="K2687" t="s">
        <v>32</v>
      </c>
      <c r="N2687" s="3">
        <f>L2687*0.3</f>
        <v>0</v>
      </c>
      <c r="O2687" s="3">
        <f>(IF(L2687&lt;4172.98,0,MIN(L2687*0.3,L2687-4172.98)))-M2687</f>
        <v>0</v>
      </c>
      <c r="S2687" s="3" t="s">
        <v>204</v>
      </c>
      <c r="V2687" s="51">
        <v>0.48680555555555555</v>
      </c>
    </row>
    <row r="2688" spans="1:25">
      <c r="A2688" s="30">
        <v>24782612</v>
      </c>
      <c r="B2688" s="31">
        <v>46288</v>
      </c>
      <c r="C2688" s="32">
        <v>0.48776620370370372</v>
      </c>
      <c r="D2688" s="33"/>
      <c r="E2688" s="34">
        <v>5212321482803</v>
      </c>
      <c r="F2688" s="33"/>
      <c r="G2688" s="33"/>
      <c r="H2688" s="35" t="s">
        <v>2510</v>
      </c>
      <c r="I2688" s="33"/>
      <c r="J2688" s="36"/>
      <c r="K2688" t="s">
        <v>54</v>
      </c>
      <c r="L2688" s="111">
        <v>7116.73</v>
      </c>
      <c r="M2688" s="111">
        <v>879</v>
      </c>
      <c r="N2688" s="3">
        <f>L2688*0.3</f>
        <v>2135.0189999999998</v>
      </c>
      <c r="O2688" s="3">
        <f>(IF(L2688&lt;4172.98,0,MIN(L2688*0.3,L2688-4172.98)))-M2688</f>
        <v>1256.0189999999998</v>
      </c>
      <c r="S2688" s="3" t="s">
        <v>327</v>
      </c>
      <c r="T2688" s="48">
        <v>46288</v>
      </c>
      <c r="V2688" s="51">
        <v>0.48819444444444443</v>
      </c>
      <c r="W2688" s="51">
        <v>0.49652777777777779</v>
      </c>
      <c r="X2688" s="51">
        <v>0.49722222222222223</v>
      </c>
      <c r="Y2688" s="51">
        <v>0.51458333333333328</v>
      </c>
    </row>
    <row r="2689" spans="1:25" hidden="1">
      <c r="A2689" s="30">
        <v>24782708</v>
      </c>
      <c r="B2689" s="31">
        <v>46288</v>
      </c>
      <c r="C2689" s="32">
        <v>0.50496527777777778</v>
      </c>
      <c r="D2689" s="33"/>
      <c r="E2689" s="34">
        <v>5217841459539</v>
      </c>
      <c r="F2689" s="33"/>
      <c r="G2689" s="33" t="s">
        <v>2511</v>
      </c>
      <c r="H2689" s="35"/>
      <c r="I2689" s="33"/>
      <c r="J2689" s="36"/>
      <c r="K2689" t="s">
        <v>32</v>
      </c>
      <c r="N2689" s="3">
        <f>L2689*0.3</f>
        <v>0</v>
      </c>
      <c r="O2689" s="3">
        <f>(IF(L2689&lt;4172.98,0,MIN(L2689*0.3,L2689-4172.98)))-M2689</f>
        <v>0</v>
      </c>
      <c r="S2689" s="3" t="s">
        <v>204</v>
      </c>
      <c r="V2689" s="51">
        <v>0.50555555555555554</v>
      </c>
    </row>
    <row r="2690" spans="1:25" hidden="1">
      <c r="A2690" s="30">
        <v>24783232</v>
      </c>
      <c r="B2690" s="31">
        <v>46288</v>
      </c>
      <c r="C2690" s="32">
        <v>0.50890046296296299</v>
      </c>
      <c r="D2690" s="33" t="s">
        <v>2512</v>
      </c>
      <c r="E2690" s="34">
        <v>5218333332264</v>
      </c>
      <c r="F2690" s="33"/>
      <c r="G2690" s="33" t="s">
        <v>2513</v>
      </c>
      <c r="H2690" s="35"/>
      <c r="I2690" s="33"/>
      <c r="J2690" s="36"/>
      <c r="K2690" t="s">
        <v>30</v>
      </c>
      <c r="L2690" s="111">
        <v>11733.16</v>
      </c>
      <c r="M2690" s="111">
        <v>3415.89</v>
      </c>
      <c r="N2690" s="3">
        <f>L2690*0.3</f>
        <v>3519.9479999999999</v>
      </c>
      <c r="O2690" s="3">
        <f>(IF(L2690&lt;4172.98,0,MIN(L2690*0.3,L2690-4172.98)))-M2690</f>
        <v>104.05799999999999</v>
      </c>
      <c r="P2690" s="6">
        <v>46447</v>
      </c>
      <c r="Q2690" t="s">
        <v>75</v>
      </c>
      <c r="R2690" s="3">
        <v>2714.59</v>
      </c>
      <c r="S2690" s="3" t="s">
        <v>204</v>
      </c>
      <c r="V2690" s="51">
        <v>0.50902777777777775</v>
      </c>
    </row>
    <row r="2691" spans="1:25" hidden="1">
      <c r="A2691" s="30">
        <v>24783590</v>
      </c>
      <c r="B2691" s="31">
        <v>46288</v>
      </c>
      <c r="C2691" s="32">
        <v>0.52826388888888887</v>
      </c>
      <c r="D2691" s="33"/>
      <c r="E2691" s="34">
        <v>5217351459623</v>
      </c>
      <c r="F2691" s="33"/>
      <c r="G2691" s="33" t="s">
        <v>2514</v>
      </c>
      <c r="H2691" s="35"/>
      <c r="I2691" s="33"/>
      <c r="J2691" s="36"/>
      <c r="K2691" t="s">
        <v>32</v>
      </c>
      <c r="N2691" s="3">
        <f>L2691*0.3</f>
        <v>0</v>
      </c>
      <c r="O2691" s="3">
        <f>(IF(L2691&lt;4172.98,0,MIN(L2691*0.3,L2691-4172.98)))-M2691</f>
        <v>0</v>
      </c>
      <c r="S2691" s="3" t="s">
        <v>204</v>
      </c>
      <c r="V2691" s="51">
        <v>0.52847222222222223</v>
      </c>
    </row>
    <row r="2692" spans="1:25" hidden="1">
      <c r="A2692" s="30">
        <v>24784320</v>
      </c>
      <c r="B2692" s="31">
        <v>46288</v>
      </c>
      <c r="C2692" s="32">
        <v>0.54182870370370373</v>
      </c>
      <c r="D2692" s="33"/>
      <c r="E2692" s="34">
        <v>5660687707</v>
      </c>
      <c r="F2692" s="33"/>
      <c r="G2692" s="33" t="s">
        <v>2515</v>
      </c>
      <c r="H2692" s="35"/>
      <c r="I2692" s="33"/>
      <c r="J2692" s="36"/>
      <c r="K2692" t="s">
        <v>32</v>
      </c>
      <c r="N2692" s="3">
        <f>L2692*0.3</f>
        <v>0</v>
      </c>
      <c r="O2692" s="3">
        <f>(IF(L2692&lt;4172.98,0,MIN(L2692*0.3,L2692-4172.98)))-M2692</f>
        <v>0</v>
      </c>
      <c r="S2692" s="3" t="s">
        <v>204</v>
      </c>
      <c r="V2692" s="51">
        <v>0.54166666666666663</v>
      </c>
    </row>
    <row r="2693" spans="1:25">
      <c r="A2693" s="30">
        <v>24784374</v>
      </c>
      <c r="B2693" s="31">
        <v>46288</v>
      </c>
      <c r="C2693" s="32">
        <v>0.54620370370370375</v>
      </c>
      <c r="D2693" s="33"/>
      <c r="E2693" s="34">
        <v>5218138481929</v>
      </c>
      <c r="F2693" s="33"/>
      <c r="G2693" s="33"/>
      <c r="H2693" s="35">
        <v>43796503969</v>
      </c>
      <c r="I2693" s="33"/>
      <c r="J2693" s="36"/>
      <c r="K2693" t="s">
        <v>54</v>
      </c>
      <c r="L2693" s="111">
        <v>9760.32</v>
      </c>
      <c r="M2693" s="111">
        <v>1137.8900000000001</v>
      </c>
      <c r="N2693" s="3">
        <f>L2693*0.3</f>
        <v>2928.096</v>
      </c>
      <c r="O2693" s="3">
        <f>(IF(L2693&lt;4172.98,0,MIN(L2693*0.3,L2693-4172.98)))-M2693</f>
        <v>1790.2059999999999</v>
      </c>
      <c r="P2693" s="6">
        <v>46905</v>
      </c>
      <c r="Q2693" t="s">
        <v>929</v>
      </c>
      <c r="R2693" s="3">
        <v>1137.8900000000001</v>
      </c>
      <c r="S2693" s="3" t="s">
        <v>1808</v>
      </c>
      <c r="T2693" s="48">
        <v>46288</v>
      </c>
      <c r="V2693" s="51">
        <v>0.54652777777777772</v>
      </c>
      <c r="W2693" s="51">
        <v>0.55277777777777781</v>
      </c>
      <c r="X2693" s="51">
        <v>0.55555555555555558</v>
      </c>
      <c r="Y2693" s="51">
        <v>0.55763888888888891</v>
      </c>
    </row>
    <row r="2694" spans="1:25" hidden="1">
      <c r="A2694" s="30">
        <v>24787192</v>
      </c>
      <c r="B2694" s="31">
        <v>46288</v>
      </c>
      <c r="C2694" s="32">
        <v>0.57611111111111113</v>
      </c>
      <c r="D2694" s="33"/>
      <c r="E2694" s="34">
        <v>6654205712</v>
      </c>
      <c r="F2694" s="33"/>
      <c r="G2694" s="33" t="s">
        <v>2516</v>
      </c>
      <c r="H2694" s="35"/>
      <c r="I2694" s="33"/>
      <c r="J2694" s="36"/>
      <c r="K2694" t="s">
        <v>32</v>
      </c>
      <c r="N2694" s="3">
        <f>L2694*0.3</f>
        <v>0</v>
      </c>
      <c r="O2694" s="3">
        <f>(IF(L2694&lt;4172.98,0,MIN(L2694*0.3,L2694-4172.98)))-M2694</f>
        <v>0</v>
      </c>
      <c r="S2694" s="3" t="s">
        <v>204</v>
      </c>
      <c r="V2694" s="51">
        <v>0.57916666666666672</v>
      </c>
    </row>
    <row r="2695" spans="1:25">
      <c r="A2695" s="30">
        <v>24789536</v>
      </c>
      <c r="B2695" s="31">
        <v>46288</v>
      </c>
      <c r="C2695" s="32">
        <v>0.58572916666666663</v>
      </c>
      <c r="D2695" s="33"/>
      <c r="E2695" s="34">
        <v>5216241419264</v>
      </c>
      <c r="F2695" s="33"/>
      <c r="G2695" s="33"/>
      <c r="H2695" s="35" t="s">
        <v>2517</v>
      </c>
      <c r="I2695" s="33"/>
      <c r="J2695" s="36"/>
      <c r="K2695" t="s">
        <v>38</v>
      </c>
      <c r="L2695" s="111">
        <v>38767.54</v>
      </c>
      <c r="M2695" s="111">
        <v>11212.39</v>
      </c>
      <c r="N2695" s="3">
        <f>L2695*0.3</f>
        <v>11630.262000000001</v>
      </c>
      <c r="O2695" s="3">
        <f>(IF(L2695&lt;4172.98,0,MIN(L2695*0.3,L2695-4172.98)))-M2695</f>
        <v>417.87200000000121</v>
      </c>
      <c r="P2695" s="6">
        <v>46722</v>
      </c>
      <c r="Q2695" t="s">
        <v>47</v>
      </c>
      <c r="R2695" s="3">
        <v>10364.39</v>
      </c>
      <c r="S2695" s="3" t="s">
        <v>39</v>
      </c>
      <c r="T2695" s="48">
        <v>46288</v>
      </c>
      <c r="V2695" s="51">
        <v>0.5854166666666667</v>
      </c>
      <c r="W2695" s="51">
        <v>0.59236111111111112</v>
      </c>
      <c r="X2695" s="51">
        <v>0.59375</v>
      </c>
      <c r="Y2695" s="51">
        <v>0.63680555555555551</v>
      </c>
    </row>
    <row r="2696" spans="1:25" hidden="1">
      <c r="A2696" s="30">
        <v>24789840</v>
      </c>
      <c r="B2696" s="31">
        <v>46288</v>
      </c>
      <c r="C2696" s="32">
        <v>0.59293981481481484</v>
      </c>
      <c r="D2696" s="33"/>
      <c r="E2696" s="34">
        <v>5219931502951</v>
      </c>
      <c r="F2696" s="33"/>
      <c r="G2696" s="33"/>
      <c r="H2696" s="35">
        <v>83058529187</v>
      </c>
      <c r="I2696" s="33"/>
      <c r="J2696" s="36"/>
      <c r="K2696" t="s">
        <v>32</v>
      </c>
      <c r="N2696" s="3">
        <f>L2696*0.3</f>
        <v>0</v>
      </c>
      <c r="O2696" s="3">
        <f>(IF(L2696&lt;4172.98,0,MIN(L2696*0.3,L2696-4172.98)))-M2696</f>
        <v>0</v>
      </c>
      <c r="S2696" s="3" t="s">
        <v>204</v>
      </c>
      <c r="V2696" s="51">
        <v>0.59305555555555556</v>
      </c>
    </row>
    <row r="2697" spans="1:25">
      <c r="A2697" s="30">
        <v>24789916</v>
      </c>
      <c r="B2697" s="31">
        <v>46288</v>
      </c>
      <c r="C2697" s="32">
        <v>0.59540509259259256</v>
      </c>
      <c r="D2697" s="33"/>
      <c r="E2697" s="34">
        <v>5216271393571</v>
      </c>
      <c r="F2697" s="33"/>
      <c r="G2697" s="33"/>
      <c r="H2697" s="35">
        <v>33906146874</v>
      </c>
      <c r="I2697" s="33"/>
      <c r="J2697" s="36"/>
      <c r="K2697" t="s">
        <v>27</v>
      </c>
      <c r="L2697" s="111">
        <v>7037.05</v>
      </c>
      <c r="M2697" s="111">
        <v>1864.61</v>
      </c>
      <c r="N2697" s="3">
        <f>L2697*0.3</f>
        <v>2111.1149999999998</v>
      </c>
      <c r="O2697" s="3">
        <f>(IF(L2697&lt;4172.98,0,MIN(L2697*0.3,L2697-4172.98)))-M2697</f>
        <v>246.50499999999988</v>
      </c>
      <c r="P2697" s="6">
        <v>45870</v>
      </c>
      <c r="Q2697" t="s">
        <v>44</v>
      </c>
      <c r="R2697" s="111">
        <v>1864.61</v>
      </c>
      <c r="S2697" s="3" t="s">
        <v>98</v>
      </c>
      <c r="T2697" s="48">
        <v>46288</v>
      </c>
      <c r="V2697" s="51">
        <v>0.59652777777777777</v>
      </c>
      <c r="W2697" s="51">
        <v>0.60347222222222219</v>
      </c>
      <c r="X2697" s="51">
        <v>0.6069444444444444</v>
      </c>
      <c r="Y2697" s="51">
        <v>0.61805555555555558</v>
      </c>
    </row>
    <row r="2698" spans="1:25" hidden="1">
      <c r="A2698" s="30">
        <v>24790112</v>
      </c>
      <c r="B2698" s="31">
        <v>46288</v>
      </c>
      <c r="C2698" s="32">
        <v>0.59901620370370368</v>
      </c>
      <c r="D2698" s="33"/>
      <c r="E2698" s="34">
        <v>5218445675644</v>
      </c>
      <c r="F2698" s="33"/>
      <c r="G2698" s="33"/>
      <c r="H2698" s="35" t="s">
        <v>2518</v>
      </c>
      <c r="I2698" s="33"/>
      <c r="J2698" s="36"/>
      <c r="K2698" t="s">
        <v>30</v>
      </c>
      <c r="L2698" s="111">
        <v>6453.16</v>
      </c>
      <c r="M2698" s="111">
        <v>1931.18</v>
      </c>
      <c r="N2698" s="3">
        <f>L2698*0.3</f>
        <v>1935.9479999999999</v>
      </c>
      <c r="O2698" s="3">
        <f>(IF(L2698&lt;4172.98,0,MIN(L2698*0.3,L2698-4172.98)))-M2698</f>
        <v>4.7679999999998017</v>
      </c>
      <c r="P2698" s="6">
        <v>46874</v>
      </c>
      <c r="Q2698" t="s">
        <v>73</v>
      </c>
      <c r="R2698" s="3">
        <v>1727.31</v>
      </c>
      <c r="S2698" s="3" t="s">
        <v>204</v>
      </c>
      <c r="V2698" s="51">
        <v>0.59930555555555554</v>
      </c>
    </row>
    <row r="2699" spans="1:25" hidden="1">
      <c r="A2699" s="30">
        <v>24790294</v>
      </c>
      <c r="B2699" s="31">
        <v>46288</v>
      </c>
      <c r="C2699" s="32">
        <v>0.60322916666666671</v>
      </c>
      <c r="D2699" s="33" t="s">
        <v>2519</v>
      </c>
      <c r="E2699" s="34">
        <v>5214462751117</v>
      </c>
      <c r="F2699" s="33"/>
      <c r="G2699" s="33" t="s">
        <v>2520</v>
      </c>
      <c r="H2699" s="35" t="s">
        <v>2521</v>
      </c>
      <c r="I2699" s="33"/>
      <c r="J2699" s="36"/>
      <c r="K2699" t="s">
        <v>30</v>
      </c>
      <c r="L2699" s="111">
        <v>7920.51</v>
      </c>
      <c r="M2699" s="111">
        <v>2361.2800000000002</v>
      </c>
      <c r="N2699" s="3">
        <f>L2699*0.3</f>
        <v>2376.1529999999998</v>
      </c>
      <c r="O2699" s="3">
        <f>(IF(L2699&lt;4172.98,0,MIN(L2699*0.3,L2699-4172.98)))-M2699</f>
        <v>14.872999999999593</v>
      </c>
      <c r="P2699" s="6">
        <v>46997</v>
      </c>
      <c r="Q2699" t="s">
        <v>43</v>
      </c>
      <c r="R2699" s="111">
        <v>2361.2800000000002</v>
      </c>
      <c r="S2699" s="3" t="s">
        <v>204</v>
      </c>
      <c r="V2699" s="51">
        <v>0.60416666666666663</v>
      </c>
    </row>
    <row r="2700" spans="1:25">
      <c r="A2700" s="30">
        <v>24790762</v>
      </c>
      <c r="B2700" s="31">
        <v>46288</v>
      </c>
      <c r="C2700" s="32">
        <v>0.63288194444444446</v>
      </c>
      <c r="D2700" s="33"/>
      <c r="E2700" s="34">
        <v>5218711121113</v>
      </c>
      <c r="F2700" s="33"/>
      <c r="G2700" s="33"/>
      <c r="H2700" s="35">
        <v>3168501595</v>
      </c>
      <c r="I2700" s="33"/>
      <c r="J2700" s="36"/>
      <c r="K2700" t="s">
        <v>38</v>
      </c>
      <c r="L2700" s="3">
        <v>4559.3500000000004</v>
      </c>
      <c r="N2700" s="3">
        <f>L2700*0.3</f>
        <v>1367.8050000000001</v>
      </c>
      <c r="O2700" s="3">
        <f>(IF(L2700&lt;4172.98,0,MIN(L2700*0.3,L2700-4172.98)))-M2700</f>
        <v>386.3700000000008</v>
      </c>
      <c r="S2700" s="3" t="s">
        <v>2179</v>
      </c>
      <c r="T2700" s="48">
        <v>46288</v>
      </c>
      <c r="V2700" s="51">
        <v>0.6333333333333333</v>
      </c>
      <c r="W2700" s="51">
        <v>0.63680555555555551</v>
      </c>
      <c r="X2700" s="51">
        <v>0.6381944444444444</v>
      </c>
      <c r="Y2700" s="51">
        <v>0.64236111111111116</v>
      </c>
    </row>
    <row r="2701" spans="1:25" hidden="1">
      <c r="A2701" s="30">
        <v>24791160</v>
      </c>
      <c r="B2701" s="31">
        <v>46288</v>
      </c>
      <c r="C2701" s="32">
        <v>0.64317129629629632</v>
      </c>
      <c r="D2701" s="33"/>
      <c r="E2701" s="34">
        <v>5218681733325</v>
      </c>
      <c r="F2701" s="33"/>
      <c r="G2701" s="33"/>
      <c r="H2701" s="35">
        <v>49877061496</v>
      </c>
      <c r="I2701" s="33"/>
      <c r="J2701" s="36"/>
      <c r="K2701" t="s">
        <v>30</v>
      </c>
      <c r="L2701" s="125">
        <v>5819.95</v>
      </c>
      <c r="M2701" s="125">
        <v>1584.69</v>
      </c>
      <c r="N2701" s="3">
        <f>L2701*0.3</f>
        <v>1745.9849999999999</v>
      </c>
      <c r="O2701" s="3">
        <f>(IF(L2701&lt;4172.98,0,MIN(L2701*0.3,L2701-4172.98)))-M2701</f>
        <v>62.2800000000002</v>
      </c>
      <c r="P2701" s="6">
        <v>46508</v>
      </c>
      <c r="Q2701" t="s">
        <v>57</v>
      </c>
      <c r="R2701" s="125">
        <v>1584.69</v>
      </c>
      <c r="S2701" s="3" t="s">
        <v>204</v>
      </c>
      <c r="V2701" s="51">
        <v>0.64444444444444449</v>
      </c>
    </row>
    <row r="2702" spans="1:25">
      <c r="A2702" s="30">
        <v>24791684</v>
      </c>
      <c r="B2702" s="31">
        <v>46288</v>
      </c>
      <c r="C2702" s="32">
        <v>0.66232638888888884</v>
      </c>
      <c r="D2702" s="33"/>
      <c r="E2702" s="34">
        <v>5216681891866</v>
      </c>
      <c r="F2702" s="33"/>
      <c r="G2702" s="33"/>
      <c r="H2702" s="35">
        <v>23806123925</v>
      </c>
      <c r="I2702" s="33"/>
      <c r="J2702" s="36"/>
      <c r="K2702" t="s">
        <v>54</v>
      </c>
      <c r="L2702" s="111">
        <v>35349.74</v>
      </c>
      <c r="M2702" s="111">
        <v>8170.07</v>
      </c>
      <c r="N2702" s="3">
        <f>L2702*0.3</f>
        <v>10604.921999999999</v>
      </c>
      <c r="O2702" s="3">
        <f>(IF(L2702&lt;4172.98,0,MIN(L2702*0.3,L2702-4172.98)))-M2702</f>
        <v>2434.851999999999</v>
      </c>
      <c r="P2702" s="6">
        <v>46600</v>
      </c>
      <c r="Q2702" t="s">
        <v>59</v>
      </c>
      <c r="R2702" s="3">
        <v>1855.9</v>
      </c>
      <c r="S2702" s="3" t="s">
        <v>1910</v>
      </c>
      <c r="T2702" s="48">
        <v>46288</v>
      </c>
      <c r="V2702" s="51">
        <v>0.66249999999999998</v>
      </c>
      <c r="W2702" s="51">
        <v>0.66805555555555551</v>
      </c>
      <c r="X2702" s="51">
        <v>0.67083333333333328</v>
      </c>
      <c r="Y2702" s="51">
        <v>0.67152777777777772</v>
      </c>
    </row>
    <row r="2703" spans="1:25">
      <c r="A2703" s="30">
        <v>24792054</v>
      </c>
      <c r="B2703" s="31">
        <v>46288</v>
      </c>
      <c r="C2703" s="32">
        <v>0.6731597222222222</v>
      </c>
      <c r="D2703" s="33"/>
      <c r="E2703" s="34">
        <v>5218112428210</v>
      </c>
      <c r="F2703" s="33"/>
      <c r="G2703" s="33"/>
      <c r="H2703" s="35">
        <v>43836631283</v>
      </c>
      <c r="I2703" s="33"/>
      <c r="J2703" s="36"/>
      <c r="K2703" t="s">
        <v>54</v>
      </c>
      <c r="L2703" s="3">
        <v>41221.440000000002</v>
      </c>
      <c r="N2703" s="3">
        <f>L2703*0.3</f>
        <v>12366.432000000001</v>
      </c>
      <c r="O2703" s="3">
        <f>(IF(L2703&lt;4172.98,0,MIN(L2703*0.3,L2703-4172.98)))-M2703</f>
        <v>12366.432000000001</v>
      </c>
      <c r="S2703" s="3" t="s">
        <v>95</v>
      </c>
      <c r="T2703" s="48">
        <v>46288</v>
      </c>
      <c r="V2703" s="51">
        <v>0.67361111111111116</v>
      </c>
      <c r="W2703" s="51">
        <v>0.67569444444444449</v>
      </c>
      <c r="X2703" s="51">
        <v>0.67777777777777781</v>
      </c>
      <c r="Y2703" s="51">
        <v>0.67986111111111114</v>
      </c>
    </row>
    <row r="2704" spans="1:25">
      <c r="A2704" s="30">
        <v>24792002</v>
      </c>
      <c r="B2704" s="31">
        <v>46288</v>
      </c>
      <c r="C2704" s="32">
        <v>0.67847222222222225</v>
      </c>
      <c r="D2704" s="33" t="s">
        <v>2522</v>
      </c>
      <c r="E2704" s="34">
        <v>5218781553605</v>
      </c>
      <c r="F2704" s="33"/>
      <c r="G2704" s="33"/>
      <c r="H2704" s="35">
        <v>32664900134</v>
      </c>
      <c r="I2704" s="33"/>
      <c r="J2704" s="36"/>
      <c r="K2704" t="s">
        <v>27</v>
      </c>
      <c r="L2704" s="111">
        <v>19359.71</v>
      </c>
      <c r="M2704" s="111">
        <v>4967.3900000000003</v>
      </c>
      <c r="N2704" s="3">
        <f>L2704*0.3</f>
        <v>5807.9129999999996</v>
      </c>
      <c r="O2704" s="3">
        <f>(IF(L2704&lt;4172.98,0,MIN(L2704*0.3,L2704-4172.98)))-M2704</f>
        <v>840.52299999999923</v>
      </c>
      <c r="P2704" s="6">
        <v>45689</v>
      </c>
      <c r="Q2704" t="s">
        <v>2523</v>
      </c>
      <c r="R2704" s="111">
        <v>4967.3900000000003</v>
      </c>
      <c r="S2704" s="3" t="s">
        <v>2059</v>
      </c>
      <c r="T2704" s="48">
        <v>46288</v>
      </c>
      <c r="V2704" s="51">
        <v>0.6791666666666667</v>
      </c>
      <c r="W2704" s="51">
        <v>0.6875</v>
      </c>
      <c r="X2704" s="51">
        <v>0.69097222222222221</v>
      </c>
      <c r="Y2704" s="51">
        <v>0.69166666666666665</v>
      </c>
    </row>
    <row r="2705" spans="1:25" hidden="1">
      <c r="A2705" s="30">
        <v>24792010</v>
      </c>
      <c r="B2705" s="31">
        <v>46288</v>
      </c>
      <c r="C2705" s="32">
        <v>0.68153935185185188</v>
      </c>
      <c r="D2705" s="33"/>
      <c r="E2705" s="34">
        <v>5215536796296</v>
      </c>
      <c r="F2705" s="33"/>
      <c r="G2705" s="33" t="s">
        <v>2524</v>
      </c>
      <c r="H2705" s="35">
        <v>10816278914</v>
      </c>
      <c r="I2705" s="33"/>
      <c r="J2705" s="36"/>
      <c r="K2705" t="s">
        <v>30</v>
      </c>
      <c r="L2705" s="111">
        <v>9081.52</v>
      </c>
      <c r="M2705" s="111">
        <v>2627.5</v>
      </c>
      <c r="N2705" s="3">
        <f>L2705*0.3</f>
        <v>2724.4560000000001</v>
      </c>
      <c r="O2705" s="3">
        <f>(IF(L2705&lt;4172.98,0,MIN(L2705*0.3,L2705-4172.98)))-M2705</f>
        <v>96.956000000000131</v>
      </c>
      <c r="P2705" s="6">
        <v>46447</v>
      </c>
      <c r="Q2705" t="s">
        <v>75</v>
      </c>
      <c r="R2705" s="111">
        <v>2627.5</v>
      </c>
      <c r="S2705" s="3" t="s">
        <v>204</v>
      </c>
      <c r="V2705" s="51">
        <v>0.68402777777777779</v>
      </c>
    </row>
    <row r="2706" spans="1:25">
      <c r="A2706" s="30">
        <v>24792308</v>
      </c>
      <c r="B2706" s="31">
        <v>46288</v>
      </c>
      <c r="C2706" s="32">
        <v>0.68956018518518514</v>
      </c>
      <c r="D2706" s="33"/>
      <c r="E2706" s="34"/>
      <c r="F2706" s="33"/>
      <c r="G2706" s="33"/>
      <c r="H2706" s="35">
        <v>49816420738</v>
      </c>
      <c r="I2706" s="33"/>
      <c r="J2706" s="36"/>
      <c r="K2706" t="s">
        <v>38</v>
      </c>
      <c r="L2706" s="111">
        <v>9954.31</v>
      </c>
      <c r="M2706" s="111">
        <v>2054.7399999999998</v>
      </c>
      <c r="N2706" s="3">
        <f>L2706*0.3</f>
        <v>2986.2929999999997</v>
      </c>
      <c r="O2706" s="3">
        <f>(IF(L2706&lt;4172.98,0,MIN(L2706*0.3,L2706-4172.98)))-M2706</f>
        <v>931.55299999999988</v>
      </c>
      <c r="P2706" s="6">
        <v>46569</v>
      </c>
      <c r="Q2706" t="s">
        <v>57</v>
      </c>
      <c r="R2706" s="3">
        <v>1515.75</v>
      </c>
      <c r="S2706" s="3" t="s">
        <v>2179</v>
      </c>
      <c r="T2706" s="48">
        <v>46288</v>
      </c>
      <c r="V2706" s="51">
        <v>0.68958333333333333</v>
      </c>
      <c r="W2706" s="51">
        <v>0.69861111111111107</v>
      </c>
      <c r="X2706" s="51">
        <v>0.7006944444444444</v>
      </c>
      <c r="Y2706" s="51">
        <v>0.70486111111111116</v>
      </c>
    </row>
    <row r="2707" spans="1:25" hidden="1">
      <c r="A2707" s="30">
        <v>24794128</v>
      </c>
      <c r="B2707" s="31">
        <v>46288</v>
      </c>
      <c r="C2707" s="32">
        <v>0.72663194444444446</v>
      </c>
      <c r="D2707" s="33"/>
      <c r="E2707" s="34">
        <v>5219241181549</v>
      </c>
      <c r="F2707" s="33"/>
      <c r="G2707" s="33" t="s">
        <v>2525</v>
      </c>
      <c r="H2707" s="35"/>
      <c r="I2707" s="33"/>
      <c r="J2707" s="36"/>
      <c r="K2707" t="s">
        <v>32</v>
      </c>
      <c r="N2707" s="3">
        <f>L2707*0.3</f>
        <v>0</v>
      </c>
      <c r="O2707" s="3">
        <f>(IF(L2707&lt;4172.98,0,MIN(L2707*0.3,L2707-4172.98)))-M2707</f>
        <v>0</v>
      </c>
      <c r="S2707" s="3" t="s">
        <v>204</v>
      </c>
      <c r="V2707" s="51">
        <v>0.7270833333333333</v>
      </c>
    </row>
    <row r="2708" spans="1:25" hidden="1">
      <c r="A2708" s="30">
        <v>24794224</v>
      </c>
      <c r="B2708" s="31">
        <v>46288</v>
      </c>
      <c r="C2708" s="32">
        <v>0.73143518518518513</v>
      </c>
      <c r="D2708" s="33" t="s">
        <v>2526</v>
      </c>
      <c r="E2708" s="34">
        <v>5214522028783</v>
      </c>
      <c r="F2708" s="33"/>
      <c r="G2708" s="205" t="s">
        <v>2527</v>
      </c>
      <c r="H2708" s="35"/>
      <c r="I2708" s="33"/>
      <c r="J2708" s="36"/>
      <c r="K2708" t="s">
        <v>32</v>
      </c>
      <c r="N2708" s="3">
        <f>L2708*0.3</f>
        <v>0</v>
      </c>
      <c r="O2708" s="3">
        <f>(IF(L2708&lt;4172.98,0,MIN(L2708*0.3,L2708-4172.98)))-M2708</f>
        <v>0</v>
      </c>
      <c r="S2708" s="3" t="s">
        <v>204</v>
      </c>
      <c r="V2708" s="51">
        <v>0.7319444444444444</v>
      </c>
    </row>
    <row r="2709" spans="1:25" hidden="1">
      <c r="A2709" s="30">
        <v>24794310</v>
      </c>
      <c r="B2709" s="31">
        <v>46288</v>
      </c>
      <c r="C2709" s="32">
        <v>0.73344907407407411</v>
      </c>
      <c r="D2709" s="33"/>
      <c r="E2709" s="34">
        <v>5215535114443</v>
      </c>
      <c r="F2709" s="33"/>
      <c r="G2709" s="33" t="s">
        <v>2528</v>
      </c>
      <c r="H2709" s="35"/>
      <c r="I2709" s="33"/>
      <c r="J2709" s="36"/>
      <c r="K2709" t="s">
        <v>32</v>
      </c>
      <c r="N2709" s="3">
        <f>L2709*0.3</f>
        <v>0</v>
      </c>
      <c r="O2709" s="3">
        <f>(IF(L2709&lt;4172.98,0,MIN(L2709*0.3,L2709-4172.98)))-M2709</f>
        <v>0</v>
      </c>
      <c r="S2709" s="3" t="s">
        <v>204</v>
      </c>
      <c r="V2709" s="51">
        <v>0.73333333333333328</v>
      </c>
    </row>
    <row r="2710" spans="1:25">
      <c r="A2710" s="30">
        <v>24794240</v>
      </c>
      <c r="B2710" s="31">
        <v>46288</v>
      </c>
      <c r="C2710" s="32">
        <v>0.7361805555555555</v>
      </c>
      <c r="D2710" s="33"/>
      <c r="E2710" s="34">
        <v>5212871421217</v>
      </c>
      <c r="F2710" s="33"/>
      <c r="G2710" s="33"/>
      <c r="H2710" s="35" t="s">
        <v>2529</v>
      </c>
      <c r="I2710" s="33"/>
      <c r="J2710" s="36"/>
      <c r="K2710" t="s">
        <v>38</v>
      </c>
      <c r="L2710" s="111">
        <v>5814.14</v>
      </c>
      <c r="M2710" s="111">
        <v>902.32</v>
      </c>
      <c r="N2710" s="3">
        <f>L2710*0.3</f>
        <v>1744.242</v>
      </c>
      <c r="O2710" s="3">
        <f>(IF(L2710&lt;4172.98,0,MIN(L2710*0.3,L2710-4172.98)))-M2710</f>
        <v>738.84000000000071</v>
      </c>
      <c r="P2710" s="6">
        <v>46661</v>
      </c>
      <c r="Q2710" t="s">
        <v>57</v>
      </c>
      <c r="R2710" s="111">
        <v>902.32</v>
      </c>
      <c r="S2710" s="3" t="s">
        <v>2179</v>
      </c>
      <c r="T2710" s="48">
        <v>46288</v>
      </c>
      <c r="V2710" s="51">
        <v>0.73611111111111116</v>
      </c>
      <c r="W2710" s="51">
        <v>0.76527777777777772</v>
      </c>
      <c r="X2710" s="51">
        <v>0.76875000000000004</v>
      </c>
      <c r="Y2710" s="51">
        <v>0.7729166666666667</v>
      </c>
    </row>
    <row r="2711" spans="1:25" hidden="1">
      <c r="A2711" s="30">
        <v>24794506</v>
      </c>
      <c r="B2711" s="31">
        <v>46288</v>
      </c>
      <c r="C2711" s="32">
        <v>0.7487152777777778</v>
      </c>
      <c r="D2711" s="33"/>
      <c r="E2711" s="34">
        <v>5216622562781</v>
      </c>
      <c r="F2711" s="33"/>
      <c r="G2711" s="33"/>
      <c r="H2711" s="35">
        <v>24866542525</v>
      </c>
      <c r="I2711" s="33"/>
      <c r="J2711" s="36"/>
      <c r="K2711" t="s">
        <v>30</v>
      </c>
      <c r="L2711" s="111">
        <v>9760.32</v>
      </c>
      <c r="M2711" s="111">
        <v>2822.12</v>
      </c>
      <c r="N2711" s="3">
        <f>L2711*0.3</f>
        <v>2928.096</v>
      </c>
      <c r="O2711" s="3">
        <f>(IF(L2711&lt;4172.98,0,MIN(L2711*0.3,L2711-4172.98)))-M2711</f>
        <v>105.97600000000011</v>
      </c>
      <c r="P2711" s="6">
        <v>46600</v>
      </c>
      <c r="Q2711" t="s">
        <v>47</v>
      </c>
      <c r="R2711" s="111">
        <v>2822.12</v>
      </c>
      <c r="S2711" s="3" t="s">
        <v>204</v>
      </c>
      <c r="V2711" s="51">
        <v>0.74861111111111112</v>
      </c>
    </row>
    <row r="2712" spans="1:25" hidden="1">
      <c r="A2712" s="12">
        <v>24794710</v>
      </c>
      <c r="B2712" s="13">
        <v>46288</v>
      </c>
      <c r="C2712" s="14">
        <v>0.75391203703703702</v>
      </c>
      <c r="D2712" s="15"/>
      <c r="E2712" s="16">
        <v>5213316708266</v>
      </c>
      <c r="F2712" s="15"/>
      <c r="G2712" s="15" t="s">
        <v>2530</v>
      </c>
      <c r="H2712" s="17"/>
      <c r="I2712" s="15"/>
      <c r="J2712" s="18"/>
      <c r="K2712" t="s">
        <v>30</v>
      </c>
      <c r="L2712" s="111">
        <v>9760.32</v>
      </c>
      <c r="M2712" s="111">
        <v>2927.17</v>
      </c>
      <c r="N2712" s="3">
        <f t="shared" ref="N2712:N2713" si="340">L2712*0.3</f>
        <v>2928.096</v>
      </c>
      <c r="O2712" s="3">
        <f t="shared" ref="O2712:O2713" si="341">(IF(L2712&lt;4172.98,0,MIN(L2712*0.3,L2712-4172.98)))-M2712</f>
        <v>0.92599999999993088</v>
      </c>
      <c r="P2712" s="6">
        <v>46905</v>
      </c>
      <c r="Q2712" t="s">
        <v>141</v>
      </c>
      <c r="R2712" s="111">
        <v>2927.17</v>
      </c>
      <c r="S2712" s="3" t="s">
        <v>204</v>
      </c>
      <c r="V2712" s="51">
        <v>0.75416666666666665</v>
      </c>
    </row>
    <row r="2713" spans="1:25" hidden="1">
      <c r="A2713" s="30">
        <v>24794766</v>
      </c>
      <c r="B2713" s="31">
        <v>46288</v>
      </c>
      <c r="C2713" s="32">
        <v>0.75437500000000002</v>
      </c>
      <c r="D2713" s="33"/>
      <c r="E2713" s="34">
        <v>5215619107660</v>
      </c>
      <c r="F2713" s="33"/>
      <c r="G2713" s="33" t="s">
        <v>2531</v>
      </c>
      <c r="H2713" s="35"/>
      <c r="I2713" s="33"/>
      <c r="J2713" s="36"/>
      <c r="K2713" t="s">
        <v>32</v>
      </c>
      <c r="N2713" s="3">
        <f t="shared" si="340"/>
        <v>0</v>
      </c>
      <c r="O2713" s="3">
        <f t="shared" si="341"/>
        <v>0</v>
      </c>
      <c r="S2713" s="3" t="s">
        <v>204</v>
      </c>
      <c r="V2713" s="51">
        <v>0.75416666666666665</v>
      </c>
    </row>
    <row r="2714" spans="1:25">
      <c r="A2714" s="30">
        <v>24794794</v>
      </c>
      <c r="B2714" s="31">
        <v>46288</v>
      </c>
      <c r="C2714" s="32">
        <v>0.75769675925925928</v>
      </c>
      <c r="D2714" s="33" t="s">
        <v>2532</v>
      </c>
      <c r="E2714" s="34">
        <v>5213123185952</v>
      </c>
      <c r="F2714" s="33"/>
      <c r="G2714" s="33" t="s">
        <v>2533</v>
      </c>
      <c r="H2714" s="35">
        <v>5480639777</v>
      </c>
      <c r="I2714" s="33"/>
      <c r="J2714" s="36"/>
      <c r="K2714" t="s">
        <v>54</v>
      </c>
      <c r="L2714" s="3">
        <v>9111.81</v>
      </c>
      <c r="N2714" s="3">
        <f>L2714*0.3</f>
        <v>2733.5429999999997</v>
      </c>
      <c r="O2714" s="3">
        <f>(IF(L2714&lt;4172.98,0,MIN(L2714*0.3,L2714-4172.98)))-M2714</f>
        <v>2733.5429999999997</v>
      </c>
      <c r="S2714" s="3" t="s">
        <v>548</v>
      </c>
      <c r="T2714" s="48">
        <v>46288</v>
      </c>
      <c r="V2714" s="51">
        <v>0.75763888888888886</v>
      </c>
      <c r="W2714" s="51">
        <v>0.76875000000000004</v>
      </c>
      <c r="X2714" s="51">
        <v>0.77638888888888891</v>
      </c>
      <c r="Y2714" s="51">
        <v>0.77777777777777779</v>
      </c>
    </row>
    <row r="2715" spans="1:25" hidden="1">
      <c r="A2715" s="30">
        <v>24795134</v>
      </c>
      <c r="B2715" s="31">
        <v>46288</v>
      </c>
      <c r="C2715" s="32">
        <v>0.77353009259259264</v>
      </c>
      <c r="D2715" s="33"/>
      <c r="E2715" s="34">
        <v>5216462884701</v>
      </c>
      <c r="F2715" s="33"/>
      <c r="G2715" s="33" t="s">
        <v>2534</v>
      </c>
      <c r="H2715" s="35"/>
      <c r="I2715" s="33"/>
      <c r="J2715" s="36"/>
      <c r="K2715" t="s">
        <v>189</v>
      </c>
      <c r="N2715" s="3">
        <f>L2715*0.3</f>
        <v>0</v>
      </c>
      <c r="O2715" s="3">
        <f>(IF(L2715&lt;4172.98,0,MIN(L2715*0.3,L2715-4172.98)))-M2715</f>
        <v>0</v>
      </c>
      <c r="S2715" s="3" t="s">
        <v>204</v>
      </c>
      <c r="V2715" s="51">
        <v>0.77430555555555558</v>
      </c>
    </row>
    <row r="2716" spans="1:25" hidden="1">
      <c r="A2716" s="30">
        <v>24684754</v>
      </c>
      <c r="B2716" s="31">
        <v>46288</v>
      </c>
      <c r="C2716" s="32">
        <v>0.78255787037037039</v>
      </c>
      <c r="D2716" s="33"/>
      <c r="E2716" s="34">
        <v>5216251547794</v>
      </c>
      <c r="F2716" s="33"/>
      <c r="G2716" s="33"/>
      <c r="H2716" s="35">
        <v>33567519450</v>
      </c>
      <c r="I2716" s="33"/>
      <c r="J2716" s="36"/>
      <c r="K2716" t="s">
        <v>32</v>
      </c>
      <c r="N2716" s="3">
        <f>L2716*0.3</f>
        <v>0</v>
      </c>
      <c r="O2716" s="3">
        <f>(IF(L2716&lt;4172.98,0,MIN(L2716*0.3,L2716-4172.98)))-M2716</f>
        <v>0</v>
      </c>
      <c r="S2716" s="53" t="s">
        <v>204</v>
      </c>
      <c r="U2716" s="85"/>
      <c r="V2716" s="51">
        <v>0.78194444444444444</v>
      </c>
    </row>
    <row r="2717" spans="1:25">
      <c r="A2717" s="12">
        <v>24795628</v>
      </c>
      <c r="B2717" s="13">
        <v>46288</v>
      </c>
      <c r="C2717" s="14">
        <v>0.80196759259259254</v>
      </c>
      <c r="D2717" s="15"/>
      <c r="E2717" s="16">
        <v>5214424486797</v>
      </c>
      <c r="F2717" s="15"/>
      <c r="G2717" s="15"/>
      <c r="H2717" s="17">
        <v>14785902058</v>
      </c>
      <c r="I2717" s="15"/>
      <c r="J2717" s="18"/>
      <c r="K2717" t="s">
        <v>34</v>
      </c>
      <c r="L2717" s="3">
        <f>4604.52+1088.41+569.93</f>
        <v>6262.8600000000006</v>
      </c>
      <c r="M2717" s="3">
        <f>1088.41+569.93</f>
        <v>1658.3400000000001</v>
      </c>
      <c r="N2717" s="3">
        <f t="shared" ref="N2717:N2734" si="342">L2717*0.3</f>
        <v>1878.8580000000002</v>
      </c>
      <c r="O2717" s="3">
        <f t="shared" ref="O2717:O2734" si="343">(IF(L2717&lt;4172.98,0,MIN(L2717*0.3,L2717-4172.98)))-M2717</f>
        <v>220.51800000000003</v>
      </c>
      <c r="P2717" s="6">
        <v>45809</v>
      </c>
      <c r="Q2717" t="s">
        <v>141</v>
      </c>
      <c r="R2717" s="3">
        <v>569.92999999999995</v>
      </c>
      <c r="S2717" s="3" t="s">
        <v>35</v>
      </c>
      <c r="T2717" s="48">
        <v>46289</v>
      </c>
      <c r="V2717" s="51">
        <v>0.33888888888888891</v>
      </c>
      <c r="W2717" s="51">
        <v>0.34583333333333333</v>
      </c>
      <c r="X2717" s="51">
        <v>0.37152777777777779</v>
      </c>
      <c r="Y2717" s="51">
        <v>0.37361111111111112</v>
      </c>
    </row>
    <row r="2718" spans="1:25" hidden="1">
      <c r="A2718" s="12">
        <v>24795984</v>
      </c>
      <c r="B2718" s="13">
        <v>46288</v>
      </c>
      <c r="C2718" s="14">
        <v>0.82149305555555552</v>
      </c>
      <c r="D2718" s="15"/>
      <c r="E2718" s="16">
        <v>5215614560077</v>
      </c>
      <c r="F2718" s="15"/>
      <c r="G2718" s="15" t="s">
        <v>2535</v>
      </c>
      <c r="H2718" s="17"/>
      <c r="I2718" s="15"/>
      <c r="J2718" s="18"/>
      <c r="K2718" t="s">
        <v>32</v>
      </c>
      <c r="N2718" s="3">
        <f t="shared" si="342"/>
        <v>0</v>
      </c>
      <c r="O2718" s="3">
        <f t="shared" si="343"/>
        <v>0</v>
      </c>
      <c r="S2718" s="3" t="s">
        <v>2536</v>
      </c>
      <c r="V2718" s="51">
        <v>0.33888888888888891</v>
      </c>
    </row>
    <row r="2719" spans="1:25" hidden="1">
      <c r="A2719" s="12">
        <v>24795878</v>
      </c>
      <c r="B2719" s="13">
        <v>46288</v>
      </c>
      <c r="C2719" s="14">
        <v>0.82447916666666665</v>
      </c>
      <c r="D2719" s="15"/>
      <c r="E2719" s="16">
        <v>5217561055956</v>
      </c>
      <c r="F2719" s="15"/>
      <c r="G2719" s="15" t="s">
        <v>2537</v>
      </c>
      <c r="H2719" s="17"/>
      <c r="I2719" s="15"/>
      <c r="J2719" s="18"/>
      <c r="K2719" t="s">
        <v>32</v>
      </c>
      <c r="N2719" s="3">
        <f t="shared" si="342"/>
        <v>0</v>
      </c>
      <c r="O2719" s="3">
        <f t="shared" si="343"/>
        <v>0</v>
      </c>
      <c r="S2719" s="3" t="s">
        <v>2536</v>
      </c>
      <c r="V2719" s="51">
        <v>0.33888888888888891</v>
      </c>
    </row>
    <row r="2720" spans="1:25" hidden="1">
      <c r="A2720" s="12">
        <v>24796134</v>
      </c>
      <c r="B2720" s="13">
        <v>46288</v>
      </c>
      <c r="C2720" s="14">
        <v>0.83280092592592592</v>
      </c>
      <c r="D2720" s="15"/>
      <c r="E2720" s="16">
        <v>5215657636753</v>
      </c>
      <c r="F2720" s="15"/>
      <c r="G2720" s="15"/>
      <c r="H2720" s="17">
        <v>20876710326</v>
      </c>
      <c r="I2720" s="15"/>
      <c r="J2720" s="18"/>
      <c r="K2720" t="s">
        <v>30</v>
      </c>
      <c r="L2720" s="3">
        <f>6085.41+1629.39+848</f>
        <v>8562.7999999999993</v>
      </c>
      <c r="M2720" s="3">
        <f>1629.39+848</f>
        <v>2477.3900000000003</v>
      </c>
      <c r="N2720" s="3">
        <f t="shared" si="342"/>
        <v>2568.8399999999997</v>
      </c>
      <c r="O2720" s="3">
        <f t="shared" si="343"/>
        <v>91.449999999999363</v>
      </c>
      <c r="P2720" s="6">
        <v>46722</v>
      </c>
      <c r="Q2720" t="s">
        <v>77</v>
      </c>
      <c r="R2720" s="3">
        <v>1629.39</v>
      </c>
      <c r="S2720" s="3" t="s">
        <v>2536</v>
      </c>
      <c r="V2720" s="51">
        <v>0.33888888888888891</v>
      </c>
    </row>
    <row r="2721" spans="1:25" hidden="1">
      <c r="A2721" s="12">
        <v>24796466</v>
      </c>
      <c r="B2721" s="13">
        <v>46288</v>
      </c>
      <c r="C2721" s="14">
        <v>0.85370370370370374</v>
      </c>
      <c r="D2721" s="15"/>
      <c r="E2721" s="16">
        <v>5214441409211</v>
      </c>
      <c r="F2721" s="15"/>
      <c r="G2721" s="15"/>
      <c r="H2721" s="17">
        <v>41836312953</v>
      </c>
      <c r="I2721" s="15"/>
      <c r="J2721" s="18"/>
      <c r="K2721" t="s">
        <v>30</v>
      </c>
      <c r="L2721" s="125">
        <v>9081.52</v>
      </c>
      <c r="M2721" s="125">
        <v>2627.21</v>
      </c>
      <c r="N2721" s="3">
        <f t="shared" si="342"/>
        <v>2724.4560000000001</v>
      </c>
      <c r="O2721" s="3">
        <f t="shared" si="343"/>
        <v>97.246000000000095</v>
      </c>
      <c r="P2721" s="6">
        <v>46539</v>
      </c>
      <c r="Q2721" t="s">
        <v>141</v>
      </c>
      <c r="R2721">
        <v>2627.21</v>
      </c>
      <c r="S2721" s="3" t="s">
        <v>2536</v>
      </c>
      <c r="V2721" s="51">
        <v>0.33888888888888891</v>
      </c>
    </row>
    <row r="2722" spans="1:25" hidden="1">
      <c r="A2722" s="12">
        <v>24796542</v>
      </c>
      <c r="B2722" s="13">
        <v>46288</v>
      </c>
      <c r="C2722" s="14">
        <v>0.85542824074074075</v>
      </c>
      <c r="D2722" s="15"/>
      <c r="E2722" s="16">
        <v>5216421124544</v>
      </c>
      <c r="F2722" s="15"/>
      <c r="G2722" s="15"/>
      <c r="H2722" s="17">
        <v>24816031314</v>
      </c>
      <c r="I2722" s="15"/>
      <c r="J2722" s="18"/>
      <c r="K2722" t="s">
        <v>30</v>
      </c>
      <c r="L2722" s="125">
        <v>5617.63</v>
      </c>
      <c r="M2722" s="125">
        <v>1393.24</v>
      </c>
      <c r="N2722" s="3">
        <f t="shared" si="342"/>
        <v>1685.289</v>
      </c>
      <c r="O2722" s="3">
        <f t="shared" si="343"/>
        <v>51.410000000000537</v>
      </c>
      <c r="P2722" s="6">
        <v>46692</v>
      </c>
      <c r="Q2722" t="s">
        <v>75</v>
      </c>
      <c r="R2722" s="125">
        <v>1393.24</v>
      </c>
      <c r="S2722" s="3" t="s">
        <v>2536</v>
      </c>
      <c r="V2722" s="51">
        <v>0.33888888888888891</v>
      </c>
    </row>
    <row r="2723" spans="1:25">
      <c r="A2723" s="12">
        <v>24796764</v>
      </c>
      <c r="B2723" s="13">
        <v>46288</v>
      </c>
      <c r="C2723" s="14">
        <v>0.87837962962962968</v>
      </c>
      <c r="D2723" s="15"/>
      <c r="E2723" s="16">
        <v>5218712732736</v>
      </c>
      <c r="F2723" s="15"/>
      <c r="G2723" s="15"/>
      <c r="H2723" s="17">
        <v>43826356115</v>
      </c>
      <c r="I2723" s="15"/>
      <c r="J2723" s="18"/>
      <c r="K2723" t="s">
        <v>38</v>
      </c>
      <c r="L2723" s="125">
        <v>7920.51</v>
      </c>
      <c r="M2723" s="125">
        <v>1383.27</v>
      </c>
      <c r="N2723" s="3">
        <f t="shared" si="342"/>
        <v>2376.1529999999998</v>
      </c>
      <c r="O2723" s="3">
        <f t="shared" si="343"/>
        <v>992.88299999999981</v>
      </c>
      <c r="P2723" s="6">
        <v>46447</v>
      </c>
      <c r="Q2723" t="s">
        <v>80</v>
      </c>
      <c r="R2723" s="3">
        <v>1383.27</v>
      </c>
      <c r="S2723" s="3" t="s">
        <v>39</v>
      </c>
      <c r="T2723" s="48">
        <v>46289</v>
      </c>
      <c r="V2723" s="51">
        <v>0.33888888888888891</v>
      </c>
      <c r="W2723" s="51">
        <v>0.35694444444444445</v>
      </c>
      <c r="X2723" s="51">
        <v>0.36249999999999999</v>
      </c>
      <c r="Y2723" s="51">
        <v>0.3659722222222222</v>
      </c>
    </row>
    <row r="2724" spans="1:25" hidden="1">
      <c r="A2724" s="12">
        <v>24796760</v>
      </c>
      <c r="B2724" s="13">
        <v>46288</v>
      </c>
      <c r="C2724" s="14">
        <v>0.87851851851851848</v>
      </c>
      <c r="D2724" s="15"/>
      <c r="E2724" s="16">
        <v>5212384080984</v>
      </c>
      <c r="F2724" s="15"/>
      <c r="G2724" s="15" t="s">
        <v>2538</v>
      </c>
      <c r="H2724" s="17"/>
      <c r="I2724" s="15"/>
      <c r="J2724" s="18"/>
      <c r="K2724" t="s">
        <v>32</v>
      </c>
      <c r="N2724" s="3">
        <f t="shared" si="342"/>
        <v>0</v>
      </c>
      <c r="O2724" s="3">
        <f t="shared" si="343"/>
        <v>0</v>
      </c>
      <c r="S2724" s="3" t="s">
        <v>2536</v>
      </c>
      <c r="V2724" s="51">
        <v>0.33888888888888891</v>
      </c>
    </row>
    <row r="2725" spans="1:25" hidden="1">
      <c r="A2725" s="12">
        <v>24796880</v>
      </c>
      <c r="B2725" s="13">
        <v>46288</v>
      </c>
      <c r="C2725" s="14">
        <v>0.89035879629629633</v>
      </c>
      <c r="D2725" s="15"/>
      <c r="E2725" s="16">
        <v>5219618741449</v>
      </c>
      <c r="F2725" s="15"/>
      <c r="G2725" s="15" t="s">
        <v>2539</v>
      </c>
      <c r="H2725" s="17" t="s">
        <v>2540</v>
      </c>
      <c r="I2725" s="15"/>
      <c r="J2725" s="18"/>
      <c r="K2725" t="s">
        <v>32</v>
      </c>
      <c r="N2725" s="3">
        <f t="shared" si="342"/>
        <v>0</v>
      </c>
      <c r="O2725" s="3">
        <f t="shared" si="343"/>
        <v>0</v>
      </c>
      <c r="S2725" s="3" t="s">
        <v>2536</v>
      </c>
      <c r="V2725" s="51">
        <v>0.33888888888888891</v>
      </c>
    </row>
    <row r="2726" spans="1:25">
      <c r="A2726" s="12">
        <v>24796990</v>
      </c>
      <c r="B2726" s="13">
        <v>46288</v>
      </c>
      <c r="C2726" s="14">
        <v>0.89694444444444443</v>
      </c>
      <c r="D2726" s="15"/>
      <c r="E2726" s="16">
        <v>5212213253838</v>
      </c>
      <c r="F2726" s="15"/>
      <c r="G2726" s="15"/>
      <c r="H2726" s="17">
        <v>21896110729</v>
      </c>
      <c r="I2726" s="15"/>
      <c r="J2726" s="18"/>
      <c r="K2726" t="s">
        <v>54</v>
      </c>
      <c r="L2726" s="3">
        <v>7920.51</v>
      </c>
      <c r="N2726" s="3">
        <f t="shared" si="342"/>
        <v>2376.1529999999998</v>
      </c>
      <c r="O2726" s="3">
        <f t="shared" si="343"/>
        <v>2376.1529999999998</v>
      </c>
      <c r="S2726" s="3" t="s">
        <v>1091</v>
      </c>
      <c r="T2726" s="48">
        <v>46289</v>
      </c>
      <c r="V2726" s="51">
        <v>0.33888888888888891</v>
      </c>
      <c r="W2726" s="51">
        <v>0.35208333333333336</v>
      </c>
      <c r="X2726" s="51">
        <v>0.37222222222222223</v>
      </c>
      <c r="Y2726" s="51">
        <v>0.37638888888888888</v>
      </c>
    </row>
    <row r="2727" spans="1:25">
      <c r="A2727" s="12">
        <v>24797110</v>
      </c>
      <c r="B2727" s="13">
        <v>46288</v>
      </c>
      <c r="C2727" s="14">
        <v>0.90961805555555553</v>
      </c>
      <c r="D2727" s="15"/>
      <c r="E2727" s="16">
        <v>5217712340074</v>
      </c>
      <c r="F2727" s="15"/>
      <c r="G2727" s="15"/>
      <c r="H2727" s="17" t="s">
        <v>2541</v>
      </c>
      <c r="I2727" s="15"/>
      <c r="J2727" s="18"/>
      <c r="K2727" t="s">
        <v>38</v>
      </c>
      <c r="L2727" s="3">
        <f>6466.42+1191.6+848</f>
        <v>8506.02</v>
      </c>
      <c r="M2727" s="3">
        <f>1191.6+848</f>
        <v>2039.6</v>
      </c>
      <c r="N2727" s="3">
        <f t="shared" si="342"/>
        <v>2551.806</v>
      </c>
      <c r="O2727" s="3">
        <f t="shared" si="343"/>
        <v>512.20600000000013</v>
      </c>
      <c r="S2727" s="3" t="s">
        <v>2179</v>
      </c>
      <c r="T2727" s="48">
        <v>46289</v>
      </c>
      <c r="V2727" s="51">
        <v>0.33888888888888891</v>
      </c>
      <c r="W2727" s="51">
        <v>0.35694444444444445</v>
      </c>
      <c r="X2727" s="51">
        <v>0.36319444444444443</v>
      </c>
      <c r="Y2727" s="51">
        <v>0.36527777777777776</v>
      </c>
    </row>
    <row r="2728" spans="1:25" hidden="1">
      <c r="A2728" s="12">
        <v>24797574</v>
      </c>
      <c r="B2728" s="13">
        <v>46288</v>
      </c>
      <c r="C2728" s="14">
        <v>0.92480324074074072</v>
      </c>
      <c r="D2728" s="15"/>
      <c r="E2728" s="16">
        <v>5213241166656</v>
      </c>
      <c r="F2728" s="15"/>
      <c r="G2728" s="15" t="s">
        <v>2542</v>
      </c>
      <c r="H2728" s="17"/>
      <c r="I2728" s="15"/>
      <c r="J2728" s="18"/>
      <c r="K2728" t="s">
        <v>32</v>
      </c>
      <c r="N2728" s="3">
        <f t="shared" si="342"/>
        <v>0</v>
      </c>
      <c r="O2728" s="3">
        <f t="shared" si="343"/>
        <v>0</v>
      </c>
      <c r="S2728" s="3" t="s">
        <v>2536</v>
      </c>
      <c r="V2728" s="51">
        <v>0.33888888888888891</v>
      </c>
    </row>
    <row r="2729" spans="1:25">
      <c r="A2729" s="12">
        <v>24797688</v>
      </c>
      <c r="B2729" s="13">
        <v>46288</v>
      </c>
      <c r="C2729" s="14">
        <v>0.94490740740740742</v>
      </c>
      <c r="D2729" s="15"/>
      <c r="E2729" s="16">
        <v>5215523088016</v>
      </c>
      <c r="F2729" s="15"/>
      <c r="G2729" s="15" t="s">
        <v>2543</v>
      </c>
      <c r="H2729" s="17"/>
      <c r="I2729" s="15"/>
      <c r="J2729" s="18"/>
      <c r="K2729" t="s">
        <v>107</v>
      </c>
      <c r="L2729" s="3">
        <f>7879.59+979.62</f>
        <v>8859.2100000000009</v>
      </c>
      <c r="M2729" s="3">
        <v>979.62</v>
      </c>
      <c r="N2729" s="3">
        <f t="shared" si="342"/>
        <v>2657.7630000000004</v>
      </c>
      <c r="O2729" s="3">
        <f t="shared" si="343"/>
        <v>1678.1430000000005</v>
      </c>
      <c r="P2729" s="6">
        <v>45474</v>
      </c>
      <c r="Q2729" t="s">
        <v>44</v>
      </c>
      <c r="R2729" s="3">
        <v>979.62</v>
      </c>
      <c r="S2729" s="3" t="s">
        <v>39</v>
      </c>
      <c r="T2729" s="48">
        <v>46289</v>
      </c>
      <c r="V2729" s="51">
        <v>0.33888888888888891</v>
      </c>
      <c r="W2729" s="51">
        <v>0.35833333333333334</v>
      </c>
      <c r="X2729" s="51">
        <v>0.36527777777777776</v>
      </c>
      <c r="Y2729" s="51">
        <v>0.36666666666666664</v>
      </c>
    </row>
    <row r="2730" spans="1:25" hidden="1">
      <c r="A2730" s="12">
        <v>24797678</v>
      </c>
      <c r="B2730" s="13">
        <v>46288</v>
      </c>
      <c r="C2730" s="14">
        <v>0.9574421296296296</v>
      </c>
      <c r="D2730" s="15" t="s">
        <v>2544</v>
      </c>
      <c r="E2730" s="16">
        <v>5219902457666</v>
      </c>
      <c r="F2730" s="15"/>
      <c r="G2730" s="15" t="s">
        <v>2545</v>
      </c>
      <c r="H2730" s="17">
        <v>93169805392</v>
      </c>
      <c r="I2730" s="15"/>
      <c r="J2730" s="18"/>
      <c r="K2730" t="s">
        <v>32</v>
      </c>
      <c r="N2730" s="3">
        <f t="shared" si="342"/>
        <v>0</v>
      </c>
      <c r="O2730" s="3">
        <f t="shared" si="343"/>
        <v>0</v>
      </c>
      <c r="S2730" s="3" t="s">
        <v>2536</v>
      </c>
      <c r="V2730" s="51">
        <v>0.33888888888888891</v>
      </c>
    </row>
    <row r="2731" spans="1:25" hidden="1">
      <c r="A2731" s="12">
        <v>24798474</v>
      </c>
      <c r="B2731" s="13">
        <v>46288</v>
      </c>
      <c r="C2731" s="14">
        <v>0.98559027777777775</v>
      </c>
      <c r="D2731" s="15"/>
      <c r="E2731" s="16">
        <v>5216674864858</v>
      </c>
      <c r="F2731" s="15"/>
      <c r="G2731" s="15"/>
      <c r="H2731" s="17">
        <v>23816306247</v>
      </c>
      <c r="I2731" s="15"/>
      <c r="J2731" s="18"/>
      <c r="K2731" t="s">
        <v>30</v>
      </c>
      <c r="L2731" s="125">
        <v>6100.24</v>
      </c>
      <c r="M2731" s="125">
        <v>1764.82</v>
      </c>
      <c r="N2731" s="3">
        <f t="shared" si="342"/>
        <v>1830.0719999999999</v>
      </c>
      <c r="O2731" s="3">
        <f t="shared" si="343"/>
        <v>65.251999999999953</v>
      </c>
      <c r="P2731" s="6">
        <v>46478</v>
      </c>
      <c r="Q2731" t="s">
        <v>75</v>
      </c>
      <c r="R2731" s="3">
        <v>331.27</v>
      </c>
      <c r="S2731" s="3" t="s">
        <v>2536</v>
      </c>
      <c r="V2731" s="51">
        <v>0.33888888888888891</v>
      </c>
    </row>
    <row r="2732" spans="1:25" hidden="1">
      <c r="A2732" s="12">
        <v>24801676</v>
      </c>
      <c r="B2732" s="13">
        <v>46289</v>
      </c>
      <c r="C2732" s="14">
        <v>0.1265162037037037</v>
      </c>
      <c r="D2732" s="15"/>
      <c r="E2732" s="16">
        <v>5219622435949</v>
      </c>
      <c r="F2732" s="15"/>
      <c r="G2732" s="15" t="s">
        <v>2546</v>
      </c>
      <c r="H2732" s="17"/>
      <c r="I2732" s="15"/>
      <c r="J2732" s="18"/>
      <c r="K2732" t="s">
        <v>32</v>
      </c>
      <c r="N2732" s="3">
        <f t="shared" si="342"/>
        <v>0</v>
      </c>
      <c r="O2732" s="3">
        <f t="shared" si="343"/>
        <v>0</v>
      </c>
      <c r="S2732" s="3" t="s">
        <v>2536</v>
      </c>
      <c r="V2732" s="51">
        <v>0.33888888888888891</v>
      </c>
    </row>
    <row r="2733" spans="1:25" hidden="1">
      <c r="A2733" s="12">
        <v>24805764</v>
      </c>
      <c r="B2733" s="13">
        <v>46289</v>
      </c>
      <c r="C2733" s="14">
        <v>0.29743055555555553</v>
      </c>
      <c r="D2733" s="15"/>
      <c r="E2733" s="16">
        <v>5217711913038</v>
      </c>
      <c r="F2733" s="15"/>
      <c r="G2733" s="15" t="s">
        <v>2547</v>
      </c>
      <c r="H2733" s="17"/>
      <c r="I2733" s="15"/>
      <c r="J2733" s="18"/>
      <c r="K2733" t="s">
        <v>32</v>
      </c>
      <c r="N2733" s="3">
        <f t="shared" si="342"/>
        <v>0</v>
      </c>
      <c r="O2733" s="3">
        <f t="shared" si="343"/>
        <v>0</v>
      </c>
      <c r="S2733" s="3" t="s">
        <v>2536</v>
      </c>
      <c r="V2733" s="51">
        <v>0.33888888888888891</v>
      </c>
    </row>
    <row r="2734" spans="1:25" hidden="1">
      <c r="A2734" s="30">
        <v>24806494</v>
      </c>
      <c r="B2734" s="31">
        <v>46289</v>
      </c>
      <c r="C2734" s="32">
        <v>0.3205324074074074</v>
      </c>
      <c r="D2734" s="33" t="s">
        <v>2548</v>
      </c>
      <c r="E2734" s="34">
        <v>5216645314636</v>
      </c>
      <c r="F2734" s="33"/>
      <c r="G2734" s="33" t="s">
        <v>2549</v>
      </c>
      <c r="H2734" s="35">
        <v>21987996747</v>
      </c>
      <c r="I2734" s="33"/>
      <c r="J2734" s="36"/>
      <c r="K2734" t="s">
        <v>51</v>
      </c>
      <c r="N2734" s="3">
        <f t="shared" si="342"/>
        <v>0</v>
      </c>
      <c r="O2734" s="3">
        <f t="shared" si="343"/>
        <v>0</v>
      </c>
      <c r="S2734" s="3" t="s">
        <v>2536</v>
      </c>
      <c r="V2734" s="51">
        <v>0.33888888888888891</v>
      </c>
    </row>
    <row r="2735" spans="1:25">
      <c r="A2735" s="12">
        <v>24808116</v>
      </c>
      <c r="B2735" s="13">
        <v>46289</v>
      </c>
      <c r="C2735" s="14">
        <v>0.36714120370370368</v>
      </c>
      <c r="D2735" s="15"/>
      <c r="E2735" s="16">
        <v>5218333945319</v>
      </c>
      <c r="F2735" s="15"/>
      <c r="G2735" s="15"/>
      <c r="H2735" s="17">
        <v>49846436530</v>
      </c>
      <c r="I2735" s="15"/>
      <c r="J2735" s="18"/>
      <c r="K2735" t="s">
        <v>54</v>
      </c>
      <c r="L2735" s="3">
        <v>9760.32</v>
      </c>
      <c r="N2735" s="3">
        <f>L2735*0.3</f>
        <v>2928.096</v>
      </c>
      <c r="O2735" s="3">
        <f>(IF(L2735&lt;4172.98,0,MIN(L2735*0.3,L2735-4172.98)))-M2735</f>
        <v>2928.096</v>
      </c>
      <c r="S2735" s="3" t="s">
        <v>62</v>
      </c>
      <c r="T2735" s="48">
        <v>46289</v>
      </c>
      <c r="V2735" s="51">
        <v>0.36736111111111114</v>
      </c>
      <c r="W2735" s="51">
        <v>0.37638888888888888</v>
      </c>
      <c r="X2735" s="51">
        <v>0.37638888888888888</v>
      </c>
      <c r="Y2735" s="51">
        <v>0.37847222222222221</v>
      </c>
    </row>
    <row r="2736" spans="1:25">
      <c r="A2736" s="30">
        <v>24807940</v>
      </c>
      <c r="B2736" s="31">
        <v>46289</v>
      </c>
      <c r="C2736" s="32">
        <v>0.36809027777777775</v>
      </c>
      <c r="D2736" s="33"/>
      <c r="E2736" s="34">
        <v>5219321156366</v>
      </c>
      <c r="F2736" s="33"/>
      <c r="G2736" s="33"/>
      <c r="H2736" s="35">
        <v>83866608876</v>
      </c>
      <c r="I2736" s="33"/>
      <c r="J2736" s="36"/>
      <c r="K2736" t="s">
        <v>54</v>
      </c>
      <c r="L2736" s="3">
        <v>10636.54</v>
      </c>
      <c r="N2736" s="3">
        <f>L2736*0.3</f>
        <v>3190.962</v>
      </c>
      <c r="O2736" s="3">
        <f>(IF(L2736&lt;4172.98,0,MIN(L2736*0.3,L2736-4172.98)))-M2736</f>
        <v>3190.962</v>
      </c>
      <c r="S2736" s="3" t="s">
        <v>327</v>
      </c>
      <c r="T2736" s="48">
        <v>46289</v>
      </c>
      <c r="V2736" s="51">
        <v>0.36875000000000002</v>
      </c>
      <c r="W2736" s="51">
        <v>0.37847222222222221</v>
      </c>
      <c r="X2736" s="51">
        <v>0.38263888888888886</v>
      </c>
      <c r="Y2736" s="51">
        <v>0.38750000000000001</v>
      </c>
    </row>
    <row r="2737" spans="1:25" hidden="1">
      <c r="A2737" s="30">
        <v>24808454</v>
      </c>
      <c r="B2737" s="31">
        <v>46289</v>
      </c>
      <c r="C2737" s="32">
        <v>0.37518518518518518</v>
      </c>
      <c r="D2737" s="33"/>
      <c r="E2737" s="34">
        <v>5214921776781</v>
      </c>
      <c r="F2737" s="33"/>
      <c r="G2737" s="33"/>
      <c r="H2737" s="35">
        <v>34887106119</v>
      </c>
      <c r="I2737" s="33"/>
      <c r="J2737" s="36"/>
      <c r="K2737" t="s">
        <v>30</v>
      </c>
      <c r="L2737" s="3">
        <v>7128.48</v>
      </c>
      <c r="M2737" s="3">
        <v>2133.09</v>
      </c>
      <c r="N2737" s="3">
        <f>L2737*0.3</f>
        <v>2138.5439999999999</v>
      </c>
      <c r="O2737" s="3">
        <f>(IF(L2737&lt;4172.98,0,MIN(L2737*0.3,L2737-4172.98)))-M2737</f>
        <v>5.4539999999997235</v>
      </c>
      <c r="P2737" s="6">
        <v>46905</v>
      </c>
      <c r="Q2737" t="s">
        <v>57</v>
      </c>
      <c r="R2737" s="3">
        <v>2133.09</v>
      </c>
      <c r="S2737" s="3" t="s">
        <v>2536</v>
      </c>
      <c r="V2737" s="51">
        <v>0.37569444444444444</v>
      </c>
    </row>
    <row r="2738" spans="1:25" hidden="1">
      <c r="A2738" s="30">
        <v>24809240</v>
      </c>
      <c r="B2738" s="31">
        <v>46289</v>
      </c>
      <c r="C2738" s="32">
        <v>0.40078703703703705</v>
      </c>
      <c r="D2738" s="33"/>
      <c r="E2738" s="34">
        <v>5214426048975</v>
      </c>
      <c r="F2738" s="33"/>
      <c r="G2738" s="33" t="s">
        <v>2550</v>
      </c>
      <c r="H2738" s="35"/>
      <c r="I2738" s="33"/>
      <c r="J2738" s="36"/>
      <c r="K2738" t="s">
        <v>30</v>
      </c>
      <c r="L2738" s="125">
        <v>7920.51</v>
      </c>
      <c r="M2738" s="125">
        <v>2288.96</v>
      </c>
      <c r="N2738" s="3">
        <f>L2738*0.3</f>
        <v>2376.1529999999998</v>
      </c>
      <c r="O2738" s="3">
        <f>(IF(L2738&lt;4172.98,0,MIN(L2738*0.3,L2738-4172.98)))-M2738</f>
        <v>87.192999999999756</v>
      </c>
      <c r="P2738" s="6">
        <v>46661</v>
      </c>
      <c r="Q2738" t="s">
        <v>57</v>
      </c>
      <c r="R2738" s="3">
        <v>2288.96</v>
      </c>
      <c r="S2738" s="3" t="s">
        <v>2536</v>
      </c>
      <c r="V2738" s="51">
        <v>0.40625</v>
      </c>
    </row>
    <row r="2739" spans="1:25" hidden="1">
      <c r="A2739" s="12">
        <v>24809842</v>
      </c>
      <c r="B2739" s="13">
        <v>46289</v>
      </c>
      <c r="C2739" s="14">
        <v>0.41511574074074076</v>
      </c>
      <c r="D2739" s="15"/>
      <c r="E2739" s="16">
        <v>5214421601084</v>
      </c>
      <c r="F2739" s="15"/>
      <c r="G2739" s="15" t="s">
        <v>2551</v>
      </c>
      <c r="H2739" s="17"/>
      <c r="I2739" s="15"/>
      <c r="J2739" s="18"/>
      <c r="K2739" t="s">
        <v>30</v>
      </c>
      <c r="L2739" s="111">
        <v>35186.239999999998</v>
      </c>
      <c r="M2739" s="111">
        <v>10555.64</v>
      </c>
      <c r="N2739" s="3">
        <f t="shared" ref="N2739:N2741" si="344">L2739*0.3</f>
        <v>10555.871999999999</v>
      </c>
      <c r="O2739" s="3">
        <f t="shared" ref="O2739:O2741" si="345">(IF(L2739&lt;4172.98,0,MIN(L2739*0.3,L2739-4172.98)))-M2739</f>
        <v>0.2319999999999709</v>
      </c>
      <c r="P2739" s="6">
        <v>46661</v>
      </c>
      <c r="Q2739" t="s">
        <v>141</v>
      </c>
      <c r="R2739" s="3">
        <v>7490.91</v>
      </c>
      <c r="S2739" s="3" t="s">
        <v>2536</v>
      </c>
      <c r="V2739" s="51">
        <v>0.42222222222222222</v>
      </c>
    </row>
    <row r="2740" spans="1:25">
      <c r="A2740" s="12">
        <v>24810008</v>
      </c>
      <c r="B2740" s="13">
        <v>46289</v>
      </c>
      <c r="C2740" s="14">
        <v>0.41984953703703703</v>
      </c>
      <c r="D2740" s="15"/>
      <c r="E2740" s="16">
        <v>5216241212102</v>
      </c>
      <c r="F2740" s="15"/>
      <c r="G2740" s="15"/>
      <c r="H2740" s="17">
        <v>22806301226</v>
      </c>
      <c r="I2740" s="15"/>
      <c r="J2740" s="18"/>
      <c r="K2740" t="s">
        <v>34</v>
      </c>
      <c r="L2740" s="111">
        <v>9504.7000000000007</v>
      </c>
      <c r="M2740" s="111">
        <v>2742.18</v>
      </c>
      <c r="N2740" s="3">
        <f t="shared" si="344"/>
        <v>2851.4100000000003</v>
      </c>
      <c r="O2740" s="3">
        <f t="shared" si="345"/>
        <v>109.23000000000047</v>
      </c>
      <c r="P2740" s="6">
        <v>46235</v>
      </c>
      <c r="Q2740" t="s">
        <v>57</v>
      </c>
      <c r="R2740" s="3">
        <v>1963.89</v>
      </c>
      <c r="S2740" s="3" t="s">
        <v>35</v>
      </c>
      <c r="T2740" s="48">
        <v>46289</v>
      </c>
      <c r="V2740" s="51">
        <v>0.42222222222222222</v>
      </c>
      <c r="W2740" s="51">
        <v>0.43472222222222223</v>
      </c>
      <c r="X2740" s="51">
        <v>0.44166666666666665</v>
      </c>
      <c r="Y2740" s="51">
        <v>0.44305555555555554</v>
      </c>
    </row>
    <row r="2741" spans="1:25" hidden="1">
      <c r="A2741" s="30">
        <v>24810074</v>
      </c>
      <c r="B2741" s="31">
        <v>46289</v>
      </c>
      <c r="C2741" s="32">
        <v>0.42104166666666665</v>
      </c>
      <c r="D2741" s="33" t="s">
        <v>2552</v>
      </c>
      <c r="E2741" s="34">
        <v>5218661240461</v>
      </c>
      <c r="F2741" s="33"/>
      <c r="G2741" s="33"/>
      <c r="H2741" s="35">
        <v>32806117548</v>
      </c>
      <c r="I2741" s="33"/>
      <c r="J2741" s="36"/>
      <c r="K2741" t="s">
        <v>30</v>
      </c>
      <c r="L2741" s="111">
        <v>8084.78</v>
      </c>
      <c r="M2741" s="111">
        <v>2424.1999999999998</v>
      </c>
      <c r="N2741" s="3">
        <f t="shared" si="344"/>
        <v>2425.4339999999997</v>
      </c>
      <c r="O2741" s="3">
        <f t="shared" si="345"/>
        <v>1.2339999999999236</v>
      </c>
      <c r="P2741" s="6">
        <v>46357</v>
      </c>
      <c r="Q2741" t="s">
        <v>44</v>
      </c>
      <c r="R2741" s="3">
        <v>1839.22</v>
      </c>
      <c r="S2741" s="3" t="s">
        <v>2536</v>
      </c>
      <c r="V2741" s="51">
        <v>0.42222222222222222</v>
      </c>
    </row>
    <row r="2742" spans="1:25" hidden="1">
      <c r="A2742" s="30">
        <v>24811210</v>
      </c>
      <c r="B2742" s="31">
        <v>46289</v>
      </c>
      <c r="C2742" s="32">
        <v>0.44762731481481483</v>
      </c>
      <c r="D2742" s="33" t="s">
        <v>2553</v>
      </c>
      <c r="E2742" s="34">
        <v>5219987216023</v>
      </c>
      <c r="F2742" s="33"/>
      <c r="G2742" s="33"/>
      <c r="H2742" s="35" t="s">
        <v>2554</v>
      </c>
      <c r="I2742" s="33"/>
      <c r="J2742" s="36"/>
      <c r="K2742" t="s">
        <v>58</v>
      </c>
      <c r="L2742" s="3">
        <v>4342.43</v>
      </c>
      <c r="M2742" s="207"/>
      <c r="N2742" s="207">
        <f>L2742*0.3</f>
        <v>1302.729</v>
      </c>
      <c r="O2742" s="207">
        <f>(IF(L2742&lt;4172.98,0,MIN(L2742*0.3,L2742-4172.98)))-M2742</f>
        <v>169.45000000000073</v>
      </c>
      <c r="P2742" s="97"/>
      <c r="Q2742" s="97"/>
      <c r="R2742" s="207"/>
      <c r="S2742" s="207" t="s">
        <v>2536</v>
      </c>
      <c r="T2742" s="208"/>
      <c r="V2742" s="51">
        <v>0.44722222222222224</v>
      </c>
    </row>
    <row r="2743" spans="1:25">
      <c r="A2743" s="30">
        <v>24811350</v>
      </c>
      <c r="B2743" s="31">
        <v>46289</v>
      </c>
      <c r="C2743" s="32">
        <v>0.45253472222222224</v>
      </c>
      <c r="D2743" s="33"/>
      <c r="E2743" s="34">
        <v>5214493640440</v>
      </c>
      <c r="F2743" s="33"/>
      <c r="G2743" s="33"/>
      <c r="H2743" s="35">
        <v>51906506335</v>
      </c>
      <c r="I2743" s="33"/>
      <c r="J2743" s="36"/>
      <c r="K2743" t="s">
        <v>38</v>
      </c>
      <c r="L2743" s="111">
        <v>9760.32</v>
      </c>
      <c r="M2743" s="111">
        <v>2171.81</v>
      </c>
      <c r="N2743" s="3">
        <f t="shared" ref="N2743" si="346">L2743*0.3</f>
        <v>2928.096</v>
      </c>
      <c r="O2743" s="3">
        <f t="shared" ref="O2743" si="347">(IF(L2743&lt;4172.98,0,MIN(L2743*0.3,L2743-4172.98)))-M2743</f>
        <v>756.28600000000006</v>
      </c>
      <c r="P2743" s="6">
        <v>46661</v>
      </c>
      <c r="Q2743" t="s">
        <v>75</v>
      </c>
      <c r="R2743" s="3">
        <v>2171.81</v>
      </c>
      <c r="S2743" s="3" t="s">
        <v>2179</v>
      </c>
      <c r="T2743" s="48">
        <v>46289</v>
      </c>
      <c r="V2743" s="51">
        <v>0.45347222222222222</v>
      </c>
      <c r="W2743" s="51">
        <v>0.59166666666666667</v>
      </c>
      <c r="X2743" s="51">
        <v>0.60555555555555551</v>
      </c>
      <c r="Y2743" s="51">
        <v>0.60972222222222228</v>
      </c>
    </row>
    <row r="2744" spans="1:25" hidden="1">
      <c r="A2744" s="30">
        <v>24811704</v>
      </c>
      <c r="B2744" s="31">
        <v>46289</v>
      </c>
      <c r="C2744" s="32">
        <v>0.46013888888888888</v>
      </c>
      <c r="D2744" s="33"/>
      <c r="E2744" s="34">
        <v>5217227115785</v>
      </c>
      <c r="F2744" s="33"/>
      <c r="G2744" s="33"/>
      <c r="H2744" s="35">
        <v>16845506175</v>
      </c>
      <c r="I2744" s="33"/>
      <c r="J2744" s="36"/>
      <c r="K2744" t="s">
        <v>30</v>
      </c>
      <c r="L2744" s="111">
        <v>6522.33</v>
      </c>
      <c r="M2744" s="111">
        <v>1955.12</v>
      </c>
      <c r="N2744" s="3">
        <f>L2744*0.3</f>
        <v>1956.6989999999998</v>
      </c>
      <c r="O2744" s="3">
        <f>(IF(L2744&lt;4172.98,0,MIN(L2744*0.3,L2744-4172.98)))-M2744</f>
        <v>1.5789999999999509</v>
      </c>
      <c r="P2744" s="6">
        <v>46784</v>
      </c>
      <c r="Q2744" t="s">
        <v>59</v>
      </c>
      <c r="R2744" s="3">
        <v>750.5</v>
      </c>
      <c r="S2744" s="3" t="s">
        <v>2536</v>
      </c>
      <c r="V2744" s="51">
        <v>0.46041666666666664</v>
      </c>
    </row>
    <row r="2745" spans="1:25">
      <c r="A2745" s="30">
        <v>24812116</v>
      </c>
      <c r="B2745" s="31">
        <v>46289</v>
      </c>
      <c r="C2745" s="32">
        <v>0.4755671296296296</v>
      </c>
      <c r="D2745" s="33"/>
      <c r="E2745" s="34">
        <v>5218681022294</v>
      </c>
      <c r="F2745" s="33"/>
      <c r="G2745" s="33" t="s">
        <v>2555</v>
      </c>
      <c r="H2745" s="35">
        <v>4992755349</v>
      </c>
      <c r="I2745" s="33"/>
      <c r="J2745" s="36"/>
      <c r="K2745" t="s">
        <v>54</v>
      </c>
      <c r="L2745" s="3">
        <v>11940.28</v>
      </c>
      <c r="N2745" s="3">
        <f>L2745*0.3</f>
        <v>3582.0840000000003</v>
      </c>
      <c r="O2745" s="3">
        <f>(IF(L2745&lt;4172.98,0,MIN(L2745*0.3,L2745-4172.98)))-M2745</f>
        <v>3582.0840000000003</v>
      </c>
      <c r="S2745" s="3" t="s">
        <v>1910</v>
      </c>
      <c r="T2745" s="48">
        <v>46289</v>
      </c>
      <c r="V2745" s="51">
        <v>0.47638888888888886</v>
      </c>
      <c r="W2745" s="51">
        <v>0.59444444444444444</v>
      </c>
      <c r="X2745" s="51">
        <v>0.59930555555555554</v>
      </c>
      <c r="Y2745" s="51">
        <v>0.6</v>
      </c>
    </row>
    <row r="2746" spans="1:25">
      <c r="A2746" s="30">
        <v>24812430</v>
      </c>
      <c r="B2746" s="31">
        <v>46289</v>
      </c>
      <c r="C2746" s="32">
        <v>0.48236111111111113</v>
      </c>
      <c r="D2746" s="33"/>
      <c r="E2746" s="34">
        <v>5216244955328</v>
      </c>
      <c r="F2746" s="33"/>
      <c r="G2746" s="33"/>
      <c r="H2746" s="35">
        <v>19805600137</v>
      </c>
      <c r="I2746" s="33"/>
      <c r="J2746" s="36"/>
      <c r="K2746" t="s">
        <v>27</v>
      </c>
      <c r="L2746" s="111">
        <v>6262.86</v>
      </c>
      <c r="M2746" s="111">
        <v>1738.79</v>
      </c>
      <c r="N2746" s="3">
        <f>L2746*0.3</f>
        <v>1878.8579999999997</v>
      </c>
      <c r="O2746" s="3">
        <f>(IF(L2746&lt;4172.98,0,MIN(L2746*0.3,L2746-4172.98)))-M2746</f>
        <v>140.06799999999976</v>
      </c>
      <c r="P2746" s="6">
        <v>46082</v>
      </c>
      <c r="Q2746" t="s">
        <v>2556</v>
      </c>
      <c r="R2746" s="111">
        <v>1738.79</v>
      </c>
      <c r="S2746" s="3" t="s">
        <v>98</v>
      </c>
      <c r="T2746" s="48">
        <v>46289</v>
      </c>
      <c r="V2746" s="51">
        <v>0.48194444444444445</v>
      </c>
      <c r="W2746" s="51">
        <v>0.60277777777777775</v>
      </c>
      <c r="X2746" s="51">
        <v>0.60902777777777772</v>
      </c>
      <c r="Y2746" s="51">
        <v>0.61319444444444449</v>
      </c>
    </row>
    <row r="2747" spans="1:25">
      <c r="A2747" s="12">
        <v>24812234</v>
      </c>
      <c r="B2747" s="13">
        <v>46289</v>
      </c>
      <c r="C2747" s="14">
        <v>0.48296296296296298</v>
      </c>
      <c r="D2747" s="15"/>
      <c r="E2747" s="16">
        <v>5218662144011</v>
      </c>
      <c r="F2747" s="15"/>
      <c r="G2747" s="15" t="s">
        <v>2557</v>
      </c>
      <c r="H2747" s="17"/>
      <c r="I2747" s="15"/>
      <c r="J2747" s="18"/>
      <c r="K2747" t="s">
        <v>54</v>
      </c>
      <c r="L2747" s="3">
        <v>6262.86</v>
      </c>
      <c r="N2747" s="3">
        <f>L2747*0.3</f>
        <v>1878.8579999999997</v>
      </c>
      <c r="O2747" s="3">
        <f>(IF(L2747&lt;4172.98,0,MIN(L2747*0.3,L2747-4172.98)))-M2747</f>
        <v>1878.8579999999997</v>
      </c>
      <c r="S2747" s="3" t="s">
        <v>1910</v>
      </c>
      <c r="T2747" s="48">
        <v>46289</v>
      </c>
      <c r="V2747" s="51">
        <v>0.49166666666666664</v>
      </c>
      <c r="W2747" s="51">
        <v>0.59513888888888888</v>
      </c>
      <c r="X2747" s="51">
        <v>0.60138888888888886</v>
      </c>
      <c r="Y2747" s="51">
        <v>0.61388888888888893</v>
      </c>
    </row>
    <row r="2748" spans="1:25" hidden="1">
      <c r="A2748" s="30">
        <v>24812550</v>
      </c>
      <c r="B2748" s="31">
        <v>46289</v>
      </c>
      <c r="C2748" s="32">
        <v>0.48659722222222224</v>
      </c>
      <c r="D2748" s="33"/>
      <c r="E2748" s="34">
        <v>5217123520115</v>
      </c>
      <c r="F2748" s="33"/>
      <c r="G2748" s="33" t="s">
        <v>2558</v>
      </c>
      <c r="H2748" s="35">
        <v>94089012051</v>
      </c>
      <c r="I2748" s="33"/>
      <c r="J2748" s="36"/>
      <c r="K2748" t="s">
        <v>189</v>
      </c>
      <c r="N2748" s="3">
        <f>L2748*0.3</f>
        <v>0</v>
      </c>
      <c r="O2748" s="3">
        <f>(IF(L2748&lt;4172.98,0,MIN(L2748*0.3,L2748-4172.98)))-M2748</f>
        <v>0</v>
      </c>
      <c r="S2748" s="3" t="s">
        <v>2536</v>
      </c>
      <c r="V2748" s="51">
        <v>0.49166666666666664</v>
      </c>
    </row>
    <row r="2749" spans="1:25">
      <c r="A2749" s="30">
        <v>24813300</v>
      </c>
      <c r="B2749" s="31">
        <v>46289</v>
      </c>
      <c r="C2749" s="32">
        <v>0.49908564814814815</v>
      </c>
      <c r="D2749" s="33"/>
      <c r="E2749" s="34">
        <v>5214778798832</v>
      </c>
      <c r="F2749" s="33"/>
      <c r="G2749" s="33"/>
      <c r="H2749" s="35">
        <v>12886413819</v>
      </c>
      <c r="I2749" s="33"/>
      <c r="J2749" s="36"/>
      <c r="K2749" t="s">
        <v>54</v>
      </c>
      <c r="L2749" s="3">
        <v>11093.27</v>
      </c>
      <c r="N2749" s="3">
        <f>L2749*0.3</f>
        <v>3327.9810000000002</v>
      </c>
      <c r="O2749" s="3">
        <f>(IF(L2749&lt;4172.98,0,MIN(L2749*0.3,L2749-4172.98)))-M2749</f>
        <v>3327.9810000000002</v>
      </c>
      <c r="S2749" s="3" t="s">
        <v>1808</v>
      </c>
      <c r="T2749" s="48">
        <v>46289</v>
      </c>
      <c r="V2749" s="51">
        <v>0.49930555555555556</v>
      </c>
      <c r="W2749" s="51">
        <v>0.59652777777777777</v>
      </c>
      <c r="X2749" s="51">
        <v>0.60277777777777775</v>
      </c>
      <c r="Y2749" s="51">
        <v>0.60416666666666663</v>
      </c>
    </row>
    <row r="2750" spans="1:25">
      <c r="A2750" s="30">
        <v>24813492</v>
      </c>
      <c r="B2750" s="31">
        <v>46289</v>
      </c>
      <c r="C2750" s="32">
        <v>0.5015856481481481</v>
      </c>
      <c r="D2750" s="33"/>
      <c r="E2750" s="34">
        <v>5214426699797</v>
      </c>
      <c r="F2750" s="33"/>
      <c r="G2750" s="33"/>
      <c r="H2750" s="35">
        <v>14725203138</v>
      </c>
      <c r="I2750" s="33"/>
      <c r="J2750" s="36"/>
      <c r="K2750" t="s">
        <v>54</v>
      </c>
      <c r="L2750" s="3">
        <f>8881.32+879</f>
        <v>9760.32</v>
      </c>
      <c r="M2750" s="3">
        <v>879</v>
      </c>
      <c r="N2750" s="3">
        <f>L2750*0.3</f>
        <v>2928.096</v>
      </c>
      <c r="O2750" s="3">
        <f>(IF(L2750&lt;4172.98,0,MIN(L2750*0.3,L2750-4172.98)))-M2750</f>
        <v>2049.096</v>
      </c>
      <c r="S2750" s="3" t="s">
        <v>1808</v>
      </c>
      <c r="T2750" s="48">
        <v>46289</v>
      </c>
      <c r="V2750" s="51">
        <v>0.50277777777777777</v>
      </c>
      <c r="W2750" s="51">
        <v>0.59722222222222221</v>
      </c>
      <c r="X2750" s="51">
        <v>0.60416666666666663</v>
      </c>
      <c r="Y2750" s="51">
        <v>0.60555555555555551</v>
      </c>
    </row>
    <row r="2751" spans="1:25" hidden="1">
      <c r="A2751" s="30">
        <v>24789006</v>
      </c>
      <c r="B2751" s="31">
        <v>46289</v>
      </c>
      <c r="C2751" s="32">
        <v>0.54880787037037038</v>
      </c>
      <c r="D2751" s="33" t="s">
        <v>2559</v>
      </c>
      <c r="E2751" s="34">
        <v>5215534009790</v>
      </c>
      <c r="F2751" s="33"/>
      <c r="G2751" s="33" t="s">
        <v>2560</v>
      </c>
      <c r="H2751" s="35"/>
      <c r="I2751" s="33"/>
      <c r="J2751" s="36"/>
      <c r="K2751" t="s">
        <v>32</v>
      </c>
      <c r="N2751" s="3">
        <f>L2751*0.3</f>
        <v>0</v>
      </c>
      <c r="O2751" s="3">
        <f>(IF(L2751&lt;4172.98,0,MIN(L2751*0.3,L2751-4172.98)))-M2751</f>
        <v>0</v>
      </c>
      <c r="S2751" s="53" t="s">
        <v>2536</v>
      </c>
      <c r="V2751" s="51">
        <v>0.54861111111111116</v>
      </c>
    </row>
    <row r="2752" spans="1:25" hidden="1">
      <c r="A2752" s="30">
        <v>24815138</v>
      </c>
      <c r="B2752" s="31">
        <v>46289</v>
      </c>
      <c r="C2752" s="32">
        <v>0.54974537037037041</v>
      </c>
      <c r="D2752" s="33"/>
      <c r="E2752" s="34">
        <v>5217711513370</v>
      </c>
      <c r="F2752" s="33"/>
      <c r="G2752" s="33"/>
      <c r="H2752" s="35" t="s">
        <v>2561</v>
      </c>
      <c r="I2752" s="33"/>
      <c r="J2752" s="36"/>
      <c r="K2752" t="s">
        <v>58</v>
      </c>
      <c r="L2752" s="3">
        <v>3961.31</v>
      </c>
      <c r="N2752" s="3">
        <f>L2752*0.3</f>
        <v>1188.393</v>
      </c>
      <c r="O2752" s="3">
        <f>(IF(L2752&lt;4172.98,0,MIN(L2752*0.3,L2752-4172.98)))-M2752</f>
        <v>0</v>
      </c>
      <c r="S2752" s="3" t="s">
        <v>2536</v>
      </c>
      <c r="V2752" s="51">
        <v>0.55069444444444449</v>
      </c>
    </row>
    <row r="2753" spans="1:25" hidden="1">
      <c r="A2753" s="30">
        <v>24815102</v>
      </c>
      <c r="B2753" s="31">
        <v>46289</v>
      </c>
      <c r="C2753" s="32">
        <v>0.55331018518518515</v>
      </c>
      <c r="D2753" s="33"/>
      <c r="E2753" s="34">
        <v>5214341311822</v>
      </c>
      <c r="F2753" s="33"/>
      <c r="G2753" s="33"/>
      <c r="H2753" s="35">
        <v>56937003285</v>
      </c>
      <c r="I2753" s="33"/>
      <c r="J2753" s="36"/>
      <c r="K2753" t="s">
        <v>58</v>
      </c>
      <c r="L2753" s="3">
        <v>4172.99</v>
      </c>
      <c r="N2753" s="3">
        <f>L2753*0.3</f>
        <v>1251.8969999999999</v>
      </c>
      <c r="O2753" s="3">
        <f>(IF(L2753&lt;4172.98,0,MIN(L2753*0.3,L2753-4172.98)))-M2753</f>
        <v>1.0000000000218279E-2</v>
      </c>
      <c r="S2753" s="3" t="s">
        <v>2536</v>
      </c>
      <c r="V2753" s="51">
        <v>0.55347222222222225</v>
      </c>
    </row>
    <row r="2754" spans="1:25" hidden="1">
      <c r="A2754" s="30">
        <v>24815312</v>
      </c>
      <c r="B2754" s="31">
        <v>46289</v>
      </c>
      <c r="C2754" s="32">
        <v>0.55842592592592588</v>
      </c>
      <c r="D2754" s="33" t="s">
        <v>2562</v>
      </c>
      <c r="E2754" s="34">
        <v>5219994700801</v>
      </c>
      <c r="F2754" s="33"/>
      <c r="G2754" s="33" t="s">
        <v>2563</v>
      </c>
      <c r="H2754" s="35"/>
      <c r="I2754" s="33"/>
      <c r="J2754" s="36"/>
      <c r="K2754" t="s">
        <v>30</v>
      </c>
      <c r="L2754" s="111">
        <v>7174.94</v>
      </c>
      <c r="M2754" s="111">
        <v>2073.9</v>
      </c>
      <c r="N2754" s="3">
        <f>L2754*0.3</f>
        <v>2152.482</v>
      </c>
      <c r="O2754" s="3">
        <f>(IF(L2754&lt;4172.98,0,MIN(L2754*0.3,L2754-4172.98)))-M2754</f>
        <v>78.58199999999988</v>
      </c>
      <c r="P2754" s="6">
        <v>46478</v>
      </c>
      <c r="Q2754" t="s">
        <v>43</v>
      </c>
      <c r="R2754" s="3">
        <v>2073.9</v>
      </c>
      <c r="S2754" s="3" t="s">
        <v>2536</v>
      </c>
      <c r="V2754" s="51">
        <v>0.55972222222222223</v>
      </c>
    </row>
    <row r="2755" spans="1:25" hidden="1">
      <c r="A2755" s="30">
        <v>24815416</v>
      </c>
      <c r="B2755" s="31">
        <v>46289</v>
      </c>
      <c r="C2755" s="32">
        <v>0.56034722222222222</v>
      </c>
      <c r="D2755" s="33"/>
      <c r="E2755" s="34">
        <v>5219992234268</v>
      </c>
      <c r="F2755" s="33"/>
      <c r="G2755" s="33" t="s">
        <v>2564</v>
      </c>
      <c r="H2755" s="35">
        <v>84119208217</v>
      </c>
      <c r="I2755" s="33"/>
      <c r="J2755" s="36"/>
      <c r="K2755" t="s">
        <v>32</v>
      </c>
      <c r="N2755" s="3">
        <f>L2755*0.3</f>
        <v>0</v>
      </c>
      <c r="O2755" s="3">
        <f>(IF(L2755&lt;4172.98,0,MIN(L2755*0.3,L2755-4172.98)))-M2755</f>
        <v>0</v>
      </c>
      <c r="S2755" s="3" t="s">
        <v>2536</v>
      </c>
      <c r="V2755" s="51">
        <v>0.56041666666666667</v>
      </c>
    </row>
    <row r="2756" spans="1:25" hidden="1">
      <c r="A2756" s="30">
        <v>24815866</v>
      </c>
      <c r="B2756" s="31">
        <v>46289</v>
      </c>
      <c r="C2756" s="32">
        <v>0.57496527777777773</v>
      </c>
      <c r="D2756" s="33"/>
      <c r="E2756" s="34">
        <v>5215536518015</v>
      </c>
      <c r="F2756" s="33"/>
      <c r="G2756" s="33"/>
      <c r="H2756" s="35" t="s">
        <v>2565</v>
      </c>
      <c r="I2756" s="33"/>
      <c r="J2756" s="36"/>
      <c r="K2756" t="s">
        <v>30</v>
      </c>
      <c r="L2756" s="111">
        <v>9464.93</v>
      </c>
      <c r="M2756" s="111">
        <v>2839.48</v>
      </c>
      <c r="N2756" s="3">
        <f>L2756*0.3</f>
        <v>2839.4789999999998</v>
      </c>
      <c r="O2756" s="3">
        <f>(IF(L2756&lt;4172.98,0,MIN(L2756*0.3,L2756-4172.98)))-M2756</f>
        <v>-1.0000000002037268E-3</v>
      </c>
      <c r="P2756" s="6">
        <v>46966</v>
      </c>
      <c r="Q2756" t="s">
        <v>73</v>
      </c>
      <c r="R2756" s="111">
        <v>2839.48</v>
      </c>
      <c r="S2756" s="3" t="s">
        <v>2536</v>
      </c>
      <c r="V2756" s="51">
        <v>0.57499999999999996</v>
      </c>
    </row>
    <row r="2757" spans="1:25" hidden="1">
      <c r="A2757" s="30">
        <v>24816158</v>
      </c>
      <c r="B2757" s="31">
        <v>46289</v>
      </c>
      <c r="C2757" s="32">
        <v>0.59097222222222223</v>
      </c>
      <c r="D2757" s="33"/>
      <c r="E2757" s="34">
        <v>5217124137868</v>
      </c>
      <c r="F2757" s="33"/>
      <c r="G2757" s="33" t="s">
        <v>2566</v>
      </c>
      <c r="H2757" s="35"/>
      <c r="I2757" s="33"/>
      <c r="J2757" s="36"/>
      <c r="K2757" t="s">
        <v>30</v>
      </c>
      <c r="L2757" s="111">
        <v>10171.24</v>
      </c>
      <c r="M2757" s="111">
        <v>2930.62</v>
      </c>
      <c r="N2757" s="3">
        <f>L2757*0.3</f>
        <v>3051.3719999999998</v>
      </c>
      <c r="O2757" s="3">
        <f>(IF(L2757&lt;4172.98,0,MIN(L2757*0.3,L2757-4172.98)))-M2757</f>
        <v>120.75199999999995</v>
      </c>
      <c r="P2757" s="6">
        <v>46631</v>
      </c>
      <c r="Q2757" t="s">
        <v>141</v>
      </c>
      <c r="R2757" s="3">
        <v>2930.62</v>
      </c>
      <c r="S2757" s="3" t="s">
        <v>2536</v>
      </c>
      <c r="V2757" s="51">
        <v>0.59166666666666667</v>
      </c>
    </row>
    <row r="2758" spans="1:25" hidden="1">
      <c r="A2758" s="30">
        <v>24816632</v>
      </c>
      <c r="B2758" s="31">
        <v>46289</v>
      </c>
      <c r="C2758" s="32">
        <v>0.60207175925925926</v>
      </c>
      <c r="D2758" s="33"/>
      <c r="E2758" s="34">
        <v>5215529174475</v>
      </c>
      <c r="F2758" s="33"/>
      <c r="G2758" s="33"/>
      <c r="H2758" s="35">
        <v>11725209644</v>
      </c>
      <c r="I2758" s="33"/>
      <c r="J2758" s="36"/>
      <c r="K2758" t="s">
        <v>58</v>
      </c>
      <c r="L2758" s="3">
        <v>3881.65</v>
      </c>
      <c r="N2758" s="3">
        <f>L2758*0.3</f>
        <v>1164.4949999999999</v>
      </c>
      <c r="O2758" s="3">
        <f>(IF(L2758&lt;4172.98,0,MIN(L2758*0.3,L2758-4172.98)))-M2758</f>
        <v>0</v>
      </c>
      <c r="S2758" s="3" t="s">
        <v>2536</v>
      </c>
      <c r="V2758" s="51">
        <v>0.6020833333333333</v>
      </c>
    </row>
    <row r="2759" spans="1:25" hidden="1">
      <c r="A2759" s="30">
        <v>24816486</v>
      </c>
      <c r="B2759" s="31">
        <v>46289</v>
      </c>
      <c r="C2759" s="32">
        <v>0.60603009259259255</v>
      </c>
      <c r="D2759" s="33" t="s">
        <v>2567</v>
      </c>
      <c r="E2759" s="34">
        <v>5216621492892</v>
      </c>
      <c r="F2759" s="33"/>
      <c r="G2759" s="33" t="s">
        <v>2568</v>
      </c>
      <c r="H2759" s="35" t="s">
        <v>2569</v>
      </c>
      <c r="I2759" s="33"/>
      <c r="J2759" s="36"/>
      <c r="K2759" t="s">
        <v>30</v>
      </c>
      <c r="L2759" s="3">
        <v>5712.5</v>
      </c>
      <c r="M2759" s="3">
        <v>1484.73</v>
      </c>
      <c r="N2759" s="3">
        <f>L2759*0.3</f>
        <v>1713.75</v>
      </c>
      <c r="O2759" s="3">
        <f>(IF(L2759&lt;4172.98,0,MIN(L2759*0.3,L2759-4172.98)))-M2759</f>
        <v>54.790000000000418</v>
      </c>
      <c r="P2759" s="6">
        <v>46692</v>
      </c>
      <c r="Q2759" t="s">
        <v>906</v>
      </c>
      <c r="R2759" s="3">
        <v>1484.73</v>
      </c>
      <c r="S2759" s="3" t="s">
        <v>2536</v>
      </c>
      <c r="V2759" s="51">
        <v>0.60763888888888884</v>
      </c>
    </row>
    <row r="2760" spans="1:25">
      <c r="A2760" s="12">
        <v>24816802</v>
      </c>
      <c r="B2760" s="13">
        <v>46289</v>
      </c>
      <c r="C2760" s="14">
        <v>0.61936342592592597</v>
      </c>
      <c r="D2760" s="15"/>
      <c r="E2760" s="16">
        <v>5215636653255</v>
      </c>
      <c r="F2760" s="15"/>
      <c r="G2760" s="15" t="s">
        <v>2570</v>
      </c>
      <c r="H2760" s="209" t="s">
        <v>2571</v>
      </c>
      <c r="I2760" s="15"/>
      <c r="J2760" s="18"/>
      <c r="K2760" t="s">
        <v>34</v>
      </c>
      <c r="L2760" s="111">
        <v>15766.91</v>
      </c>
      <c r="M2760" s="111">
        <v>4372.9399999999996</v>
      </c>
      <c r="N2760" s="3">
        <f>L2760*0.3</f>
        <v>4730.0729999999994</v>
      </c>
      <c r="O2760" s="3">
        <f>(IF(L2760&lt;4172.98,0,MIN(L2760*0.3,L2760-4172.98)))-M2760</f>
        <v>357.13299999999981</v>
      </c>
      <c r="P2760" s="6">
        <v>46266</v>
      </c>
      <c r="Q2760" t="s">
        <v>43</v>
      </c>
      <c r="R2760" s="111">
        <v>4372.9399999999996</v>
      </c>
      <c r="S2760" s="3" t="s">
        <v>830</v>
      </c>
      <c r="T2760" s="48">
        <v>46289</v>
      </c>
      <c r="V2760" s="51">
        <v>0.61944444444444446</v>
      </c>
      <c r="W2760" s="51">
        <v>0.63124999999999998</v>
      </c>
      <c r="X2760" s="51">
        <v>0.63749999999999996</v>
      </c>
      <c r="Y2760" s="51">
        <v>0.64583333333333337</v>
      </c>
    </row>
    <row r="2761" spans="1:25" hidden="1">
      <c r="A2761" s="30">
        <v>24817146</v>
      </c>
      <c r="B2761" s="31">
        <v>46289</v>
      </c>
      <c r="C2761" s="32">
        <v>0.61942129629629628</v>
      </c>
      <c r="D2761" s="33"/>
      <c r="E2761" s="34">
        <v>5214111574343</v>
      </c>
      <c r="F2761" s="33"/>
      <c r="G2761" s="33" t="s">
        <v>2572</v>
      </c>
      <c r="H2761" s="35"/>
      <c r="I2761" s="33"/>
      <c r="J2761" s="36"/>
      <c r="K2761" t="s">
        <v>32</v>
      </c>
      <c r="N2761" s="3">
        <f t="shared" ref="N2760:N2761" si="348">L2761*0.3</f>
        <v>0</v>
      </c>
      <c r="O2761" s="3">
        <f t="shared" ref="O2760:O2761" si="349">(IF(L2761&lt;4172.98,0,MIN(L2761*0.3,L2761-4172.98)))-M2761</f>
        <v>0</v>
      </c>
      <c r="S2761" s="3" t="s">
        <v>2536</v>
      </c>
      <c r="V2761" s="51">
        <v>0.61944444444444446</v>
      </c>
    </row>
    <row r="2762" spans="1:25">
      <c r="A2762" s="12">
        <v>24817454</v>
      </c>
      <c r="B2762" s="13">
        <v>46289</v>
      </c>
      <c r="C2762" s="14">
        <v>0.6325925925925926</v>
      </c>
      <c r="D2762" s="15"/>
      <c r="E2762" s="16">
        <v>5215638454051</v>
      </c>
      <c r="F2762" s="15"/>
      <c r="G2762" s="15" t="s">
        <v>2573</v>
      </c>
      <c r="H2762" s="17"/>
      <c r="I2762" s="15"/>
      <c r="J2762" s="18"/>
      <c r="K2762" t="s">
        <v>54</v>
      </c>
      <c r="L2762" s="3">
        <v>9760.32</v>
      </c>
      <c r="N2762" s="3">
        <f t="shared" ref="N2762:N2764" si="350">L2762*0.3</f>
        <v>2928.096</v>
      </c>
      <c r="O2762" s="3">
        <f t="shared" ref="O2762:O2764" si="351">(IF(L2762&lt;4172.98,0,MIN(L2762*0.3,L2762-4172.98)))-M2762</f>
        <v>2928.096</v>
      </c>
      <c r="S2762" s="3" t="s">
        <v>1946</v>
      </c>
      <c r="T2762" s="48">
        <v>46289</v>
      </c>
      <c r="V2762" s="51">
        <v>0.6333333333333333</v>
      </c>
      <c r="W2762" s="51">
        <v>0.63958333333333328</v>
      </c>
      <c r="X2762" s="51">
        <v>0.64166666666666672</v>
      </c>
      <c r="Y2762" s="51">
        <v>0.64444444444444449</v>
      </c>
    </row>
    <row r="2763" spans="1:25" hidden="1">
      <c r="A2763" s="12">
        <v>24817586</v>
      </c>
      <c r="B2763" s="13">
        <v>46289</v>
      </c>
      <c r="C2763" s="14">
        <v>0.63270833333333332</v>
      </c>
      <c r="D2763" s="15"/>
      <c r="E2763" s="16">
        <v>5216462268571</v>
      </c>
      <c r="F2763" s="15"/>
      <c r="G2763" s="15" t="s">
        <v>2574</v>
      </c>
      <c r="H2763" s="17"/>
      <c r="I2763" s="15"/>
      <c r="J2763" s="18"/>
      <c r="K2763" t="s">
        <v>32</v>
      </c>
      <c r="N2763" s="3">
        <f t="shared" si="350"/>
        <v>0</v>
      </c>
      <c r="O2763" s="3">
        <f t="shared" si="351"/>
        <v>0</v>
      </c>
      <c r="S2763" s="3" t="s">
        <v>2536</v>
      </c>
      <c r="V2763" s="51">
        <v>0.6333333333333333</v>
      </c>
    </row>
    <row r="2764" spans="1:25">
      <c r="A2764" s="30">
        <v>24817530</v>
      </c>
      <c r="B2764" s="31">
        <v>46289</v>
      </c>
      <c r="C2764" s="32">
        <v>0.6334143518518518</v>
      </c>
      <c r="D2764" s="33"/>
      <c r="E2764" s="34">
        <v>5218713746710</v>
      </c>
      <c r="F2764" s="33"/>
      <c r="G2764" s="205" t="s">
        <v>2575</v>
      </c>
      <c r="H2764" s="35"/>
      <c r="I2764" s="33"/>
      <c r="J2764" s="36"/>
      <c r="K2764" t="s">
        <v>54</v>
      </c>
      <c r="L2764" s="111">
        <v>10171.24</v>
      </c>
      <c r="M2764" s="111">
        <v>879</v>
      </c>
      <c r="N2764" s="3">
        <f t="shared" si="350"/>
        <v>3051.3719999999998</v>
      </c>
      <c r="O2764" s="3">
        <f t="shared" si="351"/>
        <v>2172.3719999999998</v>
      </c>
      <c r="S2764" s="3" t="s">
        <v>2576</v>
      </c>
      <c r="T2764" s="48">
        <v>46289</v>
      </c>
      <c r="V2764" s="51">
        <v>0.6333333333333333</v>
      </c>
      <c r="W2764" s="51">
        <v>0.64375000000000004</v>
      </c>
      <c r="X2764" s="51">
        <v>0.64652777777777781</v>
      </c>
      <c r="Y2764" s="51">
        <v>0.65694444444444444</v>
      </c>
    </row>
    <row r="2765" spans="1:25" hidden="1">
      <c r="A2765" s="30">
        <v>24817600</v>
      </c>
      <c r="B2765" s="31">
        <v>46289</v>
      </c>
      <c r="C2765" s="32">
        <v>0.63559027777777777</v>
      </c>
      <c r="D2765" s="33" t="s">
        <v>2577</v>
      </c>
      <c r="E2765" s="34">
        <v>5217411316806</v>
      </c>
      <c r="F2765" s="33"/>
      <c r="G2765" s="33" t="s">
        <v>2578</v>
      </c>
      <c r="H2765" s="35"/>
      <c r="I2765" s="33"/>
      <c r="J2765" s="36"/>
      <c r="K2765" t="s">
        <v>32</v>
      </c>
      <c r="N2765" s="3">
        <f>L2765*0.3</f>
        <v>0</v>
      </c>
      <c r="O2765" s="3">
        <f>(IF(L2765&lt;4172.98,0,MIN(L2765*0.3,L2765-4172.98)))-M2765</f>
        <v>0</v>
      </c>
      <c r="S2765" s="3" t="s">
        <v>2536</v>
      </c>
      <c r="V2765" s="51">
        <v>0.63541666666666663</v>
      </c>
    </row>
    <row r="2766" spans="1:25" hidden="1">
      <c r="A2766" s="30">
        <v>24817498</v>
      </c>
      <c r="B2766" s="31">
        <v>46289</v>
      </c>
      <c r="C2766" s="32">
        <v>0.63937500000000003</v>
      </c>
      <c r="D2766" s="33"/>
      <c r="E2766" s="34">
        <v>5213241266699</v>
      </c>
      <c r="F2766" s="33"/>
      <c r="G2766" s="33" t="s">
        <v>2579</v>
      </c>
      <c r="H2766" s="35"/>
      <c r="I2766" s="33"/>
      <c r="J2766" s="36"/>
      <c r="K2766" t="s">
        <v>58</v>
      </c>
      <c r="L2766" s="3">
        <v>1579.41</v>
      </c>
      <c r="N2766" s="3">
        <f>L2766*0.3</f>
        <v>473.82299999999998</v>
      </c>
      <c r="O2766" s="3">
        <f>(IF(L2766&lt;4172.98,0,MIN(L2766*0.3,L2766-4172.98)))-M2766</f>
        <v>0</v>
      </c>
      <c r="S2766" s="3" t="s">
        <v>2536</v>
      </c>
      <c r="V2766" s="51">
        <v>0.63958333333333328</v>
      </c>
    </row>
    <row r="2767" spans="1:25" hidden="1">
      <c r="A2767" s="30">
        <v>24789508</v>
      </c>
      <c r="B2767" s="31">
        <v>46289</v>
      </c>
      <c r="C2767" s="32">
        <v>0.64076388888888891</v>
      </c>
      <c r="D2767" s="33"/>
      <c r="E2767" s="34"/>
      <c r="F2767" s="33"/>
      <c r="G2767" s="33"/>
      <c r="H2767" s="35">
        <v>11696098282</v>
      </c>
      <c r="I2767" s="33"/>
      <c r="J2767" s="36"/>
      <c r="K2767" t="s">
        <v>32</v>
      </c>
      <c r="N2767" s="3">
        <f>L2767*0.3</f>
        <v>0</v>
      </c>
      <c r="O2767" s="3">
        <f>(IF(L2767&lt;4172.98,0,MIN(L2767*0.3,L2767-4172.98)))-M2767</f>
        <v>0</v>
      </c>
      <c r="S2767" s="53" t="s">
        <v>2536</v>
      </c>
      <c r="V2767" s="51">
        <v>0.64027777777777772</v>
      </c>
    </row>
    <row r="2768" spans="1:25">
      <c r="A2768" s="30">
        <v>24817816</v>
      </c>
      <c r="B2768" s="31">
        <v>46289</v>
      </c>
      <c r="C2768" s="32">
        <v>0.64521990740740742</v>
      </c>
      <c r="D2768" s="33"/>
      <c r="E2768" s="34">
        <v>5219331013140</v>
      </c>
      <c r="F2768" s="33"/>
      <c r="G2768" s="33"/>
      <c r="H2768" s="35">
        <v>83856704297</v>
      </c>
      <c r="I2768" s="33" t="s">
        <v>2580</v>
      </c>
      <c r="J2768" s="36"/>
      <c r="K2768" t="s">
        <v>27</v>
      </c>
      <c r="L2768" s="111">
        <v>39334.199999999997</v>
      </c>
      <c r="M2768" s="111">
        <v>11798.68</v>
      </c>
      <c r="N2768" s="3">
        <f>L2768*0.3</f>
        <v>11800.259999999998</v>
      </c>
      <c r="O2768" s="3">
        <f>(IF(L2768&lt;4172.98,0,MIN(L2768*0.3,L2768-4172.98)))-M2768</f>
        <v>1.5799999999981083</v>
      </c>
      <c r="P2768" s="6">
        <v>46266</v>
      </c>
      <c r="Q2768" t="s">
        <v>75</v>
      </c>
      <c r="R2768" s="3">
        <v>9463.68</v>
      </c>
      <c r="S2768" s="3" t="s">
        <v>2059</v>
      </c>
      <c r="T2768" s="48">
        <v>46289</v>
      </c>
      <c r="V2768" s="51">
        <v>0.64722222222222225</v>
      </c>
      <c r="W2768" s="51">
        <v>0.65972222222222221</v>
      </c>
      <c r="X2768" s="51">
        <v>0.66388888888888886</v>
      </c>
      <c r="Y2768" s="51">
        <v>0.6645833333333333</v>
      </c>
    </row>
    <row r="2769" spans="1:25">
      <c r="A2769" s="30">
        <v>24818004</v>
      </c>
      <c r="B2769" s="31">
        <v>46289</v>
      </c>
      <c r="C2769" s="32">
        <v>0.65054398148148151</v>
      </c>
      <c r="D2769" s="33" t="s">
        <v>2581</v>
      </c>
      <c r="E2769" s="34">
        <v>5219996427384</v>
      </c>
      <c r="F2769" s="33"/>
      <c r="G2769" s="33"/>
      <c r="H2769" s="35">
        <v>84856619592</v>
      </c>
      <c r="I2769" s="33"/>
      <c r="J2769" s="36"/>
      <c r="K2769" t="s">
        <v>54</v>
      </c>
      <c r="L2769" s="3">
        <v>10636.54</v>
      </c>
      <c r="N2769" s="3">
        <f>L2769*0.3</f>
        <v>3190.962</v>
      </c>
      <c r="O2769" s="3">
        <f>(IF(L2769&lt;4172.98,0,MIN(L2769*0.3,L2769-4172.98)))-M2769</f>
        <v>3190.962</v>
      </c>
      <c r="S2769" s="3" t="s">
        <v>2582</v>
      </c>
      <c r="T2769" s="48">
        <v>46289</v>
      </c>
      <c r="V2769" s="51">
        <v>0.65208333333333335</v>
      </c>
      <c r="W2769" s="51">
        <v>0.65833333333333333</v>
      </c>
      <c r="X2769" s="51">
        <v>0.66180555555555554</v>
      </c>
      <c r="Y2769" s="51">
        <v>0.67708333333333337</v>
      </c>
    </row>
    <row r="2770" spans="1:25">
      <c r="A2770" s="30">
        <v>24818304</v>
      </c>
      <c r="B2770" s="31">
        <v>46289</v>
      </c>
      <c r="C2770" s="32">
        <v>0.66068287037037032</v>
      </c>
      <c r="D2770" s="33"/>
      <c r="E2770" s="34">
        <v>5219382994192</v>
      </c>
      <c r="F2770" s="33"/>
      <c r="G2770" s="33"/>
      <c r="H2770" s="35" t="s">
        <v>2583</v>
      </c>
      <c r="I2770" s="33"/>
      <c r="J2770" s="36"/>
      <c r="K2770" t="s">
        <v>27</v>
      </c>
      <c r="L2770" s="111">
        <v>7603.81</v>
      </c>
      <c r="M2770" s="111">
        <v>2281.13</v>
      </c>
      <c r="N2770" s="3">
        <f>L2770*0.3</f>
        <v>2281.143</v>
      </c>
      <c r="O2770" s="3">
        <f>(IF(L2770&lt;4172.98,0,MIN(L2770*0.3,L2770-4172.98)))-M2770</f>
        <v>1.2999999999919964E-2</v>
      </c>
      <c r="P2770" s="6">
        <v>44958</v>
      </c>
      <c r="Q2770" t="s">
        <v>44</v>
      </c>
      <c r="R2770" s="3">
        <v>1298.42</v>
      </c>
      <c r="S2770" s="3" t="s">
        <v>90</v>
      </c>
      <c r="T2770" s="48">
        <v>46289</v>
      </c>
      <c r="V2770" s="51">
        <v>0.66041666666666665</v>
      </c>
      <c r="W2770" s="51">
        <v>0.66666666666666663</v>
      </c>
      <c r="X2770" s="51">
        <v>0.67222222222222228</v>
      </c>
      <c r="Y2770" s="51">
        <v>0.68055555555555558</v>
      </c>
    </row>
    <row r="2771" spans="1:25">
      <c r="A2771" s="30">
        <v>24818448</v>
      </c>
      <c r="B2771" s="31">
        <v>46289</v>
      </c>
      <c r="C2771" s="32">
        <v>0.66770833333333335</v>
      </c>
      <c r="D2771" s="33"/>
      <c r="E2771" s="34">
        <v>8333273075</v>
      </c>
      <c r="F2771" s="33"/>
      <c r="G2771" s="33"/>
      <c r="H2771" s="35" t="s">
        <v>2584</v>
      </c>
      <c r="I2771" s="33"/>
      <c r="J2771" s="36"/>
      <c r="K2771" t="s">
        <v>54</v>
      </c>
      <c r="L2771" s="111">
        <v>7135.6</v>
      </c>
      <c r="M2771" s="111">
        <v>700</v>
      </c>
      <c r="N2771" s="3">
        <f>L2771*0.3</f>
        <v>2140.6799999999998</v>
      </c>
      <c r="O2771" s="3">
        <f>(IF(L2771&lt;4172.98,0,MIN(L2771*0.3,L2771-4172.98)))-M2771</f>
        <v>1440.6799999999998</v>
      </c>
      <c r="P2771" s="6">
        <v>46813</v>
      </c>
      <c r="Q2771" t="s">
        <v>44</v>
      </c>
      <c r="R2771" s="111">
        <v>700</v>
      </c>
      <c r="S2771" s="3" t="s">
        <v>62</v>
      </c>
      <c r="T2771" s="48">
        <v>46289</v>
      </c>
      <c r="V2771" s="51">
        <v>0.67222222222222228</v>
      </c>
      <c r="W2771" s="51">
        <v>0.67847222222222225</v>
      </c>
      <c r="X2771" s="51">
        <v>0.68611111111111112</v>
      </c>
      <c r="Y2771" s="51">
        <v>0.6875</v>
      </c>
    </row>
    <row r="2772" spans="1:25" hidden="1">
      <c r="A2772" s="30">
        <v>24818616</v>
      </c>
      <c r="B2772" s="31">
        <v>46289</v>
      </c>
      <c r="C2772" s="32">
        <v>0.67855324074074075</v>
      </c>
      <c r="D2772" s="33"/>
      <c r="E2772" s="34">
        <v>5216691586420</v>
      </c>
      <c r="F2772" s="33"/>
      <c r="G2772" s="33" t="s">
        <v>2585</v>
      </c>
      <c r="H2772" s="35"/>
      <c r="I2772" s="33"/>
      <c r="J2772" s="36"/>
      <c r="K2772" t="s">
        <v>30</v>
      </c>
      <c r="L2772" s="111">
        <v>10636.54</v>
      </c>
      <c r="M2772" s="111">
        <v>3190.96</v>
      </c>
      <c r="N2772" s="3">
        <f>L2772*0.3</f>
        <v>3190.962</v>
      </c>
      <c r="O2772" s="3">
        <f>(IF(L2772&lt;4172.98,0,MIN(L2772*0.3,L2772-4172.98)))-M2772</f>
        <v>1.9999999999527063E-3</v>
      </c>
      <c r="P2772" s="6">
        <v>46844</v>
      </c>
      <c r="Q2772" t="s">
        <v>59</v>
      </c>
      <c r="R2772" s="111">
        <v>3190.96</v>
      </c>
      <c r="S2772" s="3" t="s">
        <v>2536</v>
      </c>
      <c r="V2772" s="51">
        <v>0.67847222222222225</v>
      </c>
    </row>
    <row r="2773" spans="1:25" hidden="1">
      <c r="A2773" s="30">
        <v>24818744</v>
      </c>
      <c r="B2773" s="31">
        <v>46289</v>
      </c>
      <c r="C2773" s="32">
        <v>0.68320601851851848</v>
      </c>
      <c r="D2773" s="33" t="s">
        <v>2586</v>
      </c>
      <c r="E2773" s="34">
        <v>5212483389284</v>
      </c>
      <c r="F2773" s="33"/>
      <c r="G2773" s="33" t="s">
        <v>2587</v>
      </c>
      <c r="H2773" s="35"/>
      <c r="I2773" s="33"/>
      <c r="J2773" s="36"/>
      <c r="K2773" t="s">
        <v>32</v>
      </c>
      <c r="N2773" s="3">
        <f>L2773*0.3</f>
        <v>0</v>
      </c>
      <c r="O2773" s="3">
        <f>(IF(L2773&lt;4172.98,0,MIN(L2773*0.3,L2773-4172.98)))-M2773</f>
        <v>0</v>
      </c>
      <c r="S2773" s="3" t="s">
        <v>2536</v>
      </c>
      <c r="V2773" s="51">
        <v>0.68333333333333335</v>
      </c>
    </row>
    <row r="2774" spans="1:25">
      <c r="A2774" s="30">
        <v>24818782</v>
      </c>
      <c r="B2774" s="31">
        <v>46289</v>
      </c>
      <c r="C2774" s="32">
        <v>0.68741898148148151</v>
      </c>
      <c r="D2774" s="33"/>
      <c r="E2774" s="34">
        <v>5215659207952</v>
      </c>
      <c r="F2774" s="33"/>
      <c r="G2774" s="205" t="s">
        <v>2588</v>
      </c>
      <c r="H2774" s="35">
        <v>65806435056</v>
      </c>
      <c r="I2774" s="33"/>
      <c r="J2774" s="36"/>
      <c r="K2774" t="s">
        <v>38</v>
      </c>
      <c r="L2774" s="111">
        <v>9760.32</v>
      </c>
      <c r="M2774" s="111">
        <v>2094.7399999999998</v>
      </c>
      <c r="N2774" s="3">
        <f>L2774*0.3</f>
        <v>2928.096</v>
      </c>
      <c r="O2774" s="3">
        <f>(IF(L2774&lt;4172.98,0,MIN(L2774*0.3,L2774-4172.98)))-M2774</f>
        <v>833.35600000000022</v>
      </c>
      <c r="P2774" s="6">
        <v>46813</v>
      </c>
      <c r="Q2774" t="s">
        <v>75</v>
      </c>
      <c r="R2774" s="111">
        <v>2094.7399999999998</v>
      </c>
      <c r="S2774" s="3" t="s">
        <v>2179</v>
      </c>
      <c r="T2774" s="48">
        <v>46289</v>
      </c>
      <c r="V2774" s="51">
        <v>0.6875</v>
      </c>
      <c r="W2774" s="51">
        <v>0.69652777777777775</v>
      </c>
      <c r="X2774" s="51">
        <v>0.7055555555555556</v>
      </c>
      <c r="Y2774" s="51">
        <v>0.71319444444444446</v>
      </c>
    </row>
    <row r="2775" spans="1:25" hidden="1">
      <c r="A2775" s="30">
        <v>24818922</v>
      </c>
      <c r="B2775" s="31">
        <v>46289</v>
      </c>
      <c r="C2775" s="32">
        <v>0.68890046296296292</v>
      </c>
      <c r="D2775" s="33"/>
      <c r="E2775" s="34">
        <v>5215576082791</v>
      </c>
      <c r="F2775" s="33"/>
      <c r="G2775" s="33"/>
      <c r="H2775" s="35" t="s">
        <v>2589</v>
      </c>
      <c r="I2775" s="33"/>
      <c r="J2775" s="36"/>
      <c r="K2775" t="s">
        <v>30</v>
      </c>
      <c r="L2775" s="111">
        <v>7128.48</v>
      </c>
      <c r="M2775" s="111">
        <v>2060.9299999999998</v>
      </c>
      <c r="N2775" s="3">
        <f>L2775*0.3</f>
        <v>2138.5439999999999</v>
      </c>
      <c r="O2775" s="3">
        <f>(IF(L2775&lt;4172.98,0,MIN(L2775*0.3,L2775-4172.98)))-M2775</f>
        <v>77.614000000000033</v>
      </c>
      <c r="P2775" s="6">
        <v>46447</v>
      </c>
      <c r="Q2775" t="s">
        <v>80</v>
      </c>
      <c r="R2775" s="111">
        <v>2060.9299999999998</v>
      </c>
      <c r="S2775" s="3" t="s">
        <v>2536</v>
      </c>
      <c r="V2775" s="51">
        <v>0.68958333333333333</v>
      </c>
    </row>
    <row r="2776" spans="1:25" hidden="1">
      <c r="A2776" s="30">
        <v>24797678</v>
      </c>
      <c r="B2776" s="31">
        <v>46289</v>
      </c>
      <c r="C2776" s="32">
        <v>0.69167824074074069</v>
      </c>
      <c r="D2776" s="33" t="s">
        <v>2544</v>
      </c>
      <c r="E2776" s="34">
        <v>5219902457666</v>
      </c>
      <c r="F2776" s="33"/>
      <c r="G2776" s="33" t="s">
        <v>2590</v>
      </c>
      <c r="H2776" s="35"/>
      <c r="I2776" s="33"/>
      <c r="J2776" s="36"/>
      <c r="K2776" t="s">
        <v>32</v>
      </c>
      <c r="N2776" s="3">
        <f>L2776*0.3</f>
        <v>0</v>
      </c>
      <c r="O2776" s="3">
        <f>(IF(L2776&lt;4172.98,0,MIN(L2776*0.3,L2776-4172.98)))-M2776</f>
        <v>0</v>
      </c>
      <c r="S2776" s="53" t="s">
        <v>2536</v>
      </c>
      <c r="V2776" s="51">
        <v>0.69166666666666665</v>
      </c>
    </row>
    <row r="2777" spans="1:25">
      <c r="A2777" s="30">
        <v>24811136</v>
      </c>
      <c r="B2777" s="31">
        <v>46289</v>
      </c>
      <c r="C2777" s="32">
        <v>0.72041666666666671</v>
      </c>
      <c r="D2777" s="33"/>
      <c r="E2777" s="34">
        <v>5219992688160</v>
      </c>
      <c r="F2777" s="33"/>
      <c r="G2777" s="33" t="s">
        <v>2591</v>
      </c>
      <c r="H2777" s="35"/>
      <c r="I2777" s="33"/>
      <c r="J2777" s="36"/>
      <c r="K2777" t="s">
        <v>27</v>
      </c>
      <c r="L2777" s="111">
        <v>9081.52</v>
      </c>
      <c r="M2777" s="111">
        <v>2521.35</v>
      </c>
      <c r="N2777" s="3">
        <f>L2777*0.3</f>
        <v>2724.4560000000001</v>
      </c>
      <c r="O2777" s="3">
        <f>(IF(L2777&lt;4172.98,0,MIN(L2777*0.3,L2777-4172.98)))-M2777</f>
        <v>203.10600000000022</v>
      </c>
      <c r="P2777" s="6">
        <v>46143</v>
      </c>
      <c r="Q2777" t="s">
        <v>44</v>
      </c>
      <c r="R2777" s="111">
        <v>2521.35</v>
      </c>
      <c r="S2777" s="53" t="s">
        <v>98</v>
      </c>
      <c r="T2777" s="48">
        <v>46289</v>
      </c>
      <c r="V2777" s="51">
        <v>0.72013888888888888</v>
      </c>
      <c r="W2777" s="51">
        <v>0.73472222222222228</v>
      </c>
      <c r="X2777" s="51">
        <v>0.7368055555555556</v>
      </c>
      <c r="Y2777" s="51">
        <v>0.73819444444444449</v>
      </c>
    </row>
    <row r="2778" spans="1:25" hidden="1">
      <c r="A2778" s="30">
        <v>24819948</v>
      </c>
      <c r="B2778" s="31">
        <v>46289</v>
      </c>
      <c r="C2778" s="32">
        <v>0.73822916666666671</v>
      </c>
      <c r="D2778" s="33"/>
      <c r="E2778" s="34">
        <v>5217223887447</v>
      </c>
      <c r="F2778" s="33"/>
      <c r="G2778" s="33"/>
      <c r="H2778" s="35" t="s">
        <v>2592</v>
      </c>
      <c r="I2778" s="33"/>
      <c r="J2778" s="36"/>
      <c r="K2778" t="s">
        <v>58</v>
      </c>
      <c r="L2778" s="3">
        <v>3779.88</v>
      </c>
      <c r="N2778" s="3">
        <f>L2778*0.3</f>
        <v>1133.9639999999999</v>
      </c>
      <c r="O2778" s="3">
        <f>(IF(L2778&lt;4172.98,0,MIN(L2778*0.3,L2778-4172.98)))-M2778</f>
        <v>0</v>
      </c>
      <c r="S2778" s="3" t="s">
        <v>2536</v>
      </c>
      <c r="V2778" s="51">
        <v>0.74027777777777781</v>
      </c>
    </row>
    <row r="2779" spans="1:25" hidden="1">
      <c r="A2779" s="30">
        <v>24820474</v>
      </c>
      <c r="B2779" s="31">
        <v>46289</v>
      </c>
      <c r="C2779" s="32">
        <v>0.7658449074074074</v>
      </c>
      <c r="D2779" s="33"/>
      <c r="E2779" s="34">
        <v>5218121998332</v>
      </c>
      <c r="F2779" s="33"/>
      <c r="G2779" s="33"/>
      <c r="H2779" s="35">
        <v>43705319762</v>
      </c>
      <c r="I2779" s="33"/>
      <c r="J2779" s="36"/>
      <c r="K2779" t="s">
        <v>30</v>
      </c>
      <c r="L2779" s="125">
        <v>16380.26</v>
      </c>
      <c r="M2779" s="125">
        <v>4739.1000000000004</v>
      </c>
      <c r="N2779" s="3">
        <f>L2779*0.3</f>
        <v>4914.0779999999995</v>
      </c>
      <c r="O2779" s="3">
        <f>(IF(L2779&lt;4172.98,0,MIN(L2779*0.3,L2779-4172.98)))-M2779</f>
        <v>174.97799999999916</v>
      </c>
      <c r="P2779" s="6">
        <v>46569</v>
      </c>
      <c r="Q2779" t="s">
        <v>80</v>
      </c>
      <c r="R2779" s="125">
        <v>4739.1000000000004</v>
      </c>
      <c r="S2779" s="3" t="s">
        <v>2536</v>
      </c>
      <c r="U2779" s="85"/>
      <c r="V2779" s="51">
        <v>0.76597222222222228</v>
      </c>
      <c r="W2779" s="51"/>
      <c r="X2779" s="51"/>
    </row>
    <row r="2780" spans="1:25" hidden="1">
      <c r="A2780" s="30">
        <v>24820880</v>
      </c>
      <c r="B2780" s="31">
        <v>46289</v>
      </c>
      <c r="C2780" s="32">
        <v>0.78414351851851849</v>
      </c>
      <c r="D2780" s="33"/>
      <c r="E2780" s="34">
        <v>5214443336208</v>
      </c>
      <c r="F2780" s="33"/>
      <c r="G2780" s="33" t="s">
        <v>2593</v>
      </c>
      <c r="H2780" s="35"/>
      <c r="I2780" s="33"/>
      <c r="J2780" s="36"/>
      <c r="K2780" t="s">
        <v>51</v>
      </c>
      <c r="N2780" s="3">
        <f>L2780*0.3</f>
        <v>0</v>
      </c>
      <c r="O2780" s="3">
        <f>(IF(L2780&lt;4172.98,0,MIN(L2780*0.3,L2780-4172.98)))-M2780</f>
        <v>0</v>
      </c>
      <c r="S2780" s="3" t="s">
        <v>2536</v>
      </c>
      <c r="V2780" s="51">
        <v>0.78402777777777777</v>
      </c>
    </row>
    <row r="2781" spans="1:25">
      <c r="A2781" s="12">
        <v>24821080</v>
      </c>
      <c r="B2781" s="13">
        <v>46289</v>
      </c>
      <c r="C2781" s="14">
        <v>0.78972222222222221</v>
      </c>
      <c r="D2781" s="15" t="s">
        <v>2594</v>
      </c>
      <c r="E2781" s="16">
        <v>5216333356564</v>
      </c>
      <c r="F2781" s="15"/>
      <c r="G2781" s="15" t="s">
        <v>2595</v>
      </c>
      <c r="H2781" s="17"/>
      <c r="I2781" s="15"/>
      <c r="J2781" s="18"/>
      <c r="K2781" t="s">
        <v>38</v>
      </c>
      <c r="L2781" s="3">
        <v>4813.6899999999996</v>
      </c>
      <c r="N2781" s="3">
        <f t="shared" ref="N2781:N2789" si="352">L2781*0.3</f>
        <v>1444.1069999999997</v>
      </c>
      <c r="O2781" s="3">
        <f t="shared" ref="O2781:O2789" si="353">(IF(L2781&lt;4172.98,0,MIN(L2781*0.3,L2781-4172.98)))-M2781</f>
        <v>640.71</v>
      </c>
      <c r="S2781" s="3" t="s">
        <v>39</v>
      </c>
      <c r="T2781" s="48">
        <v>46290</v>
      </c>
      <c r="V2781" s="51">
        <v>0.33750000000000002</v>
      </c>
      <c r="W2781" s="51">
        <v>0.35069444444444442</v>
      </c>
      <c r="X2781" s="51">
        <v>0.35555555555555557</v>
      </c>
      <c r="Y2781" s="51">
        <v>0.35972222222222222</v>
      </c>
    </row>
    <row r="2782" spans="1:25">
      <c r="A2782" s="12">
        <v>24823908</v>
      </c>
      <c r="B2782" s="13">
        <v>46289</v>
      </c>
      <c r="C2782" s="14">
        <v>0.84489583333333329</v>
      </c>
      <c r="D2782" s="15"/>
      <c r="E2782" s="16">
        <v>5219981154296</v>
      </c>
      <c r="F2782" s="15"/>
      <c r="G2782" s="15"/>
      <c r="H2782" s="17">
        <v>82836512028</v>
      </c>
      <c r="I2782" s="15"/>
      <c r="J2782" s="18"/>
      <c r="K2782" t="s">
        <v>54</v>
      </c>
      <c r="L2782" s="3">
        <v>11029.03</v>
      </c>
      <c r="N2782" s="3">
        <f t="shared" si="352"/>
        <v>3308.7090000000003</v>
      </c>
      <c r="O2782" s="3">
        <f t="shared" si="353"/>
        <v>3308.7090000000003</v>
      </c>
      <c r="S2782" s="3" t="s">
        <v>2596</v>
      </c>
      <c r="T2782" s="48">
        <v>46290</v>
      </c>
      <c r="V2782" s="51">
        <v>0.33750000000000002</v>
      </c>
      <c r="W2782" s="51">
        <v>0.35347222222222224</v>
      </c>
      <c r="X2782" s="51">
        <v>0.35347222222222224</v>
      </c>
      <c r="Y2782" s="51">
        <v>0.35972222222222222</v>
      </c>
    </row>
    <row r="2783" spans="1:25" hidden="1">
      <c r="A2783" s="12">
        <v>24824036</v>
      </c>
      <c r="B2783" s="13">
        <v>46289</v>
      </c>
      <c r="C2783" s="14">
        <v>0.85060185185185189</v>
      </c>
      <c r="D2783" s="15"/>
      <c r="E2783" s="16">
        <v>5214775583116</v>
      </c>
      <c r="F2783" s="15"/>
      <c r="G2783" s="15"/>
      <c r="H2783" s="17">
        <v>12856901736</v>
      </c>
      <c r="I2783" s="15"/>
      <c r="J2783" s="18"/>
      <c r="K2783" t="s">
        <v>58</v>
      </c>
      <c r="L2783" s="3">
        <v>2754.45</v>
      </c>
      <c r="N2783" s="3">
        <f t="shared" si="352"/>
        <v>826.33499999999992</v>
      </c>
      <c r="O2783" s="3">
        <f t="shared" si="353"/>
        <v>0</v>
      </c>
      <c r="S2783" s="3" t="s">
        <v>2536</v>
      </c>
      <c r="V2783" s="51">
        <v>0.33750000000000002</v>
      </c>
    </row>
    <row r="2784" spans="1:25" hidden="1">
      <c r="A2784" s="12">
        <v>24824764</v>
      </c>
      <c r="B2784" s="13">
        <v>46289</v>
      </c>
      <c r="C2784" s="14">
        <v>0.90607638888888886</v>
      </c>
      <c r="D2784" s="15"/>
      <c r="E2784" s="16">
        <v>5212721579807</v>
      </c>
      <c r="F2784" s="15"/>
      <c r="G2784" s="15" t="s">
        <v>2597</v>
      </c>
      <c r="H2784" s="17"/>
      <c r="I2784" s="15"/>
      <c r="J2784" s="18"/>
      <c r="K2784" t="s">
        <v>32</v>
      </c>
      <c r="N2784" s="3">
        <f t="shared" si="352"/>
        <v>0</v>
      </c>
      <c r="O2784" s="3">
        <f t="shared" si="353"/>
        <v>0</v>
      </c>
      <c r="S2784" s="3" t="s">
        <v>2536</v>
      </c>
      <c r="V2784" s="51">
        <v>0.33750000000000002</v>
      </c>
    </row>
    <row r="2785" spans="1:25" hidden="1">
      <c r="A2785" s="12">
        <v>24824978</v>
      </c>
      <c r="B2785" s="13">
        <v>46289</v>
      </c>
      <c r="C2785" s="14">
        <v>0.91915509259259254</v>
      </c>
      <c r="D2785" s="15"/>
      <c r="E2785" s="16">
        <v>5214463105633</v>
      </c>
      <c r="F2785" s="15"/>
      <c r="G2785" s="15" t="s">
        <v>2598</v>
      </c>
      <c r="H2785" s="17"/>
      <c r="I2785" s="15"/>
      <c r="J2785" s="18"/>
      <c r="K2785" t="s">
        <v>32</v>
      </c>
      <c r="N2785" s="3">
        <f t="shared" si="352"/>
        <v>0</v>
      </c>
      <c r="O2785" s="3">
        <f t="shared" si="353"/>
        <v>0</v>
      </c>
      <c r="S2785" s="3" t="s">
        <v>2536</v>
      </c>
      <c r="V2785" s="51">
        <v>0.33750000000000002</v>
      </c>
    </row>
    <row r="2786" spans="1:25">
      <c r="A2786" s="12">
        <v>24825162</v>
      </c>
      <c r="B2786" s="13">
        <v>46289</v>
      </c>
      <c r="C2786" s="14">
        <v>0.94368055555555552</v>
      </c>
      <c r="D2786" s="15"/>
      <c r="E2786" s="16">
        <v>5216731330200</v>
      </c>
      <c r="F2786" s="15"/>
      <c r="G2786" s="15" t="s">
        <v>2599</v>
      </c>
      <c r="H2786" s="17"/>
      <c r="I2786" s="15"/>
      <c r="J2786" s="18"/>
      <c r="K2786" t="s">
        <v>54</v>
      </c>
      <c r="L2786" s="3">
        <f>22786.23+4381.32+2024.44</f>
        <v>29191.989999999998</v>
      </c>
      <c r="M2786" s="3">
        <f>4381.32+2024.44</f>
        <v>6405.76</v>
      </c>
      <c r="N2786" s="3">
        <f t="shared" si="352"/>
        <v>8757.5969999999998</v>
      </c>
      <c r="O2786" s="3">
        <f t="shared" si="353"/>
        <v>2351.8369999999995</v>
      </c>
      <c r="S2786" s="3" t="s">
        <v>95</v>
      </c>
      <c r="T2786" s="48">
        <v>46290</v>
      </c>
      <c r="V2786" s="51">
        <v>0.33750000000000002</v>
      </c>
      <c r="W2786" s="51">
        <v>0.36249999999999999</v>
      </c>
      <c r="X2786" s="51">
        <v>0.36666666666666664</v>
      </c>
      <c r="Y2786">
        <v>857</v>
      </c>
    </row>
    <row r="2787" spans="1:25" hidden="1">
      <c r="A2787" s="12">
        <v>24826700</v>
      </c>
      <c r="B2787" s="13">
        <v>46290</v>
      </c>
      <c r="C2787" s="14">
        <v>3.2337962962962964E-2</v>
      </c>
      <c r="D2787" s="15"/>
      <c r="E2787" s="16">
        <v>5219902953039</v>
      </c>
      <c r="F2787" s="15"/>
      <c r="G2787" s="15" t="s">
        <v>2600</v>
      </c>
      <c r="H2787" s="17"/>
      <c r="I2787" s="15"/>
      <c r="J2787" s="18"/>
      <c r="K2787" t="s">
        <v>32</v>
      </c>
      <c r="N2787" s="3">
        <f t="shared" si="352"/>
        <v>0</v>
      </c>
      <c r="O2787" s="3">
        <f t="shared" si="353"/>
        <v>0</v>
      </c>
      <c r="S2787" s="3" t="s">
        <v>2536</v>
      </c>
      <c r="V2787" s="51">
        <v>0.33750000000000002</v>
      </c>
    </row>
    <row r="2788" spans="1:25" hidden="1">
      <c r="A2788" s="12">
        <v>24826814</v>
      </c>
      <c r="B2788" s="13">
        <v>46290</v>
      </c>
      <c r="C2788" s="14">
        <v>6.7465277777777777E-2</v>
      </c>
      <c r="D2788" s="15"/>
      <c r="E2788" s="16">
        <v>5217223090686</v>
      </c>
      <c r="F2788" s="15"/>
      <c r="G2788" s="15" t="s">
        <v>2601</v>
      </c>
      <c r="H2788" s="17"/>
      <c r="I2788" s="15"/>
      <c r="J2788" s="18"/>
      <c r="K2788" t="s">
        <v>32</v>
      </c>
      <c r="N2788" s="3">
        <f t="shared" si="352"/>
        <v>0</v>
      </c>
      <c r="O2788" s="3">
        <f t="shared" si="353"/>
        <v>0</v>
      </c>
      <c r="S2788" s="3" t="s">
        <v>2536</v>
      </c>
      <c r="V2788" s="51">
        <v>0.33750000000000002</v>
      </c>
    </row>
    <row r="2789" spans="1:25">
      <c r="A2789" s="30">
        <v>24832234</v>
      </c>
      <c r="B2789" s="31">
        <v>46290</v>
      </c>
      <c r="C2789" s="32">
        <v>0.33750000000000002</v>
      </c>
      <c r="D2789" s="33"/>
      <c r="E2789" s="34">
        <v>5213222151188</v>
      </c>
      <c r="F2789" s="33"/>
      <c r="G2789" s="33"/>
      <c r="H2789" s="35">
        <v>54816364456</v>
      </c>
      <c r="I2789" s="33"/>
      <c r="J2789" s="36"/>
      <c r="K2789" t="s">
        <v>27</v>
      </c>
      <c r="L2789" s="3">
        <f>6560.45+2521.07</f>
        <v>9081.52</v>
      </c>
      <c r="M2789" s="3">
        <v>2521.0700000000002</v>
      </c>
      <c r="N2789" s="3">
        <f t="shared" si="352"/>
        <v>2724.4560000000001</v>
      </c>
      <c r="O2789" s="3">
        <f t="shared" si="353"/>
        <v>203.38599999999997</v>
      </c>
      <c r="P2789" s="6">
        <v>46204</v>
      </c>
      <c r="Q2789" t="s">
        <v>77</v>
      </c>
      <c r="R2789" s="3">
        <v>2521.0700000000002</v>
      </c>
      <c r="S2789" s="3" t="s">
        <v>2059</v>
      </c>
      <c r="T2789" s="48">
        <v>46290</v>
      </c>
      <c r="V2789" s="51">
        <v>0.33750000000000002</v>
      </c>
      <c r="W2789" s="51">
        <v>0.36458333333333331</v>
      </c>
      <c r="X2789" s="51">
        <v>0.37083333333333335</v>
      </c>
      <c r="Y2789" s="51">
        <v>0.37430555555555556</v>
      </c>
    </row>
    <row r="2790" spans="1:25">
      <c r="A2790" s="30">
        <v>24833648</v>
      </c>
      <c r="B2790" s="31">
        <v>46290</v>
      </c>
      <c r="C2790" s="32">
        <v>0.37473379629629627</v>
      </c>
      <c r="D2790" s="33"/>
      <c r="E2790" s="34">
        <v>5216143576635</v>
      </c>
      <c r="F2790" s="33"/>
      <c r="G2790" s="33"/>
      <c r="H2790" s="35" t="s">
        <v>2602</v>
      </c>
      <c r="I2790" s="33"/>
      <c r="J2790" s="36"/>
      <c r="K2790" t="s">
        <v>34</v>
      </c>
      <c r="L2790" s="3">
        <f>8661.86+2923.11</f>
        <v>11584.970000000001</v>
      </c>
      <c r="M2790" s="3">
        <v>2923.11</v>
      </c>
      <c r="N2790" s="3">
        <f>L2790*0.3</f>
        <v>3475.4910000000004</v>
      </c>
      <c r="O2790" s="3">
        <f>(IF(L2790&lt;4172.98,0,MIN(L2790*0.3,L2790-4172.98)))-M2790</f>
        <v>552.38100000000031</v>
      </c>
      <c r="P2790" s="6">
        <v>45717</v>
      </c>
      <c r="Q2790" t="s">
        <v>141</v>
      </c>
      <c r="R2790" s="3">
        <v>2923.11</v>
      </c>
      <c r="S2790" s="3" t="s">
        <v>35</v>
      </c>
      <c r="T2790" s="48">
        <v>46290</v>
      </c>
      <c r="V2790" s="51">
        <v>0.37569444444444444</v>
      </c>
      <c r="W2790" s="51">
        <v>0.38263888888888886</v>
      </c>
      <c r="X2790" s="51">
        <v>0.38611111111111113</v>
      </c>
      <c r="Y2790" s="51">
        <v>0.38750000000000001</v>
      </c>
    </row>
    <row r="2791" spans="1:25">
      <c r="A2791" s="30">
        <v>24833522</v>
      </c>
      <c r="B2791" s="31">
        <v>46290</v>
      </c>
      <c r="C2791" s="32">
        <v>0.38744212962962965</v>
      </c>
      <c r="D2791" s="33"/>
      <c r="E2791" s="34">
        <v>5217226695093</v>
      </c>
      <c r="F2791" s="33"/>
      <c r="G2791" s="33"/>
      <c r="H2791" s="35">
        <v>16916920693</v>
      </c>
      <c r="I2791" s="33"/>
      <c r="J2791" s="36"/>
      <c r="K2791" t="s">
        <v>54</v>
      </c>
      <c r="L2791" s="3">
        <v>9572.8799999999992</v>
      </c>
      <c r="N2791" s="3">
        <f>L2791*0.3</f>
        <v>2871.8639999999996</v>
      </c>
      <c r="O2791" s="3">
        <f>(IF(L2791&lt;4172.98,0,MIN(L2791*0.3,L2791-4172.98)))-M2791</f>
        <v>2871.8639999999996</v>
      </c>
      <c r="S2791" s="3" t="s">
        <v>55</v>
      </c>
      <c r="T2791" s="48">
        <v>46290</v>
      </c>
      <c r="V2791" s="51">
        <v>0.38819444444444445</v>
      </c>
      <c r="W2791" s="51">
        <v>0.3923611111111111</v>
      </c>
      <c r="X2791" s="51">
        <v>0.39583333333333331</v>
      </c>
      <c r="Y2791" s="51">
        <v>0.40069444444444446</v>
      </c>
    </row>
    <row r="2792" spans="1:25">
      <c r="A2792" s="30">
        <v>24834260</v>
      </c>
      <c r="B2792" s="31">
        <v>46290</v>
      </c>
      <c r="C2792" s="32">
        <v>0.39760416666666665</v>
      </c>
      <c r="D2792" s="33"/>
      <c r="E2792" s="34">
        <v>5215585604109</v>
      </c>
      <c r="F2792" s="33"/>
      <c r="G2792" s="33"/>
      <c r="H2792" s="35">
        <v>78826104628</v>
      </c>
      <c r="I2792" s="33"/>
      <c r="J2792" s="36"/>
      <c r="K2792" t="s">
        <v>107</v>
      </c>
      <c r="L2792" s="125">
        <v>11274.51</v>
      </c>
      <c r="M2792" s="125">
        <v>3381.46</v>
      </c>
      <c r="N2792" s="3">
        <f>L2792*0.3</f>
        <v>3382.3530000000001</v>
      </c>
      <c r="O2792" s="3">
        <f>(IF(L2792&lt;4172.98,0,MIN(L2792*0.3,L2792-4172.98)))-M2792</f>
        <v>0.8930000000000291</v>
      </c>
      <c r="P2792" s="6">
        <v>46054</v>
      </c>
      <c r="Q2792" t="s">
        <v>80</v>
      </c>
      <c r="R2792" s="3">
        <v>361.09</v>
      </c>
      <c r="S2792" s="3" t="s">
        <v>39</v>
      </c>
      <c r="T2792" s="48">
        <v>46290</v>
      </c>
      <c r="V2792" s="51">
        <v>0.39930555555555558</v>
      </c>
      <c r="W2792" s="51">
        <v>0.40833333333333333</v>
      </c>
      <c r="X2792" s="51">
        <v>0.41597222222222224</v>
      </c>
      <c r="Y2792" s="51">
        <v>0.41875000000000001</v>
      </c>
    </row>
    <row r="2793" spans="1:25">
      <c r="A2793" s="12">
        <v>24834498</v>
      </c>
      <c r="B2793" s="13">
        <v>46290</v>
      </c>
      <c r="C2793" s="14">
        <v>0.4067013888888889</v>
      </c>
      <c r="D2793" s="15"/>
      <c r="E2793" s="16">
        <v>5218611268002</v>
      </c>
      <c r="F2793" s="15"/>
      <c r="G2793" s="15"/>
      <c r="H2793" s="17">
        <v>32735813175</v>
      </c>
      <c r="I2793" s="15"/>
      <c r="J2793" s="18"/>
      <c r="K2793" t="s">
        <v>38</v>
      </c>
      <c r="L2793" s="125">
        <v>7116.73</v>
      </c>
      <c r="M2793" s="125">
        <v>1245.04</v>
      </c>
      <c r="N2793" s="3">
        <f>L2793*0.3</f>
        <v>2135.0189999999998</v>
      </c>
      <c r="O2793" s="3">
        <f>(IF(L2793&lt;4172.98,0,MIN(L2793*0.3,L2793-4172.98)))-M2793</f>
        <v>889.97899999999981</v>
      </c>
      <c r="P2793" s="6">
        <v>46600</v>
      </c>
      <c r="Q2793" t="s">
        <v>44</v>
      </c>
      <c r="R2793" s="125">
        <v>1245.04</v>
      </c>
      <c r="S2793" s="3" t="s">
        <v>39</v>
      </c>
      <c r="T2793" s="48">
        <v>46290</v>
      </c>
      <c r="V2793" s="51">
        <v>0.41319444444444442</v>
      </c>
      <c r="W2793" s="51">
        <v>0.41666666666666669</v>
      </c>
      <c r="X2793" s="51">
        <v>0.41736111111111113</v>
      </c>
      <c r="Y2793" s="51">
        <v>0.41944444444444445</v>
      </c>
    </row>
    <row r="2794" spans="1:25" hidden="1">
      <c r="A2794" s="30">
        <v>24834600</v>
      </c>
      <c r="B2794" s="31">
        <v>46290</v>
      </c>
      <c r="C2794" s="32">
        <v>0.41137731481481482</v>
      </c>
      <c r="D2794" s="33"/>
      <c r="E2794" s="34">
        <v>5219934350560</v>
      </c>
      <c r="F2794" s="33"/>
      <c r="G2794" s="33"/>
      <c r="H2794" s="35">
        <v>83926706959</v>
      </c>
      <c r="I2794" s="33"/>
      <c r="J2794" s="36"/>
      <c r="K2794" t="s">
        <v>58</v>
      </c>
      <c r="L2794" s="3">
        <f>3736.73+879</f>
        <v>4615.7299999999996</v>
      </c>
      <c r="M2794" s="3">
        <v>879</v>
      </c>
      <c r="N2794" s="3">
        <f>L2794*0.3</f>
        <v>1384.7189999999998</v>
      </c>
      <c r="O2794" s="3">
        <f>(IF(L2794&lt;4172.98,0,MIN(L2794*0.3,L2794-4172.98)))-M2794</f>
        <v>-436.25</v>
      </c>
      <c r="S2794" s="3" t="s">
        <v>2536</v>
      </c>
      <c r="V2794" s="51">
        <v>0.41319444444444442</v>
      </c>
    </row>
    <row r="2795" spans="1:25">
      <c r="A2795" s="30">
        <v>24835006</v>
      </c>
      <c r="B2795" s="31">
        <v>46290</v>
      </c>
      <c r="C2795" s="32">
        <v>0.42093750000000002</v>
      </c>
      <c r="D2795" s="33"/>
      <c r="E2795" s="34">
        <v>5219999656412</v>
      </c>
      <c r="F2795" s="33"/>
      <c r="G2795" s="33"/>
      <c r="H2795" s="35">
        <v>83786017489</v>
      </c>
      <c r="I2795" s="33"/>
      <c r="J2795" s="36"/>
      <c r="K2795" t="s">
        <v>38</v>
      </c>
      <c r="L2795" s="125">
        <v>5617.63</v>
      </c>
      <c r="M2795" s="125">
        <v>848</v>
      </c>
      <c r="N2795" s="3">
        <f>L2795*0.3</f>
        <v>1685.289</v>
      </c>
      <c r="O2795" s="3">
        <f>(IF(L2795&lt;4172.98,0,MIN(L2795*0.3,L2795-4172.98)))-M2795</f>
        <v>596.65000000000055</v>
      </c>
      <c r="S2795" s="3" t="s">
        <v>39</v>
      </c>
      <c r="T2795" s="48">
        <v>46290</v>
      </c>
      <c r="V2795" s="51">
        <v>0.42083333333333334</v>
      </c>
      <c r="W2795" s="51">
        <v>0.42569444444444443</v>
      </c>
      <c r="X2795" s="51">
        <v>0.4284722222222222</v>
      </c>
      <c r="Y2795" s="51">
        <v>0.42916666666666664</v>
      </c>
    </row>
    <row r="2796" spans="1:25" hidden="1">
      <c r="A2796" s="30">
        <v>24835492</v>
      </c>
      <c r="B2796" s="31">
        <v>46290</v>
      </c>
      <c r="C2796" s="32">
        <v>0.43915509259259261</v>
      </c>
      <c r="D2796" s="33"/>
      <c r="E2796" s="34">
        <v>5216222280582</v>
      </c>
      <c r="F2796" s="33"/>
      <c r="G2796" s="33"/>
      <c r="H2796" s="35">
        <v>24988130316</v>
      </c>
      <c r="I2796" s="33"/>
      <c r="J2796" s="36"/>
      <c r="K2796" t="s">
        <v>51</v>
      </c>
      <c r="N2796" s="3">
        <f>L2796*0.3</f>
        <v>0</v>
      </c>
      <c r="O2796" s="3">
        <f>(IF(L2796&lt;4172.98,0,MIN(L2796*0.3,L2796-4172.98)))-M2796</f>
        <v>0</v>
      </c>
      <c r="S2796" s="3" t="s">
        <v>2536</v>
      </c>
      <c r="V2796" s="51">
        <v>0.43958333333333333</v>
      </c>
    </row>
    <row r="2797" spans="1:25" hidden="1">
      <c r="A2797" s="30">
        <v>24835744</v>
      </c>
      <c r="B2797" s="31">
        <v>46290</v>
      </c>
      <c r="C2797" s="32">
        <v>0.45064814814814813</v>
      </c>
      <c r="D2797" s="33" t="s">
        <v>2603</v>
      </c>
      <c r="E2797" s="34">
        <v>5216121680660</v>
      </c>
      <c r="F2797" s="33"/>
      <c r="G2797" s="33" t="s">
        <v>2604</v>
      </c>
      <c r="H2797" s="35"/>
      <c r="I2797" s="33"/>
      <c r="J2797" s="36"/>
      <c r="K2797" t="s">
        <v>1891</v>
      </c>
      <c r="N2797" s="3">
        <f>L2797*0.3</f>
        <v>0</v>
      </c>
      <c r="O2797" s="3">
        <f>(IF(L2797&lt;4172.98,0,MIN(L2797*0.3,L2797-4172.98)))-M2797</f>
        <v>0</v>
      </c>
      <c r="S2797" s="3" t="s">
        <v>1892</v>
      </c>
      <c r="V2797" s="51">
        <v>0.45069444444444445</v>
      </c>
    </row>
    <row r="2798" spans="1:25" hidden="1">
      <c r="A2798" s="30">
        <v>24836142</v>
      </c>
      <c r="B2798" s="31">
        <v>46290</v>
      </c>
      <c r="C2798" s="32">
        <v>0.46687499999999998</v>
      </c>
      <c r="D2798" s="33"/>
      <c r="E2798" s="34"/>
      <c r="F2798" s="33"/>
      <c r="G2798" s="33" t="s">
        <v>2605</v>
      </c>
      <c r="H2798" s="35"/>
      <c r="I2798" s="33"/>
      <c r="J2798" s="36"/>
      <c r="K2798" t="s">
        <v>30</v>
      </c>
      <c r="L2798" s="125">
        <v>8793.09</v>
      </c>
      <c r="M2798" s="125">
        <v>2360.86</v>
      </c>
      <c r="N2798" s="3">
        <f>L2798*0.3</f>
        <v>2637.9270000000001</v>
      </c>
      <c r="O2798" s="3">
        <f>(IF(L2798&lt;4172.98,0,MIN(L2798*0.3,L2798-4172.98)))-M2798</f>
        <v>277.06700000000001</v>
      </c>
      <c r="P2798" s="6">
        <v>46753</v>
      </c>
      <c r="Q2798" t="s">
        <v>75</v>
      </c>
      <c r="R2798" s="125">
        <v>2360.86</v>
      </c>
      <c r="S2798" s="3" t="s">
        <v>2536</v>
      </c>
      <c r="V2798" s="51">
        <v>0.46666666666666667</v>
      </c>
    </row>
    <row r="2799" spans="1:25">
      <c r="A2799" s="30">
        <v>24836240</v>
      </c>
      <c r="B2799" s="31">
        <v>46290</v>
      </c>
      <c r="C2799" s="32">
        <v>0.47401620370370373</v>
      </c>
      <c r="D2799" s="33"/>
      <c r="E2799" s="34">
        <v>6565764254</v>
      </c>
      <c r="F2799" s="33"/>
      <c r="G2799" s="33"/>
      <c r="H2799" s="35">
        <v>35907279950</v>
      </c>
      <c r="I2799" s="33"/>
      <c r="J2799" s="36"/>
      <c r="K2799" t="s">
        <v>38</v>
      </c>
      <c r="L2799" s="111">
        <v>5642.22</v>
      </c>
      <c r="M2799" s="111">
        <v>1167.07</v>
      </c>
      <c r="N2799" s="3">
        <f>L2799*0.3</f>
        <v>1692.6659999999999</v>
      </c>
      <c r="O2799" s="3">
        <f>(IF(L2799&lt;4172.98,0,MIN(L2799*0.3,L2799-4172.98)))-M2799</f>
        <v>302.17000000000075</v>
      </c>
      <c r="P2799" s="6">
        <v>46784</v>
      </c>
      <c r="Q2799" t="s">
        <v>75</v>
      </c>
      <c r="R2799" s="111">
        <v>1167.07</v>
      </c>
      <c r="S2799" s="3" t="s">
        <v>39</v>
      </c>
      <c r="T2799" s="48">
        <v>46290</v>
      </c>
      <c r="V2799" s="51">
        <v>0.47569444444444442</v>
      </c>
      <c r="W2799" s="51">
        <v>0.48125000000000001</v>
      </c>
      <c r="X2799" s="51">
        <v>0.48333333333333334</v>
      </c>
      <c r="Y2799" s="51">
        <v>0.48541666666666666</v>
      </c>
    </row>
    <row r="2800" spans="1:25" hidden="1">
      <c r="A2800" s="30">
        <v>24837224</v>
      </c>
      <c r="B2800" s="31">
        <v>46290</v>
      </c>
      <c r="C2800" s="32">
        <v>0.48828703703703702</v>
      </c>
      <c r="D2800" s="33"/>
      <c r="E2800" s="34">
        <v>5214464938159</v>
      </c>
      <c r="F2800" s="33"/>
      <c r="G2800" s="33" t="s">
        <v>2606</v>
      </c>
      <c r="H2800" s="35"/>
      <c r="I2800" s="33"/>
      <c r="J2800" s="36"/>
      <c r="K2800" t="s">
        <v>32</v>
      </c>
      <c r="N2800" s="3">
        <f>L2800*0.3</f>
        <v>0</v>
      </c>
      <c r="O2800" s="3">
        <f>(IF(L2800&lt;4172.98,0,MIN(L2800*0.3,L2800-4172.98)))-M2800</f>
        <v>0</v>
      </c>
      <c r="S2800" s="3" t="s">
        <v>2536</v>
      </c>
      <c r="V2800" s="51">
        <v>0.48888888888888887</v>
      </c>
    </row>
    <row r="2801" spans="1:25" hidden="1">
      <c r="A2801" s="30">
        <v>24837314</v>
      </c>
      <c r="B2801" s="31">
        <v>46290</v>
      </c>
      <c r="C2801" s="32">
        <v>0.4918865740740741</v>
      </c>
      <c r="D2801" s="33"/>
      <c r="E2801" s="34">
        <v>5219192728572</v>
      </c>
      <c r="F2801" s="33"/>
      <c r="G2801" s="33" t="s">
        <v>2607</v>
      </c>
      <c r="H2801" s="35" t="s">
        <v>2608</v>
      </c>
      <c r="I2801" s="33"/>
      <c r="J2801" s="36"/>
      <c r="K2801" t="s">
        <v>32</v>
      </c>
      <c r="N2801" s="3">
        <f>L2801*0.3</f>
        <v>0</v>
      </c>
      <c r="O2801" s="3">
        <f>(IF(L2801&lt;4172.98,0,MIN(L2801*0.3,L2801-4172.98)))-M2801</f>
        <v>0</v>
      </c>
      <c r="S2801" s="3" t="s">
        <v>2536</v>
      </c>
      <c r="V2801" s="51">
        <v>0.49375000000000002</v>
      </c>
    </row>
    <row r="2802" spans="1:25" hidden="1">
      <c r="A2802" s="30">
        <v>24837634</v>
      </c>
      <c r="B2802" s="31">
        <v>46290</v>
      </c>
      <c r="C2802" s="32">
        <v>0.4996990740740741</v>
      </c>
      <c r="D2802" s="33"/>
      <c r="E2802" s="34">
        <v>5218445835989</v>
      </c>
      <c r="F2802" s="33"/>
      <c r="G2802" s="33"/>
      <c r="H2802" s="35">
        <v>32027801409</v>
      </c>
      <c r="I2802" s="33"/>
      <c r="J2802" s="36"/>
      <c r="K2802" t="s">
        <v>58</v>
      </c>
      <c r="L2802" s="3">
        <v>2457.4299999999998</v>
      </c>
      <c r="N2802" s="3">
        <f>L2802*0.3</f>
        <v>737.22899999999993</v>
      </c>
      <c r="O2802" s="3">
        <f>(IF(L2802&lt;4172.98,0,MIN(L2802*0.3,L2802-4172.98)))-M2802</f>
        <v>0</v>
      </c>
      <c r="S2802" s="3" t="s">
        <v>2536</v>
      </c>
      <c r="V2802" s="51">
        <v>0.50069444444444444</v>
      </c>
    </row>
    <row r="2803" spans="1:25" hidden="1">
      <c r="A2803" s="30">
        <v>24837566</v>
      </c>
      <c r="B2803" s="31">
        <v>46290</v>
      </c>
      <c r="C2803" s="32">
        <v>0.50233796296296296</v>
      </c>
      <c r="D2803" s="33"/>
      <c r="E2803" s="34">
        <v>5217718016199</v>
      </c>
      <c r="F2803" s="33"/>
      <c r="G2803" s="33" t="s">
        <v>2609</v>
      </c>
      <c r="H2803" s="35" t="s">
        <v>2610</v>
      </c>
      <c r="I2803" s="33"/>
      <c r="J2803" s="36"/>
      <c r="K2803" t="s">
        <v>58</v>
      </c>
      <c r="L2803" s="3">
        <v>1720.24</v>
      </c>
      <c r="N2803" s="3">
        <f>L2803*0.3</f>
        <v>516.072</v>
      </c>
      <c r="O2803" s="3">
        <f>(IF(L2803&lt;4172.98,0,MIN(L2803*0.3,L2803-4172.98)))-M2803</f>
        <v>0</v>
      </c>
      <c r="S2803" s="3" t="s">
        <v>2536</v>
      </c>
      <c r="V2803" s="51">
        <v>0.50208333333333333</v>
      </c>
    </row>
    <row r="2804" spans="1:25">
      <c r="A2804" s="30">
        <v>24819956</v>
      </c>
      <c r="B2804" s="31">
        <v>46290</v>
      </c>
      <c r="C2804" s="32">
        <v>0.51414351851851847</v>
      </c>
      <c r="D2804" s="33"/>
      <c r="E2804" s="34">
        <v>5216122882839</v>
      </c>
      <c r="F2804" s="33"/>
      <c r="G2804" s="33"/>
      <c r="H2804" s="225" t="s">
        <v>2611</v>
      </c>
      <c r="I2804" s="33"/>
      <c r="J2804" s="36"/>
      <c r="K2804" t="s">
        <v>58</v>
      </c>
      <c r="L2804" s="3">
        <v>4035.69</v>
      </c>
      <c r="M2804" s="3">
        <v>848</v>
      </c>
      <c r="N2804" s="3">
        <f>L2804*0.3</f>
        <v>1210.7069999999999</v>
      </c>
      <c r="O2804" s="3">
        <f>(IF(L2804&lt;4172.98,0,MIN(L2804*0.3,L2804-4172.98)))-M2804</f>
        <v>-848</v>
      </c>
      <c r="S2804" s="53" t="s">
        <v>39</v>
      </c>
      <c r="T2804" s="48">
        <v>46290</v>
      </c>
      <c r="V2804" s="51">
        <v>0.52777777777777779</v>
      </c>
      <c r="W2804" s="51">
        <v>0.51597222222222228</v>
      </c>
      <c r="X2804" s="51">
        <v>0.5180555555555556</v>
      </c>
      <c r="Y2804" s="51">
        <v>0.52083333333333337</v>
      </c>
    </row>
    <row r="2805" spans="1:25" hidden="1">
      <c r="A2805" s="30">
        <v>24811826</v>
      </c>
      <c r="B2805" s="31">
        <v>46290</v>
      </c>
      <c r="C2805" s="32">
        <v>0.51483796296296291</v>
      </c>
      <c r="D2805" s="33"/>
      <c r="E2805" s="34">
        <v>5216658515023</v>
      </c>
      <c r="F2805" s="33"/>
      <c r="G2805" s="33" t="s">
        <v>2612</v>
      </c>
      <c r="H2805" s="35"/>
      <c r="I2805" s="33"/>
      <c r="J2805" s="36"/>
      <c r="K2805" t="s">
        <v>30</v>
      </c>
      <c r="L2805" s="111">
        <v>11339.14</v>
      </c>
      <c r="M2805" s="111">
        <v>3280.68</v>
      </c>
      <c r="N2805" s="3">
        <f>L2805*0.3</f>
        <v>3401.7419999999997</v>
      </c>
      <c r="O2805" s="3">
        <f>(IF(L2805&lt;4172.98,0,MIN(L2805*0.3,L2805-4172.98)))-M2805</f>
        <v>121.0619999999999</v>
      </c>
      <c r="P2805" s="6">
        <v>46600</v>
      </c>
      <c r="Q2805" t="s">
        <v>44</v>
      </c>
      <c r="R2805" s="111">
        <v>3280.68</v>
      </c>
      <c r="S2805" s="53" t="s">
        <v>2536</v>
      </c>
      <c r="V2805" s="51">
        <v>0.51458333333333328</v>
      </c>
    </row>
    <row r="2806" spans="1:25" hidden="1">
      <c r="A2806" s="30">
        <v>24818708</v>
      </c>
      <c r="B2806" s="31">
        <v>46290</v>
      </c>
      <c r="C2806" s="32">
        <v>0.51969907407407412</v>
      </c>
      <c r="D2806" s="33"/>
      <c r="E2806" s="34">
        <v>5215527087473</v>
      </c>
      <c r="F2806" s="33"/>
      <c r="G2806" s="33"/>
      <c r="H2806" s="35">
        <v>75826316511</v>
      </c>
      <c r="I2806" s="33"/>
      <c r="J2806" s="36"/>
      <c r="K2806" t="s">
        <v>32</v>
      </c>
      <c r="N2806" s="3">
        <f>L2806*0.3</f>
        <v>0</v>
      </c>
      <c r="O2806" s="3">
        <f>(IF(L2806&lt;4172.98,0,MIN(L2806*0.3,L2806-4172.98)))-M2806</f>
        <v>0</v>
      </c>
      <c r="S2806" s="53" t="s">
        <v>2536</v>
      </c>
      <c r="V2806" s="51">
        <v>0.51944444444444449</v>
      </c>
    </row>
    <row r="2807" spans="1:25" hidden="1">
      <c r="A2807" s="30">
        <v>24838676</v>
      </c>
      <c r="B2807" s="31">
        <v>46290</v>
      </c>
      <c r="C2807" s="32">
        <v>0.53508101851851853</v>
      </c>
      <c r="D2807" s="33"/>
      <c r="E2807" s="34">
        <v>5218115432398</v>
      </c>
      <c r="F2807" s="33"/>
      <c r="G2807" s="33"/>
      <c r="H2807" s="35">
        <v>43947161980</v>
      </c>
      <c r="I2807" s="33"/>
      <c r="J2807" s="36"/>
      <c r="K2807" t="s">
        <v>32</v>
      </c>
      <c r="N2807" s="3">
        <f>L2807*0.3</f>
        <v>0</v>
      </c>
      <c r="O2807" s="3">
        <f>(IF(L2807&lt;4172.98,0,MIN(L2807*0.3,L2807-4172.98)))-M2807</f>
        <v>0</v>
      </c>
      <c r="S2807" s="3" t="s">
        <v>2536</v>
      </c>
      <c r="V2807" s="51">
        <v>0.53472222222222221</v>
      </c>
    </row>
    <row r="2808" spans="1:25">
      <c r="A2808" s="30">
        <v>24813212</v>
      </c>
      <c r="B2808" s="31">
        <v>46290</v>
      </c>
      <c r="C2808" s="32">
        <v>0.53636574074074073</v>
      </c>
      <c r="D2808" s="33"/>
      <c r="E2808" s="34">
        <v>5215533885311</v>
      </c>
      <c r="F2808" s="33"/>
      <c r="G2808" s="33"/>
      <c r="H2808" s="35" t="s">
        <v>2613</v>
      </c>
      <c r="I2808" s="33"/>
      <c r="J2808" s="36"/>
      <c r="K2808" t="s">
        <v>54</v>
      </c>
      <c r="L2808" s="3">
        <v>19713.28</v>
      </c>
      <c r="M2808" s="3">
        <v>848</v>
      </c>
      <c r="N2808" s="3">
        <f>L2808*0.3</f>
        <v>5913.9839999999995</v>
      </c>
      <c r="O2808" s="3">
        <f>(IF(L2808&lt;4172.98,0,MIN(L2808*0.3,L2808-4172.98)))-M2808</f>
        <v>5065.9839999999995</v>
      </c>
      <c r="S2808" s="53" t="s">
        <v>90</v>
      </c>
      <c r="T2808" s="48">
        <v>46290</v>
      </c>
      <c r="V2808" s="51">
        <v>0.53611111111111109</v>
      </c>
      <c r="W2808" s="51">
        <v>0.55694444444444446</v>
      </c>
      <c r="X2808" s="51">
        <v>0.55972222222222223</v>
      </c>
      <c r="Y2808" s="51">
        <v>0.56041666666666667</v>
      </c>
    </row>
    <row r="2809" spans="1:25">
      <c r="A2809" s="30">
        <v>24839650</v>
      </c>
      <c r="B2809" s="31">
        <v>46290</v>
      </c>
      <c r="C2809" s="32">
        <v>0.56759259259259254</v>
      </c>
      <c r="D2809" s="33"/>
      <c r="E2809" s="34">
        <v>5217442129697</v>
      </c>
      <c r="F2809" s="33"/>
      <c r="G2809" s="33" t="s">
        <v>2614</v>
      </c>
      <c r="H2809" s="35"/>
      <c r="I2809" s="33"/>
      <c r="J2809" s="36"/>
      <c r="K2809" t="s">
        <v>27</v>
      </c>
      <c r="L2809" s="125">
        <v>6201.36</v>
      </c>
      <c r="M2809" s="125">
        <v>1521.8</v>
      </c>
      <c r="N2809" s="3">
        <f>L2809*0.3</f>
        <v>1860.4079999999999</v>
      </c>
      <c r="O2809" s="3">
        <f>(IF(L2809&lt;4172.98,0,MIN(L2809*0.3,L2809-4172.98)))-M2809</f>
        <v>338.60799999999995</v>
      </c>
      <c r="P2809" s="6">
        <v>45323</v>
      </c>
      <c r="Q2809" t="s">
        <v>80</v>
      </c>
      <c r="R2809" s="3">
        <v>1521.8</v>
      </c>
      <c r="S2809" s="3" t="s">
        <v>2059</v>
      </c>
      <c r="T2809" s="48">
        <v>46290</v>
      </c>
      <c r="V2809" s="51">
        <v>0.56736111111111109</v>
      </c>
      <c r="W2809" s="51">
        <v>0.57222222222222219</v>
      </c>
      <c r="X2809" s="51">
        <v>0.57499999999999996</v>
      </c>
      <c r="Y2809" s="51">
        <v>0.58402777777777781</v>
      </c>
    </row>
    <row r="2810" spans="1:25" hidden="1">
      <c r="A2810" s="30">
        <v>24839950</v>
      </c>
      <c r="B2810" s="31">
        <v>46290</v>
      </c>
      <c r="C2810" s="32">
        <v>0.57784722222222218</v>
      </c>
      <c r="D2810" s="33"/>
      <c r="E2810" s="34">
        <v>5218662587775</v>
      </c>
      <c r="F2810" s="33"/>
      <c r="G2810" s="33" t="s">
        <v>2615</v>
      </c>
      <c r="H2810" s="35"/>
      <c r="I2810" s="33"/>
      <c r="J2810" s="36"/>
      <c r="K2810" t="s">
        <v>32</v>
      </c>
      <c r="N2810" s="3">
        <f>L2810*0.3</f>
        <v>0</v>
      </c>
      <c r="O2810" s="3">
        <f>(IF(L2810&lt;4172.98,0,MIN(L2810*0.3,L2810-4172.98)))-M2810</f>
        <v>0</v>
      </c>
      <c r="S2810" s="3" t="s">
        <v>2536</v>
      </c>
      <c r="V2810" s="51">
        <v>0.57777777777777772</v>
      </c>
    </row>
    <row r="2811" spans="1:25" hidden="1">
      <c r="A2811" s="30">
        <v>24840308</v>
      </c>
      <c r="B2811" s="31">
        <v>46290</v>
      </c>
      <c r="C2811" s="32">
        <v>0.58751157407407406</v>
      </c>
      <c r="D2811" s="33"/>
      <c r="E2811" s="34">
        <v>5213331898982</v>
      </c>
      <c r="F2811" s="33"/>
      <c r="G2811" s="33"/>
      <c r="H2811" s="35">
        <v>54816229634</v>
      </c>
      <c r="I2811" s="33"/>
      <c r="J2811" s="36"/>
      <c r="K2811" t="s">
        <v>30</v>
      </c>
      <c r="L2811" s="125">
        <v>7920.51</v>
      </c>
      <c r="M2811" s="125">
        <v>2290</v>
      </c>
      <c r="N2811" s="3">
        <f>L2811*0.3</f>
        <v>2376.1529999999998</v>
      </c>
      <c r="O2811" s="3">
        <f>(IF(L2811&lt;4172.98,0,MIN(L2811*0.3,L2811-4172.98)))-M2811</f>
        <v>86.152999999999793</v>
      </c>
      <c r="P2811" s="6">
        <v>46600</v>
      </c>
      <c r="Q2811" t="s">
        <v>57</v>
      </c>
      <c r="R2811" s="125">
        <v>2290</v>
      </c>
      <c r="S2811" s="3" t="s">
        <v>2536</v>
      </c>
      <c r="V2811" s="51">
        <v>0.58750000000000002</v>
      </c>
    </row>
    <row r="2812" spans="1:25" hidden="1">
      <c r="A2812" s="12">
        <v>24840668</v>
      </c>
      <c r="B2812" s="13">
        <v>46290</v>
      </c>
      <c r="C2812" s="14">
        <v>0.60521990740740739</v>
      </c>
      <c r="D2812" s="15"/>
      <c r="E2812" s="16">
        <v>5216676997263</v>
      </c>
      <c r="F2812" s="15"/>
      <c r="G2812" s="15"/>
      <c r="H2812" s="17">
        <v>23786122418</v>
      </c>
      <c r="I2812" s="15"/>
      <c r="J2812" s="18"/>
      <c r="K2812" t="s">
        <v>32</v>
      </c>
      <c r="N2812" s="3">
        <f>L2812*0.3</f>
        <v>0</v>
      </c>
      <c r="O2812" s="3">
        <f>(IF(L2812&lt;4172.98,0,MIN(L2812*0.3,L2812-4172.98)))-M2812</f>
        <v>0</v>
      </c>
      <c r="S2812" s="3" t="s">
        <v>2536</v>
      </c>
      <c r="V2812" s="51">
        <v>0.60763888888888884</v>
      </c>
    </row>
    <row r="2813" spans="1:25" hidden="1">
      <c r="A2813" s="30">
        <v>24840740</v>
      </c>
      <c r="B2813" s="31">
        <v>46290</v>
      </c>
      <c r="C2813" s="32">
        <v>0.60653935185185182</v>
      </c>
      <c r="D2813" s="33" t="s">
        <v>2616</v>
      </c>
      <c r="E2813" s="34">
        <v>5218445319717</v>
      </c>
      <c r="F2813" s="33"/>
      <c r="G2813" s="33" t="s">
        <v>2617</v>
      </c>
      <c r="H2813" s="35">
        <v>32745645161</v>
      </c>
      <c r="I2813" s="33"/>
      <c r="J2813" s="36"/>
      <c r="K2813" t="s">
        <v>58</v>
      </c>
      <c r="L2813" s="125">
        <v>4172.8100000000004</v>
      </c>
      <c r="M2813" s="125">
        <v>879</v>
      </c>
      <c r="N2813" s="3">
        <f>L2813*0.3</f>
        <v>1251.8430000000001</v>
      </c>
      <c r="O2813" s="3">
        <f>(IF(L2813&lt;4172.98,0,MIN(L2813*0.3,L2813-4172.98)))-M2813</f>
        <v>-879</v>
      </c>
      <c r="S2813" s="3" t="s">
        <v>2536</v>
      </c>
      <c r="V2813" s="51">
        <v>0.60763888888888884</v>
      </c>
    </row>
    <row r="2814" spans="1:25" hidden="1">
      <c r="A2814" s="30">
        <v>24840920</v>
      </c>
      <c r="B2814" s="31">
        <v>46290</v>
      </c>
      <c r="C2814" s="32">
        <v>0.61131944444444442</v>
      </c>
      <c r="D2814" s="33"/>
      <c r="E2814" s="34">
        <v>5214779168305</v>
      </c>
      <c r="F2814" s="33"/>
      <c r="G2814" s="33" t="s">
        <v>2618</v>
      </c>
      <c r="H2814" s="35"/>
      <c r="I2814" s="33"/>
      <c r="J2814" s="36"/>
      <c r="K2814" t="s">
        <v>51</v>
      </c>
      <c r="N2814" s="3">
        <f>L2814*0.3</f>
        <v>0</v>
      </c>
      <c r="O2814" s="3">
        <f>(IF(L2814&lt;4172.98,0,MIN(L2814*0.3,L2814-4172.98)))-M2814</f>
        <v>0</v>
      </c>
      <c r="S2814" s="3" t="s">
        <v>2536</v>
      </c>
      <c r="V2814" s="51">
        <v>0.6118055555555556</v>
      </c>
    </row>
    <row r="2815" spans="1:25">
      <c r="A2815" s="30">
        <v>24841192</v>
      </c>
      <c r="B2815" s="31">
        <v>46290</v>
      </c>
      <c r="C2815" s="32">
        <v>0.62187499999999996</v>
      </c>
      <c r="D2815" s="33"/>
      <c r="E2815" s="34">
        <v>5217341293377</v>
      </c>
      <c r="F2815" s="33"/>
      <c r="G2815" s="33"/>
      <c r="H2815" s="35" t="s">
        <v>2619</v>
      </c>
      <c r="I2815" s="33"/>
      <c r="J2815" s="36"/>
      <c r="K2815" t="s">
        <v>54</v>
      </c>
      <c r="L2815" s="3">
        <v>9760.32</v>
      </c>
      <c r="N2815" s="3">
        <f>L2815*0.3</f>
        <v>2928.096</v>
      </c>
      <c r="O2815" s="3">
        <f>(IF(L2815&lt;4172.98,0,MIN(L2815*0.3,L2815-4172.98)))-M2815</f>
        <v>2928.096</v>
      </c>
      <c r="S2815" s="3" t="s">
        <v>266</v>
      </c>
      <c r="T2815" s="48">
        <v>46290</v>
      </c>
      <c r="V2815" s="51">
        <v>0.62222222222222223</v>
      </c>
      <c r="W2815" s="51">
        <v>0.62638888888888888</v>
      </c>
      <c r="X2815" s="51">
        <v>0.63402777777777775</v>
      </c>
      <c r="Y2815" s="51">
        <v>0.63541666666666663</v>
      </c>
    </row>
    <row r="2816" spans="1:25" hidden="1">
      <c r="A2816" s="30">
        <v>24841466</v>
      </c>
      <c r="B2816" s="31">
        <v>46290</v>
      </c>
      <c r="C2816" s="32">
        <v>0.63328703703703704</v>
      </c>
      <c r="D2816" s="33" t="s">
        <v>2620</v>
      </c>
      <c r="E2816" s="34">
        <v>5212741114029</v>
      </c>
      <c r="F2816" s="33"/>
      <c r="G2816" s="33"/>
      <c r="H2816" s="35">
        <v>67886229375</v>
      </c>
      <c r="I2816" s="33"/>
      <c r="J2816" s="36"/>
      <c r="K2816" t="s">
        <v>30</v>
      </c>
      <c r="L2816" s="111">
        <v>7116.73</v>
      </c>
      <c r="M2816" s="111">
        <v>2058</v>
      </c>
      <c r="N2816" s="3">
        <f>L2816*0.3</f>
        <v>2135.0189999999998</v>
      </c>
      <c r="O2816" s="3">
        <f>(IF(L2816&lt;4172.98,0,MIN(L2816*0.3,L2816-4172.98)))-M2816</f>
        <v>77.018999999999778</v>
      </c>
      <c r="P2816" s="6">
        <v>46478</v>
      </c>
      <c r="Q2816" t="s">
        <v>44</v>
      </c>
      <c r="R2816" s="3">
        <v>1239</v>
      </c>
      <c r="S2816" s="3" t="s">
        <v>2536</v>
      </c>
      <c r="V2816" s="51">
        <v>0.63472222222222219</v>
      </c>
    </row>
    <row r="2817" spans="1:25">
      <c r="A2817" s="30">
        <v>24841684</v>
      </c>
      <c r="B2817" s="31">
        <v>46290</v>
      </c>
      <c r="C2817" s="32">
        <v>0.6458680555555556</v>
      </c>
      <c r="D2817" s="33"/>
      <c r="E2817" s="34">
        <v>5216331009917</v>
      </c>
      <c r="F2817" s="33"/>
      <c r="G2817" s="33"/>
      <c r="H2817" s="35">
        <v>24806310876</v>
      </c>
      <c r="I2817" s="33"/>
      <c r="J2817" s="36"/>
      <c r="K2817" t="s">
        <v>54</v>
      </c>
      <c r="L2817" s="111">
        <v>18642.330000000002</v>
      </c>
      <c r="M2817" s="111">
        <v>3153.61</v>
      </c>
      <c r="N2817" s="3">
        <f>L2817*0.3</f>
        <v>5592.6990000000005</v>
      </c>
      <c r="O2817" s="3">
        <f>(IF(L2817&lt;4172.98,0,MIN(L2817*0.3,L2817-4172.98)))-M2817</f>
        <v>2439.0890000000004</v>
      </c>
      <c r="P2817" s="6">
        <v>46935</v>
      </c>
      <c r="Q2817" t="s">
        <v>210</v>
      </c>
      <c r="R2817" s="111">
        <v>3153.61</v>
      </c>
      <c r="S2817" s="3" t="s">
        <v>1091</v>
      </c>
      <c r="T2817" s="48">
        <v>46290</v>
      </c>
      <c r="V2817" s="51">
        <v>0.66041666666666665</v>
      </c>
      <c r="W2817" s="51">
        <v>0.65</v>
      </c>
      <c r="X2817" s="51">
        <v>0.65138888888888891</v>
      </c>
      <c r="Y2817" s="51">
        <v>0.6875</v>
      </c>
    </row>
    <row r="2818" spans="1:25" hidden="1">
      <c r="A2818" s="30">
        <v>24842078</v>
      </c>
      <c r="B2818" s="31">
        <v>46290</v>
      </c>
      <c r="C2818" s="32">
        <v>0.6642824074074074</v>
      </c>
      <c r="D2818" s="33" t="s">
        <v>2621</v>
      </c>
      <c r="E2818" s="34">
        <v>5213921054088</v>
      </c>
      <c r="F2818" s="33"/>
      <c r="G2818" s="33" t="s">
        <v>2622</v>
      </c>
      <c r="H2818" s="35"/>
      <c r="I2818" s="33"/>
      <c r="J2818" s="36"/>
      <c r="K2818" t="s">
        <v>30</v>
      </c>
      <c r="L2818" s="111">
        <v>20421.509999999998</v>
      </c>
      <c r="M2818" s="111">
        <v>6122.95</v>
      </c>
      <c r="N2818" s="3">
        <f>L2818*0.3</f>
        <v>6126.4529999999995</v>
      </c>
      <c r="O2818" s="3">
        <f>(IF(L2818&lt;4172.98,0,MIN(L2818*0.3,L2818-4172.98)))-M2818</f>
        <v>3.5029999999997017</v>
      </c>
      <c r="P2818" s="6">
        <v>46327</v>
      </c>
      <c r="Q2818" t="s">
        <v>75</v>
      </c>
      <c r="R2818" s="3">
        <v>5021.2299999999996</v>
      </c>
      <c r="S2818" s="3" t="s">
        <v>2536</v>
      </c>
      <c r="V2818" s="51">
        <v>0.66388888888888886</v>
      </c>
    </row>
    <row r="2819" spans="1:25" hidden="1">
      <c r="A2819" s="30">
        <v>24842342</v>
      </c>
      <c r="B2819" s="31">
        <v>46290</v>
      </c>
      <c r="C2819" s="32">
        <v>0.67557870370370365</v>
      </c>
      <c r="D2819" s="33"/>
      <c r="E2819" s="34">
        <v>5212291833675</v>
      </c>
      <c r="F2819" s="33"/>
      <c r="G2819" s="33"/>
      <c r="H2819" s="35">
        <v>65756001528</v>
      </c>
      <c r="I2819" s="33"/>
      <c r="J2819" s="36"/>
      <c r="K2819" t="s">
        <v>30</v>
      </c>
      <c r="L2819" s="111">
        <v>9081.52</v>
      </c>
      <c r="M2819" s="111">
        <v>2627.49</v>
      </c>
      <c r="N2819" s="3">
        <f>L2819*0.3</f>
        <v>2724.4560000000001</v>
      </c>
      <c r="O2819" s="3">
        <f>(IF(L2819&lt;4172.98,0,MIN(L2819*0.3,L2819-4172.98)))-M2819</f>
        <v>96.966000000000349</v>
      </c>
      <c r="P2819" s="6">
        <v>46419</v>
      </c>
      <c r="Q2819" t="s">
        <v>47</v>
      </c>
      <c r="R2819" s="3">
        <v>1860.24</v>
      </c>
      <c r="S2819" s="3" t="s">
        <v>2536</v>
      </c>
      <c r="V2819" s="51">
        <v>0.67500000000000004</v>
      </c>
    </row>
    <row r="2820" spans="1:25" hidden="1">
      <c r="A2820" s="30">
        <v>24842430</v>
      </c>
      <c r="B2820" s="31">
        <v>46290</v>
      </c>
      <c r="C2820" s="32">
        <v>0.68055555555555558</v>
      </c>
      <c r="D2820" s="33" t="s">
        <v>2623</v>
      </c>
      <c r="E2820" s="34">
        <v>5214443862976</v>
      </c>
      <c r="F2820" s="33"/>
      <c r="G2820" s="33"/>
      <c r="H2820" s="35" t="s">
        <v>2624</v>
      </c>
      <c r="I2820" s="33"/>
      <c r="J2820" s="36"/>
      <c r="K2820" t="s">
        <v>32</v>
      </c>
      <c r="N2820" s="3">
        <f>L2820*0.3</f>
        <v>0</v>
      </c>
      <c r="O2820" s="3">
        <f>(IF(L2820&lt;4172.98,0,MIN(L2820*0.3,L2820-4172.98)))-M2820</f>
        <v>0</v>
      </c>
      <c r="S2820" s="3" t="s">
        <v>2536</v>
      </c>
      <c r="V2820" s="51">
        <v>0.68055555555555558</v>
      </c>
    </row>
    <row r="2821" spans="1:25" hidden="1">
      <c r="A2821" s="30">
        <v>24842516</v>
      </c>
      <c r="B2821" s="31">
        <v>46290</v>
      </c>
      <c r="C2821" s="32">
        <v>0.68192129629629628</v>
      </c>
      <c r="D2821" s="33"/>
      <c r="E2821" s="34">
        <v>5216441010255</v>
      </c>
      <c r="F2821" s="33"/>
      <c r="G2821" s="33"/>
      <c r="H2821" s="35" t="s">
        <v>2625</v>
      </c>
      <c r="I2821" s="33"/>
      <c r="J2821" s="36"/>
      <c r="K2821" t="s">
        <v>30</v>
      </c>
      <c r="L2821" s="111">
        <v>6417.76</v>
      </c>
      <c r="M2821" s="111">
        <v>1856</v>
      </c>
      <c r="N2821" s="3">
        <f>L2821*0.3</f>
        <v>1925.328</v>
      </c>
      <c r="O2821" s="3">
        <f>(IF(L2821&lt;4172.98,0,MIN(L2821*0.3,L2821-4172.98)))-M2821</f>
        <v>69.327999999999975</v>
      </c>
      <c r="P2821" s="6">
        <v>46539</v>
      </c>
      <c r="Q2821" t="s">
        <v>59</v>
      </c>
      <c r="R2821" s="111">
        <v>1856</v>
      </c>
      <c r="S2821" s="3" t="s">
        <v>2536</v>
      </c>
      <c r="V2821" s="51">
        <v>0.68541666666666667</v>
      </c>
    </row>
    <row r="2822" spans="1:25">
      <c r="A2822" s="30">
        <v>24842712</v>
      </c>
      <c r="B2822" s="31">
        <v>46290</v>
      </c>
      <c r="C2822" s="32">
        <v>0.69302083333333331</v>
      </c>
      <c r="D2822" s="33"/>
      <c r="E2822" s="34">
        <v>5216565562462</v>
      </c>
      <c r="F2822" s="33"/>
      <c r="G2822" s="33"/>
      <c r="H2822" s="35">
        <v>33826419278</v>
      </c>
      <c r="I2822" s="33"/>
      <c r="J2822" s="36"/>
      <c r="K2822" t="s">
        <v>54</v>
      </c>
      <c r="L2822" s="3">
        <v>10636.54</v>
      </c>
      <c r="N2822" s="3">
        <f t="shared" ref="N2822" si="354">L2822*0.3</f>
        <v>3190.962</v>
      </c>
      <c r="O2822" s="3">
        <f t="shared" ref="O2822" si="355">(IF(L2822&lt;4172.98,0,MIN(L2822*0.3,L2822-4172.98)))-M2822</f>
        <v>3190.962</v>
      </c>
      <c r="S2822" s="3" t="s">
        <v>62</v>
      </c>
      <c r="T2822" s="48">
        <v>46290</v>
      </c>
      <c r="V2822" s="51">
        <v>0.6958333333333333</v>
      </c>
      <c r="W2822" s="51">
        <v>0.69930555555555551</v>
      </c>
      <c r="X2822" s="51">
        <v>0.7006944444444444</v>
      </c>
      <c r="Y2822" s="51">
        <v>0.70208333333333328</v>
      </c>
    </row>
    <row r="2823" spans="1:25">
      <c r="A2823" s="30">
        <v>24842916</v>
      </c>
      <c r="B2823" s="31">
        <v>46290</v>
      </c>
      <c r="C2823" s="32">
        <v>0.70173611111111112</v>
      </c>
      <c r="D2823" s="33"/>
      <c r="E2823" s="34">
        <v>5218115286773</v>
      </c>
      <c r="F2823" s="33"/>
      <c r="G2823" s="33"/>
      <c r="H2823" s="35">
        <v>43765931753</v>
      </c>
      <c r="I2823" s="33"/>
      <c r="J2823" s="36"/>
      <c r="K2823" t="s">
        <v>107</v>
      </c>
      <c r="L2823" s="111">
        <v>5537.47</v>
      </c>
      <c r="M2823" s="111">
        <v>1116.58</v>
      </c>
      <c r="N2823" s="3">
        <f>L2823*0.3</f>
        <v>1661.241</v>
      </c>
      <c r="O2823" s="3">
        <f>(IF(L2823&lt;4172.98,0,MIN(L2823*0.3,L2823-4172.98)))-M2823</f>
        <v>247.91000000000076</v>
      </c>
      <c r="P2823" s="6">
        <v>45566</v>
      </c>
      <c r="Q2823" t="s">
        <v>44</v>
      </c>
      <c r="R2823" s="111">
        <v>1116.58</v>
      </c>
      <c r="S2823" s="3" t="s">
        <v>2626</v>
      </c>
      <c r="T2823" s="48">
        <v>46290</v>
      </c>
      <c r="V2823" s="51">
        <v>0.70208333333333328</v>
      </c>
      <c r="W2823" s="51">
        <v>0.7055555555555556</v>
      </c>
      <c r="X2823" s="51">
        <v>0.70902777777777781</v>
      </c>
      <c r="Y2823" s="51">
        <v>0.7270833333333333</v>
      </c>
    </row>
    <row r="2824" spans="1:25">
      <c r="A2824" s="30">
        <v>24842744</v>
      </c>
      <c r="B2824" s="31">
        <v>46290</v>
      </c>
      <c r="C2824" s="32">
        <v>0.70543981481481477</v>
      </c>
      <c r="D2824" s="33"/>
      <c r="E2824" s="34">
        <v>5219981892225</v>
      </c>
      <c r="F2824" s="33"/>
      <c r="G2824" s="33" t="s">
        <v>2627</v>
      </c>
      <c r="H2824" s="35" t="s">
        <v>2628</v>
      </c>
      <c r="I2824" s="33"/>
      <c r="J2824" s="36"/>
      <c r="K2824" t="s">
        <v>54</v>
      </c>
      <c r="L2824" s="3">
        <v>13161.51</v>
      </c>
      <c r="N2824" s="3">
        <f>L2824*0.3</f>
        <v>3948.453</v>
      </c>
      <c r="O2824" s="3">
        <f>(IF(L2824&lt;4172.98,0,MIN(L2824*0.3,L2824-4172.98)))-M2824</f>
        <v>3948.453</v>
      </c>
      <c r="S2824" s="202" t="s">
        <v>2385</v>
      </c>
      <c r="U2824" t="s">
        <v>2629</v>
      </c>
      <c r="V2824" s="51">
        <v>0.70625000000000004</v>
      </c>
    </row>
    <row r="2825" spans="1:25" hidden="1">
      <c r="A2825" s="30">
        <v>24842616</v>
      </c>
      <c r="B2825" s="31">
        <v>46290</v>
      </c>
      <c r="C2825" s="32">
        <v>0.71596064814814819</v>
      </c>
      <c r="D2825" s="33"/>
      <c r="E2825" s="34">
        <v>5219651189019</v>
      </c>
      <c r="F2825" s="33"/>
      <c r="G2825" s="33" t="s">
        <v>2630</v>
      </c>
      <c r="H2825" s="35"/>
      <c r="I2825" s="33"/>
      <c r="J2825" s="36"/>
      <c r="K2825" t="s">
        <v>32</v>
      </c>
      <c r="N2825" s="3">
        <f>L2825*0.3</f>
        <v>0</v>
      </c>
      <c r="O2825" s="3">
        <f>(IF(L2825&lt;4172.98,0,MIN(L2825*0.3,L2825-4172.98)))-M2825</f>
        <v>0</v>
      </c>
      <c r="S2825" s="53" t="s">
        <v>2536</v>
      </c>
      <c r="V2825" s="51">
        <v>0.71527777777777779</v>
      </c>
    </row>
    <row r="2826" spans="1:25">
      <c r="A2826" s="30">
        <v>24843264</v>
      </c>
      <c r="B2826" s="31">
        <v>46290</v>
      </c>
      <c r="C2826" s="32">
        <v>0.72318287037037032</v>
      </c>
      <c r="D2826" s="33"/>
      <c r="E2826" s="34">
        <v>5216444076113</v>
      </c>
      <c r="F2826" s="33"/>
      <c r="G2826" s="33"/>
      <c r="H2826" s="35">
        <v>24896406030</v>
      </c>
      <c r="I2826" s="33"/>
      <c r="J2826" s="36"/>
      <c r="K2826" t="s">
        <v>54</v>
      </c>
      <c r="L2826" s="3">
        <v>10636.54</v>
      </c>
      <c r="N2826" s="3">
        <f>L2826*0.3</f>
        <v>3190.962</v>
      </c>
      <c r="O2826" s="3">
        <f>(IF(L2826&lt;4172.98,0,MIN(L2826*0.3,L2826-4172.98)))-M2826</f>
        <v>3190.962</v>
      </c>
      <c r="S2826" s="3" t="s">
        <v>62</v>
      </c>
      <c r="T2826" s="48">
        <v>46290</v>
      </c>
      <c r="V2826" s="51">
        <v>0.72361111111111109</v>
      </c>
      <c r="W2826" s="51">
        <v>0.73541666666666672</v>
      </c>
      <c r="X2826" s="51">
        <v>0.74097222222222225</v>
      </c>
      <c r="Y2826" s="51">
        <v>0.74236111111111114</v>
      </c>
    </row>
    <row r="2827" spans="1:25">
      <c r="A2827" s="12">
        <v>24843332</v>
      </c>
      <c r="B2827" s="13">
        <v>46290</v>
      </c>
      <c r="C2827" s="14">
        <v>0.72461805555555558</v>
      </c>
      <c r="D2827" s="15"/>
      <c r="E2827" s="16">
        <v>5215549696936</v>
      </c>
      <c r="F2827" s="15"/>
      <c r="G2827" s="15" t="s">
        <v>2631</v>
      </c>
      <c r="H2827" s="17"/>
      <c r="I2827" s="15"/>
      <c r="J2827" s="18"/>
      <c r="K2827" t="s">
        <v>54</v>
      </c>
      <c r="L2827" s="3">
        <v>16289.43</v>
      </c>
      <c r="N2827" s="3">
        <f t="shared" ref="N2827:N2829" si="356">L2827*0.3</f>
        <v>4886.8289999999997</v>
      </c>
      <c r="O2827" s="3">
        <f t="shared" ref="O2827:O2829" si="357">(IF(L2827&lt;4172.98,0,MIN(L2827*0.3,L2827-4172.98)))-M2827</f>
        <v>4886.8289999999997</v>
      </c>
      <c r="S2827" s="3" t="s">
        <v>266</v>
      </c>
      <c r="T2827" s="48">
        <v>46290</v>
      </c>
      <c r="V2827" s="51">
        <v>0.72777777777777775</v>
      </c>
      <c r="W2827" s="51">
        <v>0.7368055555555556</v>
      </c>
      <c r="X2827" s="51">
        <v>0.73819444444444449</v>
      </c>
      <c r="Y2827" s="51">
        <v>0.74097222222222225</v>
      </c>
    </row>
    <row r="2828" spans="1:25">
      <c r="A2828" s="12">
        <v>24843334</v>
      </c>
      <c r="B2828" s="13">
        <v>46290</v>
      </c>
      <c r="C2828" s="14">
        <v>0.72528935185185184</v>
      </c>
      <c r="D2828" s="15"/>
      <c r="E2828" s="16">
        <v>5213330176040</v>
      </c>
      <c r="F2828" s="15"/>
      <c r="G2828" s="15"/>
      <c r="H2828" s="17" t="s">
        <v>2632</v>
      </c>
      <c r="I2828" s="15"/>
      <c r="J2828" s="18"/>
      <c r="K2828" t="s">
        <v>54</v>
      </c>
      <c r="L2828" s="3">
        <v>8181.55</v>
      </c>
      <c r="N2828" s="3">
        <f t="shared" si="356"/>
        <v>2454.4650000000001</v>
      </c>
      <c r="O2828" s="3">
        <f t="shared" si="357"/>
        <v>2454.4650000000001</v>
      </c>
      <c r="S2828" s="3" t="s">
        <v>266</v>
      </c>
      <c r="T2828" s="48">
        <v>46290</v>
      </c>
      <c r="V2828" s="51">
        <v>0.72777777777777775</v>
      </c>
      <c r="W2828" s="51">
        <v>0.73750000000000004</v>
      </c>
      <c r="X2828" s="51">
        <v>0.74236111111111114</v>
      </c>
      <c r="Y2828" s="51">
        <v>0.74305555555555558</v>
      </c>
    </row>
    <row r="2829" spans="1:25" hidden="1">
      <c r="A2829" s="30">
        <v>24843380</v>
      </c>
      <c r="B2829" s="31">
        <v>46290</v>
      </c>
      <c r="C2829" s="32">
        <v>0.72662037037037042</v>
      </c>
      <c r="D2829" s="33"/>
      <c r="E2829" s="34">
        <v>5215522542466</v>
      </c>
      <c r="F2829" s="33"/>
      <c r="G2829" s="33" t="s">
        <v>2633</v>
      </c>
      <c r="H2829" s="35"/>
      <c r="I2829" s="33"/>
      <c r="J2829" s="36"/>
      <c r="K2829" t="s">
        <v>32</v>
      </c>
      <c r="N2829" s="3">
        <f t="shared" si="356"/>
        <v>0</v>
      </c>
      <c r="O2829" s="3">
        <f t="shared" si="357"/>
        <v>0</v>
      </c>
      <c r="S2829" s="3" t="s">
        <v>2536</v>
      </c>
      <c r="V2829" s="51">
        <v>0.72777777777777775</v>
      </c>
    </row>
    <row r="2830" spans="1:25" hidden="1">
      <c r="A2830" s="30">
        <v>24843472</v>
      </c>
      <c r="B2830" s="31">
        <v>46290</v>
      </c>
      <c r="C2830" s="32">
        <v>0.73679398148148145</v>
      </c>
      <c r="D2830" s="33"/>
      <c r="E2830" s="34">
        <v>5215523363654</v>
      </c>
      <c r="F2830" s="33"/>
      <c r="G2830" s="33"/>
      <c r="H2830" s="35">
        <v>28886923623</v>
      </c>
      <c r="I2830" s="33"/>
      <c r="J2830" s="36"/>
      <c r="K2830" t="s">
        <v>58</v>
      </c>
      <c r="L2830" s="111">
        <v>3668.72</v>
      </c>
      <c r="M2830" s="111">
        <v>848</v>
      </c>
      <c r="N2830" s="3">
        <f>L2830*0.3</f>
        <v>1100.616</v>
      </c>
      <c r="O2830" s="3">
        <f>(IF(L2830&lt;4172.98,0,MIN(L2830*0.3,L2830-4172.98)))-M2830</f>
        <v>-848</v>
      </c>
      <c r="S2830" s="3" t="s">
        <v>2536</v>
      </c>
      <c r="V2830" s="51">
        <v>0.7368055555555556</v>
      </c>
    </row>
    <row r="2831" spans="1:25" hidden="1">
      <c r="A2831" s="30">
        <v>24843926</v>
      </c>
      <c r="B2831" s="31">
        <v>46290</v>
      </c>
      <c r="C2831" s="32">
        <v>0.76373842592592589</v>
      </c>
      <c r="D2831" s="33"/>
      <c r="E2831" s="34">
        <v>5213324963061</v>
      </c>
      <c r="F2831" s="33"/>
      <c r="G2831" s="33" t="s">
        <v>2634</v>
      </c>
      <c r="H2831" s="35">
        <v>75927212888</v>
      </c>
      <c r="I2831" s="33"/>
      <c r="J2831" s="36"/>
      <c r="K2831" t="s">
        <v>32</v>
      </c>
      <c r="N2831" s="3">
        <f>L2831*0.3</f>
        <v>0</v>
      </c>
      <c r="O2831" s="3">
        <f>(IF(L2831&lt;4172.98,0,MIN(L2831*0.3,L2831-4172.98)))-M2831</f>
        <v>0</v>
      </c>
      <c r="S2831" s="3" t="s">
        <v>2536</v>
      </c>
      <c r="V2831" s="51">
        <v>0.76388888888888884</v>
      </c>
    </row>
    <row r="2832" spans="1:25">
      <c r="A2832" s="30">
        <v>24844130</v>
      </c>
      <c r="B2832" s="31">
        <v>46290</v>
      </c>
      <c r="C2832" s="32">
        <v>0.7760069444444444</v>
      </c>
      <c r="D2832" s="33"/>
      <c r="E2832" s="34">
        <v>5216971137866</v>
      </c>
      <c r="F2832" s="33"/>
      <c r="G2832" s="33"/>
      <c r="H2832" s="35">
        <v>23815905825</v>
      </c>
      <c r="I2832" s="33"/>
      <c r="J2832" s="36"/>
      <c r="K2832" t="s">
        <v>54</v>
      </c>
      <c r="L2832" s="125">
        <v>11265.41</v>
      </c>
      <c r="M2832" s="125">
        <v>879</v>
      </c>
      <c r="N2832" s="3">
        <f>L2832*0.3</f>
        <v>3379.623</v>
      </c>
      <c r="O2832" s="3">
        <f>(IF(L2832&lt;4172.98,0,MIN(L2832*0.3,L2832-4172.98)))-M2832</f>
        <v>2500.623</v>
      </c>
      <c r="S2832" s="3" t="s">
        <v>62</v>
      </c>
      <c r="T2832" s="48">
        <v>46290</v>
      </c>
      <c r="U2832" s="85"/>
      <c r="V2832" s="51">
        <v>0.77638888888888891</v>
      </c>
      <c r="W2832" s="51">
        <v>0.78055555555555556</v>
      </c>
      <c r="X2832" s="51">
        <v>0.78125</v>
      </c>
      <c r="Y2832" s="51">
        <v>0.78263888888888888</v>
      </c>
    </row>
    <row r="2833" spans="1:22" hidden="1">
      <c r="A2833" s="12">
        <v>24844594</v>
      </c>
      <c r="B2833" s="13">
        <v>46290</v>
      </c>
      <c r="C2833" s="14">
        <v>0.80354166666666671</v>
      </c>
      <c r="D2833" s="15"/>
      <c r="E2833" s="16">
        <v>5214811071715</v>
      </c>
      <c r="F2833" s="15"/>
      <c r="G2833" s="15"/>
      <c r="H2833" s="17">
        <v>76856500384</v>
      </c>
      <c r="I2833" s="15"/>
      <c r="J2833" s="18"/>
      <c r="K2833" t="s">
        <v>32</v>
      </c>
      <c r="N2833" s="3">
        <f t="shared" ref="N2833:N2840" si="358">L2833*0.3</f>
        <v>0</v>
      </c>
      <c r="O2833" s="3">
        <f t="shared" ref="O2833:O2840" si="359">(IF(L2833&lt;4172.98,0,MIN(L2833*0.3,L2833-4172.98)))-M2833</f>
        <v>0</v>
      </c>
      <c r="S2833" s="3" t="s">
        <v>2536</v>
      </c>
      <c r="V2833" s="51">
        <v>0.33680555555555558</v>
      </c>
    </row>
    <row r="2834" spans="1:22" hidden="1">
      <c r="A2834" s="12">
        <v>24844460</v>
      </c>
      <c r="B2834" s="13">
        <v>46290</v>
      </c>
      <c r="C2834" s="14">
        <v>0.80359953703703701</v>
      </c>
      <c r="D2834" s="15"/>
      <c r="E2834" s="16">
        <v>5214741353827</v>
      </c>
      <c r="F2834" s="15"/>
      <c r="G2834" s="15" t="s">
        <v>2635</v>
      </c>
      <c r="H2834" s="17"/>
      <c r="I2834" s="15"/>
      <c r="J2834" s="18"/>
      <c r="K2834" t="s">
        <v>32</v>
      </c>
      <c r="N2834" s="3">
        <f t="shared" si="358"/>
        <v>0</v>
      </c>
      <c r="O2834" s="3">
        <f t="shared" si="359"/>
        <v>0</v>
      </c>
      <c r="S2834" s="3" t="s">
        <v>2536</v>
      </c>
      <c r="V2834" s="51">
        <v>0.33680555555555558</v>
      </c>
    </row>
    <row r="2835" spans="1:22" hidden="1">
      <c r="A2835" s="12">
        <v>24844954</v>
      </c>
      <c r="B2835" s="13">
        <v>46290</v>
      </c>
      <c r="C2835" s="14">
        <v>0.83421296296296299</v>
      </c>
      <c r="D2835" s="15"/>
      <c r="E2835" s="16">
        <v>5216673537736</v>
      </c>
      <c r="F2835" s="15"/>
      <c r="G2835" s="15"/>
      <c r="H2835" s="17">
        <v>23836601601</v>
      </c>
      <c r="I2835" s="15"/>
      <c r="J2835" s="18"/>
      <c r="K2835" t="s">
        <v>32</v>
      </c>
      <c r="N2835" s="3">
        <f t="shared" si="358"/>
        <v>0</v>
      </c>
      <c r="O2835" s="3">
        <f t="shared" si="359"/>
        <v>0</v>
      </c>
      <c r="S2835" s="3" t="s">
        <v>2536</v>
      </c>
      <c r="V2835" s="51">
        <v>0.33680555555555558</v>
      </c>
    </row>
    <row r="2836" spans="1:22" hidden="1">
      <c r="A2836" s="12">
        <v>24845882</v>
      </c>
      <c r="B2836" s="13">
        <v>46290</v>
      </c>
      <c r="C2836" s="14">
        <v>0.93488425925925922</v>
      </c>
      <c r="D2836" s="15"/>
      <c r="E2836" s="16">
        <v>5219631431673</v>
      </c>
      <c r="F2836" s="15"/>
      <c r="G2836" s="15" t="s">
        <v>2636</v>
      </c>
      <c r="H2836" s="17"/>
      <c r="I2836" s="15"/>
      <c r="J2836" s="18"/>
      <c r="K2836" t="s">
        <v>32</v>
      </c>
      <c r="N2836" s="3">
        <f t="shared" si="358"/>
        <v>0</v>
      </c>
      <c r="O2836" s="3">
        <f t="shared" si="359"/>
        <v>0</v>
      </c>
      <c r="S2836" s="3" t="s">
        <v>2536</v>
      </c>
      <c r="V2836" s="51">
        <v>0.33680555555555558</v>
      </c>
    </row>
    <row r="2837" spans="1:22" hidden="1">
      <c r="A2837" s="12">
        <v>24846048</v>
      </c>
      <c r="B2837" s="13">
        <v>46290</v>
      </c>
      <c r="C2837" s="14">
        <v>0.97342592592592592</v>
      </c>
      <c r="D2837" s="15" t="s">
        <v>2637</v>
      </c>
      <c r="E2837" s="16">
        <v>5214361075073</v>
      </c>
      <c r="F2837" s="15"/>
      <c r="G2837" s="15" t="s">
        <v>2638</v>
      </c>
      <c r="H2837" s="17"/>
      <c r="I2837" s="15"/>
      <c r="J2837" s="18"/>
      <c r="K2837" t="s">
        <v>32</v>
      </c>
      <c r="N2837" s="3">
        <f t="shared" si="358"/>
        <v>0</v>
      </c>
      <c r="O2837" s="3">
        <f t="shared" si="359"/>
        <v>0</v>
      </c>
      <c r="S2837" s="3" t="s">
        <v>2536</v>
      </c>
      <c r="V2837" s="51">
        <v>0.33680555555555558</v>
      </c>
    </row>
    <row r="2838" spans="1:22" hidden="1">
      <c r="A2838" s="12">
        <v>24847694</v>
      </c>
      <c r="B2838" s="13">
        <v>46291</v>
      </c>
      <c r="C2838" s="14">
        <v>0.16501157407407407</v>
      </c>
      <c r="D2838" s="15"/>
      <c r="E2838" s="16">
        <v>5212491639727</v>
      </c>
      <c r="F2838" s="15"/>
      <c r="G2838" s="15" t="s">
        <v>2639</v>
      </c>
      <c r="H2838" s="17"/>
      <c r="I2838" s="15"/>
      <c r="J2838" s="18"/>
      <c r="K2838" t="s">
        <v>32</v>
      </c>
      <c r="N2838" s="3">
        <f t="shared" si="358"/>
        <v>0</v>
      </c>
      <c r="O2838" s="3">
        <f t="shared" si="359"/>
        <v>0</v>
      </c>
      <c r="S2838" s="3" t="s">
        <v>2536</v>
      </c>
      <c r="V2838" s="51">
        <v>0.33680555555555558</v>
      </c>
    </row>
    <row r="2839" spans="1:22">
      <c r="A2839" s="12">
        <v>24849304</v>
      </c>
      <c r="B2839" s="13">
        <v>46291</v>
      </c>
      <c r="C2839" s="14">
        <v>0.29541666666666666</v>
      </c>
      <c r="D2839" s="15" t="s">
        <v>2640</v>
      </c>
      <c r="E2839" s="16">
        <v>5219991849815</v>
      </c>
      <c r="F2839" s="15"/>
      <c r="G2839" s="15"/>
      <c r="H2839" s="17">
        <v>84816413268</v>
      </c>
      <c r="I2839" s="15"/>
      <c r="J2839" s="18"/>
      <c r="K2839" t="s">
        <v>38</v>
      </c>
      <c r="L2839" s="3">
        <f>20496.5+530.33+7814</f>
        <v>28840.83</v>
      </c>
      <c r="M2839" s="3">
        <f>7814+530.33</f>
        <v>8344.33</v>
      </c>
      <c r="N2839" s="3">
        <f t="shared" si="358"/>
        <v>8652.2489999999998</v>
      </c>
      <c r="O2839" s="3">
        <f t="shared" si="359"/>
        <v>307.91899999999987</v>
      </c>
      <c r="P2839" s="6">
        <v>46600</v>
      </c>
      <c r="Q2839" t="s">
        <v>77</v>
      </c>
      <c r="R2839" s="3">
        <v>7814</v>
      </c>
      <c r="S2839" s="3" t="s">
        <v>2626</v>
      </c>
      <c r="T2839" s="48">
        <v>46291</v>
      </c>
      <c r="V2839" s="51">
        <v>0.33680555555555558</v>
      </c>
    </row>
    <row r="2840" spans="1:22">
      <c r="A2840" s="30">
        <v>24850814</v>
      </c>
      <c r="B2840" s="31">
        <v>46291</v>
      </c>
      <c r="C2840" s="32">
        <v>0.33531250000000001</v>
      </c>
      <c r="D2840" s="33"/>
      <c r="E2840" s="34">
        <v>5217202649275</v>
      </c>
      <c r="F2840" s="33"/>
      <c r="G2840" s="33"/>
      <c r="H2840" s="35" t="s">
        <v>2641</v>
      </c>
      <c r="I2840" s="33"/>
      <c r="J2840" s="36"/>
      <c r="K2840" t="s">
        <v>34</v>
      </c>
      <c r="L2840" s="3">
        <f>7866.99+3020.85</f>
        <v>10887.84</v>
      </c>
      <c r="M2840" s="3">
        <v>3020.85</v>
      </c>
      <c r="N2840" s="3">
        <f t="shared" si="358"/>
        <v>3266.3519999999999</v>
      </c>
      <c r="O2840" s="3">
        <f t="shared" si="359"/>
        <v>245.50199999999995</v>
      </c>
      <c r="P2840" s="6">
        <v>46082</v>
      </c>
      <c r="Q2840" t="s">
        <v>141</v>
      </c>
      <c r="R2840" s="3">
        <v>3020.85</v>
      </c>
      <c r="S2840" s="3" t="s">
        <v>35</v>
      </c>
      <c r="T2840" s="48">
        <v>46291</v>
      </c>
      <c r="V2840" s="51">
        <v>0.33680555555555558</v>
      </c>
    </row>
    <row r="2841" spans="1:22" hidden="1">
      <c r="A2841" s="30">
        <v>24852138</v>
      </c>
      <c r="B2841" s="31">
        <v>46291</v>
      </c>
      <c r="C2841" s="32">
        <v>0.39167824074074076</v>
      </c>
      <c r="D2841" s="33"/>
      <c r="E2841" s="34">
        <v>5212292282658</v>
      </c>
      <c r="F2841" s="33"/>
      <c r="G2841" s="33" t="s">
        <v>2642</v>
      </c>
      <c r="H2841" s="35" t="s">
        <v>2643</v>
      </c>
      <c r="I2841" s="33"/>
      <c r="J2841" s="36"/>
      <c r="K2841" t="s">
        <v>58</v>
      </c>
      <c r="L2841" s="3">
        <v>3505.89</v>
      </c>
      <c r="N2841" s="3">
        <f>L2841*0.3</f>
        <v>1051.7669999999998</v>
      </c>
      <c r="O2841" s="3">
        <f>(IF(L2841&lt;4172.98,0,MIN(L2841*0.3,L2841-4172.98)))-M2841</f>
        <v>0</v>
      </c>
      <c r="S2841" s="3" t="s">
        <v>2536</v>
      </c>
      <c r="V2841" s="51">
        <v>0.39444444444444443</v>
      </c>
    </row>
    <row r="2842" spans="1:22">
      <c r="A2842" s="30">
        <v>24852316</v>
      </c>
      <c r="B2842" s="31">
        <v>46291</v>
      </c>
      <c r="C2842" s="32">
        <v>0.40128472222222222</v>
      </c>
      <c r="D2842" s="33"/>
      <c r="E2842" s="34">
        <v>5216291040711</v>
      </c>
      <c r="F2842" s="33"/>
      <c r="G2842" s="33" t="s">
        <v>2644</v>
      </c>
      <c r="H2842" s="35"/>
      <c r="I2842" s="33"/>
      <c r="J2842" s="36"/>
      <c r="K2842" t="s">
        <v>38</v>
      </c>
      <c r="L2842" s="3">
        <f>6685.32+1854.57</f>
        <v>8539.89</v>
      </c>
      <c r="M2842" s="3">
        <v>1854.57</v>
      </c>
      <c r="N2842" s="3">
        <f>L2842*0.3</f>
        <v>2561.9669999999996</v>
      </c>
      <c r="O2842" s="3">
        <f>(IF(L2842&lt;4172.98,0,MIN(L2842*0.3,L2842-4172.98)))-M2842</f>
        <v>707.39699999999971</v>
      </c>
      <c r="P2842" s="6">
        <v>46997</v>
      </c>
      <c r="Q2842" t="s">
        <v>44</v>
      </c>
      <c r="S2842" s="3" t="s">
        <v>2626</v>
      </c>
      <c r="T2842" s="48">
        <v>46291</v>
      </c>
      <c r="V2842" s="51">
        <v>0.40277777777777779</v>
      </c>
    </row>
    <row r="2843" spans="1:22">
      <c r="A2843" s="30">
        <v>24853080</v>
      </c>
      <c r="B2843" s="31">
        <v>46291</v>
      </c>
      <c r="C2843" s="32">
        <v>0.44040509259259258</v>
      </c>
      <c r="D2843" s="33"/>
      <c r="E2843" s="34">
        <v>5216677772535</v>
      </c>
      <c r="F2843" s="33"/>
      <c r="G2843" s="33"/>
      <c r="H2843" s="35">
        <v>23867007439</v>
      </c>
      <c r="I2843" s="33"/>
      <c r="J2843" s="36"/>
      <c r="K2843" t="s">
        <v>38</v>
      </c>
      <c r="L2843" s="3">
        <v>6405.06</v>
      </c>
      <c r="M2843" s="3">
        <v>879</v>
      </c>
      <c r="N2843" s="3">
        <f>L2843*0.3</f>
        <v>1921.518</v>
      </c>
      <c r="O2843" s="3">
        <f>(IF(L2843&lt;4172.98,0,MIN(L2843*0.3,L2843-4172.98)))-M2843</f>
        <v>1042.518</v>
      </c>
      <c r="S2843" s="3" t="s">
        <v>2626</v>
      </c>
      <c r="T2843" s="48">
        <v>46291</v>
      </c>
      <c r="V2843" s="51">
        <v>0.44166666666666665</v>
      </c>
    </row>
    <row r="2844" spans="1:22" hidden="1">
      <c r="A2844" s="30">
        <v>24853442</v>
      </c>
      <c r="B2844" s="31">
        <v>46291</v>
      </c>
      <c r="C2844" s="32">
        <v>0.45618055555555553</v>
      </c>
      <c r="D2844" s="33"/>
      <c r="E2844" s="34">
        <v>5215663773612</v>
      </c>
      <c r="F2844" s="33"/>
      <c r="G2844" s="33"/>
      <c r="H2844" s="35">
        <v>15785000322</v>
      </c>
      <c r="I2844" s="33"/>
      <c r="J2844" s="36"/>
      <c r="K2844" t="s">
        <v>58</v>
      </c>
      <c r="L2844" s="3">
        <v>3879.3</v>
      </c>
      <c r="N2844" s="3">
        <f>L2844*0.3</f>
        <v>1163.79</v>
      </c>
      <c r="O2844" s="3">
        <f>(IF(L2844&lt;4172.98,0,MIN(L2844*0.3,L2844-4172.98)))-M2844</f>
        <v>0</v>
      </c>
      <c r="S2844" s="3" t="s">
        <v>2536</v>
      </c>
      <c r="V2844" s="51">
        <v>0.45694444444444443</v>
      </c>
    </row>
    <row r="2845" spans="1:22" hidden="1">
      <c r="A2845" s="220">
        <v>24853378</v>
      </c>
      <c r="B2845" s="31">
        <v>46291</v>
      </c>
      <c r="C2845" s="32">
        <v>0.45822916666666669</v>
      </c>
      <c r="D2845" s="33"/>
      <c r="E2845" s="34">
        <v>5215613353738</v>
      </c>
      <c r="F2845" s="33"/>
      <c r="G2845" s="33" t="s">
        <v>2645</v>
      </c>
      <c r="H2845" s="35"/>
      <c r="I2845" s="33"/>
      <c r="J2845" s="36"/>
      <c r="K2845" t="s">
        <v>32</v>
      </c>
      <c r="N2845" s="3">
        <f>L2845*0.3</f>
        <v>0</v>
      </c>
      <c r="O2845" s="3">
        <f>(IF(L2845&lt;4172.98,0,MIN(L2845*0.3,L2845-4172.98)))-M2845</f>
        <v>0</v>
      </c>
      <c r="S2845" s="3" t="s">
        <v>2536</v>
      </c>
      <c r="V2845" s="51">
        <v>0.46041666666666664</v>
      </c>
    </row>
    <row r="2846" spans="1:22">
      <c r="A2846" s="30">
        <v>24853748</v>
      </c>
      <c r="B2846" s="31">
        <v>46291</v>
      </c>
      <c r="C2846" s="32">
        <v>0.47076388888888887</v>
      </c>
      <c r="D2846" s="33"/>
      <c r="E2846" s="34">
        <v>5215534317683</v>
      </c>
      <c r="F2846" s="33"/>
      <c r="G2846" s="33" t="s">
        <v>2646</v>
      </c>
      <c r="H2846" s="35"/>
      <c r="I2846" s="33"/>
      <c r="J2846" s="36"/>
      <c r="K2846" t="s">
        <v>27</v>
      </c>
      <c r="L2846" s="111">
        <v>9202.56</v>
      </c>
      <c r="M2846" s="111">
        <v>2662.36</v>
      </c>
      <c r="N2846" s="3">
        <f>L2846*0.3</f>
        <v>2760.7679999999996</v>
      </c>
      <c r="O2846" s="3">
        <f>(IF(L2846&lt;4172.98,0,MIN(L2846*0.3,L2846-4172.98)))-M2846</f>
        <v>98.407999999999447</v>
      </c>
      <c r="P2846" s="6">
        <v>45536</v>
      </c>
      <c r="Q2846" t="s">
        <v>184</v>
      </c>
      <c r="R2846" s="3">
        <v>1917.32</v>
      </c>
      <c r="S2846" s="3" t="s">
        <v>1080</v>
      </c>
      <c r="T2846" s="48">
        <v>46291</v>
      </c>
      <c r="V2846" s="51">
        <v>0.47499999999999998</v>
      </c>
    </row>
    <row r="2847" spans="1:22" hidden="1">
      <c r="A2847" s="12">
        <v>24854188</v>
      </c>
      <c r="B2847" s="13">
        <v>46291</v>
      </c>
      <c r="C2847" s="14">
        <v>0.4879398148148148</v>
      </c>
      <c r="D2847" s="15"/>
      <c r="E2847" s="16"/>
      <c r="F2847" s="15"/>
      <c r="G2847" s="15"/>
      <c r="H2847" s="17" t="s">
        <v>2647</v>
      </c>
      <c r="I2847" s="15"/>
      <c r="J2847" s="18"/>
      <c r="K2847" t="s">
        <v>32</v>
      </c>
      <c r="N2847" s="3">
        <f>L2847*0.3</f>
        <v>0</v>
      </c>
      <c r="O2847" s="3">
        <f>(IF(L2847&lt;4172.98,0,MIN(L2847*0.3,L2847-4172.98)))-M2847</f>
        <v>0</v>
      </c>
      <c r="S2847" s="3" t="s">
        <v>2536</v>
      </c>
      <c r="V2847" s="51">
        <v>0.49722222222222223</v>
      </c>
    </row>
    <row r="2848" spans="1:22" hidden="1">
      <c r="A2848" s="12">
        <v>24854140</v>
      </c>
      <c r="B2848" s="13">
        <v>46291</v>
      </c>
      <c r="C2848" s="14">
        <v>0.49083333333333334</v>
      </c>
      <c r="D2848" s="15"/>
      <c r="E2848" s="16">
        <v>5219631857465</v>
      </c>
      <c r="F2848" s="15"/>
      <c r="G2848" s="15" t="s">
        <v>2648</v>
      </c>
      <c r="H2848" s="17"/>
      <c r="I2848" s="15"/>
      <c r="J2848" s="18"/>
      <c r="K2848" t="s">
        <v>32</v>
      </c>
      <c r="N2848" s="3">
        <f>L2848*0.3</f>
        <v>0</v>
      </c>
      <c r="O2848" s="3">
        <f>(IF(L2848&lt;4172.98,0,MIN(L2848*0.3,L2848-4172.98)))-M2848</f>
        <v>0</v>
      </c>
      <c r="S2848" s="3" t="s">
        <v>2536</v>
      </c>
      <c r="V2848" s="51">
        <v>0.49722222222222223</v>
      </c>
    </row>
    <row r="2849" spans="1:25" hidden="1">
      <c r="A2849" s="30">
        <v>24854272</v>
      </c>
      <c r="B2849" s="31">
        <v>46291</v>
      </c>
      <c r="C2849" s="32">
        <v>0.49629629629629629</v>
      </c>
      <c r="D2849" s="33"/>
      <c r="E2849" s="34">
        <v>5216441896679</v>
      </c>
      <c r="F2849" s="33"/>
      <c r="G2849" s="33"/>
      <c r="H2849" s="35" t="s">
        <v>2649</v>
      </c>
      <c r="I2849" s="33"/>
      <c r="J2849" s="36"/>
      <c r="K2849" t="s">
        <v>58</v>
      </c>
      <c r="L2849" s="3">
        <f>3079.6+979</f>
        <v>4058.6</v>
      </c>
      <c r="M2849" s="3">
        <v>879</v>
      </c>
      <c r="N2849" s="3">
        <f>L2849*0.3</f>
        <v>1217.58</v>
      </c>
      <c r="O2849" s="3">
        <f>(IF(L2849&lt;4172.98,0,MIN(L2849*0.3,L2849-4172.98)))-M2849</f>
        <v>-879</v>
      </c>
      <c r="S2849" s="3" t="s">
        <v>2536</v>
      </c>
      <c r="V2849" s="51">
        <v>0.49722222222222223</v>
      </c>
    </row>
    <row r="2850" spans="1:25">
      <c r="A2850" s="30">
        <v>24854372</v>
      </c>
      <c r="B2850" s="31">
        <v>46291</v>
      </c>
      <c r="C2850" s="32">
        <v>0.50202546296296291</v>
      </c>
      <c r="D2850" s="33"/>
      <c r="E2850" s="34">
        <v>5213223514750</v>
      </c>
      <c r="F2850" s="33"/>
      <c r="G2850" s="33"/>
      <c r="H2850" s="35">
        <v>54775628586</v>
      </c>
      <c r="I2850" s="33"/>
      <c r="J2850" s="36"/>
      <c r="K2850" t="s">
        <v>54</v>
      </c>
      <c r="L2850" s="3">
        <v>5617.63</v>
      </c>
      <c r="N2850" s="3">
        <f>L2850*0.3</f>
        <v>1685.289</v>
      </c>
      <c r="O2850" s="3">
        <f>(IF(L2850&lt;4172.98,0,MIN(L2850*0.3,L2850-4172.98)))-M2850</f>
        <v>1444.6500000000005</v>
      </c>
      <c r="S2850" s="3" t="s">
        <v>98</v>
      </c>
      <c r="T2850" s="48">
        <v>46291</v>
      </c>
      <c r="V2850" s="51">
        <v>0.50277777777777777</v>
      </c>
    </row>
    <row r="2851" spans="1:25" hidden="1">
      <c r="A2851" s="30">
        <v>24854900</v>
      </c>
      <c r="B2851" s="31">
        <v>46291</v>
      </c>
      <c r="C2851" s="32">
        <v>0.53142361111111114</v>
      </c>
      <c r="D2851" s="33"/>
      <c r="E2851" s="34">
        <v>5218110632863</v>
      </c>
      <c r="F2851" s="33"/>
      <c r="G2851" s="33"/>
      <c r="H2851" s="35">
        <v>43766024996</v>
      </c>
      <c r="I2851" s="33"/>
      <c r="J2851" s="36"/>
      <c r="K2851" t="s">
        <v>30</v>
      </c>
      <c r="L2851" s="3">
        <f>6639.45+2845</f>
        <v>9484.4500000000007</v>
      </c>
      <c r="M2851" s="3">
        <v>2845</v>
      </c>
      <c r="N2851" s="3">
        <f>L2851*0.3</f>
        <v>2845.335</v>
      </c>
      <c r="O2851" s="3">
        <f>(IF(L2851&lt;4172.98,0,MIN(L2851*0.3,L2851-4172.98)))-M2851</f>
        <v>0.33500000000003638</v>
      </c>
      <c r="P2851" s="6">
        <v>46844</v>
      </c>
      <c r="Q2851" t="s">
        <v>75</v>
      </c>
      <c r="R2851" s="3">
        <v>2845</v>
      </c>
      <c r="S2851" s="3" t="s">
        <v>2536</v>
      </c>
      <c r="V2851" s="51">
        <v>0.53472222222222221</v>
      </c>
    </row>
    <row r="2852" spans="1:25" hidden="1">
      <c r="A2852" s="30">
        <v>24854940</v>
      </c>
      <c r="B2852" s="31">
        <v>46291</v>
      </c>
      <c r="C2852" s="32">
        <v>0.53509259259259256</v>
      </c>
      <c r="D2852" s="33"/>
      <c r="E2852" s="34">
        <v>5217701028129</v>
      </c>
      <c r="F2852" s="33"/>
      <c r="G2852" s="33" t="s">
        <v>2650</v>
      </c>
      <c r="H2852" s="35"/>
      <c r="I2852" s="33"/>
      <c r="J2852" s="36"/>
      <c r="K2852" t="s">
        <v>32</v>
      </c>
      <c r="N2852" s="3">
        <f>L2852*0.3</f>
        <v>0</v>
      </c>
      <c r="O2852" s="3">
        <f>(IF(L2852&lt;4172.98,0,MIN(L2852*0.3,L2852-4172.98)))-M2852</f>
        <v>0</v>
      </c>
      <c r="S2852" s="3" t="s">
        <v>2536</v>
      </c>
      <c r="V2852" s="51">
        <v>0.53541666666666665</v>
      </c>
    </row>
    <row r="2853" spans="1:25" hidden="1">
      <c r="A2853" s="98">
        <v>24855362</v>
      </c>
      <c r="B2853" s="100">
        <v>46291</v>
      </c>
      <c r="C2853" s="101">
        <v>0.55807870370370372</v>
      </c>
      <c r="D2853" s="99"/>
      <c r="E2853" s="212">
        <v>5212711014807</v>
      </c>
      <c r="F2853" s="99"/>
      <c r="G2853" s="99"/>
      <c r="H2853" s="102">
        <v>67806423785</v>
      </c>
      <c r="I2853" s="15"/>
      <c r="J2853" s="18"/>
      <c r="K2853" t="s">
        <v>30</v>
      </c>
      <c r="L2853" s="3">
        <f>6832.23+1181.54+1746.55</f>
        <v>9760.32</v>
      </c>
      <c r="M2853" s="3">
        <f>1181.54+1746.55</f>
        <v>2928.09</v>
      </c>
      <c r="N2853" s="3">
        <f>L2853*0.3</f>
        <v>2928.096</v>
      </c>
      <c r="O2853" s="3">
        <f>(IF(L2853&lt;4172.98,0,MIN(L2853*0.3,L2853-4172.98)))-M2853</f>
        <v>5.9999999998581188E-3</v>
      </c>
      <c r="P2853" s="6">
        <v>46844</v>
      </c>
      <c r="Q2853" t="s">
        <v>75</v>
      </c>
      <c r="R2853" s="3">
        <v>1746</v>
      </c>
      <c r="S2853" s="3" t="s">
        <v>2536</v>
      </c>
      <c r="V2853" s="51">
        <v>0.5625</v>
      </c>
    </row>
    <row r="2854" spans="1:25">
      <c r="A2854" s="210">
        <v>24855350</v>
      </c>
      <c r="B2854" s="20">
        <v>46291</v>
      </c>
      <c r="C2854" s="21">
        <v>0.56145833333333328</v>
      </c>
      <c r="D2854" s="22"/>
      <c r="E2854" s="23">
        <v>5215559336894</v>
      </c>
      <c r="F2854" s="22"/>
      <c r="G2854" s="22"/>
      <c r="H2854" s="211" t="s">
        <v>2651</v>
      </c>
      <c r="I2854" s="33"/>
      <c r="J2854" s="36"/>
      <c r="K2854" t="s">
        <v>27</v>
      </c>
      <c r="L2854" s="3">
        <f>5025.04+1700</f>
        <v>6725.04</v>
      </c>
      <c r="M2854" s="3">
        <v>1700</v>
      </c>
      <c r="N2854" s="3">
        <f>L2854*0.3</f>
        <v>2017.5119999999999</v>
      </c>
      <c r="O2854" s="3">
        <f>(IF(L2854&lt;4172.98,0,MIN(L2854*0.3,L2854-4172.98)))-M2854</f>
        <v>317.51199999999994</v>
      </c>
      <c r="P2854" s="6">
        <v>45962</v>
      </c>
      <c r="Q2854" t="s">
        <v>75</v>
      </c>
      <c r="R2854" s="3">
        <v>1700</v>
      </c>
      <c r="S2854" s="3" t="s">
        <v>1080</v>
      </c>
      <c r="T2854" s="48">
        <v>46291</v>
      </c>
      <c r="V2854" s="51">
        <v>0.5625</v>
      </c>
    </row>
    <row r="2855" spans="1:25" hidden="1">
      <c r="A2855" s="12">
        <v>24855486</v>
      </c>
      <c r="B2855" s="13">
        <v>46291</v>
      </c>
      <c r="C2855" s="14">
        <v>0.5680439814814815</v>
      </c>
      <c r="D2855" s="15"/>
      <c r="E2855" s="16">
        <v>5218713513455</v>
      </c>
      <c r="F2855" s="15"/>
      <c r="G2855" s="15"/>
      <c r="H2855" s="17" t="s">
        <v>2652</v>
      </c>
      <c r="I2855" s="15"/>
      <c r="J2855" s="18"/>
      <c r="K2855" t="s">
        <v>30</v>
      </c>
      <c r="L2855" s="3">
        <f>5197.76+2111.84</f>
        <v>7309.6</v>
      </c>
      <c r="M2855" s="3">
        <v>2111.84</v>
      </c>
      <c r="N2855" s="3">
        <f t="shared" ref="N2855:N2856" si="360">L2855*0.3</f>
        <v>2192.88</v>
      </c>
      <c r="O2855" s="3">
        <f t="shared" ref="O2855:O2856" si="361">(IF(L2855&lt;4172.98,0,MIN(L2855*0.3,L2855-4172.98)))-M2855</f>
        <v>81.039999999999964</v>
      </c>
      <c r="P2855" s="6">
        <v>46508</v>
      </c>
      <c r="Q2855" t="s">
        <v>2472</v>
      </c>
      <c r="R2855" s="3">
        <v>2111.84</v>
      </c>
      <c r="S2855" s="3" t="s">
        <v>2536</v>
      </c>
      <c r="V2855" s="51">
        <v>0.56597222222222221</v>
      </c>
    </row>
    <row r="2856" spans="1:25">
      <c r="A2856" s="30">
        <v>24855512</v>
      </c>
      <c r="B2856" s="31">
        <v>46291</v>
      </c>
      <c r="C2856" s="32">
        <v>0.5696296296296296</v>
      </c>
      <c r="D2856" s="33"/>
      <c r="E2856" s="34">
        <v>5218119057809</v>
      </c>
      <c r="F2856" s="33"/>
      <c r="G2856" s="33"/>
      <c r="H2856" s="35">
        <v>43806048575</v>
      </c>
      <c r="I2856" s="33"/>
      <c r="J2856" s="36"/>
      <c r="K2856" t="s">
        <v>34</v>
      </c>
      <c r="L2856" s="3">
        <f>4441.85+1175.78</f>
        <v>5617.63</v>
      </c>
      <c r="M2856" s="3">
        <v>1175.75</v>
      </c>
      <c r="N2856" s="3">
        <f t="shared" si="360"/>
        <v>1685.289</v>
      </c>
      <c r="O2856" s="3">
        <f t="shared" si="361"/>
        <v>268.90000000000055</v>
      </c>
      <c r="P2856" s="6">
        <v>45689</v>
      </c>
      <c r="Q2856" t="s">
        <v>141</v>
      </c>
      <c r="R2856" s="3">
        <v>1175.8</v>
      </c>
      <c r="S2856" s="3" t="s">
        <v>35</v>
      </c>
      <c r="T2856" s="48">
        <v>46291</v>
      </c>
      <c r="V2856" s="51">
        <v>0.5708333333333333</v>
      </c>
    </row>
    <row r="2857" spans="1:25" hidden="1">
      <c r="A2857" s="30">
        <v>24855374</v>
      </c>
      <c r="B2857" s="31">
        <v>46291</v>
      </c>
      <c r="C2857" s="32">
        <v>0.57490740740740742</v>
      </c>
      <c r="D2857" s="33"/>
      <c r="E2857" s="34">
        <v>5216449981527</v>
      </c>
      <c r="F2857" s="33"/>
      <c r="G2857" s="33"/>
      <c r="H2857" s="35">
        <v>24806140828</v>
      </c>
      <c r="I2857" s="33"/>
      <c r="J2857" s="36"/>
      <c r="K2857" t="s">
        <v>30</v>
      </c>
      <c r="L2857" s="3">
        <f>6360.71+2720.81</f>
        <v>9081.52</v>
      </c>
      <c r="M2857" s="3">
        <v>2720.81</v>
      </c>
      <c r="N2857" s="3">
        <f>L2857*0.3</f>
        <v>2724.4560000000001</v>
      </c>
      <c r="O2857" s="3">
        <f>(IF(L2857&lt;4172.98,0,MIN(L2857*0.3,L2857-4172.98)))-M2857</f>
        <v>3.6460000000001855</v>
      </c>
      <c r="P2857" s="6">
        <v>46935</v>
      </c>
      <c r="Q2857" t="s">
        <v>43</v>
      </c>
      <c r="R2857" s="3">
        <v>2720.81</v>
      </c>
      <c r="S2857" s="3" t="s">
        <v>2536</v>
      </c>
      <c r="V2857" s="51">
        <v>0.5756944444444444</v>
      </c>
    </row>
    <row r="2858" spans="1:25" hidden="1">
      <c r="A2858" s="30">
        <v>24855650</v>
      </c>
      <c r="B2858" s="31">
        <v>46291</v>
      </c>
      <c r="C2858" s="32">
        <v>0.57781249999999995</v>
      </c>
      <c r="D2858" s="33"/>
      <c r="E2858" s="34">
        <v>5216184458140</v>
      </c>
      <c r="F2858" s="33"/>
      <c r="G2858" s="33"/>
      <c r="H2858" s="35">
        <v>10856006324</v>
      </c>
      <c r="I2858" s="33"/>
      <c r="J2858" s="36"/>
      <c r="K2858" t="s">
        <v>30</v>
      </c>
      <c r="L2858" s="3">
        <f>4224.63+1393</f>
        <v>5617.63</v>
      </c>
      <c r="M2858" s="3">
        <v>1393</v>
      </c>
      <c r="N2858" s="3">
        <f>L2858*0.3</f>
        <v>1685.289</v>
      </c>
      <c r="O2858" s="3">
        <f>(IF(L2858&lt;4172.98,0,MIN(L2858*0.3,L2858-4172.98)))-M2858</f>
        <v>51.650000000000546</v>
      </c>
      <c r="P2858" s="6">
        <v>46419</v>
      </c>
      <c r="Q2858" t="s">
        <v>75</v>
      </c>
      <c r="R2858" s="3">
        <v>1393</v>
      </c>
      <c r="S2858" s="3" t="s">
        <v>2536</v>
      </c>
      <c r="U2858" s="85"/>
      <c r="V2858" s="51">
        <v>0.57986111111111116</v>
      </c>
    </row>
    <row r="2859" spans="1:25">
      <c r="A2859" s="12">
        <v>24855772</v>
      </c>
      <c r="B2859" s="13">
        <v>46291</v>
      </c>
      <c r="C2859" s="14">
        <v>0.58916666666666662</v>
      </c>
      <c r="D2859" s="15" t="s">
        <v>2653</v>
      </c>
      <c r="E2859" s="16">
        <v>2322539355</v>
      </c>
      <c r="F2859" s="15"/>
      <c r="G2859" s="15" t="s">
        <v>2654</v>
      </c>
      <c r="H2859" s="17"/>
      <c r="I2859" s="15"/>
      <c r="J2859" s="18"/>
      <c r="K2859" t="s">
        <v>32</v>
      </c>
      <c r="N2859" s="3">
        <f t="shared" ref="N2859:N2860" si="362">L2859*0.3</f>
        <v>0</v>
      </c>
      <c r="O2859" s="3">
        <f t="shared" ref="O2859:O2860" si="363">(IF(L2859&lt;4172.98,0,MIN(L2859*0.3,L2859-4172.98)))-M2859</f>
        <v>0</v>
      </c>
      <c r="S2859" s="3" t="s">
        <v>2536</v>
      </c>
      <c r="V2859" s="51">
        <v>0.52222222222222225</v>
      </c>
    </row>
    <row r="2860" spans="1:25">
      <c r="A2860" s="30">
        <v>24855890</v>
      </c>
      <c r="B2860" s="31">
        <v>46291</v>
      </c>
      <c r="C2860" s="32">
        <v>0.59321759259259255</v>
      </c>
      <c r="D2860" s="33"/>
      <c r="E2860" s="34">
        <v>5215540887648</v>
      </c>
      <c r="F2860" s="33"/>
      <c r="G2860" s="33" t="s">
        <v>2655</v>
      </c>
      <c r="H2860" s="35"/>
      <c r="I2860" s="33"/>
      <c r="J2860" s="36"/>
      <c r="K2860" t="s">
        <v>54</v>
      </c>
      <c r="L2860" s="3">
        <v>14919.42</v>
      </c>
      <c r="N2860" s="3">
        <f t="shared" si="362"/>
        <v>4475.826</v>
      </c>
      <c r="O2860" s="3">
        <f t="shared" si="363"/>
        <v>4475.826</v>
      </c>
      <c r="S2860" s="3" t="s">
        <v>95</v>
      </c>
      <c r="T2860" s="48">
        <v>46292</v>
      </c>
      <c r="V2860" s="51">
        <v>0.52222222222222225</v>
      </c>
      <c r="W2860" s="51">
        <v>0.56319444444444444</v>
      </c>
      <c r="X2860" s="51">
        <v>0.57013888888888886</v>
      </c>
      <c r="Y2860" s="51">
        <v>0.5756944444444444</v>
      </c>
    </row>
    <row r="2861" spans="1:25">
      <c r="A2861" s="12">
        <v>24856056</v>
      </c>
      <c r="B2861" s="13">
        <v>46291</v>
      </c>
      <c r="C2861" s="14">
        <v>0.60252314814814811</v>
      </c>
      <c r="D2861" s="15"/>
      <c r="E2861" s="16">
        <v>5216568089655</v>
      </c>
      <c r="F2861" s="15"/>
      <c r="G2861" s="15" t="s">
        <v>2656</v>
      </c>
      <c r="H2861" s="17" t="s">
        <v>2657</v>
      </c>
      <c r="I2861" s="15"/>
      <c r="J2861" s="18"/>
      <c r="K2861" t="s">
        <v>32</v>
      </c>
      <c r="N2861" s="3">
        <f t="shared" ref="N2861:N2864" si="364">L2861*0.3</f>
        <v>0</v>
      </c>
      <c r="O2861" s="3">
        <f t="shared" ref="O2861:O2864" si="365">(IF(L2861&lt;4172.98,0,MIN(L2861*0.3,L2861-4172.98)))-M2861</f>
        <v>0</v>
      </c>
      <c r="S2861" s="3" t="s">
        <v>2536</v>
      </c>
      <c r="V2861" s="51">
        <v>0.52361111111111114</v>
      </c>
    </row>
    <row r="2862" spans="1:25">
      <c r="A2862" s="12">
        <v>24856338</v>
      </c>
      <c r="B2862" s="13">
        <v>46291</v>
      </c>
      <c r="C2862" s="14">
        <v>0.61988425925925927</v>
      </c>
      <c r="D2862" s="15"/>
      <c r="E2862" s="16">
        <v>5214446023050</v>
      </c>
      <c r="F2862" s="15"/>
      <c r="G2862" s="15"/>
      <c r="H2862" s="17">
        <v>41926403720</v>
      </c>
      <c r="I2862" s="15"/>
      <c r="J2862" s="18"/>
      <c r="K2862" t="s">
        <v>30</v>
      </c>
      <c r="L2862" s="111">
        <v>9081.52</v>
      </c>
      <c r="M2862" s="111">
        <v>2626.95</v>
      </c>
      <c r="N2862" s="3">
        <f t="shared" si="364"/>
        <v>2724.4560000000001</v>
      </c>
      <c r="O2862" s="3">
        <f t="shared" si="365"/>
        <v>97.506000000000313</v>
      </c>
      <c r="P2862" s="6">
        <v>46692</v>
      </c>
      <c r="Q2862" t="s">
        <v>73</v>
      </c>
      <c r="R2862" s="111">
        <v>2626.95</v>
      </c>
      <c r="S2862" s="3" t="s">
        <v>2536</v>
      </c>
      <c r="V2862" s="51">
        <v>0.52361111111111114</v>
      </c>
    </row>
    <row r="2863" spans="1:25">
      <c r="A2863" s="12">
        <v>24856558</v>
      </c>
      <c r="B2863" s="13">
        <v>46291</v>
      </c>
      <c r="C2863" s="14">
        <v>0.64295138888888892</v>
      </c>
      <c r="D2863" s="15"/>
      <c r="E2863" s="16">
        <v>5217821227840</v>
      </c>
      <c r="F2863" s="15"/>
      <c r="G2863" s="218" t="s">
        <v>2658</v>
      </c>
      <c r="H2863" s="17"/>
      <c r="I2863" s="15"/>
      <c r="J2863" s="18"/>
      <c r="K2863" t="s">
        <v>32</v>
      </c>
      <c r="N2863" s="3">
        <f t="shared" si="364"/>
        <v>0</v>
      </c>
      <c r="O2863" s="3">
        <f t="shared" si="365"/>
        <v>0</v>
      </c>
      <c r="S2863" s="3" t="s">
        <v>2536</v>
      </c>
      <c r="V2863" s="51">
        <v>0.52361111111111114</v>
      </c>
    </row>
    <row r="2864" spans="1:25">
      <c r="A2864" s="30">
        <v>24856788</v>
      </c>
      <c r="B2864" s="31">
        <v>46291</v>
      </c>
      <c r="C2864" s="32">
        <v>0.65222222222222226</v>
      </c>
      <c r="D2864" s="33"/>
      <c r="E2864" s="34">
        <v>5217332471550</v>
      </c>
      <c r="F2864" s="33"/>
      <c r="G2864" s="33"/>
      <c r="H2864" s="35" t="s">
        <v>2659</v>
      </c>
      <c r="I2864" s="33"/>
      <c r="J2864" s="36"/>
      <c r="K2864" t="s">
        <v>32</v>
      </c>
      <c r="N2864" s="3">
        <f t="shared" si="364"/>
        <v>0</v>
      </c>
      <c r="O2864" s="3">
        <f t="shared" si="365"/>
        <v>0</v>
      </c>
      <c r="S2864" s="3" t="s">
        <v>2536</v>
      </c>
      <c r="V2864" s="51">
        <v>0.52361111111111114</v>
      </c>
    </row>
    <row r="2865" spans="1:25">
      <c r="A2865" s="12">
        <v>24857068</v>
      </c>
      <c r="B2865" s="13">
        <v>46291</v>
      </c>
      <c r="C2865" s="14">
        <v>0.67500000000000004</v>
      </c>
      <c r="D2865" s="15"/>
      <c r="E2865" s="16">
        <v>13462040926</v>
      </c>
      <c r="F2865" s="15"/>
      <c r="G2865" s="15" t="s">
        <v>2660</v>
      </c>
      <c r="H2865" s="17"/>
      <c r="I2865" s="15"/>
      <c r="J2865" s="18"/>
      <c r="K2865" t="s">
        <v>54</v>
      </c>
      <c r="L2865" s="3">
        <v>10636.54</v>
      </c>
      <c r="N2865" s="3">
        <f t="shared" ref="N2865:N2872" si="366">L2865*0.3</f>
        <v>3190.962</v>
      </c>
      <c r="O2865" s="3">
        <f t="shared" ref="O2865:O2872" si="367">(IF(L2865&lt;4172.98,0,MIN(L2865*0.3,L2865-4172.98)))-M2865</f>
        <v>3190.962</v>
      </c>
      <c r="S2865" s="3" t="s">
        <v>2661</v>
      </c>
      <c r="T2865" s="48">
        <v>46292</v>
      </c>
      <c r="V2865" s="51">
        <v>0.52500000000000002</v>
      </c>
      <c r="W2865" s="51">
        <v>0.56527777777777777</v>
      </c>
      <c r="X2865" s="51">
        <v>0.57222222222222219</v>
      </c>
      <c r="Y2865" s="51">
        <v>0.57291666666666663</v>
      </c>
    </row>
    <row r="2866" spans="1:25">
      <c r="A2866" s="12">
        <v>24857570</v>
      </c>
      <c r="B2866" s="13">
        <v>46291</v>
      </c>
      <c r="C2866" s="14">
        <v>0.67843750000000003</v>
      </c>
      <c r="D2866" s="15"/>
      <c r="E2866" s="16">
        <v>5214421863323</v>
      </c>
      <c r="F2866" s="15"/>
      <c r="G2866" s="15"/>
      <c r="H2866" s="17">
        <v>14664610798</v>
      </c>
      <c r="I2866" s="15"/>
      <c r="J2866" s="18"/>
      <c r="K2866" t="s">
        <v>27</v>
      </c>
      <c r="L2866" s="111">
        <v>18676.669999999998</v>
      </c>
      <c r="M2866" s="111">
        <v>4657.3999999999996</v>
      </c>
      <c r="N2866" s="3">
        <f t="shared" si="366"/>
        <v>5603.0009999999993</v>
      </c>
      <c r="O2866" s="3">
        <f t="shared" si="367"/>
        <v>945.60099999999966</v>
      </c>
      <c r="P2866" s="6">
        <v>45413</v>
      </c>
      <c r="Q2866" t="s">
        <v>184</v>
      </c>
      <c r="R2866" s="3">
        <v>1828.53</v>
      </c>
      <c r="S2866" s="3" t="s">
        <v>830</v>
      </c>
      <c r="T2866" s="48">
        <v>46292</v>
      </c>
      <c r="U2866" t="s">
        <v>368</v>
      </c>
      <c r="V2866" s="51">
        <v>0.52500000000000002</v>
      </c>
      <c r="W2866" s="51">
        <v>0.56666666666666665</v>
      </c>
      <c r="X2866" s="51">
        <v>0.57430555555555551</v>
      </c>
      <c r="Y2866" s="51">
        <v>0.6069444444444444</v>
      </c>
    </row>
    <row r="2867" spans="1:25">
      <c r="A2867" s="12">
        <v>24857620</v>
      </c>
      <c r="B2867" s="13">
        <v>46291</v>
      </c>
      <c r="C2867" s="14">
        <v>0.68413194444444447</v>
      </c>
      <c r="D2867" s="15"/>
      <c r="E2867" s="16"/>
      <c r="F2867" s="15"/>
      <c r="G2867" s="15"/>
      <c r="H2867" s="17" t="s">
        <v>2662</v>
      </c>
      <c r="I2867" s="15"/>
      <c r="J2867" s="18"/>
      <c r="K2867" t="s">
        <v>58</v>
      </c>
      <c r="L2867" s="3">
        <v>3882.85</v>
      </c>
      <c r="N2867" s="3">
        <f t="shared" si="366"/>
        <v>1164.855</v>
      </c>
      <c r="O2867" s="3">
        <f t="shared" si="367"/>
        <v>0</v>
      </c>
      <c r="S2867" s="3" t="s">
        <v>2536</v>
      </c>
      <c r="V2867" s="51">
        <v>0.52500000000000002</v>
      </c>
    </row>
    <row r="2868" spans="1:25">
      <c r="A2868" s="12">
        <v>24857966</v>
      </c>
      <c r="B2868" s="13">
        <v>46291</v>
      </c>
      <c r="C2868" s="14">
        <v>0.70283564814814814</v>
      </c>
      <c r="D2868" s="15"/>
      <c r="E2868" s="16">
        <v>5216681969566</v>
      </c>
      <c r="F2868" s="15"/>
      <c r="G2868" s="15"/>
      <c r="H2868" s="17">
        <v>23776101836</v>
      </c>
      <c r="I2868" s="15"/>
      <c r="J2868" s="18"/>
      <c r="K2868" t="s">
        <v>30</v>
      </c>
      <c r="L2868" s="111">
        <v>6262.86</v>
      </c>
      <c r="M2868" s="111">
        <v>1878.86</v>
      </c>
      <c r="N2868" s="3">
        <f t="shared" si="366"/>
        <v>1878.8579999999997</v>
      </c>
      <c r="O2868" s="3">
        <f t="shared" si="367"/>
        <v>-2.00000000018008E-3</v>
      </c>
      <c r="P2868" s="6">
        <v>46508</v>
      </c>
      <c r="Q2868" t="s">
        <v>59</v>
      </c>
      <c r="R2868" s="3">
        <v>830</v>
      </c>
      <c r="S2868" s="3" t="s">
        <v>2536</v>
      </c>
      <c r="V2868" s="51">
        <v>0.52500000000000002</v>
      </c>
    </row>
    <row r="2869" spans="1:25">
      <c r="A2869" s="12">
        <v>24858268</v>
      </c>
      <c r="B2869" s="13">
        <v>46291</v>
      </c>
      <c r="C2869" s="14">
        <v>0.72645833333333332</v>
      </c>
      <c r="D2869" s="15"/>
      <c r="E2869" s="16">
        <v>5214922664703</v>
      </c>
      <c r="F2869" s="15"/>
      <c r="G2869" s="15"/>
      <c r="H2869" s="17">
        <v>34815300248</v>
      </c>
      <c r="I2869" s="15"/>
      <c r="J2869" s="18"/>
      <c r="K2869" t="s">
        <v>58</v>
      </c>
      <c r="L2869" s="111">
        <v>5232.28</v>
      </c>
      <c r="M2869" s="111">
        <v>879</v>
      </c>
      <c r="N2869" s="3">
        <f t="shared" si="366"/>
        <v>1569.684</v>
      </c>
      <c r="O2869" s="3">
        <f t="shared" si="367"/>
        <v>180.30000000000018</v>
      </c>
      <c r="S2869" s="3" t="s">
        <v>2536</v>
      </c>
      <c r="V2869" s="51">
        <v>0.52500000000000002</v>
      </c>
    </row>
    <row r="2870" spans="1:25">
      <c r="A2870" s="12">
        <v>24858260</v>
      </c>
      <c r="B2870" s="13">
        <v>46291</v>
      </c>
      <c r="C2870" s="14">
        <v>0.7290740740740741</v>
      </c>
      <c r="D2870" s="15"/>
      <c r="E2870" s="16">
        <v>5219995855058</v>
      </c>
      <c r="F2870" s="15"/>
      <c r="G2870" s="15" t="s">
        <v>2663</v>
      </c>
      <c r="H2870" s="17"/>
      <c r="I2870" s="15"/>
      <c r="J2870" s="18"/>
      <c r="K2870" t="s">
        <v>32</v>
      </c>
      <c r="N2870" s="3">
        <f t="shared" si="366"/>
        <v>0</v>
      </c>
      <c r="O2870" s="3">
        <f t="shared" si="367"/>
        <v>0</v>
      </c>
      <c r="S2870" s="3" t="s">
        <v>2536</v>
      </c>
      <c r="V2870" s="51">
        <v>0.52500000000000002</v>
      </c>
    </row>
    <row r="2871" spans="1:25">
      <c r="A2871" s="12">
        <v>24858362</v>
      </c>
      <c r="B2871" s="13">
        <v>46291</v>
      </c>
      <c r="C2871" s="14">
        <v>0.7341550925925926</v>
      </c>
      <c r="D2871" s="15"/>
      <c r="E2871" s="16">
        <v>5218139189177</v>
      </c>
      <c r="F2871" s="15"/>
      <c r="G2871" s="218" t="s">
        <v>2664</v>
      </c>
      <c r="H2871" s="17" t="s">
        <v>2665</v>
      </c>
      <c r="I2871" s="15"/>
      <c r="J2871" s="18"/>
      <c r="K2871" t="s">
        <v>30</v>
      </c>
      <c r="L2871" s="111">
        <v>4813.6899999999996</v>
      </c>
      <c r="M2871" s="111">
        <v>640</v>
      </c>
      <c r="N2871" s="3">
        <f t="shared" si="366"/>
        <v>1444.1069999999997</v>
      </c>
      <c r="O2871" s="3">
        <f t="shared" si="367"/>
        <v>0.71000000000003638</v>
      </c>
      <c r="P2871" s="6">
        <v>46905</v>
      </c>
      <c r="Q2871" t="s">
        <v>80</v>
      </c>
      <c r="R2871" s="3">
        <v>640</v>
      </c>
      <c r="S2871" s="3" t="s">
        <v>2536</v>
      </c>
      <c r="V2871" s="51">
        <v>0.52500000000000002</v>
      </c>
    </row>
    <row r="2872" spans="1:25">
      <c r="A2872" s="30">
        <v>24858306</v>
      </c>
      <c r="B2872" s="31">
        <v>46291</v>
      </c>
      <c r="C2872" s="32">
        <v>0.73431712962962958</v>
      </c>
      <c r="D2872" s="33"/>
      <c r="E2872" s="34">
        <v>5213111160981</v>
      </c>
      <c r="F2872" s="33"/>
      <c r="G2872" s="33" t="s">
        <v>2666</v>
      </c>
      <c r="H2872" s="35"/>
      <c r="I2872" s="33"/>
      <c r="J2872" s="36"/>
      <c r="K2872" t="s">
        <v>30</v>
      </c>
      <c r="L2872" s="111">
        <v>7920.51</v>
      </c>
      <c r="M2872" s="111">
        <v>2197.16</v>
      </c>
      <c r="N2872" s="3">
        <f t="shared" si="366"/>
        <v>2376.1529999999998</v>
      </c>
      <c r="O2872" s="3">
        <f t="shared" si="367"/>
        <v>178.99299999999994</v>
      </c>
      <c r="P2872" s="6">
        <v>46388</v>
      </c>
      <c r="Q2872" t="s">
        <v>80</v>
      </c>
      <c r="R2872" s="111">
        <v>2197.16</v>
      </c>
      <c r="S2872" s="3" t="s">
        <v>2536</v>
      </c>
      <c r="V2872" s="51">
        <v>0.52500000000000002</v>
      </c>
    </row>
    <row r="2873" spans="1:25">
      <c r="A2873" s="12">
        <v>24858494</v>
      </c>
      <c r="B2873" s="13">
        <v>46291</v>
      </c>
      <c r="C2873" s="14">
        <v>0.74228009259259264</v>
      </c>
      <c r="D2873" s="15" t="s">
        <v>2667</v>
      </c>
      <c r="E2873" s="16">
        <v>5216311983601</v>
      </c>
      <c r="F2873" s="15"/>
      <c r="G2873" s="15" t="s">
        <v>2668</v>
      </c>
      <c r="H2873" s="17" t="s">
        <v>2669</v>
      </c>
      <c r="I2873" s="15"/>
      <c r="J2873" s="18"/>
      <c r="K2873" t="s">
        <v>30</v>
      </c>
      <c r="L2873" s="111">
        <v>9572.89</v>
      </c>
      <c r="M2873" s="111">
        <v>2871.87</v>
      </c>
      <c r="N2873" s="3">
        <f t="shared" ref="N2873:N2894" si="368">L2873*0.3</f>
        <v>2871.8669999999997</v>
      </c>
      <c r="O2873" s="3">
        <f t="shared" ref="O2873:O2894" si="369">(IF(L2873&lt;4172.98,0,MIN(L2873*0.3,L2873-4172.98)))-M2873</f>
        <v>-3.0000000001564331E-3</v>
      </c>
      <c r="P2873" s="6">
        <v>46966</v>
      </c>
      <c r="Q2873" t="s">
        <v>57</v>
      </c>
      <c r="R2873" s="111">
        <v>2871.87</v>
      </c>
      <c r="S2873" s="3" t="s">
        <v>2536</v>
      </c>
      <c r="V2873" s="51">
        <v>0.52638888888888891</v>
      </c>
    </row>
    <row r="2874" spans="1:25">
      <c r="A2874" s="12">
        <v>24858492</v>
      </c>
      <c r="B2874" s="13">
        <v>46291</v>
      </c>
      <c r="C2874" s="14">
        <v>0.74244212962962963</v>
      </c>
      <c r="D2874" s="15"/>
      <c r="E2874" s="16">
        <v>5212223383409</v>
      </c>
      <c r="F2874" s="15"/>
      <c r="G2874" s="15"/>
      <c r="H2874" s="17" t="s">
        <v>2670</v>
      </c>
      <c r="I2874" s="15"/>
      <c r="J2874" s="18"/>
      <c r="K2874" t="s">
        <v>30</v>
      </c>
      <c r="L2874" s="111">
        <v>9760.32</v>
      </c>
      <c r="M2874" s="111">
        <v>2914.84</v>
      </c>
      <c r="N2874" s="3">
        <f t="shared" si="368"/>
        <v>2928.096</v>
      </c>
      <c r="O2874" s="3">
        <f t="shared" si="369"/>
        <v>13.255999999999858</v>
      </c>
      <c r="P2874" s="6">
        <v>46935</v>
      </c>
      <c r="Q2874" t="s">
        <v>73</v>
      </c>
      <c r="R2874" s="111">
        <v>2914.84</v>
      </c>
      <c r="S2874" s="3" t="s">
        <v>2536</v>
      </c>
      <c r="V2874" s="51">
        <v>0.52638888888888891</v>
      </c>
    </row>
    <row r="2875" spans="1:25">
      <c r="A2875" s="12">
        <v>24858532</v>
      </c>
      <c r="B2875" s="13">
        <v>46291</v>
      </c>
      <c r="C2875" s="14">
        <v>0.7441550925925926</v>
      </c>
      <c r="D2875" s="15"/>
      <c r="E2875" s="16">
        <v>5219991864373</v>
      </c>
      <c r="F2875" s="15"/>
      <c r="G2875" s="15"/>
      <c r="H2875" s="209" t="s">
        <v>2671</v>
      </c>
      <c r="I2875" s="15"/>
      <c r="J2875" s="18"/>
      <c r="K2875" t="s">
        <v>30</v>
      </c>
      <c r="L2875" s="111">
        <v>9376.57</v>
      </c>
      <c r="M2875" s="111">
        <v>2812.58</v>
      </c>
      <c r="N2875" s="3">
        <f t="shared" si="368"/>
        <v>2812.971</v>
      </c>
      <c r="O2875" s="3">
        <f t="shared" si="369"/>
        <v>0.3910000000000764</v>
      </c>
      <c r="P2875" s="6">
        <v>46569</v>
      </c>
      <c r="Q2875" t="s">
        <v>73</v>
      </c>
      <c r="R2875" s="3">
        <v>2047.58</v>
      </c>
      <c r="S2875" s="3" t="s">
        <v>2536</v>
      </c>
      <c r="V2875" s="51">
        <v>0.52638888888888891</v>
      </c>
    </row>
    <row r="2876" spans="1:25">
      <c r="A2876" s="12">
        <v>24858628</v>
      </c>
      <c r="B2876" s="13">
        <v>46291</v>
      </c>
      <c r="C2876" s="14">
        <v>0.7543981481481481</v>
      </c>
      <c r="D2876" s="15"/>
      <c r="E2876" s="16">
        <v>5216381122415</v>
      </c>
      <c r="F2876" s="15"/>
      <c r="G2876" s="15"/>
      <c r="H2876" s="17">
        <v>24826506651</v>
      </c>
      <c r="I2876" s="15"/>
      <c r="J2876" s="18"/>
      <c r="K2876" t="s">
        <v>189</v>
      </c>
      <c r="N2876" s="3">
        <f t="shared" si="368"/>
        <v>0</v>
      </c>
      <c r="O2876" s="3">
        <f t="shared" si="369"/>
        <v>0</v>
      </c>
      <c r="S2876" s="3" t="s">
        <v>2536</v>
      </c>
      <c r="V2876" s="51">
        <v>0.52638888888888891</v>
      </c>
    </row>
    <row r="2877" spans="1:25">
      <c r="A2877" s="12">
        <v>24858708</v>
      </c>
      <c r="B2877" s="13">
        <v>46291</v>
      </c>
      <c r="C2877" s="14">
        <v>0.75585648148148143</v>
      </c>
      <c r="D2877" s="15"/>
      <c r="E2877" s="16">
        <v>5218341152824</v>
      </c>
      <c r="F2877" s="15"/>
      <c r="G2877" s="15"/>
      <c r="H2877" s="17">
        <v>43816286629</v>
      </c>
      <c r="I2877" s="15"/>
      <c r="J2877" s="18"/>
      <c r="K2877" t="s">
        <v>30</v>
      </c>
      <c r="L2877" s="111">
        <v>10636.54</v>
      </c>
      <c r="M2877" s="111">
        <v>3162.86</v>
      </c>
      <c r="N2877" s="3">
        <f t="shared" si="368"/>
        <v>3190.962</v>
      </c>
      <c r="O2877" s="3">
        <f t="shared" si="369"/>
        <v>28.101999999999862</v>
      </c>
      <c r="P2877" s="6">
        <v>46874</v>
      </c>
      <c r="Q2877" t="s">
        <v>57</v>
      </c>
      <c r="R2877" s="111">
        <v>3162.86</v>
      </c>
      <c r="S2877" s="3" t="s">
        <v>2536</v>
      </c>
      <c r="V2877" s="51">
        <v>0.52638888888888891</v>
      </c>
    </row>
    <row r="2878" spans="1:25">
      <c r="A2878" s="12">
        <v>24859220</v>
      </c>
      <c r="B2878" s="13">
        <v>46291</v>
      </c>
      <c r="C2878" s="14">
        <v>0.80309027777777775</v>
      </c>
      <c r="D2878" s="15"/>
      <c r="E2878" s="16"/>
      <c r="F2878" s="15"/>
      <c r="G2878" s="15"/>
      <c r="H2878" s="17">
        <v>43958000119</v>
      </c>
      <c r="I2878" s="15"/>
      <c r="J2878" s="18"/>
      <c r="K2878" t="s">
        <v>54</v>
      </c>
      <c r="L2878" s="3">
        <v>9081.51</v>
      </c>
      <c r="N2878" s="3">
        <f t="shared" si="368"/>
        <v>2724.453</v>
      </c>
      <c r="O2878" s="3">
        <f t="shared" si="369"/>
        <v>2724.453</v>
      </c>
      <c r="S2878" s="3" t="s">
        <v>95</v>
      </c>
      <c r="T2878" s="48">
        <v>46292</v>
      </c>
      <c r="V2878" s="51">
        <v>0.52638888888888891</v>
      </c>
      <c r="W2878" s="51">
        <v>0.57916666666666672</v>
      </c>
      <c r="X2878" s="51">
        <v>0.58194444444444449</v>
      </c>
      <c r="Y2878" s="51">
        <v>0.58819444444444446</v>
      </c>
    </row>
    <row r="2879" spans="1:25">
      <c r="A2879" s="12">
        <v>24859326</v>
      </c>
      <c r="B2879" s="13">
        <v>46291</v>
      </c>
      <c r="C2879" s="14">
        <v>0.81667824074074069</v>
      </c>
      <c r="D2879" s="15" t="s">
        <v>2672</v>
      </c>
      <c r="E2879" s="16">
        <v>5215514442944</v>
      </c>
      <c r="F2879" s="15"/>
      <c r="G2879" s="15" t="s">
        <v>2673</v>
      </c>
      <c r="H2879" s="209" t="s">
        <v>2674</v>
      </c>
      <c r="I2879" s="15"/>
      <c r="J2879" s="18"/>
      <c r="K2879" t="s">
        <v>54</v>
      </c>
      <c r="L2879" s="3">
        <v>9760.32</v>
      </c>
      <c r="N2879" s="3">
        <f t="shared" si="368"/>
        <v>2928.096</v>
      </c>
      <c r="O2879" s="3">
        <f t="shared" si="369"/>
        <v>2928.096</v>
      </c>
      <c r="S2879" s="3" t="s">
        <v>2661</v>
      </c>
      <c r="T2879" s="48">
        <v>46292</v>
      </c>
      <c r="V2879" s="51">
        <v>0.52638888888888891</v>
      </c>
      <c r="W2879" s="51">
        <v>0.5805555555555556</v>
      </c>
      <c r="X2879" s="51">
        <v>0.58263888888888893</v>
      </c>
      <c r="Y2879" s="51">
        <v>0.58333333333333337</v>
      </c>
    </row>
    <row r="2880" spans="1:25">
      <c r="A2880" s="12">
        <v>24859552</v>
      </c>
      <c r="B2880" s="13">
        <v>46291</v>
      </c>
      <c r="C2880" s="14">
        <v>0.83436342592592594</v>
      </c>
      <c r="D2880" s="15"/>
      <c r="E2880" s="16">
        <v>5213123043094</v>
      </c>
      <c r="F2880" s="15"/>
      <c r="G2880" s="15"/>
      <c r="H2880" s="17">
        <v>52776000201</v>
      </c>
      <c r="I2880" s="15"/>
      <c r="J2880" s="18"/>
      <c r="K2880" t="s">
        <v>38</v>
      </c>
      <c r="L2880" s="111">
        <v>35054.53</v>
      </c>
      <c r="M2880" s="111">
        <v>9719.9</v>
      </c>
      <c r="N2880" s="3">
        <f t="shared" si="368"/>
        <v>10516.358999999999</v>
      </c>
      <c r="O2880" s="3">
        <f t="shared" si="369"/>
        <v>796.45899999999892</v>
      </c>
      <c r="P2880" s="6">
        <v>46874</v>
      </c>
      <c r="Q2880" t="s">
        <v>73</v>
      </c>
      <c r="R2880" s="3">
        <v>3797.49</v>
      </c>
      <c r="S2880" s="3" t="s">
        <v>39</v>
      </c>
      <c r="T2880" s="48">
        <v>46292</v>
      </c>
      <c r="V2880" s="51">
        <v>0.52638888888888891</v>
      </c>
      <c r="W2880" s="51">
        <v>0.58333333333333337</v>
      </c>
      <c r="X2880" s="51">
        <v>0.58611111111111114</v>
      </c>
      <c r="Y2880" s="51">
        <v>0.58680555555555558</v>
      </c>
    </row>
    <row r="2881" spans="1:25">
      <c r="A2881" s="12">
        <v>24859672</v>
      </c>
      <c r="B2881" s="13">
        <v>46291</v>
      </c>
      <c r="C2881" s="14">
        <v>0.84658564814814818</v>
      </c>
      <c r="D2881" s="15"/>
      <c r="E2881" s="16">
        <v>5219871370896</v>
      </c>
      <c r="F2881" s="15"/>
      <c r="G2881" s="15"/>
      <c r="H2881" s="17">
        <v>82775903014</v>
      </c>
      <c r="I2881" s="15"/>
      <c r="J2881" s="18"/>
      <c r="K2881" t="s">
        <v>30</v>
      </c>
      <c r="L2881" s="111">
        <v>9081.52</v>
      </c>
      <c r="M2881" s="111">
        <v>2575.92</v>
      </c>
      <c r="N2881" s="3">
        <f t="shared" si="368"/>
        <v>2724.4560000000001</v>
      </c>
      <c r="O2881" s="3">
        <f t="shared" si="369"/>
        <v>148.53600000000006</v>
      </c>
      <c r="P2881" s="6">
        <v>46508</v>
      </c>
      <c r="Q2881" t="s">
        <v>57</v>
      </c>
      <c r="R2881" s="3">
        <v>1451.39</v>
      </c>
      <c r="S2881" s="3" t="s">
        <v>2536</v>
      </c>
      <c r="V2881" s="51">
        <v>0.52638888888888891</v>
      </c>
    </row>
    <row r="2882" spans="1:25">
      <c r="A2882" s="12">
        <v>24859634</v>
      </c>
      <c r="B2882" s="13">
        <v>46291</v>
      </c>
      <c r="C2882" s="14">
        <v>0.8861458333333333</v>
      </c>
      <c r="D2882" s="15"/>
      <c r="E2882" s="16">
        <v>2291383672</v>
      </c>
      <c r="F2882" s="15"/>
      <c r="G2882" s="15" t="s">
        <v>2675</v>
      </c>
      <c r="H2882" s="17"/>
      <c r="I2882" s="15"/>
      <c r="J2882" s="18"/>
      <c r="K2882" t="s">
        <v>30</v>
      </c>
      <c r="L2882" s="111">
        <v>9081.52</v>
      </c>
      <c r="M2882" s="111">
        <v>2627.5</v>
      </c>
      <c r="N2882" s="3">
        <f t="shared" si="368"/>
        <v>2724.4560000000001</v>
      </c>
      <c r="O2882" s="3">
        <f t="shared" si="369"/>
        <v>96.956000000000131</v>
      </c>
      <c r="P2882" s="6">
        <v>46419</v>
      </c>
      <c r="Q2882" t="s">
        <v>44</v>
      </c>
      <c r="R2882" s="111">
        <v>2627.5</v>
      </c>
      <c r="S2882" s="3" t="s">
        <v>2536</v>
      </c>
      <c r="V2882" s="51">
        <v>0.52638888888888891</v>
      </c>
    </row>
    <row r="2883" spans="1:25">
      <c r="A2883" s="12">
        <v>24860048</v>
      </c>
      <c r="B2883" s="13">
        <v>46291</v>
      </c>
      <c r="C2883" s="14">
        <v>0.89034722222222218</v>
      </c>
      <c r="D2883" s="15"/>
      <c r="E2883" s="16">
        <v>5215585707600</v>
      </c>
      <c r="F2883" s="15"/>
      <c r="G2883" s="15"/>
      <c r="H2883" s="17">
        <v>42906408485</v>
      </c>
      <c r="I2883" s="15"/>
      <c r="J2883" s="18"/>
      <c r="K2883" t="s">
        <v>32</v>
      </c>
      <c r="N2883" s="3">
        <f t="shared" si="368"/>
        <v>0</v>
      </c>
      <c r="O2883" s="3">
        <f t="shared" si="369"/>
        <v>0</v>
      </c>
      <c r="S2883" s="3" t="s">
        <v>2536</v>
      </c>
      <c r="V2883" s="51">
        <v>0.52638888888888891</v>
      </c>
    </row>
    <row r="2884" spans="1:25">
      <c r="A2884" s="12">
        <v>24861386</v>
      </c>
      <c r="B2884" s="13">
        <v>46291</v>
      </c>
      <c r="C2884" s="14">
        <v>0.90584490740740742</v>
      </c>
      <c r="D2884" s="15"/>
      <c r="E2884" s="16">
        <v>5215534552770</v>
      </c>
      <c r="F2884" s="15"/>
      <c r="G2884" s="15"/>
      <c r="H2884" s="17" t="s">
        <v>2676</v>
      </c>
      <c r="I2884" s="15"/>
      <c r="J2884" s="18"/>
      <c r="K2884" t="s">
        <v>38</v>
      </c>
      <c r="L2884" s="3">
        <v>5365.09</v>
      </c>
      <c r="N2884" s="3">
        <f t="shared" si="368"/>
        <v>1609.527</v>
      </c>
      <c r="O2884" s="3">
        <f t="shared" si="369"/>
        <v>1192.1100000000006</v>
      </c>
      <c r="S2884" s="3" t="s">
        <v>39</v>
      </c>
      <c r="T2884" s="48">
        <v>46292</v>
      </c>
      <c r="V2884" s="51">
        <v>0.52638888888888891</v>
      </c>
      <c r="W2884" s="51">
        <v>0.58680555555555558</v>
      </c>
      <c r="X2884" s="51">
        <v>0.59305555555555556</v>
      </c>
      <c r="Y2884" s="51">
        <v>0.63611111111111107</v>
      </c>
    </row>
    <row r="2885" spans="1:25">
      <c r="A2885" s="12">
        <v>24863216</v>
      </c>
      <c r="B2885" s="13">
        <v>46291</v>
      </c>
      <c r="C2885" s="14">
        <v>0.92605324074074069</v>
      </c>
      <c r="D2885" s="15"/>
      <c r="E2885" s="16">
        <v>5214821074756</v>
      </c>
      <c r="F2885" s="15"/>
      <c r="G2885" s="15" t="s">
        <v>2677</v>
      </c>
      <c r="H2885" s="17"/>
      <c r="I2885" s="15"/>
      <c r="J2885" s="18"/>
      <c r="K2885" t="s">
        <v>32</v>
      </c>
      <c r="N2885" s="3">
        <f t="shared" si="368"/>
        <v>0</v>
      </c>
      <c r="O2885" s="3">
        <f t="shared" si="369"/>
        <v>0</v>
      </c>
      <c r="S2885" s="3" t="s">
        <v>2536</v>
      </c>
      <c r="V2885" s="51">
        <v>0.52638888888888891</v>
      </c>
    </row>
    <row r="2886" spans="1:25">
      <c r="A2886" s="12">
        <v>24863336</v>
      </c>
      <c r="B2886" s="13">
        <v>46291</v>
      </c>
      <c r="C2886" s="14">
        <v>0.9500925925925926</v>
      </c>
      <c r="D2886" s="15"/>
      <c r="E2886" s="16">
        <v>5213131937919</v>
      </c>
      <c r="F2886" s="15"/>
      <c r="G2886" s="15" t="s">
        <v>2678</v>
      </c>
      <c r="H2886" s="17"/>
      <c r="I2886" s="15"/>
      <c r="J2886" s="18"/>
      <c r="K2886" t="s">
        <v>32</v>
      </c>
      <c r="N2886" s="3">
        <f t="shared" si="368"/>
        <v>0</v>
      </c>
      <c r="O2886" s="3">
        <f t="shared" si="369"/>
        <v>0</v>
      </c>
      <c r="S2886" s="3" t="s">
        <v>2536</v>
      </c>
      <c r="V2886" s="51">
        <v>0.52638888888888891</v>
      </c>
    </row>
    <row r="2887" spans="1:25">
      <c r="A2887" s="12">
        <v>24863456</v>
      </c>
      <c r="B2887" s="13">
        <v>46291</v>
      </c>
      <c r="C2887" s="14">
        <v>0.97703703703703704</v>
      </c>
      <c r="D2887" s="15"/>
      <c r="E2887" s="16">
        <v>5216241574927</v>
      </c>
      <c r="F2887" s="15"/>
      <c r="G2887" s="15"/>
      <c r="H2887" s="17">
        <v>15786300549</v>
      </c>
      <c r="I2887" s="15"/>
      <c r="J2887" s="18"/>
      <c r="K2887" t="s">
        <v>30</v>
      </c>
      <c r="L2887" s="111">
        <v>10636.54</v>
      </c>
      <c r="M2887" s="111">
        <v>3189.53</v>
      </c>
      <c r="N2887" s="3">
        <f t="shared" si="368"/>
        <v>3190.962</v>
      </c>
      <c r="O2887" s="3">
        <f t="shared" si="369"/>
        <v>1.431999999999789</v>
      </c>
      <c r="P2887" s="6">
        <v>46966</v>
      </c>
      <c r="Q2887" t="s">
        <v>43</v>
      </c>
      <c r="R2887" s="111">
        <v>3189.53</v>
      </c>
      <c r="S2887" s="3" t="s">
        <v>2536</v>
      </c>
      <c r="V2887" s="51">
        <v>0.52638888888888891</v>
      </c>
    </row>
    <row r="2888" spans="1:25">
      <c r="A2888" s="12">
        <v>24864078</v>
      </c>
      <c r="B2888" s="13">
        <v>46292</v>
      </c>
      <c r="C2888" s="14">
        <v>0.16266203703703705</v>
      </c>
      <c r="D2888" s="15"/>
      <c r="E2888" s="16">
        <v>5215581071150</v>
      </c>
      <c r="F2888" s="15"/>
      <c r="G2888" s="15" t="s">
        <v>2679</v>
      </c>
      <c r="H2888" s="17"/>
      <c r="I2888" s="15"/>
      <c r="J2888" s="18"/>
      <c r="K2888" t="s">
        <v>51</v>
      </c>
      <c r="N2888" s="3">
        <f t="shared" si="368"/>
        <v>0</v>
      </c>
      <c r="O2888" s="3">
        <f t="shared" si="369"/>
        <v>0</v>
      </c>
      <c r="S2888" s="3" t="s">
        <v>2536</v>
      </c>
      <c r="V2888" s="51">
        <v>0.52638888888888891</v>
      </c>
    </row>
    <row r="2889" spans="1:25">
      <c r="A2889" s="12">
        <v>24866180</v>
      </c>
      <c r="B2889" s="13">
        <v>46292</v>
      </c>
      <c r="C2889" s="14">
        <v>0.35373842592592591</v>
      </c>
      <c r="D2889" s="15"/>
      <c r="E2889" s="16">
        <v>5218771408143</v>
      </c>
      <c r="F2889" s="15"/>
      <c r="G2889" s="15"/>
      <c r="H2889" s="17">
        <v>32765718203</v>
      </c>
      <c r="I2889" s="15"/>
      <c r="J2889" s="18"/>
      <c r="K2889" t="s">
        <v>54</v>
      </c>
      <c r="L2889" s="3">
        <v>9760.32</v>
      </c>
      <c r="N2889" s="3">
        <f t="shared" si="368"/>
        <v>2928.096</v>
      </c>
      <c r="O2889" s="3">
        <f t="shared" si="369"/>
        <v>2928.096</v>
      </c>
      <c r="S2889" s="3" t="s">
        <v>95</v>
      </c>
      <c r="T2889" s="48">
        <v>46292</v>
      </c>
      <c r="V2889" s="51">
        <v>0.52638888888888891</v>
      </c>
      <c r="W2889" s="51">
        <v>0.59652777777777777</v>
      </c>
      <c r="X2889" s="51">
        <v>0.59791666666666665</v>
      </c>
      <c r="Y2889" s="51">
        <v>0.63194444444444442</v>
      </c>
    </row>
    <row r="2890" spans="1:25">
      <c r="A2890" s="12">
        <v>24866250</v>
      </c>
      <c r="B2890" s="13">
        <v>46292</v>
      </c>
      <c r="C2890" s="14">
        <v>0.36224537037037036</v>
      </c>
      <c r="D2890" s="15" t="s">
        <v>2680</v>
      </c>
      <c r="E2890" s="16">
        <v>5218312362940</v>
      </c>
      <c r="F2890" s="15"/>
      <c r="G2890" s="15" t="s">
        <v>2681</v>
      </c>
      <c r="H2890" s="17">
        <v>49876809374</v>
      </c>
      <c r="I2890" s="15"/>
      <c r="J2890" s="18"/>
      <c r="K2890" t="s">
        <v>30</v>
      </c>
      <c r="L2890" s="111">
        <v>15077.29</v>
      </c>
      <c r="M2890" s="111">
        <v>4520.6400000000003</v>
      </c>
      <c r="N2890" s="3">
        <f t="shared" si="368"/>
        <v>4523.1869999999999</v>
      </c>
      <c r="O2890" s="3">
        <f t="shared" si="369"/>
        <v>2.5469999999995707</v>
      </c>
      <c r="P2890" s="6">
        <v>46813</v>
      </c>
      <c r="Q2890" t="s">
        <v>59</v>
      </c>
      <c r="R2890" s="3">
        <v>4083</v>
      </c>
      <c r="S2890" s="3" t="s">
        <v>2536</v>
      </c>
      <c r="V2890" s="51">
        <v>0.52638888888888891</v>
      </c>
    </row>
    <row r="2891" spans="1:25">
      <c r="A2891" s="12">
        <v>24866650</v>
      </c>
      <c r="B2891" s="13">
        <v>46292</v>
      </c>
      <c r="C2891" s="14">
        <v>0.38342592592592595</v>
      </c>
      <c r="D2891" s="15"/>
      <c r="E2891" s="16">
        <v>5212211884310</v>
      </c>
      <c r="F2891" s="15"/>
      <c r="G2891" s="15" t="s">
        <v>2682</v>
      </c>
      <c r="H2891" s="17"/>
      <c r="I2891" s="15"/>
      <c r="J2891" s="18"/>
      <c r="K2891" t="s">
        <v>34</v>
      </c>
      <c r="L2891" s="111">
        <v>10248.31</v>
      </c>
      <c r="M2891" s="111">
        <v>2717.19</v>
      </c>
      <c r="N2891" s="3">
        <f t="shared" si="368"/>
        <v>3074.4929999999999</v>
      </c>
      <c r="O2891" s="3">
        <f t="shared" si="369"/>
        <v>357.30299999999988</v>
      </c>
      <c r="P2891" s="6">
        <v>45748</v>
      </c>
      <c r="Q2891" t="s">
        <v>2683</v>
      </c>
      <c r="S2891" s="111" t="s">
        <v>830</v>
      </c>
      <c r="T2891" s="48">
        <v>46292</v>
      </c>
      <c r="V2891" s="51">
        <v>0.52638888888888891</v>
      </c>
      <c r="W2891" s="51">
        <v>0.60277777777777775</v>
      </c>
      <c r="X2891" s="51">
        <v>0.60416666666666663</v>
      </c>
      <c r="Y2891" s="51">
        <v>0.61944444444444446</v>
      </c>
    </row>
    <row r="2892" spans="1:25">
      <c r="A2892" s="12">
        <v>24866836</v>
      </c>
      <c r="B2892" s="13">
        <v>46292</v>
      </c>
      <c r="C2892" s="14">
        <v>0.40478009259259257</v>
      </c>
      <c r="D2892" s="15"/>
      <c r="E2892" s="16">
        <v>5212712433689</v>
      </c>
      <c r="F2892" s="15"/>
      <c r="G2892" s="218" t="s">
        <v>2684</v>
      </c>
      <c r="H2892" s="17"/>
      <c r="I2892" s="15"/>
      <c r="J2892" s="18"/>
      <c r="K2892" t="s">
        <v>27</v>
      </c>
      <c r="L2892" s="111">
        <v>44632.480000000003</v>
      </c>
      <c r="M2892" s="111">
        <v>12912.25</v>
      </c>
      <c r="N2892" s="3">
        <f t="shared" si="368"/>
        <v>13389.744000000001</v>
      </c>
      <c r="O2892" s="3">
        <f t="shared" si="369"/>
        <v>477.4940000000006</v>
      </c>
      <c r="P2892" s="6">
        <v>46296</v>
      </c>
      <c r="Q2892" t="s">
        <v>44</v>
      </c>
      <c r="R2892" s="3">
        <v>4861.37</v>
      </c>
      <c r="S2892" s="3" t="s">
        <v>90</v>
      </c>
      <c r="T2892" s="48">
        <v>46292</v>
      </c>
      <c r="V2892" s="51">
        <v>0.52638888888888891</v>
      </c>
      <c r="W2892" s="51">
        <v>0.61041666666666672</v>
      </c>
      <c r="X2892" s="51">
        <v>0.61041666666666672</v>
      </c>
      <c r="Y2892" s="51">
        <v>0.6118055555555556</v>
      </c>
    </row>
    <row r="2893" spans="1:25">
      <c r="A2893" s="12">
        <v>24867656</v>
      </c>
      <c r="B2893" s="13">
        <v>46292</v>
      </c>
      <c r="C2893" s="14">
        <v>0.44041666666666668</v>
      </c>
      <c r="D2893" s="15"/>
      <c r="E2893" s="16">
        <v>5212291472607</v>
      </c>
      <c r="F2893" s="15"/>
      <c r="G2893" s="15" t="s">
        <v>2685</v>
      </c>
      <c r="H2893" s="17" t="s">
        <v>2686</v>
      </c>
      <c r="I2893" s="15"/>
      <c r="J2893" s="18"/>
      <c r="K2893" t="s">
        <v>27</v>
      </c>
      <c r="L2893" s="111">
        <v>7920.51</v>
      </c>
      <c r="M2893" s="111">
        <v>2095.59</v>
      </c>
      <c r="N2893" s="3">
        <f t="shared" si="368"/>
        <v>2376.1529999999998</v>
      </c>
      <c r="O2893" s="3">
        <f t="shared" si="369"/>
        <v>280.56299999999965</v>
      </c>
      <c r="P2893" s="6">
        <v>46023</v>
      </c>
      <c r="Q2893" t="s">
        <v>47</v>
      </c>
      <c r="R2893" s="111">
        <v>2095.59</v>
      </c>
      <c r="S2893" s="3" t="s">
        <v>2059</v>
      </c>
      <c r="T2893" s="224">
        <v>46293</v>
      </c>
      <c r="V2893" s="51">
        <v>0.52638888888888891</v>
      </c>
      <c r="W2893" s="51">
        <v>0.41736111111111113</v>
      </c>
      <c r="X2893" s="51">
        <v>0.4201388888888889</v>
      </c>
      <c r="Y2893" s="51">
        <v>0.42152777777777778</v>
      </c>
    </row>
    <row r="2894" spans="1:25">
      <c r="A2894" s="30">
        <v>24867582</v>
      </c>
      <c r="B2894" s="31">
        <v>46292</v>
      </c>
      <c r="C2894" s="32">
        <v>0.44912037037037039</v>
      </c>
      <c r="D2894" s="33"/>
      <c r="E2894" s="34">
        <v>5212721340947</v>
      </c>
      <c r="F2894" s="33"/>
      <c r="G2894" s="33" t="s">
        <v>2687</v>
      </c>
      <c r="H2894" s="35"/>
      <c r="I2894" s="33"/>
      <c r="J2894" s="36"/>
      <c r="K2894" t="s">
        <v>58</v>
      </c>
      <c r="L2894" s="3">
        <f>3934.69+879</f>
        <v>4813.6900000000005</v>
      </c>
      <c r="M2894" s="3">
        <v>879</v>
      </c>
      <c r="N2894" s="3">
        <f t="shared" si="368"/>
        <v>1444.1070000000002</v>
      </c>
      <c r="O2894" s="3">
        <f t="shared" si="369"/>
        <v>-238.28999999999905</v>
      </c>
      <c r="S2894" s="3" t="s">
        <v>2536</v>
      </c>
      <c r="V2894" s="51">
        <v>0.52638888888888891</v>
      </c>
    </row>
    <row r="2895" spans="1:25">
      <c r="A2895" s="30">
        <v>24867872</v>
      </c>
      <c r="B2895" s="31">
        <v>46292</v>
      </c>
      <c r="C2895" s="32">
        <v>0.45405092592592594</v>
      </c>
      <c r="D2895" s="33"/>
      <c r="E2895" s="34">
        <v>5219513308384</v>
      </c>
      <c r="F2895" s="33"/>
      <c r="G2895" s="33"/>
      <c r="H2895" s="35" t="s">
        <v>2688</v>
      </c>
      <c r="I2895" s="33"/>
      <c r="J2895" s="36"/>
      <c r="K2895" t="s">
        <v>54</v>
      </c>
      <c r="L2895" s="111">
        <v>24021.73</v>
      </c>
      <c r="M2895" s="111">
        <v>3022.41</v>
      </c>
      <c r="N2895" s="3">
        <f>L2895*0.3</f>
        <v>7206.5189999999993</v>
      </c>
      <c r="O2895" s="3">
        <f>(IF(L2895&lt;4172.98,0,MIN(L2895*0.3,L2895-4172.98)))-M2895</f>
        <v>4184.1089999999995</v>
      </c>
      <c r="P2895" s="6">
        <v>46813</v>
      </c>
      <c r="Q2895" t="s">
        <v>75</v>
      </c>
      <c r="R2895" s="111">
        <v>3022.41</v>
      </c>
      <c r="S2895" s="3" t="s">
        <v>2661</v>
      </c>
      <c r="T2895" s="48">
        <v>46292</v>
      </c>
      <c r="V2895" s="51">
        <v>0.52777777777777779</v>
      </c>
      <c r="W2895" s="51">
        <v>0.61319444444444449</v>
      </c>
      <c r="X2895" s="51">
        <v>0.61458333333333337</v>
      </c>
      <c r="Y2895" s="51">
        <v>0.61527777777777781</v>
      </c>
    </row>
    <row r="2896" spans="1:25">
      <c r="A2896" s="12">
        <v>24867878</v>
      </c>
      <c r="B2896" s="13">
        <v>46292</v>
      </c>
      <c r="C2896" s="14">
        <v>0.46207175925925925</v>
      </c>
      <c r="D2896" s="15"/>
      <c r="E2896" s="16" t="s">
        <v>2689</v>
      </c>
      <c r="F2896" s="15"/>
      <c r="G2896" s="15" t="s">
        <v>2690</v>
      </c>
      <c r="H2896" s="17" t="s">
        <v>2691</v>
      </c>
      <c r="I2896" s="219"/>
      <c r="J2896" s="18"/>
      <c r="K2896" t="s">
        <v>32</v>
      </c>
      <c r="N2896" s="3">
        <f t="shared" ref="N2896:N2901" si="370">L2896*0.3</f>
        <v>0</v>
      </c>
      <c r="O2896" s="3">
        <f t="shared" ref="O2896:O2901" si="371">(IF(L2896&lt;4172.98,0,MIN(L2896*0.3,L2896-4172.98)))-M2896</f>
        <v>0</v>
      </c>
      <c r="S2896" s="3" t="s">
        <v>2536</v>
      </c>
      <c r="V2896" s="51">
        <v>0.52847222222222223</v>
      </c>
    </row>
    <row r="2897" spans="1:25">
      <c r="A2897" s="12">
        <v>24868278</v>
      </c>
      <c r="B2897" s="13">
        <v>46292</v>
      </c>
      <c r="C2897" s="14">
        <v>0.4808912037037037</v>
      </c>
      <c r="D2897" s="15"/>
      <c r="E2897" s="16">
        <v>5217831405944</v>
      </c>
      <c r="F2897" s="15"/>
      <c r="G2897" s="15" t="s">
        <v>2692</v>
      </c>
      <c r="H2897" s="17"/>
      <c r="I2897" s="15"/>
      <c r="J2897" s="18"/>
      <c r="K2897" t="s">
        <v>32</v>
      </c>
      <c r="N2897" s="3">
        <f t="shared" si="370"/>
        <v>0</v>
      </c>
      <c r="O2897" s="3">
        <f t="shared" si="371"/>
        <v>0</v>
      </c>
      <c r="S2897" s="3" t="s">
        <v>2536</v>
      </c>
      <c r="V2897" s="51">
        <v>0.52847222222222223</v>
      </c>
    </row>
    <row r="2898" spans="1:25">
      <c r="A2898" s="12">
        <v>24868406</v>
      </c>
      <c r="B2898" s="13">
        <v>46292</v>
      </c>
      <c r="C2898" s="14">
        <v>0.48572916666666666</v>
      </c>
      <c r="D2898" s="15"/>
      <c r="E2898" s="16">
        <v>5216692188173</v>
      </c>
      <c r="F2898" s="15"/>
      <c r="G2898" s="15"/>
      <c r="H2898" s="17" t="s">
        <v>2693</v>
      </c>
      <c r="I2898" s="15"/>
      <c r="J2898" s="18"/>
      <c r="K2898" t="s">
        <v>51</v>
      </c>
      <c r="N2898" s="3">
        <f t="shared" si="370"/>
        <v>0</v>
      </c>
      <c r="O2898" s="3">
        <f t="shared" si="371"/>
        <v>0</v>
      </c>
      <c r="S2898" s="3" t="s">
        <v>2536</v>
      </c>
      <c r="V2898" s="51">
        <v>0.52847222222222223</v>
      </c>
    </row>
    <row r="2899" spans="1:25">
      <c r="A2899" s="12">
        <v>24868434</v>
      </c>
      <c r="B2899" s="13">
        <v>46292</v>
      </c>
      <c r="C2899" s="14">
        <v>0.49436342592592591</v>
      </c>
      <c r="D2899" s="15"/>
      <c r="E2899" s="16">
        <v>5215540686818</v>
      </c>
      <c r="F2899" s="15"/>
      <c r="G2899" s="15"/>
      <c r="H2899" s="17">
        <v>64826413474</v>
      </c>
      <c r="I2899" s="15"/>
      <c r="J2899" s="18"/>
      <c r="K2899" t="s">
        <v>30</v>
      </c>
      <c r="L2899" s="111">
        <v>9081.52</v>
      </c>
      <c r="M2899" s="111">
        <v>2708.41</v>
      </c>
      <c r="N2899" s="3">
        <f t="shared" si="370"/>
        <v>2724.4560000000001</v>
      </c>
      <c r="O2899" s="3">
        <f t="shared" si="371"/>
        <v>16.046000000000276</v>
      </c>
      <c r="P2899" s="6">
        <v>46600</v>
      </c>
      <c r="Q2899" t="s">
        <v>57</v>
      </c>
      <c r="R2899" s="3">
        <v>564.35</v>
      </c>
      <c r="S2899" s="3" t="s">
        <v>2536</v>
      </c>
      <c r="V2899" s="51">
        <v>0.52847222222222223</v>
      </c>
    </row>
    <row r="2900" spans="1:25">
      <c r="A2900" s="12">
        <v>24868510</v>
      </c>
      <c r="B2900" s="13">
        <v>46292</v>
      </c>
      <c r="C2900" s="14">
        <v>0.49478009259259259</v>
      </c>
      <c r="D2900" s="15" t="s">
        <v>2694</v>
      </c>
      <c r="E2900" s="16">
        <v>5218448814482</v>
      </c>
      <c r="F2900" s="15"/>
      <c r="G2900" s="15" t="s">
        <v>2695</v>
      </c>
      <c r="H2900" s="17">
        <v>67756002308</v>
      </c>
      <c r="I2900" s="15"/>
      <c r="J2900" s="18"/>
      <c r="K2900" t="s">
        <v>30</v>
      </c>
      <c r="L2900" s="111">
        <v>5978.4</v>
      </c>
      <c r="M2900" s="111">
        <v>1726.55</v>
      </c>
      <c r="N2900" s="3">
        <f t="shared" si="370"/>
        <v>1793.5199999999998</v>
      </c>
      <c r="O2900" s="3">
        <f t="shared" si="371"/>
        <v>66.9699999999998</v>
      </c>
      <c r="P2900" s="6">
        <v>46661</v>
      </c>
      <c r="Q2900" t="s">
        <v>210</v>
      </c>
      <c r="R2900" s="3">
        <v>918.48</v>
      </c>
      <c r="S2900" s="3" t="s">
        <v>2536</v>
      </c>
      <c r="V2900" s="51">
        <v>0.52847222222222223</v>
      </c>
    </row>
    <row r="2901" spans="1:25">
      <c r="A2901" s="30">
        <v>24868834</v>
      </c>
      <c r="B2901" s="31">
        <v>46292</v>
      </c>
      <c r="C2901" s="32">
        <v>0.51792824074074073</v>
      </c>
      <c r="D2901" s="33"/>
      <c r="E2901" s="34">
        <v>5215574931285</v>
      </c>
      <c r="F2901" s="33"/>
      <c r="G2901" s="33" t="s">
        <v>2696</v>
      </c>
      <c r="H2901" s="35"/>
      <c r="I2901" s="33"/>
      <c r="J2901" s="36"/>
      <c r="K2901" t="s">
        <v>54</v>
      </c>
      <c r="L2901" s="3">
        <v>10636.54</v>
      </c>
      <c r="N2901" s="3">
        <f t="shared" si="370"/>
        <v>3190.962</v>
      </c>
      <c r="O2901" s="3">
        <f t="shared" si="371"/>
        <v>3190.962</v>
      </c>
      <c r="S2901" s="3" t="s">
        <v>2582</v>
      </c>
      <c r="T2901" s="48">
        <v>46292</v>
      </c>
      <c r="V2901" s="51">
        <v>0.52847222222222223</v>
      </c>
      <c r="W2901" s="51">
        <v>0.61805555555555558</v>
      </c>
      <c r="X2901" s="51">
        <v>0.62222222222222223</v>
      </c>
      <c r="Y2901" s="51">
        <v>0.625</v>
      </c>
    </row>
    <row r="2902" spans="1:25">
      <c r="A2902" s="30">
        <v>24869158</v>
      </c>
      <c r="B2902" s="31">
        <v>46292</v>
      </c>
      <c r="C2902" s="32">
        <v>0.53293981481481478</v>
      </c>
      <c r="D2902" s="33"/>
      <c r="E2902" s="34">
        <v>5217443170335</v>
      </c>
      <c r="F2902" s="33"/>
      <c r="G2902" s="33"/>
      <c r="H2902" s="35">
        <v>72856134704</v>
      </c>
      <c r="I2902" s="33"/>
      <c r="J2902" s="36"/>
      <c r="K2902" t="s">
        <v>54</v>
      </c>
      <c r="L2902" s="3">
        <v>7920.53</v>
      </c>
      <c r="N2902" s="3">
        <f>L2902*0.3</f>
        <v>2376.1589999999997</v>
      </c>
      <c r="O2902" s="3">
        <f>(IF(L2902&lt;4172.98,0,MIN(L2902*0.3,L2902-4172.98)))-M2902</f>
        <v>2376.1589999999997</v>
      </c>
      <c r="S2902" s="3" t="s">
        <v>2576</v>
      </c>
      <c r="T2902" s="48">
        <v>46292</v>
      </c>
      <c r="V2902" s="51">
        <v>0.53611111111111109</v>
      </c>
      <c r="W2902" s="51">
        <v>0.61944444444444446</v>
      </c>
      <c r="X2902" s="51">
        <v>0.62291666666666667</v>
      </c>
      <c r="Y2902" s="51">
        <v>0.63749999999999996</v>
      </c>
    </row>
    <row r="2903" spans="1:25">
      <c r="A2903" s="30">
        <v>24869140</v>
      </c>
      <c r="B2903" s="31">
        <v>46292</v>
      </c>
      <c r="C2903" s="32">
        <v>0.53740740740740744</v>
      </c>
      <c r="D2903" s="33" t="s">
        <v>2697</v>
      </c>
      <c r="E2903" s="34">
        <v>5217446726892</v>
      </c>
      <c r="F2903" s="33"/>
      <c r="G2903" s="33" t="s">
        <v>2698</v>
      </c>
      <c r="H2903" s="35"/>
      <c r="I2903" s="33"/>
      <c r="J2903" s="36"/>
      <c r="K2903" t="s">
        <v>58</v>
      </c>
      <c r="L2903" s="111">
        <v>4396.2</v>
      </c>
      <c r="M2903" s="111">
        <v>172.39</v>
      </c>
      <c r="N2903" s="3">
        <f>L2903*0.3</f>
        <v>1318.86</v>
      </c>
      <c r="O2903" s="3">
        <f>(IF(L2903&lt;4172.98,0,MIN(L2903*0.3,L2903-4172.98)))-M2903</f>
        <v>50.830000000000268</v>
      </c>
      <c r="P2903" s="6"/>
      <c r="R2903" s="111"/>
      <c r="S2903" s="3" t="s">
        <v>2536</v>
      </c>
      <c r="U2903" s="85"/>
      <c r="V2903" s="51">
        <v>0.53749999999999998</v>
      </c>
    </row>
    <row r="2904" spans="1:25">
      <c r="A2904" s="30">
        <v>24855430</v>
      </c>
      <c r="B2904" s="31">
        <v>46292</v>
      </c>
      <c r="C2904" s="32">
        <v>0.55199074074074073</v>
      </c>
      <c r="D2904" s="33"/>
      <c r="E2904" s="34">
        <v>5214442601585</v>
      </c>
      <c r="F2904" s="33"/>
      <c r="G2904" s="33" t="s">
        <v>2699</v>
      </c>
      <c r="H2904" s="35"/>
      <c r="I2904" s="33"/>
      <c r="J2904" s="36"/>
      <c r="K2904" t="s">
        <v>32</v>
      </c>
      <c r="N2904" s="3">
        <f>L2904*0.3</f>
        <v>0</v>
      </c>
      <c r="O2904" s="3">
        <f>(IF(L2904&lt;4172.98,0,MIN(L2904*0.3,L2904-4172.98)))-M2904</f>
        <v>0</v>
      </c>
      <c r="S2904" s="53" t="s">
        <v>2536</v>
      </c>
      <c r="V2904" s="51">
        <v>0.55138888888888893</v>
      </c>
    </row>
    <row r="2905" spans="1:25">
      <c r="A2905" s="30">
        <v>24869488</v>
      </c>
      <c r="B2905" s="31">
        <v>46292</v>
      </c>
      <c r="C2905" s="32">
        <v>0.55494212962962963</v>
      </c>
      <c r="D2905" s="33"/>
      <c r="E2905" s="34">
        <v>5212226806627</v>
      </c>
      <c r="F2905" s="33"/>
      <c r="G2905" s="33" t="s">
        <v>2700</v>
      </c>
      <c r="H2905" s="35"/>
      <c r="I2905" s="33"/>
      <c r="J2905" s="36"/>
      <c r="K2905" t="s">
        <v>54</v>
      </c>
      <c r="L2905" s="3">
        <v>31693.38</v>
      </c>
      <c r="N2905" s="3">
        <f>L2905*0.3</f>
        <v>9508.0139999999992</v>
      </c>
      <c r="O2905" s="3">
        <f>(IF(L2905&lt;4172.98,0,MIN(L2905*0.3,L2905-4172.98)))-M2905</f>
        <v>9508.0139999999992</v>
      </c>
      <c r="S2905" s="3" t="s">
        <v>1808</v>
      </c>
      <c r="T2905" s="48">
        <v>46293</v>
      </c>
      <c r="V2905" s="51">
        <v>0.55486111111111114</v>
      </c>
      <c r="W2905" s="51">
        <v>0.36666666666666664</v>
      </c>
      <c r="X2905" s="51">
        <v>0.36805555555555558</v>
      </c>
      <c r="Y2905" s="51">
        <v>0.37430555555555556</v>
      </c>
    </row>
    <row r="2906" spans="1:25">
      <c r="A2906" s="30">
        <v>24869506</v>
      </c>
      <c r="B2906" s="31">
        <v>46292</v>
      </c>
      <c r="C2906" s="32">
        <v>0.55893518518518515</v>
      </c>
      <c r="D2906" s="33"/>
      <c r="E2906" s="34">
        <v>5218711330020</v>
      </c>
      <c r="F2906" s="33"/>
      <c r="G2906" s="33" t="s">
        <v>2701</v>
      </c>
      <c r="H2906" s="35"/>
      <c r="I2906" s="33"/>
      <c r="J2906" s="36"/>
      <c r="K2906" t="s">
        <v>58</v>
      </c>
      <c r="L2906" s="3">
        <v>4342.43</v>
      </c>
      <c r="N2906" s="3">
        <f>L2906*0.3</f>
        <v>1302.729</v>
      </c>
      <c r="O2906" s="3">
        <f>(IF(L2906&lt;4172.98,0,MIN(L2906*0.3,L2906-4172.98)))-M2906</f>
        <v>169.45000000000073</v>
      </c>
      <c r="S2906" s="3" t="s">
        <v>2536</v>
      </c>
      <c r="V2906" s="51">
        <v>0.56041666666666667</v>
      </c>
    </row>
    <row r="2907" spans="1:25">
      <c r="A2907" s="30">
        <v>24869576</v>
      </c>
      <c r="B2907" s="31">
        <v>46292</v>
      </c>
      <c r="C2907" s="32">
        <v>0.56145833333333328</v>
      </c>
      <c r="D2907" s="33" t="s">
        <v>2702</v>
      </c>
      <c r="E2907" s="34">
        <v>5219991803608</v>
      </c>
      <c r="F2907" s="33"/>
      <c r="G2907" s="33" t="s">
        <v>2703</v>
      </c>
      <c r="H2907" s="35"/>
      <c r="I2907" s="33"/>
      <c r="J2907" s="36"/>
      <c r="K2907" t="s">
        <v>30</v>
      </c>
      <c r="L2907" s="3">
        <f>4247.7+1218.39</f>
        <v>5466.09</v>
      </c>
      <c r="M2907" s="3">
        <v>1218.3900000000001</v>
      </c>
      <c r="N2907" s="3">
        <f>L2907*0.3</f>
        <v>1639.827</v>
      </c>
      <c r="O2907" s="3">
        <f>(IF(L2907&lt;4172.98,0,MIN(L2907*0.3,L2907-4172.98)))-M2907</f>
        <v>74.720000000000482</v>
      </c>
      <c r="P2907" s="6">
        <v>46631</v>
      </c>
      <c r="Q2907" t="s">
        <v>47</v>
      </c>
      <c r="R2907" s="3">
        <v>1218.3900000000001</v>
      </c>
      <c r="S2907" s="3" t="s">
        <v>2536</v>
      </c>
      <c r="V2907" s="51">
        <v>0.56736111111111109</v>
      </c>
    </row>
    <row r="2908" spans="1:25">
      <c r="A2908" s="30">
        <v>24869814</v>
      </c>
      <c r="B2908" s="31">
        <v>46292</v>
      </c>
      <c r="C2908" s="32">
        <v>0.57537037037037042</v>
      </c>
      <c r="D2908" s="33"/>
      <c r="E2908" s="34">
        <v>5217821675136</v>
      </c>
      <c r="F2908" s="33"/>
      <c r="G2908" s="33"/>
      <c r="H2908" s="35">
        <v>65735607668</v>
      </c>
      <c r="I2908" s="33"/>
      <c r="J2908" s="36"/>
      <c r="K2908" t="s">
        <v>58</v>
      </c>
      <c r="L2908" s="3">
        <v>3341.75</v>
      </c>
      <c r="N2908" s="3">
        <f>L2908*0.3</f>
        <v>1002.525</v>
      </c>
      <c r="O2908" s="3">
        <f>(IF(L2908&lt;4172.98,0,MIN(L2908*0.3,L2908-4172.98)))-M2908</f>
        <v>0</v>
      </c>
      <c r="S2908" s="3" t="s">
        <v>2536</v>
      </c>
      <c r="V2908" s="51">
        <v>0.57499999999999996</v>
      </c>
    </row>
    <row r="2909" spans="1:25">
      <c r="A2909" s="30">
        <v>24869846</v>
      </c>
      <c r="B2909" s="31">
        <v>46292</v>
      </c>
      <c r="C2909" s="32">
        <v>0.58083333333333331</v>
      </c>
      <c r="D2909" s="33"/>
      <c r="E2909" s="34">
        <v>5218713527983</v>
      </c>
      <c r="F2909" s="33"/>
      <c r="G2909" s="33"/>
      <c r="H2909" s="35" t="s">
        <v>2704</v>
      </c>
      <c r="I2909" s="33"/>
      <c r="J2909" s="36"/>
      <c r="K2909" t="s">
        <v>30</v>
      </c>
      <c r="L2909" s="3">
        <f>6563.24+2518.28</f>
        <v>9081.52</v>
      </c>
      <c r="M2909" s="3">
        <v>2518.2800000000002</v>
      </c>
      <c r="N2909" s="3">
        <f>L2909*0.3</f>
        <v>2724.4560000000001</v>
      </c>
      <c r="O2909" s="3">
        <f>(IF(L2909&lt;4172.98,0,MIN(L2909*0.3,L2909-4172.98)))-M2909</f>
        <v>206.17599999999993</v>
      </c>
      <c r="P2909" s="6">
        <v>46296</v>
      </c>
      <c r="Q2909" t="s">
        <v>75</v>
      </c>
      <c r="R2909" s="3">
        <v>2518.2800000000002</v>
      </c>
      <c r="S2909" s="3" t="s">
        <v>2536</v>
      </c>
      <c r="V2909" s="51">
        <v>0.58125000000000004</v>
      </c>
    </row>
    <row r="2910" spans="1:25">
      <c r="A2910" s="30">
        <v>24870130</v>
      </c>
      <c r="B2910" s="31">
        <v>46292</v>
      </c>
      <c r="C2910" s="32">
        <v>0.59299768518518514</v>
      </c>
      <c r="D2910" s="33"/>
      <c r="E2910" s="34">
        <v>5216731381599</v>
      </c>
      <c r="F2910" s="33"/>
      <c r="G2910" s="33"/>
      <c r="H2910" s="35" t="s">
        <v>2705</v>
      </c>
      <c r="I2910" s="33"/>
      <c r="J2910" s="36"/>
      <c r="K2910" t="s">
        <v>54</v>
      </c>
      <c r="L2910" s="3">
        <f>13945.97+1891</f>
        <v>15836.97</v>
      </c>
      <c r="M2910" s="3">
        <v>1891</v>
      </c>
      <c r="N2910" s="3">
        <f>L2910*0.3</f>
        <v>4751.0909999999994</v>
      </c>
      <c r="O2910" s="3">
        <f>(IF(L2910&lt;4172.98,0,MIN(L2910*0.3,L2910-4172.98)))-M2910</f>
        <v>2860.0909999999994</v>
      </c>
      <c r="P2910" s="6">
        <v>46874</v>
      </c>
      <c r="Q2910" t="s">
        <v>44</v>
      </c>
      <c r="R2910" s="3">
        <v>1891</v>
      </c>
      <c r="S2910" s="3" t="s">
        <v>327</v>
      </c>
      <c r="T2910" s="48">
        <v>46293</v>
      </c>
      <c r="V2910" s="51">
        <v>0.59652777777777777</v>
      </c>
      <c r="W2910" s="51">
        <v>0.36458333333333331</v>
      </c>
      <c r="X2910" s="51">
        <v>0.3888888888888889</v>
      </c>
      <c r="Y2910" s="51">
        <v>0.41597222222222224</v>
      </c>
    </row>
    <row r="2911" spans="1:25">
      <c r="A2911" s="30">
        <v>24870334</v>
      </c>
      <c r="B2911" s="31">
        <v>46292</v>
      </c>
      <c r="C2911" s="32">
        <v>0.6080092592592593</v>
      </c>
      <c r="D2911" s="33" t="s">
        <v>2706</v>
      </c>
      <c r="E2911" s="34">
        <v>5218662046023</v>
      </c>
      <c r="F2911" s="33"/>
      <c r="G2911" s="33" t="s">
        <v>2707</v>
      </c>
      <c r="H2911" s="35" t="s">
        <v>2708</v>
      </c>
      <c r="I2911" s="33"/>
      <c r="J2911" s="36"/>
      <c r="K2911" t="s">
        <v>54</v>
      </c>
      <c r="L2911" s="3">
        <f>8442.87+1638</f>
        <v>10080.870000000001</v>
      </c>
      <c r="M2911" s="3">
        <v>1638</v>
      </c>
      <c r="N2911" s="3">
        <f>L2911*0.3</f>
        <v>3024.261</v>
      </c>
      <c r="O2911" s="3">
        <f>(IF(L2911&lt;4172.98,0,MIN(L2911*0.3,L2911-4172.98)))-M2911</f>
        <v>1386.261</v>
      </c>
      <c r="P2911" s="6">
        <v>46296</v>
      </c>
      <c r="Q2911" t="s">
        <v>75</v>
      </c>
      <c r="R2911" s="3">
        <v>1638</v>
      </c>
      <c r="S2911" s="3" t="s">
        <v>2576</v>
      </c>
      <c r="T2911" s="48">
        <v>46293</v>
      </c>
      <c r="V2911" s="51">
        <v>0.60833333333333328</v>
      </c>
      <c r="W2911" s="51">
        <v>0.38333333333333336</v>
      </c>
      <c r="X2911" s="51">
        <v>0.3840277777777778</v>
      </c>
      <c r="Y2911" s="51">
        <v>0.38958333333333334</v>
      </c>
    </row>
    <row r="2912" spans="1:25">
      <c r="A2912" s="30">
        <v>24870662</v>
      </c>
      <c r="B2912" s="31">
        <v>46292</v>
      </c>
      <c r="C2912" s="32">
        <v>0.62857638888888889</v>
      </c>
      <c r="D2912" s="33"/>
      <c r="E2912" s="34">
        <v>5215624446466</v>
      </c>
      <c r="F2912" s="33"/>
      <c r="G2912" s="33"/>
      <c r="H2912" s="35" t="s">
        <v>2709</v>
      </c>
      <c r="I2912" s="33"/>
      <c r="J2912" s="36"/>
      <c r="K2912" t="s">
        <v>32</v>
      </c>
      <c r="N2912" s="3">
        <f>L2912*0.3</f>
        <v>0</v>
      </c>
      <c r="O2912" s="3">
        <f>(IF(L2912&lt;4172.98,0,MIN(L2912*0.3,L2912-4172.98)))-M2912</f>
        <v>0</v>
      </c>
      <c r="S2912" s="3" t="s">
        <v>2536</v>
      </c>
      <c r="V2912" s="51">
        <v>0.6333333333333333</v>
      </c>
    </row>
    <row r="2913" spans="1:25">
      <c r="A2913" s="12">
        <v>24870862</v>
      </c>
      <c r="B2913" s="13">
        <v>46292</v>
      </c>
      <c r="C2913" s="14">
        <v>0.64658564814814812</v>
      </c>
      <c r="D2913" s="15"/>
      <c r="E2913" s="16">
        <v>5215545002652</v>
      </c>
      <c r="F2913" s="15"/>
      <c r="G2913" s="15"/>
      <c r="H2913" s="17" t="s">
        <v>2710</v>
      </c>
      <c r="I2913" s="15"/>
      <c r="J2913" s="18"/>
      <c r="K2913" t="s">
        <v>54</v>
      </c>
      <c r="L2913" s="3">
        <v>6413.73</v>
      </c>
      <c r="N2913" s="3">
        <f t="shared" ref="N2913:N2914" si="372">L2913*0.3</f>
        <v>1924.1189999999997</v>
      </c>
      <c r="O2913" s="3">
        <f t="shared" ref="O2913:O2914" si="373">(IF(L2913&lt;4172.98,0,MIN(L2913*0.3,L2913-4172.98)))-M2913</f>
        <v>1924.1189999999997</v>
      </c>
      <c r="S2913" s="221" t="s">
        <v>2711</v>
      </c>
      <c r="T2913" s="222">
        <v>46293</v>
      </c>
      <c r="V2913" s="51">
        <v>0.66319444444444442</v>
      </c>
      <c r="W2913" s="51">
        <v>0.36805555555555558</v>
      </c>
      <c r="X2913" s="51">
        <v>0.38263888888888886</v>
      </c>
      <c r="Y2913" s="51">
        <v>0.38472222222222224</v>
      </c>
    </row>
    <row r="2914" spans="1:25">
      <c r="A2914" s="30">
        <v>24870994</v>
      </c>
      <c r="B2914" s="31">
        <v>46292</v>
      </c>
      <c r="C2914" s="32">
        <v>0.65785879629629629</v>
      </c>
      <c r="D2914" s="33"/>
      <c r="E2914" s="34">
        <v>5215647448385</v>
      </c>
      <c r="F2914" s="33"/>
      <c r="G2914" s="33" t="s">
        <v>2712</v>
      </c>
      <c r="H2914" s="35"/>
      <c r="I2914" s="33"/>
      <c r="J2914" s="36"/>
      <c r="K2914" t="s">
        <v>54</v>
      </c>
      <c r="L2914" s="3">
        <v>24153.71</v>
      </c>
      <c r="N2914" s="3">
        <f t="shared" si="372"/>
        <v>7246.1129999999994</v>
      </c>
      <c r="O2914" s="3">
        <f t="shared" si="373"/>
        <v>7246.1129999999994</v>
      </c>
      <c r="S2914" s="3" t="s">
        <v>1091</v>
      </c>
      <c r="T2914" s="48">
        <v>46293</v>
      </c>
      <c r="V2914" s="51">
        <v>0.66319444444444442</v>
      </c>
      <c r="W2914" s="51">
        <v>0.36805555555555558</v>
      </c>
      <c r="X2914" s="51">
        <v>0.37222222222222223</v>
      </c>
      <c r="Y2914" s="51">
        <v>0.37361111111111112</v>
      </c>
    </row>
    <row r="2915" spans="1:25">
      <c r="A2915" s="30">
        <v>24853378</v>
      </c>
      <c r="B2915" s="31">
        <v>46292</v>
      </c>
      <c r="C2915" s="32">
        <v>0.67591435185185189</v>
      </c>
      <c r="D2915" s="33"/>
      <c r="E2915" s="34">
        <v>5215613353738</v>
      </c>
      <c r="F2915" s="33"/>
      <c r="G2915" s="33" t="s">
        <v>2713</v>
      </c>
      <c r="H2915" s="35"/>
      <c r="I2915" s="33"/>
      <c r="J2915" s="36"/>
      <c r="K2915" t="s">
        <v>58</v>
      </c>
      <c r="L2915" s="3">
        <f>3351.87+848</f>
        <v>4199.87</v>
      </c>
      <c r="N2915" s="3">
        <f>L2915*0.3</f>
        <v>1259.961</v>
      </c>
      <c r="O2915" s="3">
        <f>(IF(L2915&lt;4172.98,0,MIN(L2915*0.3,L2915-4172.98)))-M2915</f>
        <v>26.890000000000327</v>
      </c>
      <c r="S2915" s="53" t="s">
        <v>2536</v>
      </c>
      <c r="V2915" s="51">
        <v>0.67569444444444449</v>
      </c>
    </row>
    <row r="2916" spans="1:25">
      <c r="A2916" s="30">
        <v>24871644</v>
      </c>
      <c r="B2916" s="31">
        <v>46292</v>
      </c>
      <c r="C2916" s="32">
        <v>0.6881018518518518</v>
      </c>
      <c r="D2916" s="33" t="s">
        <v>2714</v>
      </c>
      <c r="E2916" s="34">
        <v>5213221393782</v>
      </c>
      <c r="F2916" s="33"/>
      <c r="G2916" s="33"/>
      <c r="H2916" s="35">
        <v>54786147063</v>
      </c>
      <c r="I2916" s="33"/>
      <c r="J2916" s="36"/>
      <c r="K2916" t="s">
        <v>54</v>
      </c>
      <c r="L2916" s="3">
        <v>7116.73</v>
      </c>
      <c r="N2916" s="3">
        <f>L2916*0.3</f>
        <v>2135.0189999999998</v>
      </c>
      <c r="O2916" s="3">
        <f>(IF(L2916&lt;4172.98,0,MIN(L2916*0.3,L2916-4172.98)))-M2916</f>
        <v>2135.0189999999998</v>
      </c>
      <c r="S2916" s="3" t="s">
        <v>2582</v>
      </c>
      <c r="T2916" s="48">
        <v>46293</v>
      </c>
      <c r="V2916" s="51">
        <v>0.69236111111111109</v>
      </c>
      <c r="W2916" s="51">
        <v>0.36875000000000002</v>
      </c>
      <c r="X2916" s="51">
        <v>0.37847222222222221</v>
      </c>
      <c r="Y2916" s="51">
        <v>0.38194444444444442</v>
      </c>
    </row>
    <row r="2917" spans="1:25">
      <c r="A2917" s="30">
        <v>24871702</v>
      </c>
      <c r="B2917" s="31">
        <v>46292</v>
      </c>
      <c r="C2917" s="32">
        <v>0.69771990740740741</v>
      </c>
      <c r="D2917" s="33"/>
      <c r="E2917" s="34">
        <v>5212871097059</v>
      </c>
      <c r="F2917" s="33"/>
      <c r="G2917" s="33" t="s">
        <v>2715</v>
      </c>
      <c r="H2917" s="35"/>
      <c r="I2917" s="33"/>
      <c r="J2917" s="36"/>
      <c r="K2917" t="s">
        <v>54</v>
      </c>
      <c r="L2917" s="3">
        <v>7116.73</v>
      </c>
      <c r="N2917" s="3">
        <f>L2917*0.3</f>
        <v>2135.0189999999998</v>
      </c>
      <c r="O2917" s="3">
        <f>(IF(L2917&lt;4172.98,0,MIN(L2917*0.3,L2917-4172.98)))-M2917</f>
        <v>2135.0189999999998</v>
      </c>
      <c r="S2917" s="3" t="s">
        <v>2711</v>
      </c>
      <c r="T2917" s="48">
        <v>46293</v>
      </c>
      <c r="V2917" s="51">
        <v>0.69930555555555551</v>
      </c>
      <c r="W2917" s="51">
        <v>0.38541666666666669</v>
      </c>
      <c r="X2917" s="51">
        <v>0.38611111111111113</v>
      </c>
      <c r="Y2917" s="51">
        <v>0.38750000000000001</v>
      </c>
    </row>
    <row r="2918" spans="1:25">
      <c r="A2918" s="30">
        <v>24871916</v>
      </c>
      <c r="B2918" s="31">
        <v>46292</v>
      </c>
      <c r="C2918" s="32">
        <v>0.70187500000000003</v>
      </c>
      <c r="D2918" s="33"/>
      <c r="E2918" s="34">
        <v>5213141621334</v>
      </c>
      <c r="F2918" s="33"/>
      <c r="G2918" s="33"/>
      <c r="H2918" s="35" t="s">
        <v>2716</v>
      </c>
      <c r="I2918" s="33"/>
      <c r="J2918" s="36"/>
      <c r="K2918" t="s">
        <v>51</v>
      </c>
      <c r="N2918" s="3">
        <f>L2918*0.3</f>
        <v>0</v>
      </c>
      <c r="O2918" s="3">
        <f>(IF(L2918&lt;4172.98,0,MIN(L2918*0.3,L2918-4172.98)))-M2918</f>
        <v>0</v>
      </c>
      <c r="S2918" s="3" t="s">
        <v>2536</v>
      </c>
      <c r="V2918" s="51">
        <v>0.70486111111111116</v>
      </c>
    </row>
    <row r="2919" spans="1:25">
      <c r="A2919" s="12">
        <v>24872076</v>
      </c>
      <c r="B2919" s="13">
        <v>46292</v>
      </c>
      <c r="C2919" s="14">
        <v>0.71049768518518519</v>
      </c>
      <c r="D2919" s="15"/>
      <c r="E2919" s="16">
        <v>5215569827763</v>
      </c>
      <c r="F2919" s="15"/>
      <c r="G2919" s="15" t="s">
        <v>2717</v>
      </c>
      <c r="H2919" s="17"/>
      <c r="I2919" s="15"/>
      <c r="J2919" s="18"/>
      <c r="K2919" t="s">
        <v>30</v>
      </c>
      <c r="L2919" s="3">
        <f>7445.58+3190.96</f>
        <v>10636.54</v>
      </c>
      <c r="M2919" s="3">
        <v>3190.96</v>
      </c>
      <c r="N2919" s="3">
        <f t="shared" ref="N2919:N2932" si="374">L2919*0.3</f>
        <v>3190.962</v>
      </c>
      <c r="O2919" s="3">
        <f t="shared" ref="O2919:O2932" si="375">(IF(L2919&lt;4172.98,0,MIN(L2919*0.3,L2919-4172.98)))-M2919</f>
        <v>1.9999999999527063E-3</v>
      </c>
      <c r="P2919" s="6">
        <v>46905</v>
      </c>
      <c r="Q2919" t="s">
        <v>59</v>
      </c>
      <c r="R2919" s="3">
        <v>3190</v>
      </c>
      <c r="S2919" s="3" t="s">
        <v>2536</v>
      </c>
      <c r="V2919" s="51">
        <v>0.34027777777777779</v>
      </c>
    </row>
    <row r="2920" spans="1:25">
      <c r="A2920" s="12">
        <v>24872154</v>
      </c>
      <c r="B2920" s="13">
        <v>46292</v>
      </c>
      <c r="C2920" s="14">
        <v>0.71547453703703701</v>
      </c>
      <c r="D2920" s="15"/>
      <c r="E2920" s="16">
        <v>5218713936010</v>
      </c>
      <c r="F2920" s="15"/>
      <c r="G2920" s="15" t="s">
        <v>2718</v>
      </c>
      <c r="H2920" s="17"/>
      <c r="I2920" s="15"/>
      <c r="J2920" s="18"/>
      <c r="K2920" t="s">
        <v>58</v>
      </c>
      <c r="L2920" s="3">
        <v>2642.89</v>
      </c>
      <c r="N2920" s="3">
        <f t="shared" si="374"/>
        <v>792.86699999999996</v>
      </c>
      <c r="O2920" s="3">
        <f t="shared" si="375"/>
        <v>0</v>
      </c>
      <c r="S2920" s="3" t="s">
        <v>2536</v>
      </c>
      <c r="V2920" s="51">
        <v>0.34027777777777779</v>
      </c>
    </row>
    <row r="2921" spans="1:25">
      <c r="A2921" s="12">
        <v>24872438</v>
      </c>
      <c r="B2921" s="13">
        <v>46292</v>
      </c>
      <c r="C2921" s="14">
        <v>0.73795138888888889</v>
      </c>
      <c r="D2921" s="15" t="s">
        <v>2719</v>
      </c>
      <c r="E2921" s="16">
        <v>5217203146679</v>
      </c>
      <c r="F2921" s="15"/>
      <c r="G2921" s="15" t="s">
        <v>2720</v>
      </c>
      <c r="H2921" s="17" t="s">
        <v>2721</v>
      </c>
      <c r="I2921" s="15"/>
      <c r="J2921" s="18"/>
      <c r="K2921" t="s">
        <v>58</v>
      </c>
      <c r="L2921" s="3">
        <v>4441.6499999999996</v>
      </c>
      <c r="N2921" s="3">
        <f t="shared" si="374"/>
        <v>1332.4949999999999</v>
      </c>
      <c r="O2921" s="3">
        <f t="shared" si="375"/>
        <v>268.67000000000007</v>
      </c>
      <c r="S2921" s="3" t="s">
        <v>2536</v>
      </c>
      <c r="V2921" s="51">
        <v>0.34027777777777779</v>
      </c>
    </row>
    <row r="2922" spans="1:25">
      <c r="A2922" s="12">
        <v>24872730</v>
      </c>
      <c r="B2922" s="13">
        <v>46292</v>
      </c>
      <c r="C2922" s="14">
        <v>0.74820601851851853</v>
      </c>
      <c r="D2922" s="15"/>
      <c r="E2922" s="16">
        <v>5215513358507</v>
      </c>
      <c r="F2922" s="15"/>
      <c r="G2922" s="15"/>
      <c r="H2922" s="17">
        <v>39036402269</v>
      </c>
      <c r="I2922" s="15"/>
      <c r="J2922" s="18"/>
      <c r="K2922" t="s">
        <v>51</v>
      </c>
      <c r="N2922" s="3">
        <f t="shared" si="374"/>
        <v>0</v>
      </c>
      <c r="O2922" s="3">
        <f t="shared" si="375"/>
        <v>0</v>
      </c>
      <c r="S2922" s="3" t="s">
        <v>2536</v>
      </c>
      <c r="V2922" s="51">
        <v>0.34027777777777779</v>
      </c>
    </row>
    <row r="2923" spans="1:25">
      <c r="A2923" s="12">
        <v>24872668</v>
      </c>
      <c r="B2923" s="13">
        <v>46292</v>
      </c>
      <c r="C2923" s="14">
        <v>0.75642361111111112</v>
      </c>
      <c r="D2923" s="15" t="s">
        <v>2722</v>
      </c>
      <c r="E2923" s="16">
        <v>5215560518907</v>
      </c>
      <c r="F2923" s="15"/>
      <c r="G2923" s="15" t="str">
        <f ca="1">UPPER(Tabla1[[#This Row],[CURP]])</f>
        <v>EAHR460304HHGSRM09</v>
      </c>
      <c r="H2923" s="17"/>
      <c r="I2923" s="15"/>
      <c r="J2923" s="18"/>
      <c r="K2923" t="s">
        <v>30</v>
      </c>
      <c r="L2923" s="3">
        <f>5935.65+400.09+2016.38</f>
        <v>8352.119999999999</v>
      </c>
      <c r="M2923" s="3">
        <f>400.09+2016.38</f>
        <v>2416.4700000000003</v>
      </c>
      <c r="N2923" s="3">
        <f t="shared" si="374"/>
        <v>2505.6359999999995</v>
      </c>
      <c r="O2923" s="3">
        <f t="shared" si="375"/>
        <v>89.165999999999258</v>
      </c>
      <c r="P2923" s="6">
        <v>46357</v>
      </c>
      <c r="Q2923" t="s">
        <v>80</v>
      </c>
      <c r="R2923" s="3">
        <v>2016.38</v>
      </c>
      <c r="S2923" s="3" t="s">
        <v>2536</v>
      </c>
      <c r="V2923" s="51">
        <v>0.34027777777777779</v>
      </c>
    </row>
    <row r="2924" spans="1:25">
      <c r="A2924" s="12">
        <v>24873054</v>
      </c>
      <c r="B2924" s="13">
        <v>46292</v>
      </c>
      <c r="C2924" s="14">
        <v>0.77381944444444439</v>
      </c>
      <c r="D2924" s="15"/>
      <c r="E2924" s="16">
        <v>5215568732282</v>
      </c>
      <c r="F2924" s="15"/>
      <c r="G2924" s="15"/>
      <c r="H2924" s="17">
        <v>64816017822</v>
      </c>
      <c r="I2924" s="15"/>
      <c r="J2924" s="18"/>
      <c r="K2924" t="s">
        <v>30</v>
      </c>
      <c r="L2924" s="3">
        <f>11988.73+5136.64</f>
        <v>17125.37</v>
      </c>
      <c r="M2924" s="3">
        <v>5136.6400000000003</v>
      </c>
      <c r="N2924" s="3">
        <f t="shared" si="374"/>
        <v>5137.6109999999999</v>
      </c>
      <c r="O2924" s="3">
        <f t="shared" si="375"/>
        <v>0.97099999999954889</v>
      </c>
      <c r="P2924" s="6">
        <v>46874</v>
      </c>
      <c r="Q2924" t="s">
        <v>77</v>
      </c>
      <c r="R2924" s="3">
        <v>5136.6400000000003</v>
      </c>
      <c r="S2924" s="3" t="s">
        <v>2536</v>
      </c>
      <c r="V2924" s="51">
        <v>0.34027777777777779</v>
      </c>
    </row>
    <row r="2925" spans="1:25">
      <c r="A2925" s="12">
        <v>24873420</v>
      </c>
      <c r="B2925" s="13">
        <v>46292</v>
      </c>
      <c r="C2925" s="14">
        <v>0.79762731481481486</v>
      </c>
      <c r="D2925" s="15" t="s">
        <v>2723</v>
      </c>
      <c r="E2925" s="16">
        <v>5215539807395</v>
      </c>
      <c r="F2925" s="15"/>
      <c r="G2925" s="15"/>
      <c r="H2925" s="17">
        <v>90897118528</v>
      </c>
      <c r="I2925" s="15"/>
      <c r="J2925" s="18"/>
      <c r="K2925" t="s">
        <v>51</v>
      </c>
      <c r="N2925" s="3">
        <f t="shared" si="374"/>
        <v>0</v>
      </c>
      <c r="O2925" s="3">
        <f t="shared" si="375"/>
        <v>0</v>
      </c>
      <c r="S2925" s="3" t="s">
        <v>2536</v>
      </c>
      <c r="V2925" s="51">
        <v>0.34027777777777779</v>
      </c>
    </row>
    <row r="2926" spans="1:25">
      <c r="A2926" s="12">
        <v>24873684</v>
      </c>
      <c r="B2926" s="13">
        <v>46292</v>
      </c>
      <c r="C2926" s="14">
        <v>0.81188657407407405</v>
      </c>
      <c r="D2926" s="15"/>
      <c r="E2926" s="16">
        <v>5213324302698</v>
      </c>
      <c r="F2926" s="15"/>
      <c r="G2926" s="15"/>
      <c r="H2926" s="17" t="s">
        <v>2724</v>
      </c>
      <c r="I2926" s="15"/>
      <c r="J2926" s="18"/>
      <c r="K2926" t="s">
        <v>51</v>
      </c>
      <c r="N2926" s="3">
        <f t="shared" si="374"/>
        <v>0</v>
      </c>
      <c r="O2926" s="3">
        <f t="shared" si="375"/>
        <v>0</v>
      </c>
      <c r="S2926" s="3" t="s">
        <v>2536</v>
      </c>
      <c r="V2926" s="51">
        <v>0.34027777777777779</v>
      </c>
    </row>
    <row r="2927" spans="1:25">
      <c r="A2927" s="12">
        <v>24873880</v>
      </c>
      <c r="B2927" s="13">
        <v>46292</v>
      </c>
      <c r="C2927" s="14">
        <v>0.82202546296296297</v>
      </c>
      <c r="D2927" s="15"/>
      <c r="E2927" s="16">
        <v>5216572733903</v>
      </c>
      <c r="F2927" s="15"/>
      <c r="G2927" s="15"/>
      <c r="H2927" s="17">
        <v>33826531171</v>
      </c>
      <c r="I2927" s="15"/>
      <c r="J2927" s="18"/>
      <c r="K2927" t="s">
        <v>30</v>
      </c>
      <c r="L2927" s="3">
        <f>6607.46+2474.06</f>
        <v>9081.52</v>
      </c>
      <c r="M2927" s="3">
        <v>2474.06</v>
      </c>
      <c r="N2927" s="3">
        <f t="shared" si="374"/>
        <v>2724.4560000000001</v>
      </c>
      <c r="O2927" s="3">
        <f t="shared" si="375"/>
        <v>250.39600000000019</v>
      </c>
      <c r="P2927" s="6">
        <v>46327</v>
      </c>
      <c r="Q2927" t="s">
        <v>44</v>
      </c>
      <c r="R2927" s="3">
        <v>2474.06</v>
      </c>
      <c r="S2927" s="3" t="s">
        <v>2536</v>
      </c>
      <c r="V2927" s="51">
        <v>0.34027777777777779</v>
      </c>
    </row>
    <row r="2928" spans="1:25">
      <c r="A2928" s="12">
        <v>24873928</v>
      </c>
      <c r="B2928" s="13">
        <v>46292</v>
      </c>
      <c r="C2928" s="14">
        <v>0.83723379629629635</v>
      </c>
      <c r="D2928" s="15"/>
      <c r="E2928" s="16">
        <v>5214492773845</v>
      </c>
      <c r="F2928" s="15"/>
      <c r="G2928" s="15"/>
      <c r="H2928" s="17">
        <v>51826304191</v>
      </c>
      <c r="I2928" s="15"/>
      <c r="J2928" s="18"/>
      <c r="K2928" t="s">
        <v>27</v>
      </c>
      <c r="L2928" s="3">
        <f>5791.41+752.57+1376.53</f>
        <v>7920.5099999999993</v>
      </c>
      <c r="M2928" s="3">
        <f>752.57+1376.53</f>
        <v>2129.1</v>
      </c>
      <c r="N2928" s="3">
        <f t="shared" si="374"/>
        <v>2376.1529999999998</v>
      </c>
      <c r="O2928" s="3">
        <f t="shared" si="375"/>
        <v>247.05299999999988</v>
      </c>
      <c r="P2928" s="6">
        <v>46082</v>
      </c>
      <c r="Q2928" t="s">
        <v>75</v>
      </c>
      <c r="R2928" s="3">
        <v>1376.53</v>
      </c>
      <c r="S2928" s="3" t="s">
        <v>1080</v>
      </c>
      <c r="T2928" s="48">
        <v>46293</v>
      </c>
      <c r="V2928" s="51">
        <v>0.34027777777777779</v>
      </c>
      <c r="W2928" s="51">
        <v>0.40555555555555556</v>
      </c>
      <c r="X2928" s="51">
        <v>0.41249999999999998</v>
      </c>
      <c r="Y2928" s="51">
        <v>0.41458333333333336</v>
      </c>
    </row>
    <row r="2929" spans="1:25">
      <c r="A2929" s="12">
        <v>24874312</v>
      </c>
      <c r="B2929" s="13">
        <v>46292</v>
      </c>
      <c r="C2929" s="14">
        <v>0.85965277777777782</v>
      </c>
      <c r="D2929" s="15"/>
      <c r="E2929" s="16">
        <v>5215560719833</v>
      </c>
      <c r="F2929" s="15"/>
      <c r="G2929" s="15" t="s">
        <v>2725</v>
      </c>
      <c r="H2929" s="17"/>
      <c r="I2929" s="15"/>
      <c r="J2929" s="18"/>
      <c r="K2929" s="223" t="s">
        <v>58</v>
      </c>
      <c r="N2929" s="3">
        <f t="shared" si="374"/>
        <v>0</v>
      </c>
      <c r="O2929" s="3">
        <f t="shared" si="375"/>
        <v>0</v>
      </c>
      <c r="S2929" s="3" t="s">
        <v>327</v>
      </c>
      <c r="V2929" s="51">
        <v>0.34027777777777779</v>
      </c>
    </row>
    <row r="2930" spans="1:25">
      <c r="A2930" s="12">
        <v>24874322</v>
      </c>
      <c r="B2930" s="13">
        <v>46292</v>
      </c>
      <c r="C2930" s="14">
        <v>0.86093750000000002</v>
      </c>
      <c r="D2930" s="15"/>
      <c r="E2930" s="16">
        <v>5218787002638</v>
      </c>
      <c r="F2930" s="15"/>
      <c r="G2930" s="15"/>
      <c r="H2930" s="17">
        <v>32836544109</v>
      </c>
      <c r="I2930" s="15"/>
      <c r="J2930" s="18"/>
      <c r="K2930" t="s">
        <v>54</v>
      </c>
      <c r="L2930" s="3">
        <v>10636.54</v>
      </c>
      <c r="N2930" s="3">
        <f t="shared" si="374"/>
        <v>3190.962</v>
      </c>
      <c r="O2930" s="3">
        <f t="shared" si="375"/>
        <v>3190.962</v>
      </c>
      <c r="S2930" s="3" t="s">
        <v>62</v>
      </c>
      <c r="T2930" s="48">
        <v>46293</v>
      </c>
      <c r="V2930" s="51">
        <v>0.34027777777777779</v>
      </c>
      <c r="W2930" s="51">
        <v>0.37083333333333335</v>
      </c>
      <c r="X2930" s="51">
        <v>0.37291666666666667</v>
      </c>
      <c r="Y2930" s="51">
        <v>0.375</v>
      </c>
    </row>
    <row r="2931" spans="1:25">
      <c r="A2931" s="12">
        <v>24874676</v>
      </c>
      <c r="B2931" s="13">
        <v>46292</v>
      </c>
      <c r="C2931" s="14">
        <v>0.89613425925925927</v>
      </c>
      <c r="D2931" s="15"/>
      <c r="E2931" s="16">
        <v>5217771758423</v>
      </c>
      <c r="F2931" s="15"/>
      <c r="G2931" s="15"/>
      <c r="H2931" s="17">
        <v>15866512963</v>
      </c>
      <c r="I2931" s="15"/>
      <c r="J2931" s="18"/>
      <c r="K2931" t="s">
        <v>32</v>
      </c>
      <c r="N2931" s="3">
        <f t="shared" si="374"/>
        <v>0</v>
      </c>
      <c r="O2931" s="3">
        <f t="shared" si="375"/>
        <v>0</v>
      </c>
      <c r="S2931" s="3" t="s">
        <v>2536</v>
      </c>
      <c r="V2931" s="51">
        <v>0.34027777777777779</v>
      </c>
    </row>
    <row r="2932" spans="1:25">
      <c r="A2932" s="30">
        <v>24874854</v>
      </c>
      <c r="B2932" s="31">
        <v>46292</v>
      </c>
      <c r="C2932" s="32">
        <v>0.90815972222222219</v>
      </c>
      <c r="D2932" s="33"/>
      <c r="E2932" s="34">
        <v>16025154699</v>
      </c>
      <c r="F2932" s="33"/>
      <c r="G2932" s="33"/>
      <c r="H2932" s="35">
        <v>21876121910</v>
      </c>
      <c r="I2932" s="33"/>
      <c r="J2932" s="36"/>
      <c r="K2932" t="s">
        <v>54</v>
      </c>
      <c r="L2932" s="3">
        <v>9760.2999999999993</v>
      </c>
      <c r="N2932" s="3">
        <f t="shared" si="374"/>
        <v>2928.0899999999997</v>
      </c>
      <c r="O2932" s="3">
        <f t="shared" si="375"/>
        <v>2928.0899999999997</v>
      </c>
      <c r="S2932" s="3" t="s">
        <v>1946</v>
      </c>
      <c r="T2932" s="48">
        <v>46293</v>
      </c>
      <c r="V2932" s="51">
        <v>0.34027777777777779</v>
      </c>
      <c r="W2932" s="51">
        <v>0.40694444444444444</v>
      </c>
      <c r="X2932" s="51">
        <v>0.41041666666666665</v>
      </c>
      <c r="Y2932" s="51">
        <v>0.43055555555555558</v>
      </c>
    </row>
    <row r="2933" spans="1:25">
      <c r="A2933" s="30">
        <v>24874840</v>
      </c>
      <c r="B2933" s="31">
        <v>46292</v>
      </c>
      <c r="C2933" s="32">
        <v>0.91443287037037035</v>
      </c>
      <c r="D2933" s="33" t="s">
        <v>2726</v>
      </c>
      <c r="E2933" s="34">
        <v>5213324220676</v>
      </c>
      <c r="F2933" s="33"/>
      <c r="G2933" s="33"/>
      <c r="H2933" s="35">
        <v>25936401543</v>
      </c>
      <c r="I2933" s="33"/>
      <c r="J2933" s="36"/>
      <c r="K2933" t="s">
        <v>30</v>
      </c>
      <c r="L2933" s="3">
        <f>6950.37+2809.95</f>
        <v>9760.32</v>
      </c>
      <c r="M2933" s="3">
        <v>2809.95</v>
      </c>
      <c r="N2933" s="3">
        <f>L2933*0.3</f>
        <v>2928.096</v>
      </c>
      <c r="O2933" s="3">
        <f>(IF(L2933&lt;4172.98,0,MIN(L2933*0.3,L2933-4172.98)))-M2933</f>
        <v>118.14600000000019</v>
      </c>
      <c r="P2933" s="6">
        <v>46753</v>
      </c>
      <c r="Q2933" t="s">
        <v>141</v>
      </c>
      <c r="R2933" s="3">
        <v>2809.95</v>
      </c>
      <c r="S2933" s="3" t="s">
        <v>2536</v>
      </c>
      <c r="V2933" s="51">
        <v>0.34027777777777779</v>
      </c>
    </row>
    <row r="2934" spans="1:25">
      <c r="A2934" s="12">
        <v>24875360</v>
      </c>
      <c r="B2934" s="13">
        <v>46292</v>
      </c>
      <c r="C2934" s="14">
        <v>0.95910879629629631</v>
      </c>
      <c r="D2934" s="15"/>
      <c r="E2934" s="16">
        <v>5216622026945</v>
      </c>
      <c r="F2934" s="15"/>
      <c r="G2934" s="15"/>
      <c r="H2934" s="17">
        <v>24816216246</v>
      </c>
      <c r="I2934" s="15"/>
      <c r="J2934" s="18"/>
      <c r="K2934" t="s">
        <v>30</v>
      </c>
      <c r="L2934" s="3">
        <f>5544.56+1700+103.95+572</f>
        <v>7920.51</v>
      </c>
      <c r="M2934" s="3">
        <f>1700+103.95+572</f>
        <v>2375.9499999999998</v>
      </c>
      <c r="N2934" s="3">
        <f t="shared" ref="N2934:N2937" si="376">L2934*0.3</f>
        <v>2376.1529999999998</v>
      </c>
      <c r="O2934" s="3">
        <f t="shared" ref="O2934:O2937" si="377">(IF(L2934&lt;4172.98,0,MIN(L2934*0.3,L2934-4172.98)))-M2934</f>
        <v>0.20299999999997453</v>
      </c>
      <c r="P2934" s="6">
        <v>46844</v>
      </c>
      <c r="Q2934" t="s">
        <v>302</v>
      </c>
      <c r="R2934" s="3">
        <v>572</v>
      </c>
      <c r="S2934" s="3" t="s">
        <v>2536</v>
      </c>
      <c r="V2934" s="51">
        <v>0.34027777777777779</v>
      </c>
    </row>
    <row r="2935" spans="1:25">
      <c r="A2935" s="12">
        <v>24876448</v>
      </c>
      <c r="B2935" s="13">
        <v>46293</v>
      </c>
      <c r="C2935" s="14">
        <v>5.7743055555555554E-2</v>
      </c>
      <c r="D2935" s="15"/>
      <c r="E2935" s="16">
        <v>5219621112619</v>
      </c>
      <c r="F2935" s="15"/>
      <c r="G2935" s="15"/>
      <c r="H2935" s="17">
        <v>71876516213</v>
      </c>
      <c r="I2935" s="15"/>
      <c r="J2935" s="18"/>
      <c r="K2935" t="s">
        <v>54</v>
      </c>
      <c r="L2935" s="3">
        <v>9760.32</v>
      </c>
      <c r="N2935" s="3">
        <f t="shared" si="376"/>
        <v>2928.096</v>
      </c>
      <c r="O2935" s="3">
        <f t="shared" si="377"/>
        <v>2928.096</v>
      </c>
      <c r="S2935" s="3" t="s">
        <v>1946</v>
      </c>
      <c r="T2935" s="48">
        <v>46293</v>
      </c>
      <c r="V2935" s="51">
        <v>0.34027777777777779</v>
      </c>
      <c r="W2935" s="51">
        <v>0.41666666666666669</v>
      </c>
      <c r="X2935" s="51">
        <v>0.43125000000000002</v>
      </c>
      <c r="Y2935" s="51">
        <v>0.4375</v>
      </c>
    </row>
    <row r="2936" spans="1:25">
      <c r="A2936" s="12">
        <v>24876702</v>
      </c>
      <c r="B2936" s="13">
        <v>46293</v>
      </c>
      <c r="C2936" s="14">
        <v>8.8124999999999995E-2</v>
      </c>
      <c r="D2936" s="15"/>
      <c r="E2936" s="16">
        <v>5212221364005</v>
      </c>
      <c r="F2936" s="15"/>
      <c r="G2936" s="15" t="s">
        <v>2727</v>
      </c>
      <c r="H2936" s="17"/>
      <c r="I2936" s="15"/>
      <c r="J2936" s="18"/>
      <c r="K2936" t="s">
        <v>32</v>
      </c>
      <c r="N2936" s="3">
        <f t="shared" si="376"/>
        <v>0</v>
      </c>
      <c r="O2936" s="3">
        <f t="shared" si="377"/>
        <v>0</v>
      </c>
      <c r="S2936" s="3" t="s">
        <v>2536</v>
      </c>
      <c r="V2936" s="51">
        <v>0.34027777777777779</v>
      </c>
    </row>
    <row r="2937" spans="1:25">
      <c r="A2937" s="30">
        <v>24883032</v>
      </c>
      <c r="B2937" s="31">
        <v>46293</v>
      </c>
      <c r="C2937" s="32">
        <v>0.32141203703703702</v>
      </c>
      <c r="D2937" s="33"/>
      <c r="E2937" s="34">
        <v>5215518533675</v>
      </c>
      <c r="F2937" s="33"/>
      <c r="G2937" s="33"/>
      <c r="H2937" s="35" t="s">
        <v>2728</v>
      </c>
      <c r="I2937" s="33"/>
      <c r="J2937" s="36"/>
      <c r="K2937" t="s">
        <v>58</v>
      </c>
      <c r="L2937" s="3">
        <v>4668.43</v>
      </c>
      <c r="M2937" s="3">
        <v>848</v>
      </c>
      <c r="N2937" s="3">
        <f t="shared" si="376"/>
        <v>1400.529</v>
      </c>
      <c r="O2937" s="3">
        <f t="shared" si="377"/>
        <v>-352.54999999999927</v>
      </c>
      <c r="S2937" s="3" t="s">
        <v>2536</v>
      </c>
      <c r="V2937" s="51">
        <v>0.34027777777777779</v>
      </c>
    </row>
    <row r="2938" spans="1:25">
      <c r="A2938" s="30">
        <v>24883986</v>
      </c>
      <c r="B2938" s="31">
        <v>46293</v>
      </c>
      <c r="C2938" s="32">
        <v>0.3445138888888889</v>
      </c>
      <c r="D2938" s="33"/>
      <c r="E2938" s="34"/>
      <c r="F2938" s="33"/>
      <c r="G2938" s="33"/>
      <c r="H2938" s="35" t="s">
        <v>2729</v>
      </c>
      <c r="I2938" s="33"/>
      <c r="J2938" s="36"/>
      <c r="K2938" t="s">
        <v>27</v>
      </c>
      <c r="L2938" s="111">
        <v>6460.11</v>
      </c>
      <c r="M2938" s="111">
        <v>1793.57</v>
      </c>
      <c r="N2938" s="3">
        <f>L2938*0.3</f>
        <v>1938.0329999999999</v>
      </c>
      <c r="O2938" s="3">
        <f>(IF(L2938&lt;4172.98,0,MIN(L2938*0.3,L2938-4172.98)))-M2938</f>
        <v>144.46299999999997</v>
      </c>
      <c r="P2938" s="6">
        <v>46266</v>
      </c>
      <c r="Q2938" t="s">
        <v>75</v>
      </c>
      <c r="R2938" s="111">
        <v>1793.57</v>
      </c>
      <c r="S2938" s="3" t="s">
        <v>98</v>
      </c>
      <c r="T2938" s="48">
        <v>46293</v>
      </c>
      <c r="V2938" s="51">
        <v>0.34722222222222221</v>
      </c>
      <c r="W2938" s="51">
        <v>0.43888888888888888</v>
      </c>
      <c r="X2938" s="51">
        <v>0.44027777777777777</v>
      </c>
      <c r="Y2938" s="51">
        <v>0.44444444444444442</v>
      </c>
    </row>
    <row r="2939" spans="1:25">
      <c r="A2939" s="30">
        <v>24884484</v>
      </c>
      <c r="B2939" s="31">
        <v>46293</v>
      </c>
      <c r="C2939" s="32">
        <v>0.36800925925925926</v>
      </c>
      <c r="D2939" s="33"/>
      <c r="E2939" s="34">
        <v>5218448932258</v>
      </c>
      <c r="F2939" s="33"/>
      <c r="G2939" s="33"/>
      <c r="H2939" s="35">
        <v>32826633045</v>
      </c>
      <c r="I2939" s="33"/>
      <c r="J2939" s="36"/>
      <c r="K2939" t="s">
        <v>54</v>
      </c>
      <c r="L2939" s="3">
        <v>9760.32</v>
      </c>
      <c r="N2939" s="3">
        <f>L2939*0.3</f>
        <v>2928.096</v>
      </c>
      <c r="O2939" s="3">
        <f>(IF(L2939&lt;4172.98,0,MIN(L2939*0.3,L2939-4172.98)))-M2939</f>
        <v>2928.096</v>
      </c>
      <c r="S2939" s="3" t="s">
        <v>1910</v>
      </c>
      <c r="T2939" s="48">
        <v>46293</v>
      </c>
      <c r="V2939" s="51">
        <v>0.37152777777777779</v>
      </c>
      <c r="W2939" s="51">
        <v>0.43680555555555556</v>
      </c>
      <c r="X2939" s="51">
        <v>0.43958333333333333</v>
      </c>
      <c r="Y2939" s="51">
        <v>0.44027777777777777</v>
      </c>
    </row>
    <row r="2940" spans="1:25">
      <c r="A2940" s="30">
        <v>24889818</v>
      </c>
      <c r="B2940" s="31">
        <v>46293</v>
      </c>
      <c r="C2940" s="32">
        <v>0.40756944444444443</v>
      </c>
      <c r="D2940" s="33"/>
      <c r="E2940" s="34">
        <v>5214871564885</v>
      </c>
      <c r="F2940" s="33"/>
      <c r="G2940" s="33" t="s">
        <v>2730</v>
      </c>
      <c r="H2940" s="35"/>
      <c r="I2940" s="33"/>
      <c r="J2940" s="36"/>
      <c r="K2940" t="s">
        <v>32</v>
      </c>
      <c r="N2940" s="3">
        <f>L2940*0.3</f>
        <v>0</v>
      </c>
      <c r="O2940" s="3">
        <f>(IF(L2940&lt;4172.98,0,MIN(L2940*0.3,L2940-4172.98)))-M2940</f>
        <v>0</v>
      </c>
      <c r="S2940" s="3" t="s">
        <v>2536</v>
      </c>
      <c r="V2940" s="51">
        <v>0.40833333333333333</v>
      </c>
    </row>
    <row r="2941" spans="1:25">
      <c r="A2941" s="30">
        <v>24889918</v>
      </c>
      <c r="B2941" s="31">
        <v>46293</v>
      </c>
      <c r="C2941" s="32">
        <v>0.41019675925925925</v>
      </c>
      <c r="D2941" s="33"/>
      <c r="E2941" s="34">
        <v>5212281283264</v>
      </c>
      <c r="F2941" s="33"/>
      <c r="G2941" s="33" t="s">
        <v>2731</v>
      </c>
      <c r="H2941" s="35"/>
      <c r="I2941" s="33"/>
      <c r="J2941" s="36"/>
      <c r="K2941" t="s">
        <v>54</v>
      </c>
      <c r="L2941" s="3">
        <f>15863.58+848</f>
        <v>16711.580000000002</v>
      </c>
      <c r="M2941" s="3">
        <v>848</v>
      </c>
      <c r="N2941" s="3">
        <f>L2941*0.3</f>
        <v>5013.4740000000002</v>
      </c>
      <c r="O2941" s="3">
        <f>(IF(L2941&lt;4172.98,0,MIN(L2941*0.3,L2941-4172.98)))-M2941</f>
        <v>4165.4740000000002</v>
      </c>
      <c r="S2941" s="3" t="s">
        <v>1808</v>
      </c>
      <c r="T2941" s="48">
        <v>46293</v>
      </c>
      <c r="V2941" s="51">
        <v>0.41388888888888886</v>
      </c>
      <c r="W2941" s="51">
        <v>0.43819444444444444</v>
      </c>
      <c r="X2941" s="51">
        <v>0.44583333333333336</v>
      </c>
      <c r="Y2941" s="51">
        <v>0.44791666666666669</v>
      </c>
    </row>
    <row r="2942" spans="1:25">
      <c r="A2942" s="30">
        <v>24890388</v>
      </c>
      <c r="B2942" s="31">
        <v>46293</v>
      </c>
      <c r="C2942" s="32">
        <v>0.42365740740740743</v>
      </c>
      <c r="D2942" s="33"/>
      <c r="E2942" s="34">
        <v>5212224022087</v>
      </c>
      <c r="F2942" s="33"/>
      <c r="G2942" s="33"/>
      <c r="H2942" s="35">
        <v>62735531535</v>
      </c>
      <c r="I2942" s="33"/>
      <c r="J2942" s="36"/>
      <c r="K2942" t="s">
        <v>58</v>
      </c>
      <c r="L2942" s="3">
        <v>4354.21</v>
      </c>
      <c r="N2942" s="3">
        <f>L2942*0.3</f>
        <v>1306.2629999999999</v>
      </c>
      <c r="O2942" s="3">
        <f>(IF(L2942&lt;4172.98,0,MIN(L2942*0.3,L2942-4172.98)))-M2942</f>
        <v>181.23000000000047</v>
      </c>
      <c r="S2942" s="3" t="s">
        <v>2536</v>
      </c>
      <c r="V2942" s="51">
        <v>0.42638888888888887</v>
      </c>
    </row>
    <row r="2943" spans="1:25">
      <c r="A2943" s="12">
        <v>24890486</v>
      </c>
      <c r="B2943" s="13">
        <v>46293</v>
      </c>
      <c r="C2943" s="14">
        <v>0.42664351851851851</v>
      </c>
      <c r="D2943" s="15"/>
      <c r="E2943" s="16">
        <v>5216142551920</v>
      </c>
      <c r="F2943" s="15"/>
      <c r="G2943" s="15" t="s">
        <v>2732</v>
      </c>
      <c r="H2943" s="17">
        <v>33745312901</v>
      </c>
      <c r="I2943" s="15"/>
      <c r="J2943" s="18"/>
      <c r="K2943" t="s">
        <v>30</v>
      </c>
      <c r="L2943" s="111">
        <v>7116.73</v>
      </c>
      <c r="M2943" s="111">
        <v>2059</v>
      </c>
      <c r="N2943" s="3">
        <f t="shared" ref="N2943:N2945" si="378">L2943*0.3</f>
        <v>2135.0189999999998</v>
      </c>
      <c r="O2943" s="3">
        <f t="shared" ref="O2943:O2945" si="379">(IF(L2943&lt;4172.98,0,MIN(L2943*0.3,L2943-4172.98)))-M2943</f>
        <v>76.018999999999778</v>
      </c>
      <c r="P2943" s="6">
        <v>46631</v>
      </c>
      <c r="Q2943" t="s">
        <v>59</v>
      </c>
      <c r="R2943" s="111">
        <v>2059</v>
      </c>
      <c r="S2943" s="3" t="s">
        <v>2536</v>
      </c>
      <c r="V2943" s="51">
        <v>0.42916666666666664</v>
      </c>
    </row>
    <row r="2944" spans="1:25">
      <c r="A2944" s="12">
        <v>24890532</v>
      </c>
      <c r="B2944" s="13">
        <v>46293</v>
      </c>
      <c r="C2944" s="14">
        <v>0.42855324074074075</v>
      </c>
      <c r="D2944" s="15"/>
      <c r="E2944" s="16">
        <v>5217711616409</v>
      </c>
      <c r="F2944" s="15"/>
      <c r="G2944" s="15" t="s">
        <v>2733</v>
      </c>
      <c r="H2944" s="17"/>
      <c r="I2944" s="15"/>
      <c r="J2944" s="18"/>
      <c r="K2944" t="s">
        <v>189</v>
      </c>
      <c r="N2944" s="3">
        <f t="shared" si="378"/>
        <v>0</v>
      </c>
      <c r="O2944" s="3">
        <f t="shared" si="379"/>
        <v>0</v>
      </c>
      <c r="S2944" s="3" t="s">
        <v>2536</v>
      </c>
      <c r="V2944" s="51">
        <v>0.42916666666666664</v>
      </c>
    </row>
    <row r="2945" spans="1:25">
      <c r="A2945" s="30">
        <v>24890668</v>
      </c>
      <c r="B2945" s="31">
        <v>46293</v>
      </c>
      <c r="C2945" s="32">
        <v>0.42952546296296296</v>
      </c>
      <c r="D2945" s="33"/>
      <c r="E2945" s="34">
        <v>5215531543497</v>
      </c>
      <c r="F2945" s="33"/>
      <c r="G2945" s="33"/>
      <c r="H2945" s="35">
        <v>20876403658</v>
      </c>
      <c r="I2945" s="33"/>
      <c r="J2945" s="36"/>
      <c r="K2945" t="s">
        <v>30</v>
      </c>
      <c r="L2945" s="3">
        <f>6834.44+2928.88</f>
        <v>9763.32</v>
      </c>
      <c r="M2945" s="3">
        <v>2925.88</v>
      </c>
      <c r="N2945" s="3">
        <f t="shared" si="378"/>
        <v>2928.9959999999996</v>
      </c>
      <c r="O2945" s="3">
        <f t="shared" si="379"/>
        <v>3.1159999999995307</v>
      </c>
      <c r="P2945" s="6">
        <v>46966</v>
      </c>
      <c r="Q2945" t="s">
        <v>43</v>
      </c>
      <c r="R2945" s="3">
        <v>2925.88</v>
      </c>
      <c r="S2945" s="3" t="s">
        <v>2536</v>
      </c>
      <c r="V2945" s="51">
        <v>0.42916666666666664</v>
      </c>
    </row>
    <row r="2946" spans="1:25">
      <c r="A2946" s="30">
        <v>24890824</v>
      </c>
      <c r="B2946" s="31">
        <v>46293</v>
      </c>
      <c r="C2946" s="32">
        <v>0.43634259259259262</v>
      </c>
      <c r="D2946" s="33"/>
      <c r="E2946" s="34">
        <v>5214442837049</v>
      </c>
      <c r="F2946" s="33"/>
      <c r="G2946" s="33" t="s">
        <v>2734</v>
      </c>
      <c r="H2946" s="35"/>
      <c r="I2946" s="33"/>
      <c r="J2946" s="36"/>
      <c r="K2946" t="s">
        <v>32</v>
      </c>
      <c r="L2946" s="3">
        <v>4800</v>
      </c>
      <c r="N2946" s="3">
        <f>L2946*0.3</f>
        <v>1440</v>
      </c>
      <c r="O2946" s="3">
        <f>(IF(L2946&lt;4172.98,0,MIN(L2946*0.3,L2946-4172.98)))-M2946</f>
        <v>627.02000000000044</v>
      </c>
      <c r="S2946" s="3" t="s">
        <v>2536</v>
      </c>
      <c r="V2946" s="51">
        <v>0.43680555555555556</v>
      </c>
    </row>
    <row r="2947" spans="1:25">
      <c r="A2947" s="30">
        <v>24892708</v>
      </c>
      <c r="B2947" s="31">
        <v>46293</v>
      </c>
      <c r="C2947" s="32">
        <v>0.4886226851851852</v>
      </c>
      <c r="D2947" s="33"/>
      <c r="E2947" s="34">
        <v>5215514396673</v>
      </c>
      <c r="F2947" s="33"/>
      <c r="G2947" s="33"/>
      <c r="H2947" s="35" t="s">
        <v>2735</v>
      </c>
      <c r="I2947" s="33"/>
      <c r="J2947" s="36"/>
      <c r="K2947" t="s">
        <v>58</v>
      </c>
      <c r="L2947" s="3">
        <v>3881.65</v>
      </c>
      <c r="N2947" s="3">
        <f>L2947*0.3</f>
        <v>1164.4949999999999</v>
      </c>
      <c r="O2947" s="3">
        <f>(IF(L2947&lt;4172.98,0,MIN(L2947*0.3,L2947-4172.98)))-M2947</f>
        <v>0</v>
      </c>
      <c r="S2947" s="3" t="s">
        <v>2536</v>
      </c>
      <c r="V2947" s="51">
        <v>0.49027777777777776</v>
      </c>
    </row>
    <row r="2948" spans="1:25">
      <c r="A2948" s="30">
        <v>24893216</v>
      </c>
      <c r="B2948" s="31">
        <v>46293</v>
      </c>
      <c r="C2948" s="32">
        <v>0.49982638888888886</v>
      </c>
      <c r="D2948" s="33"/>
      <c r="E2948" s="34">
        <v>5216563363331</v>
      </c>
      <c r="F2948" s="33"/>
      <c r="G2948" s="33"/>
      <c r="H2948" s="35" t="s">
        <v>2736</v>
      </c>
      <c r="I2948" s="33"/>
      <c r="J2948" s="36"/>
      <c r="K2948" t="s">
        <v>58</v>
      </c>
      <c r="L2948" s="3">
        <v>4336.66</v>
      </c>
      <c r="N2948" s="3">
        <f>L2948*0.3</f>
        <v>1300.9979999999998</v>
      </c>
      <c r="O2948" s="3">
        <f>(IF(L2948&lt;4172.98,0,MIN(L2948*0.3,L2948-4172.98)))-M2948</f>
        <v>163.68000000000029</v>
      </c>
      <c r="S2948" s="3" t="s">
        <v>2536</v>
      </c>
      <c r="V2948" s="51">
        <v>0.50069444444444444</v>
      </c>
    </row>
    <row r="2949" spans="1:25">
      <c r="A2949" s="30">
        <v>24893390</v>
      </c>
      <c r="B2949" s="31">
        <v>46293</v>
      </c>
      <c r="C2949" s="32">
        <v>0.50190972222222219</v>
      </c>
      <c r="D2949" s="33"/>
      <c r="E2949" s="34">
        <v>5212201466670</v>
      </c>
      <c r="F2949" s="33"/>
      <c r="G2949" s="33"/>
      <c r="H2949" s="35">
        <v>67917583097</v>
      </c>
      <c r="I2949" s="33"/>
      <c r="J2949" s="36"/>
      <c r="K2949" t="s">
        <v>27</v>
      </c>
      <c r="L2949" s="111">
        <v>5636.59</v>
      </c>
      <c r="M2949" s="111">
        <v>1630.33</v>
      </c>
      <c r="N2949" s="3">
        <f>L2949*0.3</f>
        <v>1690.9770000000001</v>
      </c>
      <c r="O2949" s="3">
        <f>(IF(L2949&lt;4172.98,0,MIN(L2949*0.3,L2949-4172.98)))-M2949</f>
        <v>-166.71999999999935</v>
      </c>
      <c r="P2949" s="6">
        <v>46235</v>
      </c>
      <c r="Q2949" t="s">
        <v>59</v>
      </c>
      <c r="R2949" s="3">
        <v>1444.33</v>
      </c>
      <c r="S2949" s="3" t="s">
        <v>98</v>
      </c>
      <c r="T2949" s="48">
        <v>46293</v>
      </c>
      <c r="V2949" s="51">
        <v>0.50208333333333333</v>
      </c>
      <c r="W2949" s="51">
        <v>0.51527777777777772</v>
      </c>
      <c r="X2949" s="51">
        <v>0.51666666666666672</v>
      </c>
      <c r="Y2949" s="51">
        <v>0.51875000000000004</v>
      </c>
    </row>
    <row r="2950" spans="1:25">
      <c r="A2950" s="30">
        <v>24893664</v>
      </c>
      <c r="B2950" s="31">
        <v>46293</v>
      </c>
      <c r="C2950" s="32">
        <v>0.50796296296296295</v>
      </c>
      <c r="D2950" s="33"/>
      <c r="E2950" s="34">
        <v>5218342585041</v>
      </c>
      <c r="F2950" s="33"/>
      <c r="G2950" s="33"/>
      <c r="H2950" s="35" t="s">
        <v>2737</v>
      </c>
      <c r="I2950" s="33"/>
      <c r="J2950" s="36"/>
      <c r="K2950" t="s">
        <v>51</v>
      </c>
      <c r="N2950" s="3">
        <f>L2950*0.3</f>
        <v>0</v>
      </c>
      <c r="O2950" s="3">
        <f>(IF(L2950&lt;4172.98,0,MIN(L2950*0.3,L2950-4172.98)))-M2950</f>
        <v>0</v>
      </c>
      <c r="S2950" s="3" t="s">
        <v>2536</v>
      </c>
      <c r="V2950" s="51">
        <v>0.50763888888888886</v>
      </c>
    </row>
    <row r="2951" spans="1:25">
      <c r="A2951" s="30">
        <v>24893600</v>
      </c>
      <c r="B2951" s="31">
        <v>46293</v>
      </c>
      <c r="C2951" s="32">
        <v>0.50947916666666671</v>
      </c>
      <c r="D2951" s="33" t="s">
        <v>2738</v>
      </c>
      <c r="E2951" s="34">
        <v>5218712122003</v>
      </c>
      <c r="F2951" s="33"/>
      <c r="G2951" s="33" t="s">
        <v>2739</v>
      </c>
      <c r="H2951" s="35"/>
      <c r="I2951" s="33"/>
      <c r="J2951" s="36"/>
      <c r="K2951" t="s">
        <v>30</v>
      </c>
      <c r="L2951" s="111">
        <v>7135.6</v>
      </c>
      <c r="M2951" s="111">
        <v>2140.6799999999998</v>
      </c>
      <c r="N2951" s="3">
        <f>L2951*0.3</f>
        <v>2140.6799999999998</v>
      </c>
      <c r="O2951" s="3">
        <f>(IF(L2951&lt;4172.98,0,MIN(L2951*0.3,L2951-4172.98)))-M2951</f>
        <v>0</v>
      </c>
      <c r="P2951" s="6">
        <v>46997</v>
      </c>
      <c r="Q2951" t="s">
        <v>80</v>
      </c>
      <c r="R2951" s="111">
        <v>2140.6799999999998</v>
      </c>
      <c r="S2951" s="3" t="s">
        <v>2536</v>
      </c>
      <c r="V2951" s="51">
        <v>0.50972222222222219</v>
      </c>
    </row>
    <row r="2952" spans="1:25">
      <c r="A2952" s="30">
        <v>24893760</v>
      </c>
      <c r="B2952" s="31">
        <v>46293</v>
      </c>
      <c r="C2952" s="32">
        <v>0.5120717592592593</v>
      </c>
      <c r="D2952" s="33"/>
      <c r="E2952" s="34">
        <v>5218715834794</v>
      </c>
      <c r="F2952" s="33"/>
      <c r="G2952" s="33" t="s">
        <v>2740</v>
      </c>
      <c r="H2952" s="35"/>
      <c r="I2952" s="33"/>
      <c r="J2952" s="36"/>
      <c r="K2952" t="s">
        <v>51</v>
      </c>
      <c r="N2952" s="3">
        <f>L2952*0.3</f>
        <v>0</v>
      </c>
      <c r="O2952" s="3">
        <f>(IF(L2952&lt;4172.98,0,MIN(L2952*0.3,L2952-4172.98)))-M2952</f>
        <v>0</v>
      </c>
      <c r="S2952" s="3" t="s">
        <v>2536</v>
      </c>
      <c r="V2952" s="51">
        <v>0.51249999999999996</v>
      </c>
    </row>
    <row r="2953" spans="1:25">
      <c r="A2953" s="30">
        <v>24893850</v>
      </c>
      <c r="B2953" s="31">
        <v>46293</v>
      </c>
      <c r="C2953" s="32">
        <v>0.51545138888888886</v>
      </c>
      <c r="D2953" s="33"/>
      <c r="E2953" s="34">
        <v>5213334122547</v>
      </c>
      <c r="F2953" s="33"/>
      <c r="G2953" s="33"/>
      <c r="H2953" s="35">
        <v>56887054502</v>
      </c>
      <c r="I2953" s="33"/>
      <c r="J2953" s="36"/>
      <c r="K2953" t="s">
        <v>34</v>
      </c>
      <c r="L2953" s="111">
        <v>5814.14</v>
      </c>
      <c r="M2953" s="111">
        <v>1614.21</v>
      </c>
      <c r="N2953" s="3">
        <f>L2953*0.3</f>
        <v>1744.242</v>
      </c>
      <c r="O2953" s="3">
        <f>(IF(L2953&lt;4172.98,0,MIN(L2953*0.3,L2953-4172.98)))-M2953</f>
        <v>26.950000000000728</v>
      </c>
      <c r="P2953" s="6">
        <v>46143</v>
      </c>
      <c r="Q2953" t="s">
        <v>2399</v>
      </c>
      <c r="R2953" s="111">
        <v>1614.21</v>
      </c>
      <c r="S2953" s="3" t="s">
        <v>35</v>
      </c>
      <c r="T2953" s="48">
        <v>46293</v>
      </c>
      <c r="V2953" s="51">
        <v>0.51666666666666672</v>
      </c>
      <c r="W2953" s="51">
        <v>0.52847222222222223</v>
      </c>
      <c r="X2953" s="51">
        <v>0.52916666666666667</v>
      </c>
      <c r="Y2953" s="51">
        <v>0.53472222222222221</v>
      </c>
    </row>
    <row r="2954" spans="1:25">
      <c r="A2954" s="30">
        <v>24893990</v>
      </c>
      <c r="B2954" s="31">
        <v>46293</v>
      </c>
      <c r="C2954" s="32">
        <v>0.52229166666666671</v>
      </c>
      <c r="D2954" s="33" t="s">
        <v>2741</v>
      </c>
      <c r="E2954" s="34">
        <v>5216441212713</v>
      </c>
      <c r="F2954" s="33"/>
      <c r="G2954" s="33"/>
      <c r="H2954" s="35"/>
      <c r="I2954" s="33"/>
      <c r="J2954" s="36"/>
      <c r="K2954" t="s">
        <v>1891</v>
      </c>
      <c r="N2954" s="3">
        <f>L2954*0.3</f>
        <v>0</v>
      </c>
      <c r="O2954" s="3">
        <f>(IF(L2954&lt;4172.98,0,MIN(L2954*0.3,L2954-4172.98)))-M2954</f>
        <v>0</v>
      </c>
      <c r="S2954" s="3" t="s">
        <v>1892</v>
      </c>
      <c r="V2954" s="51">
        <v>0.52500000000000002</v>
      </c>
    </row>
    <row r="2955" spans="1:25">
      <c r="A2955" s="30">
        <v>24894416</v>
      </c>
      <c r="B2955" s="31">
        <v>46293</v>
      </c>
      <c r="C2955" s="32">
        <v>0.52856481481481477</v>
      </c>
      <c r="D2955" s="33" t="s">
        <v>2742</v>
      </c>
      <c r="E2955" s="34">
        <v>5215669525083</v>
      </c>
      <c r="F2955" s="33"/>
      <c r="G2955" s="33"/>
      <c r="H2955" s="35">
        <v>42816202180</v>
      </c>
      <c r="I2955" s="33"/>
      <c r="J2955" s="36"/>
      <c r="K2955" t="s">
        <v>30</v>
      </c>
      <c r="L2955" s="111">
        <v>12264.82</v>
      </c>
      <c r="M2955" s="111">
        <v>3539.17</v>
      </c>
      <c r="N2955" s="3">
        <f>L2955*0.3</f>
        <v>3679.4459999999999</v>
      </c>
      <c r="O2955" s="3">
        <f>(IF(L2955&lt;4172.98,0,MIN(L2955*0.3,L2955-4172.98)))-M2955</f>
        <v>140.27599999999984</v>
      </c>
      <c r="P2955" s="6">
        <v>46569</v>
      </c>
      <c r="Q2955" t="s">
        <v>43</v>
      </c>
      <c r="R2955" s="3">
        <v>3230.33</v>
      </c>
      <c r="S2955" s="3" t="s">
        <v>2536</v>
      </c>
      <c r="V2955" s="51">
        <v>0.52986111111111112</v>
      </c>
    </row>
    <row r="2956" spans="1:25">
      <c r="A2956" s="12">
        <v>24894928</v>
      </c>
      <c r="B2956" s="13">
        <v>46293</v>
      </c>
      <c r="C2956" s="14">
        <v>0.54631944444444447</v>
      </c>
      <c r="D2956" s="15"/>
      <c r="E2956" s="16">
        <v>5214761271517</v>
      </c>
      <c r="F2956" s="15"/>
      <c r="G2956" s="15"/>
      <c r="H2956" s="17" t="s">
        <v>2743</v>
      </c>
      <c r="I2956" s="15"/>
      <c r="J2956" s="18"/>
      <c r="K2956" t="s">
        <v>54</v>
      </c>
      <c r="L2956" s="3">
        <v>5633.06</v>
      </c>
      <c r="N2956" s="3">
        <f>L2956*0.3</f>
        <v>1689.9180000000001</v>
      </c>
      <c r="O2956" s="3">
        <f>(IF(L2956&lt;4172.98,0,MIN(L2956*0.3,L2956-4172.98)))-M2956</f>
        <v>1460.0800000000008</v>
      </c>
      <c r="S2956" s="3" t="s">
        <v>62</v>
      </c>
      <c r="T2956" s="48">
        <v>46293</v>
      </c>
      <c r="V2956" s="51">
        <v>0.54583333333333328</v>
      </c>
      <c r="W2956" s="51">
        <v>0.5493055555555556</v>
      </c>
      <c r="X2956" s="51">
        <v>0.55138888888888893</v>
      </c>
      <c r="Y2956" s="51">
        <v>0.55208333333333337</v>
      </c>
    </row>
    <row r="2957" spans="1:25">
      <c r="A2957" s="30">
        <v>24895082</v>
      </c>
      <c r="B2957" s="31">
        <v>46293</v>
      </c>
      <c r="C2957" s="32">
        <v>0.54622685185185182</v>
      </c>
      <c r="D2957" s="33"/>
      <c r="E2957" s="34">
        <v>5214791457707</v>
      </c>
      <c r="F2957" s="33"/>
      <c r="G2957" s="33"/>
      <c r="H2957" s="35" t="s">
        <v>2744</v>
      </c>
      <c r="I2957" s="33"/>
      <c r="J2957" s="36"/>
      <c r="K2957" t="s">
        <v>54</v>
      </c>
      <c r="L2957" s="3">
        <v>7920.51</v>
      </c>
      <c r="N2957" s="3">
        <f>L2957*0.3</f>
        <v>2376.1529999999998</v>
      </c>
      <c r="O2957" s="3">
        <f>(IF(L2957&lt;4172.98,0,MIN(L2957*0.3,L2957-4172.98)))-M2957</f>
        <v>2376.1529999999998</v>
      </c>
      <c r="S2957" s="3" t="s">
        <v>266</v>
      </c>
      <c r="T2957" s="48">
        <v>46293</v>
      </c>
      <c r="V2957" s="51">
        <v>0.54583333333333328</v>
      </c>
      <c r="W2957" s="51">
        <v>0.55000000000000004</v>
      </c>
      <c r="X2957" s="51">
        <v>0.55694444444444446</v>
      </c>
      <c r="Y2957" s="51">
        <v>0.56041666666666667</v>
      </c>
    </row>
    <row r="2958" spans="1:25">
      <c r="A2958" s="12">
        <v>24895154</v>
      </c>
      <c r="B2958" s="13">
        <v>46293</v>
      </c>
      <c r="C2958" s="14">
        <v>0.54969907407407403</v>
      </c>
      <c r="D2958" s="15"/>
      <c r="E2958" s="16">
        <v>5218311144696</v>
      </c>
      <c r="F2958" s="15"/>
      <c r="G2958" s="15"/>
      <c r="H2958" s="17">
        <v>49836501632</v>
      </c>
      <c r="I2958" s="15"/>
      <c r="J2958" s="18"/>
      <c r="K2958" t="s">
        <v>30</v>
      </c>
      <c r="L2958" s="125">
        <v>10636.54</v>
      </c>
      <c r="M2958" s="125">
        <v>3190.9</v>
      </c>
      <c r="N2958" s="3">
        <f>L2958*0.3</f>
        <v>3190.962</v>
      </c>
      <c r="O2958" s="3">
        <f>(IF(L2958&lt;4172.98,0,MIN(L2958*0.3,L2958-4172.98)))-M2958</f>
        <v>6.1999999999898137E-2</v>
      </c>
      <c r="P2958" s="6">
        <v>46905</v>
      </c>
      <c r="Q2958" t="s">
        <v>184</v>
      </c>
      <c r="R2958" s="3">
        <v>1601.64</v>
      </c>
      <c r="S2958" s="3" t="s">
        <v>2536</v>
      </c>
      <c r="V2958" s="51">
        <v>0.55138888888888893</v>
      </c>
    </row>
    <row r="2959" spans="1:25">
      <c r="A2959" s="30">
        <v>24895310</v>
      </c>
      <c r="B2959" s="31">
        <v>46293</v>
      </c>
      <c r="C2959" s="32">
        <v>0.55128472222222225</v>
      </c>
      <c r="D2959" s="33"/>
      <c r="E2959" s="34">
        <v>5219582221464</v>
      </c>
      <c r="F2959" s="33"/>
      <c r="G2959" s="33" t="s">
        <v>2745</v>
      </c>
      <c r="H2959" s="35"/>
      <c r="I2959" s="33"/>
      <c r="J2959" s="36"/>
      <c r="K2959" t="s">
        <v>32</v>
      </c>
      <c r="N2959" s="3">
        <f>L2959*0.3</f>
        <v>0</v>
      </c>
      <c r="O2959" s="3">
        <f>(IF(L2959&lt;4172.98,0,MIN(L2959*0.3,L2959-4172.98)))-M2959</f>
        <v>0</v>
      </c>
      <c r="S2959" s="3" t="s">
        <v>2536</v>
      </c>
      <c r="V2959" s="51">
        <v>0.55138888888888893</v>
      </c>
    </row>
    <row r="2960" spans="1:25">
      <c r="A2960" s="30">
        <v>24895412</v>
      </c>
      <c r="B2960" s="31">
        <v>46293</v>
      </c>
      <c r="C2960" s="32">
        <v>0.5543865740740741</v>
      </c>
      <c r="D2960" s="33"/>
      <c r="E2960" s="34">
        <v>5216121689541</v>
      </c>
      <c r="F2960" s="33"/>
      <c r="G2960" s="33"/>
      <c r="H2960" s="35" t="s">
        <v>2746</v>
      </c>
      <c r="I2960" s="33"/>
      <c r="J2960" s="36"/>
      <c r="K2960" t="s">
        <v>54</v>
      </c>
      <c r="L2960" s="125">
        <v>15660.24</v>
      </c>
      <c r="M2960" s="125">
        <v>2637</v>
      </c>
      <c r="N2960" s="3">
        <f>L2960*0.3</f>
        <v>4698.0720000000001</v>
      </c>
      <c r="O2960" s="3">
        <f>(IF(L2960&lt;4172.98,0,MIN(L2960*0.3,L2960-4172.98)))-M2960</f>
        <v>2061.0720000000001</v>
      </c>
      <c r="P2960" s="6">
        <v>46784</v>
      </c>
      <c r="Q2960" t="s">
        <v>57</v>
      </c>
      <c r="R2960" s="125">
        <v>2637</v>
      </c>
      <c r="S2960" s="3" t="s">
        <v>2576</v>
      </c>
      <c r="T2960" s="48">
        <v>46293</v>
      </c>
      <c r="V2960" s="51">
        <v>0.5541666666666667</v>
      </c>
      <c r="W2960" s="51">
        <v>0.56041666666666667</v>
      </c>
      <c r="X2960" s="51">
        <v>0.56388888888888888</v>
      </c>
      <c r="Y2960" s="51">
        <v>0.57222222222222219</v>
      </c>
    </row>
    <row r="2961" spans="1:25">
      <c r="A2961" s="30">
        <v>24875406</v>
      </c>
      <c r="B2961" s="31">
        <v>46293</v>
      </c>
      <c r="C2961" s="32">
        <v>0.55577546296296299</v>
      </c>
      <c r="D2961" s="33" t="s">
        <v>2747</v>
      </c>
      <c r="E2961" s="34">
        <v>4623076229</v>
      </c>
      <c r="F2961" s="33"/>
      <c r="G2961" s="33" t="s">
        <v>2748</v>
      </c>
      <c r="H2961" s="35"/>
      <c r="I2961" s="33"/>
      <c r="J2961" s="36"/>
      <c r="K2961" t="s">
        <v>30</v>
      </c>
      <c r="L2961" s="125">
        <v>7116.73</v>
      </c>
      <c r="M2961" s="125">
        <v>1974.86</v>
      </c>
      <c r="N2961" s="3">
        <f>L2961*0.3</f>
        <v>2135.0189999999998</v>
      </c>
      <c r="O2961" s="3">
        <f>(IF(L2961&lt;4172.98,0,MIN(L2961*0.3,L2961-4172.98)))-M2961</f>
        <v>160.15899999999988</v>
      </c>
      <c r="P2961" s="6">
        <v>46357</v>
      </c>
      <c r="Q2961" t="s">
        <v>75</v>
      </c>
      <c r="R2961" s="125">
        <v>1974.86</v>
      </c>
      <c r="S2961" s="53" t="s">
        <v>2536</v>
      </c>
      <c r="V2961" s="51">
        <v>0.55555555555555558</v>
      </c>
    </row>
    <row r="2962" spans="1:25">
      <c r="A2962" s="30">
        <v>24896524</v>
      </c>
      <c r="B2962" s="31">
        <v>46293</v>
      </c>
      <c r="C2962" s="32">
        <v>0.57988425925925924</v>
      </c>
      <c r="D2962" s="33" t="s">
        <v>2749</v>
      </c>
      <c r="E2962" s="34">
        <v>5216183308332</v>
      </c>
      <c r="F2962" s="33"/>
      <c r="G2962" s="33" t="s">
        <v>2750</v>
      </c>
      <c r="H2962" s="35"/>
      <c r="I2962" s="33"/>
      <c r="J2962" s="36"/>
      <c r="K2962" t="s">
        <v>32</v>
      </c>
      <c r="N2962" s="3">
        <f>L2962*0.3</f>
        <v>0</v>
      </c>
      <c r="O2962" s="3">
        <f>(IF(L2962&lt;4172.98,0,MIN(L2962*0.3,L2962-4172.98)))-M2962</f>
        <v>0</v>
      </c>
      <c r="S2962" s="3" t="s">
        <v>2536</v>
      </c>
      <c r="V2962" s="51">
        <v>0.57986111111111116</v>
      </c>
    </row>
    <row r="2963" spans="1:25">
      <c r="A2963" s="30">
        <v>24896608</v>
      </c>
      <c r="B2963" s="31">
        <v>46293</v>
      </c>
      <c r="C2963" s="32">
        <v>0.58393518518518517</v>
      </c>
      <c r="D2963" s="33"/>
      <c r="E2963" s="34">
        <v>5218119233387</v>
      </c>
      <c r="F2963" s="33"/>
      <c r="G2963" s="33" t="s">
        <v>2751</v>
      </c>
      <c r="H2963" s="35"/>
      <c r="I2963" s="33"/>
      <c r="J2963" s="36"/>
      <c r="K2963" t="s">
        <v>54</v>
      </c>
      <c r="L2963" s="3">
        <v>10636.54</v>
      </c>
      <c r="N2963" s="3">
        <f>L2963*0.3</f>
        <v>3190.962</v>
      </c>
      <c r="O2963" s="3">
        <f>(IF(L2963&lt;4172.98,0,MIN(L2963*0.3,L2963-4172.98)))-M2963</f>
        <v>3190.962</v>
      </c>
      <c r="S2963" s="3" t="s">
        <v>1808</v>
      </c>
      <c r="T2963" s="48">
        <v>46293</v>
      </c>
      <c r="V2963" s="51">
        <v>0.58402777777777781</v>
      </c>
      <c r="W2963" s="51">
        <v>0.58958333333333335</v>
      </c>
      <c r="X2963" s="51">
        <v>0.59444444444444444</v>
      </c>
      <c r="Y2963" s="51">
        <v>0.59722222222222221</v>
      </c>
    </row>
    <row r="2964" spans="1:25">
      <c r="A2964" s="30">
        <v>24872180</v>
      </c>
      <c r="B2964" s="31">
        <v>46293</v>
      </c>
      <c r="C2964" s="32">
        <v>0.59087962962962959</v>
      </c>
      <c r="D2964" s="33"/>
      <c r="E2964" s="34">
        <v>5214443354492</v>
      </c>
      <c r="F2964" s="33"/>
      <c r="G2964" s="33"/>
      <c r="H2964" s="35" t="s">
        <v>2752</v>
      </c>
      <c r="I2964" s="33"/>
      <c r="J2964" s="36"/>
      <c r="K2964" t="s">
        <v>32</v>
      </c>
      <c r="N2964" s="3">
        <f>L2964*0.3</f>
        <v>0</v>
      </c>
      <c r="O2964" s="3">
        <f>(IF(L2964&lt;4172.98,0,MIN(L2964*0.3,L2964-4172.98)))-M2964</f>
        <v>0</v>
      </c>
      <c r="S2964" s="53" t="s">
        <v>2536</v>
      </c>
      <c r="V2964" s="51">
        <v>0.59027777777777779</v>
      </c>
    </row>
    <row r="2965" spans="1:25">
      <c r="A2965" s="30">
        <v>24872554</v>
      </c>
      <c r="B2965" s="31">
        <v>46293</v>
      </c>
      <c r="C2965" s="32">
        <v>0.60041666666666671</v>
      </c>
      <c r="D2965" s="33" t="s">
        <v>2753</v>
      </c>
      <c r="E2965" s="34">
        <v>5219171296310</v>
      </c>
      <c r="F2965" s="33"/>
      <c r="G2965" s="33"/>
      <c r="H2965" s="35" t="s">
        <v>2754</v>
      </c>
      <c r="I2965" s="33"/>
      <c r="J2965" s="36"/>
      <c r="K2965" t="s">
        <v>58</v>
      </c>
      <c r="L2965" s="3">
        <f>14547.13-10548</f>
        <v>3999.1299999999992</v>
      </c>
      <c r="M2965" s="3">
        <v>848</v>
      </c>
      <c r="N2965" s="3">
        <f>L2965*0.3</f>
        <v>1199.7389999999998</v>
      </c>
      <c r="O2965" s="3">
        <f>(IF(L2965&lt;4172.98,0,MIN(L2965*0.3,L2965-4172.98)))-M2965</f>
        <v>-848</v>
      </c>
      <c r="S2965" s="3" t="s">
        <v>2536</v>
      </c>
      <c r="V2965" s="51">
        <v>0.6</v>
      </c>
    </row>
    <row r="2966" spans="1:25">
      <c r="A2966" s="30">
        <v>24897370</v>
      </c>
      <c r="B2966" s="31">
        <v>46293</v>
      </c>
      <c r="C2966" s="32">
        <v>0.60817129629629629</v>
      </c>
      <c r="D2966" s="33"/>
      <c r="E2966" s="34">
        <v>5215546069874</v>
      </c>
      <c r="F2966" s="33"/>
      <c r="G2966" s="33"/>
      <c r="H2966" s="35">
        <v>64825913656</v>
      </c>
      <c r="I2966" s="33"/>
      <c r="J2966" s="36"/>
      <c r="K2966" t="s">
        <v>27</v>
      </c>
      <c r="L2966" s="125">
        <v>7920.51</v>
      </c>
      <c r="M2966" s="125">
        <v>2101.11</v>
      </c>
      <c r="N2966" s="3">
        <f>L2966*0.3</f>
        <v>2376.1529999999998</v>
      </c>
      <c r="O2966" s="3">
        <f>(IF(L2966&lt;4172.98,0,MIN(L2966*0.3,L2966-4172.98)))-M2966</f>
        <v>275.04299999999967</v>
      </c>
      <c r="P2966" s="6">
        <v>45992</v>
      </c>
      <c r="Q2966" t="s">
        <v>75</v>
      </c>
      <c r="R2966" s="125">
        <v>2101.11</v>
      </c>
      <c r="S2966" s="3" t="s">
        <v>2059</v>
      </c>
      <c r="T2966" s="48">
        <v>46293</v>
      </c>
      <c r="V2966" s="51">
        <v>0.60833333333333328</v>
      </c>
      <c r="W2966" s="51">
        <v>0.61111111111111116</v>
      </c>
      <c r="X2966" s="51">
        <v>0.6118055555555556</v>
      </c>
      <c r="Y2966" s="51">
        <v>0.61250000000000004</v>
      </c>
    </row>
    <row r="2967" spans="1:25">
      <c r="A2967" s="30">
        <v>24897636</v>
      </c>
      <c r="B2967" s="31">
        <v>46293</v>
      </c>
      <c r="C2967" s="32">
        <v>0.61017361111111112</v>
      </c>
      <c r="D2967" s="33"/>
      <c r="E2967" s="34">
        <v>5215665028827</v>
      </c>
      <c r="F2967" s="33"/>
      <c r="G2967" s="33"/>
      <c r="H2967" s="35" t="s">
        <v>2755</v>
      </c>
      <c r="I2967" s="33"/>
      <c r="J2967" s="36"/>
      <c r="K2967" t="s">
        <v>189</v>
      </c>
      <c r="N2967" s="3">
        <f>L2967*0.3</f>
        <v>0</v>
      </c>
      <c r="O2967" s="3">
        <f>(IF(L2967&lt;4172.98,0,MIN(L2967*0.3,L2967-4172.98)))-M2967</f>
        <v>0</v>
      </c>
      <c r="S2967" s="3" t="s">
        <v>2536</v>
      </c>
      <c r="V2967" s="51">
        <v>0.60972222222222228</v>
      </c>
    </row>
    <row r="2968" spans="1:25">
      <c r="A2968" s="30">
        <v>24897866</v>
      </c>
      <c r="B2968" s="31">
        <v>46293</v>
      </c>
      <c r="C2968" s="32">
        <v>0.61626157407407411</v>
      </c>
      <c r="D2968" s="33"/>
      <c r="E2968" s="34">
        <v>5218140172368</v>
      </c>
      <c r="F2968" s="33"/>
      <c r="G2968" s="33" t="s">
        <v>2756</v>
      </c>
      <c r="H2968" s="35"/>
      <c r="I2968" s="33"/>
      <c r="J2968" s="36"/>
      <c r="K2968" t="s">
        <v>30</v>
      </c>
      <c r="L2968" s="111">
        <v>10636.54</v>
      </c>
      <c r="M2968" s="111">
        <v>3190.94</v>
      </c>
      <c r="N2968" s="3">
        <f>L2968*0.3</f>
        <v>3190.962</v>
      </c>
      <c r="O2968" s="3">
        <f>(IF(L2968&lt;4172.98,0,MIN(L2968*0.3,L2968-4172.98)))-M2968</f>
        <v>2.1999999999934516E-2</v>
      </c>
      <c r="P2968" s="6">
        <v>46844</v>
      </c>
      <c r="Q2968" t="s">
        <v>77</v>
      </c>
      <c r="R2968" s="111">
        <v>3190.94</v>
      </c>
      <c r="S2968" s="3" t="s">
        <v>2536</v>
      </c>
      <c r="V2968" s="51">
        <v>0.6166666666666667</v>
      </c>
    </row>
    <row r="2969" spans="1:25">
      <c r="A2969" s="30">
        <v>24898124</v>
      </c>
      <c r="B2969" s="31">
        <v>46293</v>
      </c>
      <c r="C2969" s="32">
        <v>0.62468749999999995</v>
      </c>
      <c r="D2969" s="33"/>
      <c r="E2969" s="34">
        <v>5219932521472</v>
      </c>
      <c r="F2969" s="33"/>
      <c r="G2969" s="33" t="s">
        <v>2757</v>
      </c>
      <c r="H2969" s="35">
        <v>45906032789</v>
      </c>
      <c r="I2969" s="33"/>
      <c r="J2969" s="36"/>
      <c r="K2969" t="s">
        <v>30</v>
      </c>
      <c r="L2969" s="111">
        <v>7443.24</v>
      </c>
      <c r="M2969" s="111">
        <v>2151.91</v>
      </c>
      <c r="N2969" s="3">
        <f>L2969*0.3</f>
        <v>2232.9719999999998</v>
      </c>
      <c r="O2969" s="3">
        <f>(IF(L2969&lt;4172.98,0,MIN(L2969*0.3,L2969-4172.98)))-M2969</f>
        <v>81.061999999999898</v>
      </c>
      <c r="P2969" s="6">
        <v>46569</v>
      </c>
      <c r="Q2969" t="s">
        <v>43</v>
      </c>
      <c r="R2969" s="3">
        <v>996.78</v>
      </c>
      <c r="S2969" s="3" t="s">
        <v>2536</v>
      </c>
      <c r="V2969" s="51">
        <v>0.62430555555555556</v>
      </c>
    </row>
    <row r="2970" spans="1:25">
      <c r="A2970" s="30">
        <v>24898270</v>
      </c>
      <c r="B2970" s="31">
        <v>46293</v>
      </c>
      <c r="C2970" s="32">
        <v>0.62853009259259263</v>
      </c>
      <c r="D2970" s="33"/>
      <c r="E2970" s="34">
        <v>5216242417930</v>
      </c>
      <c r="F2970" s="33"/>
      <c r="G2970" s="33" t="s">
        <v>2758</v>
      </c>
      <c r="H2970" s="35"/>
      <c r="I2970" s="33"/>
      <c r="J2970" s="36"/>
      <c r="K2970" t="s">
        <v>32</v>
      </c>
      <c r="N2970" s="3">
        <f>L2970*0.3</f>
        <v>0</v>
      </c>
      <c r="O2970" s="3">
        <f>(IF(L2970&lt;4172.98,0,MIN(L2970*0.3,L2970-4172.98)))-M2970</f>
        <v>0</v>
      </c>
      <c r="S2970" s="3" t="s">
        <v>2536</v>
      </c>
      <c r="V2970" s="51">
        <v>0.63541666666666663</v>
      </c>
    </row>
    <row r="2971" spans="1:25">
      <c r="A2971" s="30">
        <v>24899304</v>
      </c>
      <c r="B2971" s="31">
        <v>46293</v>
      </c>
      <c r="C2971" s="32">
        <v>0.66575231481481478</v>
      </c>
      <c r="D2971" s="33"/>
      <c r="E2971" s="34">
        <v>5216678403544</v>
      </c>
      <c r="F2971" s="33"/>
      <c r="G2971" s="33"/>
      <c r="H2971" s="35">
        <v>23816216909</v>
      </c>
      <c r="I2971" s="33"/>
      <c r="J2971" s="36"/>
      <c r="K2971" t="s">
        <v>54</v>
      </c>
      <c r="L2971" s="3">
        <v>7116.73</v>
      </c>
      <c r="N2971" s="3">
        <f>L2971*0.3</f>
        <v>2135.0189999999998</v>
      </c>
      <c r="O2971" s="3">
        <f>(IF(L2971&lt;4172.98,0,MIN(L2971*0.3,L2971-4172.98)))-M2971</f>
        <v>2135.0189999999998</v>
      </c>
      <c r="S2971" s="3" t="s">
        <v>2576</v>
      </c>
      <c r="T2971" s="48">
        <v>46293</v>
      </c>
      <c r="V2971" s="51">
        <v>0.66527777777777775</v>
      </c>
      <c r="W2971" s="51">
        <v>0.66736111111111107</v>
      </c>
      <c r="X2971" s="51">
        <v>0.67083333333333328</v>
      </c>
      <c r="Y2971" s="51">
        <v>0.67361111111111116</v>
      </c>
    </row>
    <row r="2972" spans="1:25">
      <c r="A2972" s="30">
        <v>24899360</v>
      </c>
      <c r="B2972" s="31">
        <v>46293</v>
      </c>
      <c r="C2972" s="32">
        <v>0.67131944444444447</v>
      </c>
      <c r="D2972" s="33"/>
      <c r="E2972" s="34">
        <v>5217294020022</v>
      </c>
      <c r="F2972" s="33"/>
      <c r="G2972" s="33" t="s">
        <v>2759</v>
      </c>
      <c r="H2972" s="35"/>
      <c r="I2972" s="33"/>
      <c r="J2972" s="36"/>
      <c r="K2972" t="s">
        <v>32</v>
      </c>
      <c r="N2972" s="3">
        <f>L2972*0.3</f>
        <v>0</v>
      </c>
      <c r="O2972" s="3">
        <f>(IF(L2972&lt;4172.98,0,MIN(L2972*0.3,L2972-4172.98)))-M2972</f>
        <v>0</v>
      </c>
      <c r="S2972" s="3" t="s">
        <v>2536</v>
      </c>
      <c r="V2972" s="51">
        <v>0.67291666666666672</v>
      </c>
    </row>
    <row r="2973" spans="1:25">
      <c r="A2973" s="30">
        <v>24870656</v>
      </c>
      <c r="B2973" s="31">
        <v>46293</v>
      </c>
      <c r="C2973" s="32">
        <v>0.67548611111111112</v>
      </c>
      <c r="D2973" s="33"/>
      <c r="E2973" s="34">
        <v>5216683960359</v>
      </c>
      <c r="F2973" s="33"/>
      <c r="G2973" s="33"/>
      <c r="H2973" s="35">
        <v>23987906346</v>
      </c>
      <c r="I2973" s="33"/>
      <c r="J2973" s="36"/>
      <c r="K2973" t="s">
        <v>51</v>
      </c>
      <c r="N2973" s="3">
        <f>L2973*0.3</f>
        <v>0</v>
      </c>
      <c r="O2973" s="3">
        <f>(IF(L2973&lt;4172.98,0,MIN(L2973*0.3,L2973-4172.98)))-M2973</f>
        <v>0</v>
      </c>
      <c r="S2973" s="53" t="s">
        <v>2536</v>
      </c>
      <c r="V2973" s="51">
        <v>0.67500000000000004</v>
      </c>
    </row>
    <row r="2974" spans="1:25">
      <c r="A2974" s="30">
        <v>24899748</v>
      </c>
      <c r="B2974" s="31">
        <v>46293</v>
      </c>
      <c r="C2974" s="32">
        <v>0.68660879629629634</v>
      </c>
      <c r="D2974" s="33"/>
      <c r="E2974" s="34">
        <v>5218992519942</v>
      </c>
      <c r="F2974" s="33"/>
      <c r="G2974" s="33"/>
      <c r="H2974" s="35">
        <v>49856615163</v>
      </c>
      <c r="I2974" s="33"/>
      <c r="J2974" s="36"/>
      <c r="K2974" t="s">
        <v>54</v>
      </c>
      <c r="L2974" s="111">
        <v>11786.6</v>
      </c>
      <c r="M2974" s="111">
        <v>613.12</v>
      </c>
      <c r="N2974" s="3">
        <f>L2974*0.3</f>
        <v>3535.98</v>
      </c>
      <c r="O2974" s="3">
        <f>(IF(L2974&lt;4172.98,0,MIN(L2974*0.3,L2974-4172.98)))-M2974</f>
        <v>2922.86</v>
      </c>
      <c r="P2974" s="6">
        <v>45901</v>
      </c>
      <c r="Q2974" t="s">
        <v>141</v>
      </c>
      <c r="R2974" s="111">
        <v>613.12</v>
      </c>
      <c r="S2974" s="3" t="s">
        <v>1091</v>
      </c>
      <c r="T2974" s="48">
        <v>46293</v>
      </c>
      <c r="V2974" s="51">
        <v>0.68888888888888888</v>
      </c>
      <c r="W2974" s="51">
        <v>0.69305555555555554</v>
      </c>
      <c r="X2974" s="51">
        <v>0.69374999999999998</v>
      </c>
      <c r="Y2974" s="51">
        <v>0.69722222222222219</v>
      </c>
    </row>
    <row r="2975" spans="1:25">
      <c r="A2975" s="30">
        <v>24899988</v>
      </c>
      <c r="B2975" s="31">
        <v>46293</v>
      </c>
      <c r="C2975" s="32">
        <v>0.68950231481481483</v>
      </c>
      <c r="D2975" s="33"/>
      <c r="E2975" s="34">
        <v>5218714754189</v>
      </c>
      <c r="F2975" s="33"/>
      <c r="G2975" s="33"/>
      <c r="H2975" s="35">
        <v>31785706503</v>
      </c>
      <c r="I2975" s="33"/>
      <c r="J2975" s="36"/>
      <c r="K2975" t="s">
        <v>54</v>
      </c>
      <c r="L2975" s="3">
        <v>20070.82</v>
      </c>
      <c r="N2975" s="3">
        <f>L2975*0.3</f>
        <v>6021.2460000000001</v>
      </c>
      <c r="O2975" s="3">
        <f>(IF(L2975&lt;4172.98,0,MIN(L2975*0.3,L2975-4172.98)))-M2975</f>
        <v>6021.2460000000001</v>
      </c>
      <c r="S2975" s="3" t="s">
        <v>1910</v>
      </c>
      <c r="T2975" s="48">
        <v>46293</v>
      </c>
      <c r="V2975" s="51">
        <v>0.69027777777777777</v>
      </c>
      <c r="W2975" s="51">
        <v>0.69166666666666665</v>
      </c>
      <c r="X2975" s="51">
        <v>0.69305555555555554</v>
      </c>
      <c r="Y2975" s="51">
        <v>0.6958333333333333</v>
      </c>
    </row>
    <row r="2976" spans="1:25">
      <c r="A2976" s="30">
        <v>24900126</v>
      </c>
      <c r="B2976" s="31">
        <v>46293</v>
      </c>
      <c r="C2976" s="32">
        <v>0.69363425925925926</v>
      </c>
      <c r="D2976" s="33"/>
      <c r="E2976" s="34">
        <v>5216444572331</v>
      </c>
      <c r="F2976" s="33"/>
      <c r="G2976" s="33"/>
      <c r="H2976" s="35" t="s">
        <v>2760</v>
      </c>
      <c r="I2976" s="33"/>
      <c r="J2976" s="36"/>
      <c r="K2976" t="s">
        <v>27</v>
      </c>
      <c r="L2976" s="111">
        <v>6262.86</v>
      </c>
      <c r="M2976" s="111">
        <v>1738.5</v>
      </c>
      <c r="N2976" s="3">
        <f>L2976*0.3</f>
        <v>1878.8579999999997</v>
      </c>
      <c r="O2976" s="3">
        <f>(IF(L2976&lt;4172.98,0,MIN(L2976*0.3,L2976-4172.98)))-M2976</f>
        <v>140.35799999999972</v>
      </c>
      <c r="P2976" s="6">
        <v>46204</v>
      </c>
      <c r="Q2976" t="s">
        <v>59</v>
      </c>
      <c r="R2976" s="111">
        <v>1738.5</v>
      </c>
      <c r="S2976" s="3" t="s">
        <v>2059</v>
      </c>
      <c r="T2976" s="48">
        <v>46293</v>
      </c>
      <c r="V2976" s="51">
        <v>0.69444444444444442</v>
      </c>
      <c r="W2976" s="51">
        <v>0.7055555555555556</v>
      </c>
      <c r="X2976" s="51">
        <v>0.70694444444444449</v>
      </c>
      <c r="Y2976" s="51">
        <v>0.70763888888888893</v>
      </c>
    </row>
    <row r="2977" spans="1:25">
      <c r="A2977" s="30">
        <v>24896284</v>
      </c>
      <c r="B2977" s="31">
        <v>46293</v>
      </c>
      <c r="C2977" s="32">
        <v>0.71489583333333329</v>
      </c>
      <c r="D2977" s="33"/>
      <c r="E2977" s="34">
        <v>5217711112628</v>
      </c>
      <c r="F2977" s="33"/>
      <c r="G2977" s="33"/>
      <c r="H2977" s="35">
        <v>13866348645</v>
      </c>
      <c r="I2977" s="33"/>
      <c r="J2977" s="36"/>
      <c r="K2977" t="s">
        <v>32</v>
      </c>
      <c r="N2977" s="3">
        <f>L2977*0.3</f>
        <v>0</v>
      </c>
      <c r="O2977" s="3">
        <f>(IF(L2977&lt;4172.98,0,MIN(L2977*0.3,L2977-4172.98)))-M2977</f>
        <v>0</v>
      </c>
      <c r="S2977" s="53" t="s">
        <v>2536</v>
      </c>
      <c r="V2977" s="51">
        <v>0.71458333333333335</v>
      </c>
    </row>
    <row r="2978" spans="1:25">
      <c r="A2978" s="30">
        <v>24902224</v>
      </c>
      <c r="B2978" s="31">
        <v>46293</v>
      </c>
      <c r="C2978" s="32">
        <v>0.77924768518518517</v>
      </c>
      <c r="D2978" s="33"/>
      <c r="E2978" s="34">
        <v>5219141136822</v>
      </c>
      <c r="F2978" s="33"/>
      <c r="G2978" s="33" t="s">
        <v>2761</v>
      </c>
      <c r="H2978" s="35"/>
      <c r="I2978" s="33"/>
      <c r="J2978" s="36"/>
      <c r="K2978" t="s">
        <v>32</v>
      </c>
      <c r="N2978" s="3">
        <f>L2978*0.3</f>
        <v>0</v>
      </c>
      <c r="O2978" s="3">
        <f>(IF(L2978&lt;4172.98,0,MIN(L2978*0.3,L2978-4172.98)))-M2978</f>
        <v>0</v>
      </c>
      <c r="S2978" s="3" t="s">
        <v>2536</v>
      </c>
      <c r="U2978" s="85"/>
      <c r="V2978" s="51">
        <v>0.77916666666666667</v>
      </c>
    </row>
    <row r="2979" spans="1:25">
      <c r="A2979" s="12">
        <v>24902576</v>
      </c>
      <c r="B2979" s="13">
        <v>46293</v>
      </c>
      <c r="C2979" s="14">
        <v>0.79464120370370372</v>
      </c>
      <c r="D2979" s="15"/>
      <c r="E2979" s="16">
        <v>5215532772811</v>
      </c>
      <c r="F2979" s="15"/>
      <c r="G2979" s="15"/>
      <c r="H2979" s="17" t="s">
        <v>2762</v>
      </c>
      <c r="I2979" s="15"/>
      <c r="J2979" s="18"/>
      <c r="K2979" t="s">
        <v>30</v>
      </c>
      <c r="L2979" s="3">
        <f>4617.98+1661.14</f>
        <v>6279.12</v>
      </c>
      <c r="M2979" s="3">
        <v>1661.14</v>
      </c>
      <c r="N2979" s="3">
        <f t="shared" ref="N2979:N2991" si="380">L2979*0.3</f>
        <v>1883.7359999999999</v>
      </c>
      <c r="O2979" s="3">
        <f t="shared" ref="O2979:O2991" si="381">(IF(L2979&lt;4172.98,0,MIN(L2979*0.3,L2979-4172.98)))-M2979</f>
        <v>222.59599999999978</v>
      </c>
      <c r="P2979" s="6">
        <v>46722</v>
      </c>
      <c r="Q2979" t="s">
        <v>75</v>
      </c>
      <c r="R2979" s="3">
        <v>1661.14</v>
      </c>
      <c r="S2979" s="3" t="s">
        <v>2536</v>
      </c>
      <c r="V2979" s="51">
        <v>0.33680555555555558</v>
      </c>
    </row>
    <row r="2980" spans="1:25">
      <c r="A2980" s="12">
        <v>24902592</v>
      </c>
      <c r="B2980" s="13">
        <v>46293</v>
      </c>
      <c r="C2980" s="14">
        <v>0.79996527777777782</v>
      </c>
      <c r="D2980" s="15"/>
      <c r="E2980" s="16">
        <v>5215625227674</v>
      </c>
      <c r="F2980" s="15"/>
      <c r="G2980" s="15" t="s">
        <v>2763</v>
      </c>
      <c r="H2980" s="17"/>
      <c r="I2980" s="15"/>
      <c r="J2980" s="18"/>
      <c r="K2980" t="s">
        <v>58</v>
      </c>
      <c r="L2980" s="3">
        <v>3818.93</v>
      </c>
      <c r="N2980" s="3">
        <f t="shared" si="380"/>
        <v>1145.6789999999999</v>
      </c>
      <c r="O2980" s="3">
        <f t="shared" si="381"/>
        <v>0</v>
      </c>
      <c r="S2980" s="3" t="s">
        <v>2536</v>
      </c>
      <c r="V2980" s="51">
        <v>0.33680555555555558</v>
      </c>
    </row>
    <row r="2981" spans="1:25">
      <c r="A2981" s="12">
        <v>24903402</v>
      </c>
      <c r="B2981" s="13">
        <v>46293</v>
      </c>
      <c r="C2981" s="14">
        <v>0.84107638888888892</v>
      </c>
      <c r="D2981" s="15" t="s">
        <v>2764</v>
      </c>
      <c r="E2981" s="16">
        <v>5218123233070</v>
      </c>
      <c r="F2981" s="15"/>
      <c r="G2981" s="15"/>
      <c r="H2981" s="17" t="s">
        <v>2765</v>
      </c>
      <c r="I2981" s="15"/>
      <c r="J2981" s="18"/>
      <c r="K2981" t="s">
        <v>54</v>
      </c>
      <c r="L2981" s="3">
        <v>10636.54</v>
      </c>
      <c r="N2981" s="3">
        <f t="shared" si="380"/>
        <v>3190.962</v>
      </c>
      <c r="O2981" s="3">
        <f t="shared" si="381"/>
        <v>3190.962</v>
      </c>
      <c r="S2981" s="3" t="s">
        <v>2582</v>
      </c>
      <c r="T2981" s="48">
        <v>46294</v>
      </c>
      <c r="V2981" s="51">
        <v>0.33680555555555558</v>
      </c>
      <c r="W2981" s="51">
        <v>0.34791666666666665</v>
      </c>
      <c r="X2981" s="51">
        <v>0.35833333333333334</v>
      </c>
      <c r="Y2981" s="51">
        <v>0.36388888888888887</v>
      </c>
    </row>
    <row r="2982" spans="1:25">
      <c r="A2982" s="12">
        <v>24903548</v>
      </c>
      <c r="B2982" s="13">
        <v>46293</v>
      </c>
      <c r="C2982" s="14">
        <v>0.85612268518518519</v>
      </c>
      <c r="D2982" s="15"/>
      <c r="E2982" s="16">
        <v>5212331023224</v>
      </c>
      <c r="F2982" s="15"/>
      <c r="G2982" s="15" t="s">
        <v>2766</v>
      </c>
      <c r="H2982" s="17"/>
      <c r="I2982" s="15"/>
      <c r="J2982" s="18"/>
      <c r="K2982" t="s">
        <v>32</v>
      </c>
      <c r="N2982" s="3">
        <f t="shared" si="380"/>
        <v>0</v>
      </c>
      <c r="O2982" s="3">
        <f t="shared" si="381"/>
        <v>0</v>
      </c>
      <c r="S2982" s="3" t="s">
        <v>2536</v>
      </c>
      <c r="V2982" s="51">
        <v>0.33680555555555558</v>
      </c>
    </row>
    <row r="2983" spans="1:25">
      <c r="A2983" s="12">
        <v>24903676</v>
      </c>
      <c r="B2983" s="13">
        <v>46293</v>
      </c>
      <c r="C2983" s="14">
        <v>0.85991898148148149</v>
      </c>
      <c r="D2983" s="15"/>
      <c r="E2983" s="16">
        <v>5216622034732</v>
      </c>
      <c r="F2983" s="15"/>
      <c r="G2983" s="15"/>
      <c r="H2983" s="17" t="s">
        <v>2767</v>
      </c>
      <c r="I2983" s="15"/>
      <c r="J2983" s="18"/>
      <c r="K2983" t="s">
        <v>51</v>
      </c>
      <c r="N2983" s="3">
        <f t="shared" si="380"/>
        <v>0</v>
      </c>
      <c r="O2983" s="3">
        <f t="shared" si="381"/>
        <v>0</v>
      </c>
      <c r="S2983" s="3" t="s">
        <v>2536</v>
      </c>
      <c r="V2983" s="51">
        <v>0.33680555555555558</v>
      </c>
    </row>
    <row r="2984" spans="1:25">
      <c r="A2984" s="12">
        <v>24903954</v>
      </c>
      <c r="B2984" s="13">
        <v>46293</v>
      </c>
      <c r="C2984" s="14">
        <v>0.88190972222222219</v>
      </c>
      <c r="D2984" s="15"/>
      <c r="E2984" s="16">
        <v>5215630310284</v>
      </c>
      <c r="F2984" s="15"/>
      <c r="G2984" s="15"/>
      <c r="H2984" s="17" t="s">
        <v>2768</v>
      </c>
      <c r="I2984" s="15"/>
      <c r="J2984" s="18"/>
      <c r="K2984" t="s">
        <v>38</v>
      </c>
      <c r="L2984" s="3">
        <f>8538.81+2097.73</f>
        <v>10636.539999999999</v>
      </c>
      <c r="M2984" s="3">
        <v>2097.73</v>
      </c>
      <c r="N2984" s="3">
        <f t="shared" si="380"/>
        <v>3190.9619999999995</v>
      </c>
      <c r="O2984" s="3">
        <f t="shared" si="381"/>
        <v>1093.2319999999995</v>
      </c>
      <c r="P2984" s="6">
        <v>46997</v>
      </c>
      <c r="Q2984" t="s">
        <v>75</v>
      </c>
      <c r="R2984" s="3">
        <v>2097.73</v>
      </c>
      <c r="S2984" s="3" t="s">
        <v>2179</v>
      </c>
      <c r="T2984" s="48">
        <v>46294</v>
      </c>
      <c r="V2984" s="51">
        <v>0.33680555555555558</v>
      </c>
      <c r="W2984" s="51">
        <v>0.34930555555555554</v>
      </c>
      <c r="X2984" s="51">
        <v>0.35555555555555557</v>
      </c>
      <c r="Y2984" s="51">
        <v>0.3576388888888889</v>
      </c>
    </row>
    <row r="2985" spans="1:25">
      <c r="A2985" s="12">
        <v>24903992</v>
      </c>
      <c r="B2985" s="13">
        <v>46293</v>
      </c>
      <c r="C2985" s="14">
        <v>0.89021990740740742</v>
      </c>
      <c r="D2985" s="15"/>
      <c r="E2985" s="16">
        <v>5217298245095</v>
      </c>
      <c r="F2985" s="15"/>
      <c r="G2985" s="15" t="s">
        <v>2769</v>
      </c>
      <c r="H2985" s="17"/>
      <c r="I2985" s="15"/>
      <c r="J2985" s="18"/>
      <c r="K2985" t="s">
        <v>32</v>
      </c>
      <c r="N2985" s="3">
        <f t="shared" si="380"/>
        <v>0</v>
      </c>
      <c r="O2985" s="3">
        <f t="shared" si="381"/>
        <v>0</v>
      </c>
      <c r="S2985" s="3" t="s">
        <v>2536</v>
      </c>
      <c r="V2985" s="51">
        <v>0.33680555555555558</v>
      </c>
    </row>
    <row r="2986" spans="1:25">
      <c r="A2986" s="12">
        <v>24904294</v>
      </c>
      <c r="B2986" s="13">
        <v>46293</v>
      </c>
      <c r="C2986" s="14">
        <v>0.91016203703703702</v>
      </c>
      <c r="D2986" s="15"/>
      <c r="E2986" s="16">
        <v>5216243195113</v>
      </c>
      <c r="F2986" s="15"/>
      <c r="G2986" s="15"/>
      <c r="H2986" s="17" t="s">
        <v>2770</v>
      </c>
      <c r="I2986" s="15"/>
      <c r="J2986" s="18"/>
      <c r="K2986" t="s">
        <v>32</v>
      </c>
      <c r="N2986" s="3">
        <f t="shared" si="380"/>
        <v>0</v>
      </c>
      <c r="O2986" s="3">
        <f t="shared" si="381"/>
        <v>0</v>
      </c>
      <c r="S2986" s="3" t="s">
        <v>2536</v>
      </c>
      <c r="V2986" s="51">
        <v>0.33680555555555558</v>
      </c>
    </row>
    <row r="2987" spans="1:25">
      <c r="A2987" s="12">
        <v>24904924</v>
      </c>
      <c r="B2987" s="13">
        <v>46293</v>
      </c>
      <c r="C2987" s="14">
        <v>0.96812500000000001</v>
      </c>
      <c r="D2987" s="15"/>
      <c r="E2987" s="16">
        <v>5217296970264</v>
      </c>
      <c r="F2987" s="15"/>
      <c r="G2987" s="15"/>
      <c r="H2987" s="17" t="s">
        <v>2771</v>
      </c>
      <c r="I2987" s="15"/>
      <c r="J2987" s="18"/>
      <c r="K2987" t="s">
        <v>32</v>
      </c>
      <c r="N2987" s="3">
        <f t="shared" si="380"/>
        <v>0</v>
      </c>
      <c r="O2987" s="3">
        <f t="shared" si="381"/>
        <v>0</v>
      </c>
      <c r="S2987" s="3" t="s">
        <v>2536</v>
      </c>
      <c r="V2987" s="51">
        <v>0.33680555555555558</v>
      </c>
    </row>
    <row r="2988" spans="1:25">
      <c r="A2988" s="12">
        <v>24904862</v>
      </c>
      <c r="B2988" s="13">
        <v>46293</v>
      </c>
      <c r="C2988" s="14">
        <v>0.96966435185185185</v>
      </c>
      <c r="D2988" s="15"/>
      <c r="E2988" s="16">
        <v>5218721383158</v>
      </c>
      <c r="F2988" s="15"/>
      <c r="G2988" s="15"/>
      <c r="H2988" s="17" t="s">
        <v>2772</v>
      </c>
      <c r="I2988" s="15"/>
      <c r="J2988" s="18"/>
      <c r="K2988" t="s">
        <v>51</v>
      </c>
      <c r="N2988" s="3">
        <f t="shared" si="380"/>
        <v>0</v>
      </c>
      <c r="O2988" s="3">
        <f t="shared" si="381"/>
        <v>0</v>
      </c>
      <c r="S2988" s="3" t="s">
        <v>2536</v>
      </c>
      <c r="V2988" s="51">
        <v>0.33680555555555558</v>
      </c>
    </row>
    <row r="2989" spans="1:25">
      <c r="A2989" s="12">
        <v>24905028</v>
      </c>
      <c r="B2989" s="13">
        <v>46293</v>
      </c>
      <c r="C2989" s="14">
        <v>0.98964120370370368</v>
      </c>
      <c r="D2989" s="15"/>
      <c r="E2989" s="16">
        <v>5215549717064</v>
      </c>
      <c r="F2989" s="15"/>
      <c r="G2989" s="15" t="s">
        <v>2773</v>
      </c>
      <c r="H2989" s="17"/>
      <c r="I2989" s="15"/>
      <c r="J2989" s="18"/>
      <c r="K2989" t="s">
        <v>30</v>
      </c>
      <c r="L2989" s="111">
        <v>10636.24</v>
      </c>
      <c r="M2989" s="111">
        <v>3190.62</v>
      </c>
      <c r="N2989" s="3">
        <f t="shared" si="380"/>
        <v>3190.8719999999998</v>
      </c>
      <c r="O2989" s="3">
        <f t="shared" si="381"/>
        <v>0.25199999999995271</v>
      </c>
      <c r="P2989" s="6">
        <v>46935</v>
      </c>
      <c r="Q2989" t="s">
        <v>77</v>
      </c>
      <c r="R2989" s="111">
        <v>3190.62</v>
      </c>
      <c r="S2989" s="3" t="s">
        <v>2536</v>
      </c>
      <c r="V2989" s="51">
        <v>0.33680555555555558</v>
      </c>
    </row>
    <row r="2990" spans="1:25">
      <c r="A2990" s="12">
        <v>24905062</v>
      </c>
      <c r="B2990" s="13">
        <v>46293</v>
      </c>
      <c r="C2990" s="14">
        <v>0.99540509259259258</v>
      </c>
      <c r="D2990" s="15"/>
      <c r="E2990" s="16">
        <v>5216693838074</v>
      </c>
      <c r="F2990" s="15"/>
      <c r="G2990" s="15"/>
      <c r="H2990" s="17" t="s">
        <v>2774</v>
      </c>
      <c r="I2990" s="15"/>
      <c r="J2990" s="18"/>
      <c r="K2990" t="s">
        <v>58</v>
      </c>
      <c r="L2990" s="3">
        <v>3961.31</v>
      </c>
      <c r="N2990" s="3">
        <f t="shared" si="380"/>
        <v>1188.393</v>
      </c>
      <c r="O2990" s="3">
        <f t="shared" si="381"/>
        <v>0</v>
      </c>
      <c r="S2990" s="3" t="s">
        <v>2536</v>
      </c>
      <c r="V2990" s="51">
        <v>0.33680555555555558</v>
      </c>
    </row>
    <row r="2991" spans="1:25">
      <c r="A2991" s="30">
        <v>24911590</v>
      </c>
      <c r="B2991" s="31">
        <v>46294</v>
      </c>
      <c r="C2991" s="32">
        <v>0.3087152777777778</v>
      </c>
      <c r="D2991" s="33"/>
      <c r="E2991" s="34">
        <v>5217292808789</v>
      </c>
      <c r="F2991" s="33"/>
      <c r="G2991" s="33" t="s">
        <v>2775</v>
      </c>
      <c r="H2991" s="35"/>
      <c r="I2991" s="33"/>
      <c r="J2991" s="36"/>
      <c r="K2991" t="s">
        <v>32</v>
      </c>
      <c r="N2991" s="3">
        <f t="shared" si="380"/>
        <v>0</v>
      </c>
      <c r="O2991" s="3">
        <f t="shared" si="381"/>
        <v>0</v>
      </c>
      <c r="S2991" s="3" t="s">
        <v>2536</v>
      </c>
      <c r="V2991" s="51">
        <v>0.33680555555555558</v>
      </c>
    </row>
    <row r="2992" spans="1:25">
      <c r="A2992" s="12">
        <v>24924920</v>
      </c>
      <c r="B2992" s="13">
        <v>46294</v>
      </c>
      <c r="C2992" s="14">
        <v>0.35204861111111113</v>
      </c>
      <c r="D2992" s="15" t="s">
        <v>1557</v>
      </c>
      <c r="E2992" s="16">
        <v>5215525198522</v>
      </c>
      <c r="F2992" s="15"/>
      <c r="G2992" s="15"/>
      <c r="H2992" s="17" t="s">
        <v>2776</v>
      </c>
      <c r="I2992" s="15"/>
      <c r="J2992" s="18"/>
      <c r="K2992" t="s">
        <v>54</v>
      </c>
      <c r="L2992" s="3">
        <v>19742.54</v>
      </c>
      <c r="N2992" s="3">
        <f t="shared" ref="N2992:N2993" si="382">L2992*0.3</f>
        <v>5922.7619999999997</v>
      </c>
      <c r="O2992" s="3">
        <f t="shared" ref="O2992:O2993" si="383">(IF(L2992&lt;4172.98,0,MIN(L2992*0.3,L2992-4172.98)))-M2992</f>
        <v>5922.7619999999997</v>
      </c>
      <c r="S2992" s="3" t="s">
        <v>2576</v>
      </c>
      <c r="T2992" s="48">
        <v>46294</v>
      </c>
      <c r="V2992" s="51">
        <v>0.35416666666666669</v>
      </c>
      <c r="W2992" s="51">
        <v>0.36944444444444446</v>
      </c>
      <c r="X2992" s="51">
        <v>0.37361111111111112</v>
      </c>
      <c r="Y2992" s="51">
        <v>0.38124999999999998</v>
      </c>
    </row>
    <row r="2993" spans="1:26">
      <c r="A2993" s="30">
        <v>24925328</v>
      </c>
      <c r="B2993" s="31">
        <v>46294</v>
      </c>
      <c r="C2993" s="32">
        <v>0.35927083333333332</v>
      </c>
      <c r="D2993" s="33"/>
      <c r="E2993" s="34">
        <v>5213310210602</v>
      </c>
      <c r="F2993" s="33"/>
      <c r="G2993" s="33"/>
      <c r="H2993" s="35">
        <v>54805315014</v>
      </c>
      <c r="I2993" s="33"/>
      <c r="J2993" s="36"/>
      <c r="K2993" t="s">
        <v>1891</v>
      </c>
      <c r="N2993" s="3">
        <f t="shared" si="382"/>
        <v>0</v>
      </c>
      <c r="O2993" s="3">
        <f t="shared" si="383"/>
        <v>0</v>
      </c>
      <c r="S2993" s="3" t="s">
        <v>1892</v>
      </c>
      <c r="V2993" s="51">
        <v>0.35555555555555557</v>
      </c>
    </row>
    <row r="2994" spans="1:26">
      <c r="A2994" s="30">
        <v>24925874</v>
      </c>
      <c r="B2994" s="31">
        <v>46294</v>
      </c>
      <c r="C2994" s="32">
        <v>0.37577546296296294</v>
      </c>
      <c r="D2994" s="33"/>
      <c r="E2994" s="34">
        <v>6564900347</v>
      </c>
      <c r="F2994" s="33"/>
      <c r="G2994" s="33"/>
      <c r="H2994" s="35">
        <v>33856512901</v>
      </c>
      <c r="I2994" s="33"/>
      <c r="J2994" s="36"/>
      <c r="K2994" t="s">
        <v>54</v>
      </c>
      <c r="L2994" s="3">
        <v>16740.53</v>
      </c>
      <c r="N2994" s="3">
        <f>L2994*0.3</f>
        <v>5022.1589999999997</v>
      </c>
      <c r="O2994" s="3">
        <f>(IF(L2994&lt;4172.98,0,MIN(L2994*0.3,L2994-4172.98)))-M2994</f>
        <v>5022.1589999999997</v>
      </c>
      <c r="S2994" s="3" t="s">
        <v>1080</v>
      </c>
      <c r="T2994" s="48">
        <v>46294</v>
      </c>
      <c r="V2994" s="51">
        <v>0.37847222222222221</v>
      </c>
      <c r="W2994" s="51">
        <v>0.38124999999999998</v>
      </c>
      <c r="X2994" s="51">
        <v>0.39097222222222222</v>
      </c>
      <c r="Y2994" s="51">
        <v>0.39513888888888887</v>
      </c>
    </row>
    <row r="2995" spans="1:26">
      <c r="A2995" s="30">
        <v>24926788</v>
      </c>
      <c r="B2995" s="31">
        <v>46294</v>
      </c>
      <c r="C2995" s="32">
        <v>0.40244212962962961</v>
      </c>
      <c r="D2995" s="33"/>
      <c r="E2995" s="34">
        <v>5219982332667</v>
      </c>
      <c r="F2995" s="33"/>
      <c r="G2995" s="33" t="s">
        <v>2777</v>
      </c>
      <c r="H2995" s="35"/>
      <c r="I2995" s="33"/>
      <c r="J2995" s="36"/>
      <c r="K2995" t="s">
        <v>30</v>
      </c>
      <c r="L2995" s="111">
        <v>8181.55</v>
      </c>
      <c r="M2995" s="111">
        <v>2454.4699999999998</v>
      </c>
      <c r="N2995" s="3">
        <f>L2995*0.3</f>
        <v>2454.4650000000001</v>
      </c>
      <c r="O2995" s="3">
        <f>(IF(L2995&lt;4172.98,0,MIN(L2995*0.3,L2995-4172.98)))-M2995</f>
        <v>-4.999999999654392E-3</v>
      </c>
      <c r="P2995" s="6">
        <v>46935</v>
      </c>
      <c r="Q2995" t="s">
        <v>44</v>
      </c>
      <c r="R2995" s="111">
        <v>2454.4699999999998</v>
      </c>
      <c r="S2995" s="3" t="s">
        <v>2536</v>
      </c>
      <c r="V2995" s="51">
        <v>0.40416666666666667</v>
      </c>
    </row>
    <row r="2996" spans="1:26">
      <c r="A2996" s="30">
        <v>24900434</v>
      </c>
      <c r="B2996" s="31">
        <v>46294</v>
      </c>
      <c r="C2996" s="32">
        <v>0.42674768518518519</v>
      </c>
      <c r="D2996" s="33"/>
      <c r="E2996" s="34">
        <v>5217775075938</v>
      </c>
      <c r="F2996" s="33"/>
      <c r="G2996" s="33"/>
      <c r="H2996" s="35" t="s">
        <v>2778</v>
      </c>
      <c r="I2996" s="33"/>
      <c r="J2996" s="36"/>
      <c r="K2996" t="s">
        <v>27</v>
      </c>
      <c r="L2996" s="111">
        <v>41561.24</v>
      </c>
      <c r="M2996" s="111">
        <v>12468.37</v>
      </c>
      <c r="N2996" s="3">
        <f>L2996*0.3</f>
        <v>12468.371999999999</v>
      </c>
      <c r="O2996" s="3">
        <f>(IF(L2996&lt;4172.98,0,MIN(L2996*0.3,L2996-4172.98)))-M2996</f>
        <v>1.9999999985884642E-3</v>
      </c>
      <c r="P2996" s="6">
        <v>46235</v>
      </c>
      <c r="Q2996" t="s">
        <v>1430</v>
      </c>
      <c r="R2996" s="3">
        <v>1580</v>
      </c>
      <c r="S2996" s="53" t="s">
        <v>1080</v>
      </c>
      <c r="T2996" s="48">
        <v>46294</v>
      </c>
      <c r="V2996" s="51">
        <v>0.42638888888888887</v>
      </c>
      <c r="W2996" s="51">
        <v>0.43680555555555556</v>
      </c>
      <c r="X2996" s="51">
        <v>0.4375</v>
      </c>
      <c r="Y2996" s="51">
        <v>0.44097222222222221</v>
      </c>
    </row>
    <row r="2997" spans="1:26">
      <c r="A2997" s="30">
        <v>24902790</v>
      </c>
      <c r="B2997" s="31">
        <v>46294</v>
      </c>
      <c r="C2997" s="32">
        <v>0.44063657407407408</v>
      </c>
      <c r="D2997" s="33"/>
      <c r="E2997" s="34">
        <v>5218662354348</v>
      </c>
      <c r="F2997" s="33"/>
      <c r="G2997" s="33"/>
      <c r="H2997" s="35">
        <v>43806141156</v>
      </c>
      <c r="I2997" s="33"/>
      <c r="J2997" s="36"/>
      <c r="K2997" t="s">
        <v>30</v>
      </c>
      <c r="L2997" s="111">
        <v>6262.86</v>
      </c>
      <c r="M2997" s="111">
        <v>1794.05</v>
      </c>
      <c r="N2997" s="3">
        <f>L2997*0.3</f>
        <v>1878.8579999999997</v>
      </c>
      <c r="O2997" s="3">
        <f>(IF(L2997&lt;4172.98,0,MIN(L2997*0.3,L2997-4172.98)))-M2997</f>
        <v>84.807999999999765</v>
      </c>
      <c r="P2997" s="6">
        <v>46508</v>
      </c>
      <c r="Q2997" t="s">
        <v>210</v>
      </c>
      <c r="R2997" s="3">
        <v>1794.05</v>
      </c>
      <c r="S2997" s="53" t="s">
        <v>2536</v>
      </c>
      <c r="V2997" s="51">
        <v>0.44027777777777777</v>
      </c>
    </row>
    <row r="2998" spans="1:26">
      <c r="A2998" s="30">
        <v>24930356</v>
      </c>
      <c r="B2998" s="31">
        <v>46294</v>
      </c>
      <c r="C2998" s="32">
        <v>0.46930555555555553</v>
      </c>
      <c r="D2998" s="33"/>
      <c r="E2998" s="34">
        <v>5213171042320</v>
      </c>
      <c r="F2998" s="33"/>
      <c r="G2998" s="33" t="s">
        <v>2779</v>
      </c>
      <c r="H2998" s="35"/>
      <c r="I2998" s="33"/>
      <c r="J2998" s="36"/>
      <c r="K2998" t="s">
        <v>32</v>
      </c>
      <c r="N2998" s="3">
        <f>L2998*0.3</f>
        <v>0</v>
      </c>
      <c r="O2998" s="3">
        <f>(IF(L2998&lt;4172.98,0,MIN(L2998*0.3,L2998-4172.98)))-M2998</f>
        <v>0</v>
      </c>
      <c r="S2998" s="3" t="s">
        <v>2536</v>
      </c>
      <c r="V2998" s="51">
        <v>0.46944444444444444</v>
      </c>
    </row>
    <row r="2999" spans="1:26">
      <c r="A2999" s="30">
        <v>24930740</v>
      </c>
      <c r="B2999" s="31">
        <v>46294</v>
      </c>
      <c r="C2999" s="32">
        <v>0.48256944444444444</v>
      </c>
      <c r="D2999" s="33"/>
      <c r="E2999" s="34">
        <v>5216442225295</v>
      </c>
      <c r="F2999" s="33"/>
      <c r="G2999" s="33"/>
      <c r="H2999" s="35">
        <v>24816244545</v>
      </c>
      <c r="I2999" s="33"/>
      <c r="J2999" s="36"/>
      <c r="K2999" t="s">
        <v>51</v>
      </c>
      <c r="N2999" s="3">
        <f>L2999*0.3</f>
        <v>0</v>
      </c>
      <c r="O2999" s="3">
        <f>(IF(L2999&lt;4172.98,0,MIN(L2999*0.3,L2999-4172.98)))-M2999</f>
        <v>0</v>
      </c>
      <c r="S2999" s="3" t="s">
        <v>2536</v>
      </c>
      <c r="V2999" s="51">
        <v>0.4826388888888889</v>
      </c>
    </row>
    <row r="3000" spans="1:26">
      <c r="A3000" s="30">
        <v>24931462</v>
      </c>
      <c r="B3000" s="31">
        <v>46294</v>
      </c>
      <c r="C3000" s="32">
        <v>0.51230324074074074</v>
      </c>
      <c r="D3000" s="33"/>
      <c r="E3000" s="34">
        <v>5212293253618</v>
      </c>
      <c r="F3000" s="33"/>
      <c r="G3000" s="33"/>
      <c r="H3000" s="35" t="s">
        <v>2780</v>
      </c>
      <c r="I3000" s="33"/>
      <c r="J3000" s="36"/>
      <c r="K3000" t="s">
        <v>38</v>
      </c>
      <c r="L3000" s="125">
        <v>5617.63</v>
      </c>
      <c r="M3000" s="125">
        <v>594.01</v>
      </c>
      <c r="N3000" s="3">
        <f>L3000*0.3</f>
        <v>1685.289</v>
      </c>
      <c r="O3000" s="3">
        <f>(IF(L3000&lt;4172.98,0,MIN(L3000*0.3,L3000-4172.98)))-M3000</f>
        <v>850.64000000000055</v>
      </c>
      <c r="P3000" s="6">
        <v>46874</v>
      </c>
      <c r="Q3000" t="s">
        <v>1669</v>
      </c>
      <c r="R3000" s="125">
        <v>594.01</v>
      </c>
      <c r="S3000" s="3" t="s">
        <v>2179</v>
      </c>
      <c r="T3000" s="48">
        <v>46294</v>
      </c>
      <c r="V3000" s="51">
        <v>0.51249999999999996</v>
      </c>
      <c r="W3000" s="51">
        <v>0.5180555555555556</v>
      </c>
      <c r="X3000" s="51">
        <v>0.52430555555555558</v>
      </c>
      <c r="Y3000" s="51">
        <v>0.52777777777777779</v>
      </c>
    </row>
    <row r="3001" spans="1:26">
      <c r="A3001" s="12">
        <v>24931906</v>
      </c>
      <c r="B3001" s="13">
        <v>46294</v>
      </c>
      <c r="C3001" s="14">
        <v>0.5210069444444444</v>
      </c>
      <c r="D3001" s="15" t="s">
        <v>2781</v>
      </c>
      <c r="E3001" s="16">
        <v>5218116153330</v>
      </c>
      <c r="F3001" s="15"/>
      <c r="G3001" s="15"/>
      <c r="H3001" s="17" t="s">
        <v>2782</v>
      </c>
      <c r="I3001" s="15"/>
      <c r="J3001" s="18"/>
      <c r="K3001" t="s">
        <v>34</v>
      </c>
      <c r="L3001" s="111">
        <v>9081.52</v>
      </c>
      <c r="M3001" s="111">
        <v>2514.25</v>
      </c>
      <c r="N3001" s="3">
        <f t="shared" ref="N3001:N3002" si="384">L3001*0.3</f>
        <v>2724.4560000000001</v>
      </c>
      <c r="O3001" s="3">
        <f t="shared" ref="O3001:O3002" si="385">(IF(L3001&lt;4172.98,0,MIN(L3001*0.3,L3001-4172.98)))-M3001</f>
        <v>210.20600000000013</v>
      </c>
      <c r="P3001" s="6">
        <v>46631</v>
      </c>
      <c r="Q3001" t="s">
        <v>141</v>
      </c>
      <c r="R3001" s="111">
        <v>2514.25</v>
      </c>
      <c r="S3001" s="3" t="s">
        <v>830</v>
      </c>
      <c r="T3001" s="48">
        <v>46294</v>
      </c>
      <c r="V3001" s="51">
        <v>0.52708333333333335</v>
      </c>
      <c r="W3001" s="51">
        <v>0.53472222222222221</v>
      </c>
      <c r="X3001" s="51">
        <v>0.54097222222222219</v>
      </c>
    </row>
    <row r="3002" spans="1:26">
      <c r="A3002" s="30">
        <v>24932104</v>
      </c>
      <c r="B3002" s="31">
        <v>46294</v>
      </c>
      <c r="C3002" s="32">
        <v>0.52446759259259257</v>
      </c>
      <c r="D3002" s="33"/>
      <c r="E3002" s="34">
        <v>5216331099704</v>
      </c>
      <c r="F3002" s="33"/>
      <c r="G3002" s="33"/>
      <c r="H3002" s="35">
        <v>24806432613</v>
      </c>
      <c r="I3002" s="33"/>
      <c r="J3002" s="36"/>
      <c r="K3002" t="s">
        <v>38</v>
      </c>
      <c r="L3002" s="111">
        <v>15165.19</v>
      </c>
      <c r="M3002" s="111">
        <v>3539.65</v>
      </c>
      <c r="N3002" s="3">
        <f t="shared" si="384"/>
        <v>4549.5569999999998</v>
      </c>
      <c r="O3002" s="3">
        <f t="shared" si="385"/>
        <v>1009.9069999999997</v>
      </c>
      <c r="P3002" s="6">
        <v>46600</v>
      </c>
      <c r="Q3002" t="s">
        <v>77</v>
      </c>
      <c r="R3002" s="3">
        <v>1874.45</v>
      </c>
      <c r="S3002" s="3" t="s">
        <v>2179</v>
      </c>
      <c r="T3002" s="48">
        <v>46294</v>
      </c>
      <c r="V3002" s="51">
        <v>0.52708333333333335</v>
      </c>
      <c r="W3002" s="51">
        <v>0.53611111111111109</v>
      </c>
      <c r="X3002" s="51">
        <v>0.54236111111111107</v>
      </c>
      <c r="Y3002" s="51">
        <v>0.54722222222222228</v>
      </c>
    </row>
    <row r="3003" spans="1:26">
      <c r="A3003" s="30">
        <v>24932120</v>
      </c>
      <c r="B3003" s="31">
        <v>46294</v>
      </c>
      <c r="C3003" s="32">
        <v>0.52983796296296293</v>
      </c>
      <c r="D3003" s="33" t="s">
        <v>2783</v>
      </c>
      <c r="E3003" s="34">
        <v>5218444534686</v>
      </c>
      <c r="F3003" s="33"/>
      <c r="G3003" s="33" t="s">
        <v>2784</v>
      </c>
      <c r="H3003" s="35">
        <v>32816548385</v>
      </c>
      <c r="I3003" s="33"/>
      <c r="J3003" s="36"/>
      <c r="K3003" t="s">
        <v>30</v>
      </c>
      <c r="L3003" s="111">
        <v>10636.54</v>
      </c>
      <c r="M3003" s="111">
        <v>2999.97</v>
      </c>
      <c r="N3003" s="3">
        <f>L3003*0.3</f>
        <v>3190.962</v>
      </c>
      <c r="O3003" s="3">
        <f>(IF(L3003&lt;4172.98,0,MIN(L3003*0.3,L3003-4172.98)))-M3003</f>
        <v>190.99200000000019</v>
      </c>
      <c r="P3003" s="6">
        <v>46935</v>
      </c>
      <c r="Q3003" t="s">
        <v>59</v>
      </c>
      <c r="R3003" s="111">
        <v>2999.97</v>
      </c>
      <c r="S3003" s="3" t="s">
        <v>2536</v>
      </c>
      <c r="V3003" s="51">
        <v>0.52986111111111112</v>
      </c>
    </row>
    <row r="3004" spans="1:26">
      <c r="A3004" s="226">
        <v>24933210</v>
      </c>
      <c r="B3004" s="227">
        <v>46294</v>
      </c>
      <c r="C3004" s="228">
        <v>0.55570601851851853</v>
      </c>
      <c r="D3004" s="229"/>
      <c r="E3004" s="230">
        <v>5218451064260</v>
      </c>
      <c r="F3004" s="229"/>
      <c r="G3004" s="229" t="s">
        <v>2785</v>
      </c>
      <c r="H3004" s="231"/>
      <c r="I3004" s="229"/>
      <c r="J3004" s="232"/>
      <c r="K3004" s="233" t="s">
        <v>32</v>
      </c>
      <c r="L3004" s="234"/>
      <c r="M3004" s="234"/>
      <c r="N3004" s="234">
        <f>L3004*0.3</f>
        <v>0</v>
      </c>
      <c r="O3004" s="234">
        <f>(IF(L3004&lt;4172.98,0,MIN(L3004*0.3,L3004-4172.98)))-M3004</f>
        <v>0</v>
      </c>
      <c r="P3004" s="233"/>
      <c r="Q3004" s="233"/>
      <c r="R3004" s="234"/>
      <c r="S3004" s="234" t="s">
        <v>2536</v>
      </c>
      <c r="T3004" s="235"/>
      <c r="U3004" s="233"/>
      <c r="V3004" s="237">
        <v>0.55555555555555558</v>
      </c>
      <c r="W3004" s="233"/>
      <c r="X3004" s="233"/>
      <c r="Y3004" s="233"/>
      <c r="Z3004" s="236"/>
    </row>
    <row r="3005" spans="1:26">
      <c r="A3005" s="226">
        <v>24933324</v>
      </c>
      <c r="B3005" s="227">
        <v>46294</v>
      </c>
      <c r="C3005" s="228">
        <v>0.55696759259259254</v>
      </c>
      <c r="D3005" s="229"/>
      <c r="E3005" s="230">
        <v>5215521022427</v>
      </c>
      <c r="F3005" s="229"/>
      <c r="G3005" s="229"/>
      <c r="H3005" s="231" t="s">
        <v>2786</v>
      </c>
      <c r="I3005" s="229"/>
      <c r="J3005" s="232"/>
      <c r="K3005" s="233" t="s">
        <v>30</v>
      </c>
      <c r="L3005" s="238">
        <v>7920.51</v>
      </c>
      <c r="M3005" s="238">
        <v>2357.0700000000002</v>
      </c>
      <c r="N3005" s="234">
        <f>L3005*0.3</f>
        <v>2376.1529999999998</v>
      </c>
      <c r="O3005" s="234">
        <f>(IF(L3005&lt;4172.98,0,MIN(L3005*0.3,L3005-4172.98)))-M3005</f>
        <v>19.082999999999629</v>
      </c>
      <c r="P3005" s="239">
        <v>46508</v>
      </c>
      <c r="Q3005" s="233" t="s">
        <v>77</v>
      </c>
      <c r="R3005" s="234">
        <v>916.44</v>
      </c>
      <c r="S3005" s="234" t="s">
        <v>2536</v>
      </c>
      <c r="T3005" s="235"/>
      <c r="U3005" s="233"/>
      <c r="V3005" s="237">
        <v>0.55833333333333335</v>
      </c>
      <c r="W3005" s="233"/>
      <c r="X3005" s="233"/>
      <c r="Y3005" s="233"/>
      <c r="Z3005" s="236"/>
    </row>
    <row r="3006" spans="1:26">
      <c r="A3006" s="226">
        <v>24933558</v>
      </c>
      <c r="B3006" s="227">
        <v>46294</v>
      </c>
      <c r="C3006" s="228">
        <v>0.56421296296296297</v>
      </c>
      <c r="D3006" s="229"/>
      <c r="E3006" s="230">
        <v>5218111774868</v>
      </c>
      <c r="F3006" s="229"/>
      <c r="G3006" s="229"/>
      <c r="H3006" s="231" t="s">
        <v>2787</v>
      </c>
      <c r="I3006" s="229"/>
      <c r="J3006" s="232"/>
      <c r="K3006" s="233" t="s">
        <v>30</v>
      </c>
      <c r="L3006" s="238">
        <v>61040.7</v>
      </c>
      <c r="M3006" s="238">
        <v>18310.28</v>
      </c>
      <c r="N3006" s="234">
        <f>L3006*0.3</f>
        <v>18312.21</v>
      </c>
      <c r="O3006" s="234">
        <f>(IF(L3006&lt;4172.98,0,MIN(L3006*0.3,L3006-4172.98)))-M3006</f>
        <v>1.930000000000291</v>
      </c>
      <c r="P3006" s="239">
        <v>46388</v>
      </c>
      <c r="Q3006" s="233" t="s">
        <v>59</v>
      </c>
      <c r="R3006" s="233">
        <v>6098</v>
      </c>
      <c r="S3006" s="234" t="s">
        <v>2536</v>
      </c>
      <c r="T3006" s="235"/>
      <c r="U3006" s="233"/>
      <c r="V3006" s="237">
        <v>0.56458333333333333</v>
      </c>
      <c r="W3006" s="233"/>
      <c r="X3006" s="233"/>
      <c r="Y3006" s="233"/>
      <c r="Z3006" s="236"/>
    </row>
    <row r="3007" spans="1:26">
      <c r="A3007" s="226">
        <v>24933436</v>
      </c>
      <c r="B3007" s="227">
        <v>46294</v>
      </c>
      <c r="C3007" s="228">
        <v>0.56600694444444444</v>
      </c>
      <c r="D3007" s="229"/>
      <c r="E3007" s="230"/>
      <c r="F3007" s="229"/>
      <c r="G3007" s="229" t="s">
        <v>2788</v>
      </c>
      <c r="H3007" s="231" t="s">
        <v>2789</v>
      </c>
      <c r="I3007" s="229"/>
      <c r="J3007" s="232"/>
      <c r="K3007" s="233" t="s">
        <v>30</v>
      </c>
      <c r="L3007" s="125">
        <v>6262.86</v>
      </c>
      <c r="M3007" s="125">
        <v>1878.5</v>
      </c>
      <c r="N3007" s="234">
        <f>L3007*0.3</f>
        <v>1878.8579999999997</v>
      </c>
      <c r="O3007" s="234">
        <f>(IF(L3007&lt;4172.98,0,MIN(L3007*0.3,L3007-4172.98)))-M3007</f>
        <v>0.35799999999971988</v>
      </c>
      <c r="P3007" s="6">
        <v>46997</v>
      </c>
      <c r="Q3007" s="233" t="s">
        <v>73</v>
      </c>
      <c r="R3007" s="125">
        <v>1878.5</v>
      </c>
      <c r="S3007" s="234" t="s">
        <v>2536</v>
      </c>
      <c r="T3007" s="235"/>
      <c r="U3007" s="233"/>
      <c r="V3007" s="237">
        <v>0.56805555555555554</v>
      </c>
      <c r="W3007" s="233"/>
      <c r="X3007" s="233"/>
      <c r="Y3007" s="233"/>
      <c r="Z3007" s="236"/>
    </row>
  </sheetData>
  <conditionalFormatting sqref="O1:O1048576">
    <cfRule type="cellIs" dxfId="1067" priority="5" operator="between">
      <formula>300</formula>
      <formula>1200</formula>
    </cfRule>
  </conditionalFormatting>
  <conditionalFormatting sqref="O1:O1048576">
    <cfRule type="cellIs" dxfId="1066" priority="4" operator="greaterThan">
      <formula>1200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342B4A-540D-4CED-946F-34B483FB4344}">
          <x14:formula1>
            <xm:f>LISTA!$A$1:$A$13</xm:f>
          </x14:formula1>
          <xm:sqref>K1125:K1162 K1085:K1123 K1166:K1189 K1:K362 K364:K1083 K1191:K1555 K1557:K1617 K1619:K1759 K1761:K1915 K1917:K2237 K2239:K2425 K2427:K2566 K2568:K1048475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95A7-002D-4C0A-9708-5EFAFB06264E}">
  <dimension ref="A1:B22"/>
  <sheetViews>
    <sheetView tabSelected="1" workbookViewId="0">
      <selection activeCell="H18" sqref="H18"/>
    </sheetView>
  </sheetViews>
  <sheetFormatPr defaultRowHeight="15"/>
  <cols>
    <col min="1" max="1" width="15.7109375" bestFit="1" customWidth="1"/>
    <col min="2" max="2" width="25.140625" bestFit="1" customWidth="1"/>
  </cols>
  <sheetData>
    <row r="1" spans="1:2">
      <c r="A1" s="66" t="s">
        <v>18</v>
      </c>
      <c r="B1" t="s">
        <v>2790</v>
      </c>
    </row>
    <row r="2" spans="1:2">
      <c r="A2" s="70" t="s">
        <v>879</v>
      </c>
      <c r="B2" t="s">
        <v>2791</v>
      </c>
    </row>
    <row r="3" spans="1:2">
      <c r="A3" s="70" t="s">
        <v>1808</v>
      </c>
      <c r="B3" t="s">
        <v>2792</v>
      </c>
    </row>
    <row r="4" spans="1:2">
      <c r="A4" s="70" t="s">
        <v>62</v>
      </c>
      <c r="B4" t="s">
        <v>2793</v>
      </c>
    </row>
    <row r="5" spans="1:2">
      <c r="A5" s="70" t="s">
        <v>35</v>
      </c>
      <c r="B5" t="s">
        <v>2794</v>
      </c>
    </row>
    <row r="6" spans="1:2">
      <c r="A6" s="70" t="s">
        <v>271</v>
      </c>
      <c r="B6" t="s">
        <v>2795</v>
      </c>
    </row>
    <row r="7" spans="1:2">
      <c r="A7" s="70" t="s">
        <v>358</v>
      </c>
      <c r="B7" t="s">
        <v>2796</v>
      </c>
    </row>
    <row r="8" spans="1:2">
      <c r="A8" s="70" t="s">
        <v>98</v>
      </c>
      <c r="B8" t="s">
        <v>2797</v>
      </c>
    </row>
    <row r="9" spans="1:2">
      <c r="A9" s="70" t="s">
        <v>548</v>
      </c>
      <c r="B9" t="s">
        <v>2798</v>
      </c>
    </row>
    <row r="10" spans="1:2">
      <c r="A10" s="70" t="s">
        <v>886</v>
      </c>
      <c r="B10" t="s">
        <v>2799</v>
      </c>
    </row>
    <row r="11" spans="1:2">
      <c r="A11" s="70" t="s">
        <v>266</v>
      </c>
      <c r="B11" t="s">
        <v>2800</v>
      </c>
    </row>
    <row r="12" spans="1:2">
      <c r="A12" s="70" t="s">
        <v>39</v>
      </c>
      <c r="B12" t="s">
        <v>2801</v>
      </c>
    </row>
    <row r="13" spans="1:2">
      <c r="A13" s="70" t="s">
        <v>28</v>
      </c>
      <c r="B13" t="s">
        <v>2802</v>
      </c>
    </row>
    <row r="14" spans="1:2">
      <c r="A14" s="70" t="s">
        <v>1080</v>
      </c>
      <c r="B14" t="s">
        <v>2803</v>
      </c>
    </row>
    <row r="15" spans="1:2">
      <c r="A15" s="70" t="s">
        <v>55</v>
      </c>
      <c r="B15" t="s">
        <v>2804</v>
      </c>
    </row>
    <row r="16" spans="1:2">
      <c r="A16" s="70" t="s">
        <v>204</v>
      </c>
      <c r="B16" t="s">
        <v>204</v>
      </c>
    </row>
    <row r="17" spans="1:2">
      <c r="A17" s="70" t="s">
        <v>327</v>
      </c>
      <c r="B17" t="s">
        <v>2805</v>
      </c>
    </row>
    <row r="18" spans="1:2">
      <c r="A18" s="70" t="s">
        <v>69</v>
      </c>
      <c r="B18" t="s">
        <v>69</v>
      </c>
    </row>
    <row r="19" spans="1:2">
      <c r="A19" s="70" t="s">
        <v>90</v>
      </c>
      <c r="B19" t="s">
        <v>2806</v>
      </c>
    </row>
    <row r="20" spans="1:2">
      <c r="A20" s="70" t="s">
        <v>95</v>
      </c>
      <c r="B20" t="s">
        <v>2807</v>
      </c>
    </row>
    <row r="21" spans="1:2">
      <c r="A21" s="70" t="s">
        <v>348</v>
      </c>
      <c r="B21" t="s">
        <v>2808</v>
      </c>
    </row>
    <row r="22" spans="1:2">
      <c r="A22" s="70" t="s">
        <v>1091</v>
      </c>
      <c r="B22" t="s">
        <v>2809</v>
      </c>
    </row>
  </sheetData>
  <sortState xmlns:xlrd2="http://schemas.microsoft.com/office/spreadsheetml/2017/richdata2" ref="A2:A1978">
    <sortCondition ref="A2:A197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4122-AD69-42EA-A2AB-69D913DCBBE3}">
  <dimension ref="A1:U359"/>
  <sheetViews>
    <sheetView topLeftCell="F100" workbookViewId="0">
      <selection activeCell="H112" sqref="H112"/>
    </sheetView>
  </sheetViews>
  <sheetFormatPr defaultRowHeight="15"/>
  <cols>
    <col min="5" max="5" width="14.7109375" bestFit="1" customWidth="1"/>
    <col min="7" max="7" width="23.85546875" bestFit="1" customWidth="1"/>
    <col min="8" max="8" width="14.28515625" bestFit="1" customWidth="1"/>
    <col min="11" max="11" width="16.140625" bestFit="1" customWidth="1"/>
    <col min="12" max="12" width="18.5703125" bestFit="1" customWidth="1"/>
    <col min="13" max="13" width="13" bestFit="1" customWidth="1"/>
    <col min="14" max="14" width="11" bestFit="1" customWidth="1"/>
    <col min="15" max="15" width="11.42578125" customWidth="1"/>
    <col min="18" max="18" width="11.42578125" customWidth="1"/>
    <col min="20" max="20" width="11.85546875" customWidth="1"/>
  </cols>
  <sheetData>
    <row r="1" spans="1:21" ht="15.75">
      <c r="A1" s="61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62" t="s">
        <v>6</v>
      </c>
      <c r="H1" s="65" t="s">
        <v>7</v>
      </c>
      <c r="I1" s="62" t="s">
        <v>8</v>
      </c>
      <c r="J1" s="62" t="s">
        <v>9</v>
      </c>
      <c r="K1" s="26" t="s">
        <v>10</v>
      </c>
      <c r="L1" s="27" t="s">
        <v>11</v>
      </c>
      <c r="M1" s="28" t="s">
        <v>12</v>
      </c>
      <c r="N1" s="28" t="s">
        <v>13</v>
      </c>
      <c r="O1" s="28" t="s">
        <v>14</v>
      </c>
      <c r="P1" s="29" t="s">
        <v>15</v>
      </c>
      <c r="Q1" s="26" t="s">
        <v>16</v>
      </c>
      <c r="R1" s="185" t="s">
        <v>17</v>
      </c>
      <c r="S1" s="66" t="s">
        <v>18</v>
      </c>
      <c r="T1" s="67"/>
      <c r="U1" s="66"/>
    </row>
    <row r="2" spans="1:21">
      <c r="A2" s="72">
        <v>24154706</v>
      </c>
      <c r="B2" s="31">
        <v>46266</v>
      </c>
      <c r="C2" s="32">
        <v>0.41545138888888888</v>
      </c>
      <c r="D2" s="33"/>
      <c r="E2" s="34">
        <v>5218184674241</v>
      </c>
      <c r="F2" s="33"/>
      <c r="G2" s="33"/>
      <c r="H2" s="35">
        <v>43866647795</v>
      </c>
      <c r="I2" s="33"/>
      <c r="J2" s="36"/>
      <c r="K2" s="69" t="s">
        <v>54</v>
      </c>
      <c r="L2" s="70">
        <v>10636.54</v>
      </c>
      <c r="M2" s="70"/>
      <c r="N2" s="70">
        <f>L2*0.3</f>
        <v>3190.962</v>
      </c>
      <c r="O2" s="70">
        <f>(IF(L2&lt;4172.98,0,MIN(L2*0.3,L2-4172.98)))-M2</f>
        <v>3190.962</v>
      </c>
      <c r="P2" s="69"/>
      <c r="Q2" s="69"/>
      <c r="R2" s="70"/>
      <c r="S2" s="70" t="s">
        <v>55</v>
      </c>
      <c r="T2" s="55"/>
      <c r="U2" s="69"/>
    </row>
    <row r="3" spans="1:21">
      <c r="A3" s="72">
        <v>24155064</v>
      </c>
      <c r="B3" s="31">
        <v>46266</v>
      </c>
      <c r="C3" s="32">
        <v>0.41986111111111113</v>
      </c>
      <c r="D3" s="33"/>
      <c r="E3" s="34">
        <v>5218119766225</v>
      </c>
      <c r="F3" s="33"/>
      <c r="G3" s="33"/>
      <c r="H3" s="35">
        <v>43826405516</v>
      </c>
      <c r="I3" s="33"/>
      <c r="J3" s="36"/>
      <c r="K3" s="69" t="s">
        <v>54</v>
      </c>
      <c r="L3" s="70">
        <v>38440.160000000003</v>
      </c>
      <c r="M3" s="70"/>
      <c r="N3" s="70">
        <f>L3*0.3</f>
        <v>11532.048000000001</v>
      </c>
      <c r="O3" s="70">
        <f>(IF(L3&lt;4172.98,0,MIN(L3*0.3,L3-4172.98)))-M3</f>
        <v>11532.048000000001</v>
      </c>
      <c r="P3" s="69"/>
      <c r="Q3" s="69"/>
      <c r="R3" s="70"/>
      <c r="S3" s="70" t="s">
        <v>348</v>
      </c>
      <c r="T3" s="55"/>
      <c r="U3" s="69"/>
    </row>
    <row r="4" spans="1:21">
      <c r="A4" s="72">
        <v>24155260</v>
      </c>
      <c r="B4" s="31">
        <v>46266</v>
      </c>
      <c r="C4" s="32">
        <v>0.42607638888888888</v>
      </c>
      <c r="D4" s="33" t="s">
        <v>1293</v>
      </c>
      <c r="E4" s="34">
        <v>5218448276340</v>
      </c>
      <c r="F4" s="33"/>
      <c r="G4" s="33" t="s">
        <v>1294</v>
      </c>
      <c r="H4" s="35">
        <v>32806376532</v>
      </c>
      <c r="I4" s="33"/>
      <c r="J4" s="36"/>
      <c r="K4" s="69" t="s">
        <v>27</v>
      </c>
      <c r="L4" s="70">
        <v>11545.07</v>
      </c>
      <c r="M4" s="70">
        <v>3205.32</v>
      </c>
      <c r="N4" s="70">
        <f t="shared" ref="N4" si="0">L4*0.3</f>
        <v>3463.5209999999997</v>
      </c>
      <c r="O4" s="70">
        <f>(IF(L4&lt;4172.98,0,MIN(L4*0.3,L4-4172.98)))-M4</f>
        <v>258.20099999999957</v>
      </c>
      <c r="P4" s="71">
        <v>46266</v>
      </c>
      <c r="Q4" s="69" t="s">
        <v>75</v>
      </c>
      <c r="R4" s="70">
        <v>3205.32</v>
      </c>
      <c r="S4" s="70" t="s">
        <v>28</v>
      </c>
      <c r="T4" s="55"/>
      <c r="U4" s="69"/>
    </row>
    <row r="5" spans="1:21">
      <c r="A5" s="72">
        <v>24155744</v>
      </c>
      <c r="B5" s="31">
        <v>46266</v>
      </c>
      <c r="C5" s="32">
        <v>0.44333333333333336</v>
      </c>
      <c r="D5" s="33"/>
      <c r="E5" s="34">
        <v>5218332187743</v>
      </c>
      <c r="F5" s="33"/>
      <c r="G5" s="104"/>
      <c r="H5" s="186" t="s">
        <v>1298</v>
      </c>
      <c r="I5" s="30"/>
      <c r="J5" s="36"/>
      <c r="K5" s="69" t="s">
        <v>54</v>
      </c>
      <c r="L5" s="70">
        <v>52406.17</v>
      </c>
      <c r="M5" s="70"/>
      <c r="N5" s="70">
        <f>L5*0.3</f>
        <v>15721.850999999999</v>
      </c>
      <c r="O5" s="70">
        <f>(IF(L5&lt;4172.98,0,MIN(L5*0.3,L5-4172.98)))-M5</f>
        <v>15721.850999999999</v>
      </c>
      <c r="P5" s="69"/>
      <c r="Q5" s="69"/>
      <c r="R5" s="70"/>
      <c r="S5" s="70" t="s">
        <v>348</v>
      </c>
      <c r="T5" s="55"/>
      <c r="U5" s="69"/>
    </row>
    <row r="6" spans="1:21">
      <c r="A6" s="72">
        <v>24156542</v>
      </c>
      <c r="B6" s="31">
        <v>46266</v>
      </c>
      <c r="C6" s="32">
        <v>0.46457175925925925</v>
      </c>
      <c r="D6" s="33"/>
      <c r="E6" s="34">
        <v>5213334444792</v>
      </c>
      <c r="F6" s="33"/>
      <c r="G6" s="33" t="s">
        <v>1300</v>
      </c>
      <c r="H6" s="35"/>
      <c r="I6" s="33"/>
      <c r="J6" s="36"/>
      <c r="K6" s="69" t="s">
        <v>54</v>
      </c>
      <c r="L6" s="70">
        <f>152780.53-127457.79</f>
        <v>25322.740000000005</v>
      </c>
      <c r="M6" s="70"/>
      <c r="N6" s="70">
        <f>L6*0.3</f>
        <v>7596.822000000001</v>
      </c>
      <c r="O6" s="70">
        <f>(IF(L6&lt;4172.98,0,MIN(L6*0.3,L6-4172.98)))-M6</f>
        <v>7596.822000000001</v>
      </c>
      <c r="P6" s="69"/>
      <c r="Q6" s="69"/>
      <c r="R6" s="70"/>
      <c r="S6" s="70" t="s">
        <v>55</v>
      </c>
      <c r="T6" s="55"/>
      <c r="U6" s="69"/>
    </row>
    <row r="7" spans="1:21">
      <c r="A7" s="72">
        <v>24156688</v>
      </c>
      <c r="B7" s="31">
        <v>46266</v>
      </c>
      <c r="C7" s="32">
        <v>0.46983796296296299</v>
      </c>
      <c r="D7" s="33"/>
      <c r="E7" s="34">
        <v>5219841467459</v>
      </c>
      <c r="F7" s="33"/>
      <c r="G7" s="33"/>
      <c r="H7" s="35" t="s">
        <v>1301</v>
      </c>
      <c r="I7" s="33"/>
      <c r="J7" s="36"/>
      <c r="K7" s="69" t="s">
        <v>38</v>
      </c>
      <c r="L7" s="70">
        <v>5046.1899999999996</v>
      </c>
      <c r="M7" s="70"/>
      <c r="N7" s="70">
        <f>L7*0.3</f>
        <v>1513.8569999999997</v>
      </c>
      <c r="O7" s="70">
        <f>(IF(L7&lt;4172.98,0,MIN(L7*0.3,L7-4172.98)))-M7</f>
        <v>873.21</v>
      </c>
      <c r="P7" s="69"/>
      <c r="Q7" s="69"/>
      <c r="R7" s="70"/>
      <c r="S7" s="70" t="s">
        <v>266</v>
      </c>
      <c r="T7" s="55"/>
      <c r="U7" s="69"/>
    </row>
    <row r="8" spans="1:21">
      <c r="A8" s="72">
        <v>24156958</v>
      </c>
      <c r="B8" s="31">
        <v>46266</v>
      </c>
      <c r="C8" s="32">
        <v>0.47414351851851849</v>
      </c>
      <c r="D8" s="33"/>
      <c r="E8" s="34">
        <v>5218111833089</v>
      </c>
      <c r="F8" s="33"/>
      <c r="G8" s="33" t="s">
        <v>1302</v>
      </c>
      <c r="H8" s="35"/>
      <c r="I8" s="33"/>
      <c r="J8" s="36"/>
      <c r="K8" s="69" t="s">
        <v>54</v>
      </c>
      <c r="L8" s="70">
        <v>10636.54</v>
      </c>
      <c r="M8" s="70"/>
      <c r="N8" s="70">
        <f>L8*0.3</f>
        <v>3190.962</v>
      </c>
      <c r="O8" s="70">
        <f>(IF(L8&lt;4172.98,0,MIN(L8*0.3,L8-4172.98)))-M8</f>
        <v>3190.962</v>
      </c>
      <c r="P8" s="69"/>
      <c r="Q8" s="69"/>
      <c r="R8" s="70"/>
      <c r="S8" s="70" t="s">
        <v>879</v>
      </c>
      <c r="T8" s="55"/>
      <c r="U8" s="69"/>
    </row>
    <row r="9" spans="1:21">
      <c r="A9" s="72">
        <v>24158638</v>
      </c>
      <c r="B9" s="31">
        <v>46266</v>
      </c>
      <c r="C9" s="32">
        <v>0.51876157407407408</v>
      </c>
      <c r="D9" s="33" t="s">
        <v>1305</v>
      </c>
      <c r="E9" s="34">
        <v>5218110181156</v>
      </c>
      <c r="F9" s="33"/>
      <c r="G9" s="33"/>
      <c r="H9" s="35">
        <v>43735334849</v>
      </c>
      <c r="I9" s="33"/>
      <c r="J9" s="36"/>
      <c r="K9" s="69" t="s">
        <v>38</v>
      </c>
      <c r="L9" s="170">
        <v>31962.39</v>
      </c>
      <c r="M9" s="170">
        <v>8873.1200000000008</v>
      </c>
      <c r="N9" s="70">
        <f>L9*0.3</f>
        <v>9588.7169999999987</v>
      </c>
      <c r="O9" s="70">
        <f>(IF(L9&lt;4172.98,0,MIN(L9*0.3,L9-4172.98)))-M9</f>
        <v>715.59699999999793</v>
      </c>
      <c r="P9" s="71">
        <v>46419</v>
      </c>
      <c r="Q9" s="69" t="s">
        <v>59</v>
      </c>
      <c r="R9" s="170">
        <v>8873.1200000000008</v>
      </c>
      <c r="S9" s="70" t="s">
        <v>266</v>
      </c>
      <c r="T9" s="55"/>
      <c r="U9" s="69"/>
    </row>
    <row r="10" spans="1:21">
      <c r="A10" s="68">
        <v>24159388</v>
      </c>
      <c r="B10" s="13">
        <v>46266</v>
      </c>
      <c r="C10" s="14">
        <v>0.53233796296296299</v>
      </c>
      <c r="D10" s="15" t="s">
        <v>1308</v>
      </c>
      <c r="E10" s="16">
        <v>5218445025706</v>
      </c>
      <c r="F10" s="15"/>
      <c r="G10" s="15"/>
      <c r="H10" s="17">
        <v>32816461415</v>
      </c>
      <c r="I10" s="15"/>
      <c r="J10" s="18"/>
      <c r="K10" s="69" t="s">
        <v>54</v>
      </c>
      <c r="L10" s="70">
        <v>40832.199999999997</v>
      </c>
      <c r="M10" s="70"/>
      <c r="N10" s="70">
        <f>L10*0.3</f>
        <v>12249.659999999998</v>
      </c>
      <c r="O10" s="70">
        <f>(IF(L10&lt;4172.98,0,MIN(L10*0.3,L10-4172.98)))-M10</f>
        <v>12249.659999999998</v>
      </c>
      <c r="P10" s="69"/>
      <c r="Q10" s="69"/>
      <c r="R10" s="70"/>
      <c r="S10" s="70" t="s">
        <v>28</v>
      </c>
      <c r="T10" s="55"/>
      <c r="U10" s="69"/>
    </row>
    <row r="11" spans="1:21">
      <c r="A11" s="72">
        <v>24161368</v>
      </c>
      <c r="B11" s="31">
        <v>46266</v>
      </c>
      <c r="C11" s="32">
        <v>0.55391203703703706</v>
      </c>
      <c r="D11" s="33"/>
      <c r="E11" s="34">
        <v>5216644310392</v>
      </c>
      <c r="F11" s="33"/>
      <c r="G11" s="33" t="s">
        <v>1310</v>
      </c>
      <c r="H11" s="35">
        <v>67834662357</v>
      </c>
      <c r="I11" s="33"/>
      <c r="J11" s="36"/>
      <c r="K11" s="69" t="s">
        <v>54</v>
      </c>
      <c r="L11" s="70">
        <v>11029.03</v>
      </c>
      <c r="M11" s="70"/>
      <c r="N11" s="70">
        <f>L11*0.3</f>
        <v>3308.7090000000003</v>
      </c>
      <c r="O11" s="70">
        <f>(IF(L11&lt;4172.98,0,MIN(L11*0.3,L11-4172.98)))-M11</f>
        <v>3308.7090000000003</v>
      </c>
      <c r="P11" s="69"/>
      <c r="Q11" s="69"/>
      <c r="R11" s="70"/>
      <c r="S11" s="70" t="s">
        <v>327</v>
      </c>
      <c r="T11" s="55"/>
      <c r="U11" s="69"/>
    </row>
    <row r="12" spans="1:21">
      <c r="A12" s="72">
        <v>24161588</v>
      </c>
      <c r="B12" s="31">
        <v>46266</v>
      </c>
      <c r="C12" s="32">
        <v>0.56670138888888888</v>
      </c>
      <c r="D12" s="33"/>
      <c r="E12" s="34">
        <v>5218113887928</v>
      </c>
      <c r="F12" s="33"/>
      <c r="G12" s="33"/>
      <c r="H12" s="35" t="s">
        <v>1314</v>
      </c>
      <c r="I12" s="33"/>
      <c r="J12" s="36"/>
      <c r="K12" s="69" t="s">
        <v>54</v>
      </c>
      <c r="L12" s="113">
        <v>30669.119999999999</v>
      </c>
      <c r="M12" s="113">
        <v>3034.58</v>
      </c>
      <c r="N12" s="70">
        <f>L12*0.3</f>
        <v>9200.735999999999</v>
      </c>
      <c r="O12" s="70">
        <f>(IF(L12&lt;4172.98,0,MIN(L12*0.3,L12-4172.98)))-M12</f>
        <v>6166.155999999999</v>
      </c>
      <c r="P12" s="71">
        <v>46600</v>
      </c>
      <c r="Q12" s="69" t="s">
        <v>59</v>
      </c>
      <c r="R12" s="113">
        <v>3034.58</v>
      </c>
      <c r="S12" s="70" t="s">
        <v>327</v>
      </c>
      <c r="T12" s="55"/>
      <c r="U12" s="69"/>
    </row>
    <row r="13" spans="1:21">
      <c r="A13" s="72">
        <v>24171110</v>
      </c>
      <c r="B13" s="31">
        <v>46266</v>
      </c>
      <c r="C13" s="32">
        <v>0.68592592592592594</v>
      </c>
      <c r="D13" s="33"/>
      <c r="E13" s="34">
        <v>5216391767613</v>
      </c>
      <c r="F13" s="33"/>
      <c r="G13" s="33" t="s">
        <v>1328</v>
      </c>
      <c r="H13" s="35"/>
      <c r="I13" s="33"/>
      <c r="J13" s="36"/>
      <c r="K13" s="69" t="s">
        <v>54</v>
      </c>
      <c r="L13" s="113">
        <v>10483.799999999999</v>
      </c>
      <c r="M13" s="113">
        <v>848</v>
      </c>
      <c r="N13" s="70">
        <f>L13*0.3</f>
        <v>3145.14</v>
      </c>
      <c r="O13" s="70">
        <f>(IF(L13&lt;4172.98,0,MIN(L13*0.3,L13-4172.98)))-M13</f>
        <v>2297.14</v>
      </c>
      <c r="P13" s="69"/>
      <c r="Q13" s="69"/>
      <c r="R13" s="70"/>
      <c r="S13" s="70" t="s">
        <v>95</v>
      </c>
      <c r="T13" s="55"/>
      <c r="U13" s="69"/>
    </row>
    <row r="14" spans="1:21">
      <c r="A14" s="72">
        <v>24171284</v>
      </c>
      <c r="B14" s="31">
        <v>46266</v>
      </c>
      <c r="C14" s="32">
        <v>0.69449074074074069</v>
      </c>
      <c r="D14" s="33"/>
      <c r="E14" s="34">
        <v>5216741161016</v>
      </c>
      <c r="F14" s="33"/>
      <c r="G14" s="33" t="s">
        <v>1332</v>
      </c>
      <c r="H14" s="35"/>
      <c r="I14" s="33"/>
      <c r="J14" s="36"/>
      <c r="K14" s="69" t="s">
        <v>38</v>
      </c>
      <c r="L14" s="113">
        <v>9760.32</v>
      </c>
      <c r="M14" s="113">
        <f>1651.54+735.36</f>
        <v>2386.9</v>
      </c>
      <c r="N14" s="70">
        <f>L14*0.3</f>
        <v>2928.096</v>
      </c>
      <c r="O14" s="70">
        <f>(IF(L14&lt;4172.98,0,MIN(L14*0.3,L14-4172.98)))-M14</f>
        <v>541.19599999999991</v>
      </c>
      <c r="P14" s="71">
        <v>46935</v>
      </c>
      <c r="Q14" s="69" t="s">
        <v>206</v>
      </c>
      <c r="R14" s="70">
        <v>803.54</v>
      </c>
      <c r="S14" s="70" t="s">
        <v>39</v>
      </c>
      <c r="T14" s="55"/>
      <c r="U14" s="69"/>
    </row>
    <row r="15" spans="1:21">
      <c r="A15" s="72">
        <v>24172054</v>
      </c>
      <c r="B15" s="31">
        <v>46266</v>
      </c>
      <c r="C15" s="32">
        <v>0.70646990740740745</v>
      </c>
      <c r="D15" s="33"/>
      <c r="E15" s="34">
        <v>5216531740815</v>
      </c>
      <c r="F15" s="33"/>
      <c r="G15" s="33"/>
      <c r="H15" s="35">
        <v>23926510993</v>
      </c>
      <c r="I15" s="33"/>
      <c r="J15" s="36"/>
      <c r="K15" s="69" t="s">
        <v>54</v>
      </c>
      <c r="L15" s="70">
        <f>8881.32+879</f>
        <v>9760.32</v>
      </c>
      <c r="M15" s="70">
        <v>879</v>
      </c>
      <c r="N15" s="70">
        <f t="shared" ref="N15" si="1">L15*0.3</f>
        <v>2928.096</v>
      </c>
      <c r="O15" s="70">
        <f>(IF(L15&lt;4172.98,0,MIN(L15*0.3,L15-4172.98)))-M15</f>
        <v>2049.096</v>
      </c>
      <c r="P15" s="69"/>
      <c r="Q15" s="69"/>
      <c r="R15" s="70"/>
      <c r="S15" s="70" t="s">
        <v>95</v>
      </c>
      <c r="T15" s="55"/>
      <c r="U15" s="69"/>
    </row>
    <row r="16" spans="1:21">
      <c r="A16" s="72">
        <v>24172624</v>
      </c>
      <c r="B16" s="31">
        <v>46266</v>
      </c>
      <c r="C16" s="32">
        <v>0.72210648148148149</v>
      </c>
      <c r="D16" s="33"/>
      <c r="E16" s="34">
        <v>5218128785655</v>
      </c>
      <c r="F16" s="33"/>
      <c r="G16" s="33"/>
      <c r="H16" s="35">
        <v>43856563408</v>
      </c>
      <c r="I16" s="33"/>
      <c r="J16" s="36"/>
      <c r="K16" s="69" t="s">
        <v>54</v>
      </c>
      <c r="L16" s="113">
        <v>21040.93</v>
      </c>
      <c r="M16" s="113">
        <v>1639.52</v>
      </c>
      <c r="N16" s="70">
        <f>L16*0.3</f>
        <v>6312.2789999999995</v>
      </c>
      <c r="O16" s="70">
        <f>(IF(L16&lt;4172.98,0,MIN(L16*0.3,L16-4172.98)))-M16</f>
        <v>4672.759</v>
      </c>
      <c r="P16" s="71">
        <v>46935</v>
      </c>
      <c r="Q16" s="69" t="s">
        <v>302</v>
      </c>
      <c r="R16" s="70">
        <v>692.75</v>
      </c>
      <c r="S16" s="70" t="s">
        <v>327</v>
      </c>
      <c r="T16" s="55"/>
      <c r="U16" s="69"/>
    </row>
    <row r="17" spans="1:21">
      <c r="A17" s="72">
        <v>24172910</v>
      </c>
      <c r="B17" s="31">
        <v>46266</v>
      </c>
      <c r="C17" s="32">
        <v>0.73425925925925928</v>
      </c>
      <c r="D17" s="33"/>
      <c r="E17" s="34">
        <v>5214131415809</v>
      </c>
      <c r="F17" s="33"/>
      <c r="G17" s="33" t="s">
        <v>1342</v>
      </c>
      <c r="H17" s="35"/>
      <c r="I17" s="33"/>
      <c r="J17" s="36"/>
      <c r="K17" s="69" t="s">
        <v>54</v>
      </c>
      <c r="L17" s="70">
        <v>10636.54</v>
      </c>
      <c r="M17" s="70"/>
      <c r="N17" s="70">
        <f>L17*0.3</f>
        <v>3190.962</v>
      </c>
      <c r="O17" s="70">
        <f>(IF(L17&lt;4172.98,0,MIN(L17*0.3,L17-4172.98)))-M17</f>
        <v>3190.962</v>
      </c>
      <c r="P17" s="69"/>
      <c r="Q17" s="69"/>
      <c r="R17" s="70"/>
      <c r="S17" s="70" t="s">
        <v>35</v>
      </c>
      <c r="T17" s="55"/>
      <c r="U17" s="69"/>
    </row>
    <row r="18" spans="1:21">
      <c r="A18" s="72">
        <v>24174022</v>
      </c>
      <c r="B18" s="31">
        <v>46266</v>
      </c>
      <c r="C18" s="32">
        <v>0.75701388888888888</v>
      </c>
      <c r="D18" s="33"/>
      <c r="E18" s="34">
        <v>5215649941915</v>
      </c>
      <c r="F18" s="33"/>
      <c r="G18" s="33" t="s">
        <v>1346</v>
      </c>
      <c r="H18" s="35"/>
      <c r="I18" s="33"/>
      <c r="J18" s="36"/>
      <c r="K18" s="69" t="s">
        <v>107</v>
      </c>
      <c r="L18" s="170">
        <v>4998.54</v>
      </c>
      <c r="M18" s="170">
        <v>511.34</v>
      </c>
      <c r="N18" s="70">
        <f>L18*0.3</f>
        <v>1499.5619999999999</v>
      </c>
      <c r="O18" s="70">
        <f>(IF(L18&lt;4172.98,0,MIN(L18*0.3,L18-4172.98)))-M18</f>
        <v>314.22000000000043</v>
      </c>
      <c r="P18" s="71">
        <v>45383</v>
      </c>
      <c r="Q18" s="69" t="s">
        <v>206</v>
      </c>
      <c r="R18" s="170">
        <v>511.34</v>
      </c>
      <c r="S18" s="70" t="s">
        <v>266</v>
      </c>
      <c r="T18" s="55"/>
      <c r="U18" s="69"/>
    </row>
    <row r="19" spans="1:21">
      <c r="A19" s="72">
        <v>24174378</v>
      </c>
      <c r="B19" s="31">
        <v>46266</v>
      </c>
      <c r="C19" s="32">
        <v>0.7596180555555555</v>
      </c>
      <c r="D19" s="33" t="s">
        <v>1347</v>
      </c>
      <c r="E19" s="34">
        <v>5217411381143</v>
      </c>
      <c r="F19" s="33"/>
      <c r="G19" s="33" t="s">
        <v>1348</v>
      </c>
      <c r="H19" s="35"/>
      <c r="I19" s="33"/>
      <c r="J19" s="36"/>
      <c r="K19" s="69" t="s">
        <v>27</v>
      </c>
      <c r="L19" s="170">
        <v>13159.31</v>
      </c>
      <c r="M19" s="170">
        <v>2851.99</v>
      </c>
      <c r="N19" s="70">
        <f>L19*0.3</f>
        <v>3947.7929999999997</v>
      </c>
      <c r="O19" s="70">
        <f>(IF(L19&lt;4172.98,0,MIN(L19*0.3,L19-4172.98)))-M19</f>
        <v>1095.8029999999999</v>
      </c>
      <c r="P19" s="71">
        <v>45717</v>
      </c>
      <c r="Q19" s="69" t="s">
        <v>47</v>
      </c>
      <c r="R19" s="170">
        <v>2851.99</v>
      </c>
      <c r="S19" s="70" t="s">
        <v>879</v>
      </c>
      <c r="T19" s="55"/>
      <c r="U19" s="69"/>
    </row>
    <row r="20" spans="1:21">
      <c r="A20" s="68">
        <v>24174234</v>
      </c>
      <c r="B20" s="13">
        <v>46266</v>
      </c>
      <c r="C20" s="14">
        <v>0.76256944444444441</v>
      </c>
      <c r="D20" s="15"/>
      <c r="E20" s="16">
        <v>5219992506888</v>
      </c>
      <c r="F20" s="15"/>
      <c r="G20" s="15"/>
      <c r="H20" s="17">
        <v>84846306854</v>
      </c>
      <c r="I20" s="15"/>
      <c r="J20" s="18"/>
      <c r="K20" s="69" t="s">
        <v>54</v>
      </c>
      <c r="L20" s="70">
        <v>50623</v>
      </c>
      <c r="M20" s="70"/>
      <c r="N20" s="70">
        <f t="shared" ref="N20:N22" si="2">L20*0.3</f>
        <v>15186.9</v>
      </c>
      <c r="O20" s="70">
        <f>(IF(L20&lt;4172.98,0,MIN(L20*0.3,L20-4172.98)))-M20</f>
        <v>15186.9</v>
      </c>
      <c r="P20" s="69"/>
      <c r="Q20" s="69"/>
      <c r="R20" s="70"/>
      <c r="S20" s="70" t="s">
        <v>55</v>
      </c>
      <c r="T20" s="55"/>
      <c r="U20" s="69"/>
    </row>
    <row r="21" spans="1:21">
      <c r="A21" s="68">
        <v>24175106</v>
      </c>
      <c r="B21" s="13">
        <v>46266</v>
      </c>
      <c r="C21" s="14">
        <v>0.77946759259259257</v>
      </c>
      <c r="D21" s="15"/>
      <c r="E21" s="16">
        <v>5215530653088</v>
      </c>
      <c r="F21" s="15"/>
      <c r="G21" s="15" t="s">
        <v>1350</v>
      </c>
      <c r="H21" s="17"/>
      <c r="I21" s="15"/>
      <c r="J21" s="18"/>
      <c r="K21" s="69" t="s">
        <v>54</v>
      </c>
      <c r="L21" s="70">
        <v>7073.35</v>
      </c>
      <c r="M21" s="70"/>
      <c r="N21" s="70">
        <f t="shared" si="2"/>
        <v>2122.0050000000001</v>
      </c>
      <c r="O21" s="70">
        <f>(IF(L21&lt;4172.98,0,MIN(L21*0.3,L21-4172.98)))-M21</f>
        <v>2122.0050000000001</v>
      </c>
      <c r="P21" s="69"/>
      <c r="Q21" s="69"/>
      <c r="R21" s="70"/>
      <c r="S21" s="70" t="s">
        <v>98</v>
      </c>
      <c r="T21" s="55"/>
      <c r="U21" s="69"/>
    </row>
    <row r="22" spans="1:21">
      <c r="A22" s="68">
        <v>24175518</v>
      </c>
      <c r="B22" s="13">
        <v>46266</v>
      </c>
      <c r="C22" s="14">
        <v>0.79244212962962968</v>
      </c>
      <c r="D22" s="15"/>
      <c r="E22" s="16">
        <v>5212298581278</v>
      </c>
      <c r="F22" s="15"/>
      <c r="G22" s="15" t="s">
        <v>1351</v>
      </c>
      <c r="H22" s="17">
        <v>1735569640</v>
      </c>
      <c r="I22" s="15"/>
      <c r="J22" s="18"/>
      <c r="K22" s="69" t="s">
        <v>54</v>
      </c>
      <c r="L22" s="70">
        <v>23364.799999999999</v>
      </c>
      <c r="M22" s="70"/>
      <c r="N22" s="70">
        <f t="shared" si="2"/>
        <v>7009.44</v>
      </c>
      <c r="O22" s="70">
        <f>(IF(L22&lt;4172.98,0,MIN(L22*0.3,L22-4172.98)))-M22</f>
        <v>7009.44</v>
      </c>
      <c r="P22" s="69"/>
      <c r="Q22" s="69"/>
      <c r="R22" s="70"/>
      <c r="S22" s="70" t="s">
        <v>28</v>
      </c>
      <c r="T22" s="55"/>
      <c r="U22" s="69"/>
    </row>
    <row r="23" spans="1:21">
      <c r="A23" s="72">
        <v>24176370</v>
      </c>
      <c r="B23" s="31">
        <v>46266</v>
      </c>
      <c r="C23" s="32">
        <v>0.81753472222222223</v>
      </c>
      <c r="D23" s="33"/>
      <c r="E23" s="34">
        <v>5215537061044</v>
      </c>
      <c r="F23" s="33"/>
      <c r="G23" s="33"/>
      <c r="H23" s="35">
        <v>19745825505</v>
      </c>
      <c r="I23" s="33"/>
      <c r="J23" s="36"/>
      <c r="K23" s="69" t="s">
        <v>54</v>
      </c>
      <c r="L23" s="70">
        <f>7041.51+879</f>
        <v>7920.51</v>
      </c>
      <c r="M23" s="70">
        <v>879</v>
      </c>
      <c r="N23" s="70">
        <f>L23*0.3</f>
        <v>2376.1529999999998</v>
      </c>
      <c r="O23" s="70">
        <f>(IF(L23&lt;4172.98,0,MIN(L23*0.3,L23-4172.98)))-M23</f>
        <v>1497.1529999999998</v>
      </c>
      <c r="P23" s="69"/>
      <c r="Q23" s="69"/>
      <c r="R23" s="70"/>
      <c r="S23" s="70" t="s">
        <v>886</v>
      </c>
      <c r="T23" s="55"/>
      <c r="U23" s="69"/>
    </row>
    <row r="24" spans="1:21">
      <c r="A24" s="68">
        <v>24176428</v>
      </c>
      <c r="B24" s="13">
        <v>46266</v>
      </c>
      <c r="C24" s="14">
        <v>0.82177083333333334</v>
      </c>
      <c r="D24" s="15"/>
      <c r="E24" s="16">
        <v>5213310204743</v>
      </c>
      <c r="F24" s="15"/>
      <c r="G24" s="15" t="s">
        <v>1354</v>
      </c>
      <c r="H24" s="17"/>
      <c r="I24" s="15"/>
      <c r="J24" s="18"/>
      <c r="K24" s="69" t="s">
        <v>54</v>
      </c>
      <c r="L24" s="70">
        <v>50522.01</v>
      </c>
      <c r="M24" s="70"/>
      <c r="N24" s="70">
        <f t="shared" ref="N24:N29" si="3">L24*0.3</f>
        <v>15156.602999999999</v>
      </c>
      <c r="O24" s="70">
        <f>(IF(L24&lt;4172.98,0,MIN(L24*0.3,L24-4172.98)))-M24</f>
        <v>15156.602999999999</v>
      </c>
      <c r="P24" s="69"/>
      <c r="Q24" s="69"/>
      <c r="R24" s="70"/>
      <c r="S24" s="70" t="s">
        <v>348</v>
      </c>
      <c r="T24" s="55"/>
      <c r="U24" s="69"/>
    </row>
    <row r="25" spans="1:21">
      <c r="A25" s="68">
        <v>24176270</v>
      </c>
      <c r="B25" s="13">
        <v>46266</v>
      </c>
      <c r="C25" s="14">
        <v>0.82173611111111111</v>
      </c>
      <c r="D25" s="15"/>
      <c r="E25" s="16">
        <v>5218116555750</v>
      </c>
      <c r="F25" s="15"/>
      <c r="G25" s="15"/>
      <c r="H25" s="17">
        <v>43796319044</v>
      </c>
      <c r="I25" s="15"/>
      <c r="J25" s="18"/>
      <c r="K25" s="69" t="s">
        <v>34</v>
      </c>
      <c r="L25" s="70">
        <v>7920.5810000000001</v>
      </c>
      <c r="M25" s="70">
        <v>2081.7199999999998</v>
      </c>
      <c r="N25" s="70">
        <f t="shared" si="3"/>
        <v>2376.1743000000001</v>
      </c>
      <c r="O25" s="70">
        <f>(IF(L25&lt;4172.98,0,MIN(L25*0.3,L25-4172.98)))-M25</f>
        <v>294.45430000000033</v>
      </c>
      <c r="P25" s="71">
        <v>46023</v>
      </c>
      <c r="Q25" s="69" t="s">
        <v>57</v>
      </c>
      <c r="R25" s="70">
        <v>2081.7199999999998</v>
      </c>
      <c r="S25" s="70" t="s">
        <v>35</v>
      </c>
      <c r="T25" s="55"/>
      <c r="U25" s="69"/>
    </row>
    <row r="26" spans="1:21">
      <c r="A26" s="68">
        <v>24177220</v>
      </c>
      <c r="B26" s="13">
        <v>46266</v>
      </c>
      <c r="C26" s="14">
        <v>0.85467592592592589</v>
      </c>
      <c r="D26" s="15"/>
      <c r="E26" s="16">
        <v>5218186835859</v>
      </c>
      <c r="F26" s="15"/>
      <c r="G26" s="15"/>
      <c r="H26" s="17">
        <v>32917428396</v>
      </c>
      <c r="I26" s="15"/>
      <c r="J26" s="18"/>
      <c r="K26" s="69" t="s">
        <v>54</v>
      </c>
      <c r="L26" s="70">
        <f>41204.62-31622.15</f>
        <v>9582.4700000000012</v>
      </c>
      <c r="M26" s="70"/>
      <c r="N26" s="70">
        <f t="shared" si="3"/>
        <v>2874.7410000000004</v>
      </c>
      <c r="O26" s="70">
        <f>(IF(L26&lt;4172.98,0,MIN(L26*0.3,L26-4172.98)))-M26</f>
        <v>2874.7410000000004</v>
      </c>
      <c r="P26" s="69"/>
      <c r="Q26" s="69"/>
      <c r="R26" s="70"/>
      <c r="S26" s="70" t="s">
        <v>1091</v>
      </c>
      <c r="T26" s="55"/>
      <c r="U26" s="69"/>
    </row>
    <row r="27" spans="1:21">
      <c r="A27" s="72">
        <v>24179252</v>
      </c>
      <c r="B27" s="31">
        <v>46266</v>
      </c>
      <c r="C27" s="32">
        <v>0.92521990740740745</v>
      </c>
      <c r="D27" s="33"/>
      <c r="E27" s="34">
        <v>5218714710529</v>
      </c>
      <c r="F27" s="33"/>
      <c r="G27" s="33" t="s">
        <v>1360</v>
      </c>
      <c r="H27" s="35"/>
      <c r="I27" s="33"/>
      <c r="J27" s="36"/>
      <c r="K27" s="69" t="s">
        <v>34</v>
      </c>
      <c r="L27" s="70">
        <v>6460.14</v>
      </c>
      <c r="M27" s="70">
        <v>786.39</v>
      </c>
      <c r="N27" s="70">
        <f t="shared" si="3"/>
        <v>1938.0419999999999</v>
      </c>
      <c r="O27" s="70">
        <f>(IF(L27&lt;4172.98,0,MIN(L27*0.3,L27-4172.98)))-M27</f>
        <v>1151.652</v>
      </c>
      <c r="P27" s="71">
        <v>45809</v>
      </c>
      <c r="Q27" s="69" t="s">
        <v>141</v>
      </c>
      <c r="R27" s="70">
        <v>786.39</v>
      </c>
      <c r="S27" s="70" t="s">
        <v>35</v>
      </c>
      <c r="T27" s="55"/>
      <c r="U27" s="69"/>
    </row>
    <row r="28" spans="1:21">
      <c r="A28" s="68">
        <v>24186106</v>
      </c>
      <c r="B28" s="13">
        <v>46267</v>
      </c>
      <c r="C28" s="14">
        <v>0.27892361111111114</v>
      </c>
      <c r="D28" s="15"/>
      <c r="E28" s="16">
        <v>5218711564700</v>
      </c>
      <c r="F28" s="15"/>
      <c r="G28" s="15"/>
      <c r="H28" s="17">
        <v>33856507042</v>
      </c>
      <c r="I28" s="15"/>
      <c r="J28" s="18"/>
      <c r="K28" s="69" t="s">
        <v>54</v>
      </c>
      <c r="L28" s="70">
        <f>8881.32+879</f>
        <v>9760.32</v>
      </c>
      <c r="M28" s="70">
        <v>879</v>
      </c>
      <c r="N28" s="70">
        <f t="shared" si="3"/>
        <v>2928.096</v>
      </c>
      <c r="O28" s="70">
        <f>(IF(L28&lt;4172.98,0,MIN(L28*0.3,L28-4172.98)))-M28</f>
        <v>2049.096</v>
      </c>
      <c r="P28" s="69"/>
      <c r="Q28" s="69"/>
      <c r="R28" s="70"/>
      <c r="S28" s="70" t="s">
        <v>358</v>
      </c>
      <c r="T28" s="55"/>
      <c r="U28" s="69"/>
    </row>
    <row r="29" spans="1:21">
      <c r="A29" s="72">
        <v>24186924</v>
      </c>
      <c r="B29" s="31">
        <v>46267</v>
      </c>
      <c r="C29" s="32">
        <v>0.30706018518518519</v>
      </c>
      <c r="D29" s="33"/>
      <c r="E29" s="34">
        <v>5212291029648</v>
      </c>
      <c r="F29" s="33"/>
      <c r="G29" s="33"/>
      <c r="H29" s="35">
        <v>65796045709</v>
      </c>
      <c r="I29" s="33"/>
      <c r="J29" s="36"/>
      <c r="K29" s="69" t="s">
        <v>107</v>
      </c>
      <c r="L29" s="70">
        <v>28001.73</v>
      </c>
      <c r="M29" s="70">
        <v>8397.98</v>
      </c>
      <c r="N29" s="70">
        <f t="shared" si="3"/>
        <v>8400.5190000000002</v>
      </c>
      <c r="O29" s="70">
        <f>(IF(L29&lt;4172.98,0,MIN(L29*0.3,L29-4172.98)))-M29</f>
        <v>2.5390000000006694</v>
      </c>
      <c r="P29" s="71">
        <v>46143</v>
      </c>
      <c r="Q29" s="69" t="s">
        <v>80</v>
      </c>
      <c r="R29" s="70">
        <v>360</v>
      </c>
      <c r="S29" s="70" t="s">
        <v>39</v>
      </c>
      <c r="T29" s="55"/>
      <c r="U29" s="69"/>
    </row>
    <row r="30" spans="1:21">
      <c r="A30" s="72">
        <v>24179126</v>
      </c>
      <c r="B30" s="31">
        <v>46267</v>
      </c>
      <c r="C30" s="32">
        <v>0.46449074074074076</v>
      </c>
      <c r="D30" s="33"/>
      <c r="E30" s="34">
        <v>6561859034</v>
      </c>
      <c r="F30" s="33"/>
      <c r="G30" s="33" t="s">
        <v>1370</v>
      </c>
      <c r="H30" s="35">
        <v>33836434127</v>
      </c>
      <c r="I30" s="33"/>
      <c r="J30" s="36"/>
      <c r="K30" s="69" t="s">
        <v>27</v>
      </c>
      <c r="L30" s="113">
        <v>9081.52</v>
      </c>
      <c r="M30" s="113">
        <v>2518.2800000000002</v>
      </c>
      <c r="N30" s="70">
        <f>L30*0.3</f>
        <v>2724.4560000000001</v>
      </c>
      <c r="O30" s="70">
        <f>(IF(L30&lt;4172.98,0,MIN(L30*0.3,L30-4172.98)))-M30</f>
        <v>206.17599999999993</v>
      </c>
      <c r="P30" s="71">
        <v>46235</v>
      </c>
      <c r="Q30" s="69" t="s">
        <v>75</v>
      </c>
      <c r="R30" s="70">
        <v>2518.2800000000002</v>
      </c>
      <c r="S30" s="70" t="s">
        <v>98</v>
      </c>
      <c r="T30" s="55"/>
      <c r="U30" s="69"/>
    </row>
    <row r="31" spans="1:21">
      <c r="A31" s="72">
        <v>24194642</v>
      </c>
      <c r="B31" s="31">
        <v>46267</v>
      </c>
      <c r="C31" s="32">
        <v>0.47714120370370372</v>
      </c>
      <c r="D31" s="33"/>
      <c r="E31" s="34">
        <v>5219911001910</v>
      </c>
      <c r="F31" s="33"/>
      <c r="G31" s="33" t="s">
        <v>1371</v>
      </c>
      <c r="H31" s="35"/>
      <c r="I31" s="33"/>
      <c r="J31" s="36"/>
      <c r="K31" s="69" t="s">
        <v>54</v>
      </c>
      <c r="L31" s="70">
        <v>7116.73</v>
      </c>
      <c r="M31" s="70"/>
      <c r="N31" s="70">
        <f>L31*0.3</f>
        <v>2135.0189999999998</v>
      </c>
      <c r="O31" s="70">
        <f>(IF(L31&lt;4172.98,0,MIN(L31*0.3,L31-4172.98)))-M31</f>
        <v>2135.0189999999998</v>
      </c>
      <c r="P31" s="69"/>
      <c r="Q31" s="69"/>
      <c r="R31" s="70"/>
      <c r="S31" s="70" t="s">
        <v>1091</v>
      </c>
      <c r="T31" s="55"/>
      <c r="U31" s="69"/>
    </row>
    <row r="32" spans="1:21">
      <c r="A32" s="72">
        <v>24195644</v>
      </c>
      <c r="B32" s="31">
        <v>46267</v>
      </c>
      <c r="C32" s="32">
        <v>0.50653935185185184</v>
      </c>
      <c r="D32" s="33"/>
      <c r="E32" s="34">
        <v>5216441391798</v>
      </c>
      <c r="F32" s="33"/>
      <c r="G32" s="33" t="s">
        <v>1372</v>
      </c>
      <c r="H32" s="35"/>
      <c r="I32" s="33"/>
      <c r="J32" s="36"/>
      <c r="K32" s="69" t="s">
        <v>27</v>
      </c>
      <c r="L32" s="113">
        <v>7116.73</v>
      </c>
      <c r="M32" s="113">
        <v>1887</v>
      </c>
      <c r="N32" s="70">
        <f>L32*0.3</f>
        <v>2135.0189999999998</v>
      </c>
      <c r="O32" s="70">
        <f>(IF(L32&lt;4172.98,0,MIN(L32*0.3,L32-4172.98)))-M32</f>
        <v>248.01899999999978</v>
      </c>
      <c r="P32" s="71">
        <v>45931</v>
      </c>
      <c r="Q32" s="69" t="s">
        <v>833</v>
      </c>
      <c r="R32" s="113">
        <v>1887</v>
      </c>
      <c r="S32" s="70" t="s">
        <v>98</v>
      </c>
      <c r="T32" s="55"/>
      <c r="U32" s="69"/>
    </row>
    <row r="33" spans="1:21">
      <c r="A33" s="72">
        <v>24199408</v>
      </c>
      <c r="B33" s="31">
        <v>46267</v>
      </c>
      <c r="C33" s="32">
        <v>0.60513888888888889</v>
      </c>
      <c r="D33" s="33"/>
      <c r="E33" s="34">
        <v>5218125802778</v>
      </c>
      <c r="F33" s="33"/>
      <c r="G33" s="33"/>
      <c r="H33" s="35">
        <v>43796074813</v>
      </c>
      <c r="I33" s="33"/>
      <c r="J33" s="36"/>
      <c r="K33" s="69" t="s">
        <v>107</v>
      </c>
      <c r="L33" s="113">
        <v>6269.7</v>
      </c>
      <c r="M33" s="113">
        <v>1813.01</v>
      </c>
      <c r="N33" s="70">
        <f>L33*0.3</f>
        <v>1880.9099999999999</v>
      </c>
      <c r="O33" s="70">
        <f>(IF(L33&lt;4172.98,0,MIN(L33*0.3,L33-4172.98)))-M33</f>
        <v>67.899999999999864</v>
      </c>
      <c r="P33" s="71">
        <v>45748</v>
      </c>
      <c r="Q33" s="69" t="s">
        <v>44</v>
      </c>
      <c r="R33" s="70">
        <v>355.85</v>
      </c>
      <c r="S33" s="70" t="s">
        <v>266</v>
      </c>
      <c r="T33" s="55"/>
      <c r="U33" s="69"/>
    </row>
    <row r="34" spans="1:21">
      <c r="A34" s="68">
        <v>24199760</v>
      </c>
      <c r="B34" s="13">
        <v>46267</v>
      </c>
      <c r="C34" s="14">
        <v>0.62016203703703698</v>
      </c>
      <c r="D34" s="15"/>
      <c r="E34" s="16">
        <v>5215543747951</v>
      </c>
      <c r="F34" s="15"/>
      <c r="G34" s="15" t="s">
        <v>1376</v>
      </c>
      <c r="H34" s="17"/>
      <c r="I34" s="15"/>
      <c r="J34" s="18"/>
      <c r="K34" s="69" t="s">
        <v>54</v>
      </c>
      <c r="L34" s="70">
        <v>9612.19</v>
      </c>
      <c r="M34" s="70"/>
      <c r="N34" s="70">
        <f>L34*0.3</f>
        <v>2883.6570000000002</v>
      </c>
      <c r="O34" s="70">
        <f>(IF(L34&lt;4172.98,0,MIN(L34*0.3,L34-4172.98)))-M34</f>
        <v>2883.6570000000002</v>
      </c>
      <c r="P34" s="69"/>
      <c r="Q34" s="69"/>
      <c r="R34" s="70"/>
      <c r="S34" s="70" t="s">
        <v>327</v>
      </c>
      <c r="T34" s="55"/>
      <c r="U34" s="69"/>
    </row>
    <row r="35" spans="1:21">
      <c r="A35" s="72">
        <v>24199870</v>
      </c>
      <c r="B35" s="31">
        <v>46267</v>
      </c>
      <c r="C35" s="32">
        <v>0.62028935185185186</v>
      </c>
      <c r="D35" s="33"/>
      <c r="E35" s="34">
        <v>5215562169296</v>
      </c>
      <c r="F35" s="33"/>
      <c r="G35" s="33" t="s">
        <v>1377</v>
      </c>
      <c r="H35" s="35"/>
      <c r="I35" s="35"/>
      <c r="J35" s="36"/>
      <c r="K35" s="69" t="s">
        <v>34</v>
      </c>
      <c r="L35" s="113">
        <v>10247.51</v>
      </c>
      <c r="M35" s="113">
        <v>2964</v>
      </c>
      <c r="N35" s="70">
        <f>L35*0.3</f>
        <v>3074.2530000000002</v>
      </c>
      <c r="O35" s="70">
        <f>(IF(L35&lt;4172.98,0,MIN(L35*0.3,L35-4172.98)))-M35</f>
        <v>110.25300000000016</v>
      </c>
      <c r="P35" s="71">
        <v>46204</v>
      </c>
      <c r="Q35" s="69" t="s">
        <v>141</v>
      </c>
      <c r="R35" s="70">
        <v>2232.8000000000002</v>
      </c>
      <c r="S35" s="70" t="s">
        <v>35</v>
      </c>
      <c r="T35" s="55"/>
      <c r="U35" s="69"/>
    </row>
    <row r="36" spans="1:21">
      <c r="A36" s="68">
        <v>24200274</v>
      </c>
      <c r="B36" s="13">
        <v>46267</v>
      </c>
      <c r="C36" s="14">
        <v>0.63262731481481482</v>
      </c>
      <c r="D36" s="15"/>
      <c r="E36" s="16">
        <v>5212221150207</v>
      </c>
      <c r="F36" s="15"/>
      <c r="G36" s="15"/>
      <c r="H36" s="17">
        <v>62806241899</v>
      </c>
      <c r="I36" s="15"/>
      <c r="J36" s="18"/>
      <c r="K36" s="69" t="s">
        <v>34</v>
      </c>
      <c r="L36" s="113">
        <v>7116.73</v>
      </c>
      <c r="M36" s="113">
        <v>516.91999999999996</v>
      </c>
      <c r="N36" s="70">
        <f t="shared" ref="N36" si="4">L36*0.3</f>
        <v>2135.0189999999998</v>
      </c>
      <c r="O36" s="70">
        <f t="shared" ref="O36" si="5">(IF(L36&lt;4172.98,0,MIN(L36*0.3,L36-4172.98)))-M36</f>
        <v>1618.0989999999997</v>
      </c>
      <c r="P36" s="71">
        <v>45748</v>
      </c>
      <c r="Q36" s="69" t="s">
        <v>141</v>
      </c>
      <c r="R36" s="113">
        <v>516.91999999999996</v>
      </c>
      <c r="S36" s="70" t="s">
        <v>35</v>
      </c>
      <c r="T36" s="55"/>
      <c r="U36" s="69"/>
    </row>
    <row r="37" spans="1:21">
      <c r="A37" s="72">
        <v>24200472</v>
      </c>
      <c r="B37" s="31">
        <v>46267</v>
      </c>
      <c r="C37" s="32">
        <v>0.63975694444444442</v>
      </c>
      <c r="D37" s="33"/>
      <c r="E37" s="34">
        <v>5218136084482</v>
      </c>
      <c r="F37" s="33"/>
      <c r="G37" s="33" t="s">
        <v>1379</v>
      </c>
      <c r="H37" s="35"/>
      <c r="I37" s="33"/>
      <c r="J37" s="36"/>
      <c r="K37" s="69" t="s">
        <v>54</v>
      </c>
      <c r="L37" s="70">
        <v>10636.54</v>
      </c>
      <c r="M37" s="70"/>
      <c r="N37" s="70">
        <f>L37*0.3</f>
        <v>3190.962</v>
      </c>
      <c r="O37" s="70">
        <f>(IF(L37&lt;4172.98,0,MIN(L37*0.3,L37-4172.98)))-M37</f>
        <v>3190.962</v>
      </c>
      <c r="P37" s="69"/>
      <c r="Q37" s="69"/>
      <c r="R37" s="70"/>
      <c r="S37" s="70" t="s">
        <v>28</v>
      </c>
      <c r="T37" s="55"/>
      <c r="U37" s="69"/>
    </row>
    <row r="38" spans="1:21">
      <c r="A38" s="68">
        <v>24200638</v>
      </c>
      <c r="B38" s="13">
        <v>46267</v>
      </c>
      <c r="C38" s="14">
        <v>0.64934027777777781</v>
      </c>
      <c r="D38" s="15" t="s">
        <v>1380</v>
      </c>
      <c r="E38" s="16">
        <v>5212711269633</v>
      </c>
      <c r="F38" s="15"/>
      <c r="G38" s="15" t="s">
        <v>1381</v>
      </c>
      <c r="H38" s="17" t="s">
        <v>1382</v>
      </c>
      <c r="I38" s="15"/>
      <c r="J38" s="18"/>
      <c r="K38" s="69" t="s">
        <v>38</v>
      </c>
      <c r="L38" s="70">
        <v>4813.6899999999996</v>
      </c>
      <c r="M38" s="70"/>
      <c r="N38" s="70">
        <f t="shared" ref="N38:N40" si="6">L38*0.3</f>
        <v>1444.1069999999997</v>
      </c>
      <c r="O38" s="70">
        <f t="shared" ref="O38:O40" si="7">(IF(L38&lt;4172.98,0,MIN(L38*0.3,L38-4172.98)))-M38</f>
        <v>640.71</v>
      </c>
      <c r="P38" s="69"/>
      <c r="Q38" s="69"/>
      <c r="R38" s="70"/>
      <c r="S38" s="70" t="s">
        <v>39</v>
      </c>
      <c r="T38" s="55"/>
      <c r="U38" s="69"/>
    </row>
    <row r="39" spans="1:21">
      <c r="A39" s="68">
        <v>24201574</v>
      </c>
      <c r="B39" s="13">
        <v>46267</v>
      </c>
      <c r="C39" s="14">
        <v>0.67907407407407405</v>
      </c>
      <c r="D39" s="15"/>
      <c r="E39" s="16">
        <v>5215561277808</v>
      </c>
      <c r="F39" s="15"/>
      <c r="G39" s="15"/>
      <c r="H39" s="17" t="s">
        <v>1386</v>
      </c>
      <c r="I39" s="15"/>
      <c r="J39" s="18"/>
      <c r="K39" s="69" t="s">
        <v>54</v>
      </c>
      <c r="L39" s="70">
        <f>42546.16-31909.62</f>
        <v>10636.540000000005</v>
      </c>
      <c r="M39" s="70"/>
      <c r="N39" s="70">
        <f t="shared" si="6"/>
        <v>3190.9620000000014</v>
      </c>
      <c r="O39" s="70">
        <f t="shared" si="7"/>
        <v>3190.9620000000014</v>
      </c>
      <c r="P39" s="69"/>
      <c r="Q39" s="69"/>
      <c r="R39" s="70"/>
      <c r="S39" s="70" t="s">
        <v>55</v>
      </c>
      <c r="T39" s="55"/>
      <c r="U39" s="69"/>
    </row>
    <row r="40" spans="1:21">
      <c r="A40" s="72">
        <v>24201552</v>
      </c>
      <c r="B40" s="31">
        <v>46267</v>
      </c>
      <c r="C40" s="32">
        <v>0.6794675925925926</v>
      </c>
      <c r="D40" s="33"/>
      <c r="E40" s="34">
        <v>5217228677012</v>
      </c>
      <c r="F40" s="33"/>
      <c r="G40" s="33" t="s">
        <v>1387</v>
      </c>
      <c r="H40" s="35"/>
      <c r="I40" s="33"/>
      <c r="J40" s="36"/>
      <c r="K40" s="69" t="s">
        <v>27</v>
      </c>
      <c r="L40" s="113">
        <v>13266.31</v>
      </c>
      <c r="M40" s="113">
        <v>3461.12</v>
      </c>
      <c r="N40" s="70">
        <f t="shared" si="6"/>
        <v>3979.8929999999996</v>
      </c>
      <c r="O40" s="70">
        <f t="shared" si="7"/>
        <v>518.77299999999968</v>
      </c>
      <c r="P40" s="71">
        <v>46054</v>
      </c>
      <c r="Q40" s="69" t="s">
        <v>77</v>
      </c>
      <c r="R40" s="70">
        <v>2353.61</v>
      </c>
      <c r="S40" s="70" t="s">
        <v>62</v>
      </c>
      <c r="T40" s="55"/>
      <c r="U40" s="69"/>
    </row>
    <row r="41" spans="1:21">
      <c r="A41" s="72">
        <v>24202298</v>
      </c>
      <c r="B41" s="31">
        <v>46267</v>
      </c>
      <c r="C41" s="32">
        <v>0.70357638888888885</v>
      </c>
      <c r="D41" s="33"/>
      <c r="E41" s="34">
        <v>5216674049471</v>
      </c>
      <c r="F41" s="33"/>
      <c r="G41" s="33" t="s">
        <v>1392</v>
      </c>
      <c r="H41" s="35"/>
      <c r="I41" s="33"/>
      <c r="J41" s="36"/>
      <c r="K41" s="69" t="s">
        <v>54</v>
      </c>
      <c r="L41" s="113">
        <v>23694.92</v>
      </c>
      <c r="M41" s="113">
        <v>2013.3</v>
      </c>
      <c r="N41" s="70">
        <f>L41*0.3</f>
        <v>7108.4759999999997</v>
      </c>
      <c r="O41" s="70">
        <f>(IF(L41&lt;4172.98,0,MIN(L41*0.3,L41-4172.98)))-M41</f>
        <v>5095.1759999999995</v>
      </c>
      <c r="P41" s="71">
        <v>46935</v>
      </c>
      <c r="Q41" s="69" t="s">
        <v>75</v>
      </c>
      <c r="R41" s="70">
        <v>2013.83</v>
      </c>
      <c r="S41" s="70" t="s">
        <v>327</v>
      </c>
      <c r="T41" s="55"/>
      <c r="U41" s="69"/>
    </row>
    <row r="42" spans="1:21">
      <c r="A42" s="72">
        <v>24202672</v>
      </c>
      <c r="B42" s="31">
        <v>46267</v>
      </c>
      <c r="C42" s="32">
        <v>0.71866898148148151</v>
      </c>
      <c r="D42" s="33"/>
      <c r="E42" s="34">
        <v>5218671006954</v>
      </c>
      <c r="F42" s="33"/>
      <c r="G42" s="33"/>
      <c r="H42" s="35">
        <v>49886983920</v>
      </c>
      <c r="I42" s="33"/>
      <c r="J42" s="36"/>
      <c r="K42" s="69" t="s">
        <v>27</v>
      </c>
      <c r="L42" s="113">
        <v>5661.66</v>
      </c>
      <c r="M42" s="113">
        <v>1372.94</v>
      </c>
      <c r="N42" s="70">
        <f>L42*0.3</f>
        <v>1698.4979999999998</v>
      </c>
      <c r="O42" s="70">
        <f>(IF(L42&lt;4172.98,0,MIN(L42*0.3,L42-4172.98)))-M42</f>
        <v>115.74000000000024</v>
      </c>
      <c r="P42" s="71">
        <v>46235</v>
      </c>
      <c r="Q42" s="69" t="s">
        <v>1312</v>
      </c>
      <c r="R42" s="113">
        <v>1372.94</v>
      </c>
      <c r="S42" s="70" t="s">
        <v>358</v>
      </c>
      <c r="T42" s="55"/>
      <c r="U42" s="69"/>
    </row>
    <row r="43" spans="1:21">
      <c r="A43" s="72">
        <v>24203114</v>
      </c>
      <c r="B43" s="31">
        <v>46267</v>
      </c>
      <c r="C43" s="32">
        <v>0.73771990740740745</v>
      </c>
      <c r="D43" s="33"/>
      <c r="E43" s="34">
        <v>5215651620763</v>
      </c>
      <c r="F43" s="33"/>
      <c r="G43" s="33"/>
      <c r="H43" s="35" t="s">
        <v>1394</v>
      </c>
      <c r="I43" s="33"/>
      <c r="J43" s="36"/>
      <c r="K43" s="69" t="s">
        <v>54</v>
      </c>
      <c r="L43" s="113">
        <v>9760.32</v>
      </c>
      <c r="M43" s="113">
        <v>879</v>
      </c>
      <c r="N43" s="70">
        <f>L43*0.3</f>
        <v>2928.096</v>
      </c>
      <c r="O43" s="70">
        <f>(IF(L43&lt;4172.98,0,MIN(L43*0.3,L43-4172.98)))-M43</f>
        <v>2049.096</v>
      </c>
      <c r="P43" s="69"/>
      <c r="Q43" s="69"/>
      <c r="R43" s="70"/>
      <c r="S43" s="70" t="s">
        <v>886</v>
      </c>
      <c r="T43" s="55"/>
      <c r="U43" s="69"/>
    </row>
    <row r="44" spans="1:21">
      <c r="A44" s="72">
        <v>24203302</v>
      </c>
      <c r="B44" s="31">
        <v>46267</v>
      </c>
      <c r="C44" s="32">
        <v>0.74674768518518519</v>
      </c>
      <c r="D44" s="33"/>
      <c r="E44" s="34">
        <v>5216413260487</v>
      </c>
      <c r="F44" s="33"/>
      <c r="G44" s="33"/>
      <c r="H44" s="35">
        <v>23775706205</v>
      </c>
      <c r="I44" s="33"/>
      <c r="J44" s="36"/>
      <c r="K44" s="69" t="s">
        <v>54</v>
      </c>
      <c r="L44" s="70">
        <v>9081.52</v>
      </c>
      <c r="M44" s="70"/>
      <c r="N44" s="70">
        <f>L44*0.3</f>
        <v>2724.4560000000001</v>
      </c>
      <c r="O44" s="70">
        <f>(IF(L44&lt;4172.98,0,MIN(L44*0.3,L44-4172.98)))-M44</f>
        <v>2724.4560000000001</v>
      </c>
      <c r="P44" s="69"/>
      <c r="Q44" s="69"/>
      <c r="R44" s="70"/>
      <c r="S44" s="70" t="s">
        <v>879</v>
      </c>
      <c r="T44" s="55"/>
      <c r="U44" s="69"/>
    </row>
    <row r="45" spans="1:21">
      <c r="A45" s="72">
        <v>24203454</v>
      </c>
      <c r="B45" s="31">
        <v>46267</v>
      </c>
      <c r="C45" s="32">
        <v>0.74996527777777777</v>
      </c>
      <c r="D45" s="33"/>
      <c r="E45" s="34">
        <v>5213141025455</v>
      </c>
      <c r="F45" s="33"/>
      <c r="G45" s="33"/>
      <c r="H45" s="35">
        <v>52845801431</v>
      </c>
      <c r="I45" s="33"/>
      <c r="J45" s="36"/>
      <c r="K45" s="69" t="s">
        <v>54</v>
      </c>
      <c r="L45" s="113">
        <v>41541.58</v>
      </c>
      <c r="M45" s="113">
        <v>1315.26</v>
      </c>
      <c r="N45" s="70">
        <f>L45*0.3</f>
        <v>12462.474</v>
      </c>
      <c r="O45" s="70">
        <f>(IF(L45&lt;4172.98,0,MIN(L45*0.3,L45-4172.98)))-M45</f>
        <v>11147.214</v>
      </c>
      <c r="P45" s="71">
        <v>46204</v>
      </c>
      <c r="Q45" s="69" t="s">
        <v>59</v>
      </c>
      <c r="R45" s="113">
        <v>1315.26</v>
      </c>
      <c r="S45" s="70" t="s">
        <v>55</v>
      </c>
      <c r="T45" s="55"/>
      <c r="U45" s="69"/>
    </row>
    <row r="46" spans="1:21">
      <c r="A46" s="72">
        <v>24203902</v>
      </c>
      <c r="B46" s="31">
        <v>46267</v>
      </c>
      <c r="C46" s="32">
        <v>0.75531250000000005</v>
      </c>
      <c r="D46" s="33"/>
      <c r="E46" s="34">
        <v>5218948468176</v>
      </c>
      <c r="F46" s="33"/>
      <c r="G46" s="33" t="s">
        <v>1396</v>
      </c>
      <c r="H46" s="35"/>
      <c r="I46" s="33"/>
      <c r="J46" s="36"/>
      <c r="K46" s="69" t="s">
        <v>27</v>
      </c>
      <c r="L46" s="113">
        <v>11813.87</v>
      </c>
      <c r="M46" s="113">
        <v>1955.8</v>
      </c>
      <c r="N46" s="70">
        <f>L46*0.3</f>
        <v>3544.1610000000001</v>
      </c>
      <c r="O46" s="70">
        <f>(IF(L46&lt;4172.98,0,MIN(L46*0.3,L46-4172.98)))-M46</f>
        <v>1588.3610000000001</v>
      </c>
      <c r="P46" s="71">
        <v>46143</v>
      </c>
      <c r="Q46" s="69" t="s">
        <v>210</v>
      </c>
      <c r="R46" s="113">
        <v>1955.8</v>
      </c>
      <c r="S46" s="70" t="s">
        <v>358</v>
      </c>
      <c r="T46" s="55"/>
      <c r="U46" s="69"/>
    </row>
    <row r="47" spans="1:21">
      <c r="A47" s="72">
        <v>24203936</v>
      </c>
      <c r="B47" s="31">
        <v>46267</v>
      </c>
      <c r="C47" s="32">
        <v>0.76009259259259254</v>
      </c>
      <c r="D47" s="33"/>
      <c r="E47" s="34">
        <v>5213311902269</v>
      </c>
      <c r="F47" s="33"/>
      <c r="G47" s="33"/>
      <c r="H47" s="35" t="s">
        <v>1397</v>
      </c>
      <c r="I47" s="33"/>
      <c r="J47" s="36"/>
      <c r="K47" s="69" t="s">
        <v>54</v>
      </c>
      <c r="L47" s="70">
        <v>9081.52</v>
      </c>
      <c r="M47" s="70"/>
      <c r="N47" s="70">
        <f>L47*0.3</f>
        <v>2724.4560000000001</v>
      </c>
      <c r="O47" s="70">
        <f>(IF(L47&lt;4172.98,0,MIN(L47*0.3,L47-4172.98)))-M47</f>
        <v>2724.4560000000001</v>
      </c>
      <c r="P47" s="69"/>
      <c r="Q47" s="69"/>
      <c r="R47" s="70"/>
      <c r="S47" s="70" t="s">
        <v>879</v>
      </c>
      <c r="T47" s="55"/>
      <c r="U47" s="69"/>
    </row>
    <row r="48" spans="1:21">
      <c r="A48" s="68">
        <v>24204370</v>
      </c>
      <c r="B48" s="13">
        <v>46267</v>
      </c>
      <c r="C48" s="14">
        <v>0.77762731481481484</v>
      </c>
      <c r="D48" s="15"/>
      <c r="E48" s="16">
        <v>5218711618300</v>
      </c>
      <c r="F48" s="15">
        <v>1</v>
      </c>
      <c r="G48" s="15"/>
      <c r="H48" s="17" t="s">
        <v>1398</v>
      </c>
      <c r="I48" s="15"/>
      <c r="J48" s="18"/>
      <c r="K48" s="69" t="s">
        <v>34</v>
      </c>
      <c r="L48" s="113">
        <v>28020.9</v>
      </c>
      <c r="M48" s="113">
        <v>7374.36</v>
      </c>
      <c r="N48" s="70">
        <f t="shared" ref="N48:N53" si="8">L48*0.3</f>
        <v>8406.27</v>
      </c>
      <c r="O48" s="70">
        <f t="shared" ref="O48:O53" si="9">(IF(L48&lt;4172.98,0,MIN(L48*0.3,L48-4172.98)))-M48</f>
        <v>1031.9100000000008</v>
      </c>
      <c r="P48" s="71">
        <v>46054</v>
      </c>
      <c r="Q48" s="69" t="s">
        <v>141</v>
      </c>
      <c r="R48" s="70">
        <v>8406.27</v>
      </c>
      <c r="S48" s="70" t="s">
        <v>35</v>
      </c>
      <c r="T48" s="55"/>
      <c r="U48" s="69"/>
    </row>
    <row r="49" spans="1:21">
      <c r="A49" s="68">
        <v>24205238</v>
      </c>
      <c r="B49" s="13">
        <v>46267</v>
      </c>
      <c r="C49" s="14">
        <v>0.81776620370370368</v>
      </c>
      <c r="D49" s="15"/>
      <c r="E49" s="16">
        <v>5214441596083</v>
      </c>
      <c r="F49" s="15">
        <v>1</v>
      </c>
      <c r="G49" s="15"/>
      <c r="H49" s="17" t="s">
        <v>1400</v>
      </c>
      <c r="I49" s="15"/>
      <c r="J49" s="18"/>
      <c r="K49" s="69" t="s">
        <v>34</v>
      </c>
      <c r="L49" s="113">
        <v>6390.8</v>
      </c>
      <c r="M49" s="113">
        <v>1917.17</v>
      </c>
      <c r="N49" s="70">
        <f t="shared" si="8"/>
        <v>1917.24</v>
      </c>
      <c r="O49" s="70">
        <f t="shared" si="9"/>
        <v>6.9999999999936335E-2</v>
      </c>
      <c r="P49" s="71">
        <v>45717</v>
      </c>
      <c r="Q49" s="69" t="s">
        <v>141</v>
      </c>
      <c r="R49" s="70">
        <v>1408.17</v>
      </c>
      <c r="S49" s="70" t="s">
        <v>271</v>
      </c>
      <c r="T49" s="55"/>
      <c r="U49" s="69"/>
    </row>
    <row r="50" spans="1:21">
      <c r="A50" s="68">
        <v>24205382</v>
      </c>
      <c r="B50" s="13">
        <v>46267</v>
      </c>
      <c r="C50" s="14">
        <v>0.82530092592592597</v>
      </c>
      <c r="D50" s="15"/>
      <c r="E50" s="16">
        <v>5216462476311</v>
      </c>
      <c r="F50" s="15">
        <v>1</v>
      </c>
      <c r="G50" s="15" t="s">
        <v>1402</v>
      </c>
      <c r="H50" s="17"/>
      <c r="I50" s="15"/>
      <c r="J50" s="18"/>
      <c r="K50" s="69" t="s">
        <v>54</v>
      </c>
      <c r="L50" s="70">
        <v>11029.03</v>
      </c>
      <c r="M50" s="70"/>
      <c r="N50" s="70">
        <f t="shared" si="8"/>
        <v>3308.7090000000003</v>
      </c>
      <c r="O50" s="70">
        <f t="shared" si="9"/>
        <v>3308.7090000000003</v>
      </c>
      <c r="P50" s="69"/>
      <c r="Q50" s="69"/>
      <c r="R50" s="70"/>
      <c r="S50" s="70" t="s">
        <v>55</v>
      </c>
      <c r="T50" s="55"/>
      <c r="U50" s="69"/>
    </row>
    <row r="51" spans="1:21">
      <c r="A51" s="68">
        <v>24205474</v>
      </c>
      <c r="B51" s="13">
        <v>46267</v>
      </c>
      <c r="C51" s="14">
        <v>0.82836805555555559</v>
      </c>
      <c r="D51" s="15"/>
      <c r="E51" s="16">
        <v>5216862375265</v>
      </c>
      <c r="F51" s="15">
        <v>1</v>
      </c>
      <c r="G51" s="15"/>
      <c r="H51" s="17">
        <v>21927573184</v>
      </c>
      <c r="I51" s="15"/>
      <c r="J51" s="18"/>
      <c r="K51" s="69" t="s">
        <v>34</v>
      </c>
      <c r="L51" s="113">
        <v>5629.77</v>
      </c>
      <c r="M51" s="113">
        <v>1348.18</v>
      </c>
      <c r="N51" s="70">
        <f t="shared" si="8"/>
        <v>1688.931</v>
      </c>
      <c r="O51" s="70">
        <f t="shared" si="9"/>
        <v>108.61000000000081</v>
      </c>
      <c r="P51" s="71">
        <v>46235</v>
      </c>
      <c r="Q51" s="69" t="s">
        <v>57</v>
      </c>
      <c r="R51" s="70">
        <v>1688.93</v>
      </c>
      <c r="S51" s="70" t="s">
        <v>271</v>
      </c>
      <c r="T51" s="55"/>
      <c r="U51" s="69"/>
    </row>
    <row r="52" spans="1:21">
      <c r="A52" s="68">
        <v>24207464</v>
      </c>
      <c r="B52" s="13">
        <v>46268</v>
      </c>
      <c r="C52" s="14">
        <v>2.8148148148148148E-2</v>
      </c>
      <c r="D52" s="15"/>
      <c r="E52" s="16">
        <v>5216144963769</v>
      </c>
      <c r="F52" s="15"/>
      <c r="G52" s="15"/>
      <c r="H52" s="17">
        <v>33796160415</v>
      </c>
      <c r="I52" s="15"/>
      <c r="J52" s="18"/>
      <c r="K52" s="69" t="s">
        <v>54</v>
      </c>
      <c r="L52" s="70">
        <v>5918.41</v>
      </c>
      <c r="M52" s="70"/>
      <c r="N52" s="70">
        <f t="shared" si="8"/>
        <v>1775.5229999999999</v>
      </c>
      <c r="O52" s="70">
        <f t="shared" si="9"/>
        <v>1745.4300000000003</v>
      </c>
      <c r="P52" s="69"/>
      <c r="Q52" s="69"/>
      <c r="R52" s="70"/>
      <c r="S52" s="70" t="s">
        <v>886</v>
      </c>
      <c r="T52" s="55"/>
      <c r="U52" s="69"/>
    </row>
    <row r="53" spans="1:21">
      <c r="A53" s="68">
        <v>24213502</v>
      </c>
      <c r="B53" s="13">
        <v>46268</v>
      </c>
      <c r="C53" s="14">
        <v>0.33512731481481484</v>
      </c>
      <c r="D53" s="15" t="s">
        <v>1411</v>
      </c>
      <c r="E53" s="16">
        <v>5218701493453</v>
      </c>
      <c r="F53" s="15"/>
      <c r="G53" s="15" t="s">
        <v>1412</v>
      </c>
      <c r="H53" s="17">
        <v>32896503276</v>
      </c>
      <c r="I53" s="15"/>
      <c r="J53" s="18"/>
      <c r="K53" s="69" t="s">
        <v>38</v>
      </c>
      <c r="L53" s="113">
        <v>9760.32</v>
      </c>
      <c r="M53" s="113">
        <v>1974.6</v>
      </c>
      <c r="N53" s="70">
        <f t="shared" si="8"/>
        <v>2928.096</v>
      </c>
      <c r="O53" s="70">
        <f t="shared" si="9"/>
        <v>953.49600000000009</v>
      </c>
      <c r="P53" s="71">
        <v>46600</v>
      </c>
      <c r="Q53" s="69" t="s">
        <v>75</v>
      </c>
      <c r="R53" s="70">
        <v>1513.78</v>
      </c>
      <c r="S53" s="70" t="s">
        <v>39</v>
      </c>
      <c r="T53" s="55"/>
      <c r="U53" s="69"/>
    </row>
    <row r="54" spans="1:21">
      <c r="A54" s="72">
        <v>24215910</v>
      </c>
      <c r="B54" s="31">
        <v>46268</v>
      </c>
      <c r="C54" s="32">
        <v>0.39384259259259258</v>
      </c>
      <c r="D54" s="33" t="s">
        <v>1416</v>
      </c>
      <c r="E54" s="34">
        <v>5212381712916</v>
      </c>
      <c r="F54" s="33"/>
      <c r="G54" s="33" t="s">
        <v>1417</v>
      </c>
      <c r="H54" s="35" t="s">
        <v>1418</v>
      </c>
      <c r="I54" s="33"/>
      <c r="J54" s="36"/>
      <c r="K54" s="69" t="s">
        <v>27</v>
      </c>
      <c r="L54" s="70">
        <v>7128.48</v>
      </c>
      <c r="M54" s="70">
        <v>1977.07</v>
      </c>
      <c r="N54" s="70">
        <f>L54*0.3</f>
        <v>2138.5439999999999</v>
      </c>
      <c r="O54" s="70">
        <f>(IF(L54&lt;4172.98,0,MIN(L54*0.3,L54-4172.98)))-M54</f>
        <v>161.47399999999993</v>
      </c>
      <c r="P54" s="71">
        <v>46054</v>
      </c>
      <c r="Q54" s="69" t="s">
        <v>47</v>
      </c>
      <c r="R54" s="70">
        <v>1977.07</v>
      </c>
      <c r="S54" s="70" t="s">
        <v>62</v>
      </c>
      <c r="T54" s="55"/>
      <c r="U54" s="69"/>
    </row>
    <row r="55" spans="1:21">
      <c r="A55" s="68">
        <v>24216578</v>
      </c>
      <c r="B55" s="13">
        <v>46268</v>
      </c>
      <c r="C55" s="14">
        <v>0.41084490740740742</v>
      </c>
      <c r="D55" s="15"/>
      <c r="E55" s="16">
        <v>5215577205660</v>
      </c>
      <c r="F55" s="15"/>
      <c r="G55" s="15"/>
      <c r="H55" s="17" t="s">
        <v>1420</v>
      </c>
      <c r="I55" s="15"/>
      <c r="J55" s="18"/>
      <c r="K55" s="69" t="s">
        <v>54</v>
      </c>
      <c r="L55" s="70">
        <v>7320.67</v>
      </c>
      <c r="M55" s="70"/>
      <c r="N55" s="70">
        <f t="shared" ref="N55" si="10">L55*0.3</f>
        <v>2196.201</v>
      </c>
      <c r="O55" s="70">
        <f t="shared" ref="O55" si="11">(IF(L55&lt;4172.98,0,MIN(L55*0.3,L55-4172.98)))-M55</f>
        <v>2196.201</v>
      </c>
      <c r="P55" s="69"/>
      <c r="Q55" s="69"/>
      <c r="R55" s="70"/>
      <c r="S55" s="70" t="s">
        <v>1091</v>
      </c>
      <c r="T55" s="55"/>
      <c r="U55" s="69"/>
    </row>
    <row r="56" spans="1:21">
      <c r="A56" s="72">
        <v>24218364</v>
      </c>
      <c r="B56" s="31">
        <v>46268</v>
      </c>
      <c r="C56" s="32">
        <v>0.45028935185185187</v>
      </c>
      <c r="D56" s="33"/>
      <c r="E56" s="34">
        <v>5215558188398</v>
      </c>
      <c r="F56" s="33"/>
      <c r="G56" s="33"/>
      <c r="H56" s="35">
        <v>19856610704</v>
      </c>
      <c r="I56" s="33"/>
      <c r="J56" s="36"/>
      <c r="K56" s="69" t="s">
        <v>54</v>
      </c>
      <c r="L56" s="70">
        <v>47411.35</v>
      </c>
      <c r="M56" s="70"/>
      <c r="N56" s="70">
        <f>L56*0.3</f>
        <v>14223.404999999999</v>
      </c>
      <c r="O56" s="70">
        <f>(IF(L56&lt;4172.98,0,MIN(L56*0.3,L56-4172.98)))-M56</f>
        <v>14223.404999999999</v>
      </c>
      <c r="P56" s="69"/>
      <c r="Q56" s="69"/>
      <c r="R56" s="70"/>
      <c r="S56" s="70" t="s">
        <v>28</v>
      </c>
      <c r="T56" s="55"/>
      <c r="U56" s="69"/>
    </row>
    <row r="57" spans="1:21">
      <c r="A57" s="68">
        <v>24217770</v>
      </c>
      <c r="B57" s="13">
        <v>46268</v>
      </c>
      <c r="C57" s="14">
        <v>0.45420138888888889</v>
      </c>
      <c r="D57" s="15" t="s">
        <v>1425</v>
      </c>
      <c r="E57" s="16">
        <v>5215544794862</v>
      </c>
      <c r="F57" s="15"/>
      <c r="G57" s="15" t="s">
        <v>1426</v>
      </c>
      <c r="H57" s="17"/>
      <c r="I57" s="15"/>
      <c r="J57" s="18"/>
      <c r="K57" s="69" t="s">
        <v>54</v>
      </c>
      <c r="L57" s="113">
        <v>9760.32</v>
      </c>
      <c r="M57" s="113"/>
      <c r="N57" s="70">
        <f>L57*0.3</f>
        <v>2928.096</v>
      </c>
      <c r="O57" s="70">
        <f>(IF(L57&lt;4172.98,0,MIN(L57*0.3,L57-4172.98)))-M57</f>
        <v>2928.096</v>
      </c>
      <c r="P57" s="71"/>
      <c r="Q57" s="69"/>
      <c r="R57" s="70"/>
      <c r="S57" s="70" t="s">
        <v>879</v>
      </c>
      <c r="T57" s="55"/>
      <c r="U57" s="69"/>
    </row>
    <row r="58" spans="1:21">
      <c r="A58" s="72">
        <v>24218744</v>
      </c>
      <c r="B58" s="31">
        <v>46268</v>
      </c>
      <c r="C58" s="32">
        <v>0.46266203703703701</v>
      </c>
      <c r="D58" s="33"/>
      <c r="E58" s="34">
        <v>5218711374448</v>
      </c>
      <c r="F58" s="33"/>
      <c r="G58" s="33" t="s">
        <v>1429</v>
      </c>
      <c r="H58" s="35"/>
      <c r="I58" s="33"/>
      <c r="J58" s="36"/>
      <c r="K58" s="69" t="s">
        <v>54</v>
      </c>
      <c r="L58" s="70">
        <v>9081.52</v>
      </c>
      <c r="M58" s="70"/>
      <c r="N58" s="70">
        <f>L58*0.3</f>
        <v>2724.4560000000001</v>
      </c>
      <c r="O58" s="70">
        <f>(IF(L58&lt;4172.98,0,MIN(L58*0.3,L58-4172.98)))-M58</f>
        <v>2724.4560000000001</v>
      </c>
      <c r="P58" s="69"/>
      <c r="Q58" s="69"/>
      <c r="R58" s="70"/>
      <c r="S58" s="70" t="s">
        <v>348</v>
      </c>
      <c r="T58" s="55"/>
      <c r="U58" s="69"/>
    </row>
    <row r="59" spans="1:21">
      <c r="A59" s="68">
        <v>24218814</v>
      </c>
      <c r="B59" s="13">
        <v>46268</v>
      </c>
      <c r="C59" s="14">
        <v>0.46653935185185186</v>
      </c>
      <c r="D59" s="15"/>
      <c r="E59" s="16">
        <v>5215585411534</v>
      </c>
      <c r="F59" s="15"/>
      <c r="G59" s="15"/>
      <c r="H59" s="17">
        <v>11715512494</v>
      </c>
      <c r="I59" s="15"/>
      <c r="J59" s="18"/>
      <c r="K59" s="69" t="s">
        <v>107</v>
      </c>
      <c r="L59" s="113">
        <v>5467.47</v>
      </c>
      <c r="M59" s="113">
        <v>1197</v>
      </c>
      <c r="N59" s="70">
        <f t="shared" ref="N59:N63" si="12">L59*0.3</f>
        <v>1640.241</v>
      </c>
      <c r="O59" s="70">
        <f t="shared" ref="O59:O63" si="13">(IF(L59&lt;4172.98,0,MIN(L59*0.3,L59-4172.98)))-M59</f>
        <v>97.490000000000691</v>
      </c>
      <c r="P59" s="71">
        <v>46235</v>
      </c>
      <c r="Q59" s="69" t="s">
        <v>1430</v>
      </c>
      <c r="R59" s="70">
        <v>1197</v>
      </c>
      <c r="S59" s="70" t="s">
        <v>39</v>
      </c>
      <c r="T59" s="55"/>
      <c r="U59" s="69"/>
    </row>
    <row r="60" spans="1:21">
      <c r="A60" s="68">
        <v>24219430</v>
      </c>
      <c r="B60" s="13">
        <v>46268</v>
      </c>
      <c r="C60" s="14">
        <v>0.47215277777777775</v>
      </c>
      <c r="D60" s="15"/>
      <c r="E60" s="16">
        <v>5219999099755</v>
      </c>
      <c r="F60" s="15"/>
      <c r="G60" s="15"/>
      <c r="H60" s="17" t="s">
        <v>1432</v>
      </c>
      <c r="I60" s="15"/>
      <c r="J60" s="18"/>
      <c r="K60" s="69" t="s">
        <v>54</v>
      </c>
      <c r="L60" s="70">
        <f>9757.54+879</f>
        <v>10636.54</v>
      </c>
      <c r="M60" s="70">
        <v>879</v>
      </c>
      <c r="N60" s="70">
        <f t="shared" si="12"/>
        <v>3190.962</v>
      </c>
      <c r="O60" s="70">
        <f t="shared" si="13"/>
        <v>2311.962</v>
      </c>
      <c r="P60" s="69"/>
      <c r="Q60" s="69"/>
      <c r="R60" s="70"/>
      <c r="S60" s="70" t="s">
        <v>1091</v>
      </c>
      <c r="T60" s="55"/>
      <c r="U60" s="69"/>
    </row>
    <row r="61" spans="1:21">
      <c r="A61" s="68">
        <v>24219458</v>
      </c>
      <c r="B61" s="13">
        <v>46268</v>
      </c>
      <c r="C61" s="14">
        <v>0.47251157407407407</v>
      </c>
      <c r="D61" s="15"/>
      <c r="E61" s="16">
        <v>5217772325747</v>
      </c>
      <c r="F61" s="15"/>
      <c r="G61" s="15"/>
      <c r="H61" s="17">
        <v>15846616496</v>
      </c>
      <c r="I61" s="15"/>
      <c r="J61" s="18"/>
      <c r="K61" s="69" t="s">
        <v>54</v>
      </c>
      <c r="L61" s="70">
        <v>23492.45</v>
      </c>
      <c r="M61" s="70"/>
      <c r="N61" s="70">
        <f t="shared" si="12"/>
        <v>7047.7349999999997</v>
      </c>
      <c r="O61" s="70">
        <f t="shared" si="13"/>
        <v>7047.7349999999997</v>
      </c>
      <c r="P61" s="69"/>
      <c r="Q61" s="69"/>
      <c r="R61" s="70"/>
      <c r="S61" s="70" t="s">
        <v>348</v>
      </c>
      <c r="T61" s="55"/>
      <c r="U61" s="69"/>
    </row>
    <row r="62" spans="1:21">
      <c r="A62" s="72">
        <v>24220162</v>
      </c>
      <c r="B62" s="31">
        <v>46268</v>
      </c>
      <c r="C62" s="32">
        <v>0.48950231481481482</v>
      </c>
      <c r="D62" s="33"/>
      <c r="E62" s="34">
        <v>5218111315588</v>
      </c>
      <c r="F62" s="33"/>
      <c r="G62" s="33" t="s">
        <v>1435</v>
      </c>
      <c r="H62" s="35"/>
      <c r="I62" s="33"/>
      <c r="J62" s="36"/>
      <c r="K62" s="69" t="s">
        <v>54</v>
      </c>
      <c r="L62" s="70">
        <f>6042.27+848</f>
        <v>6890.27</v>
      </c>
      <c r="M62" s="70">
        <v>848</v>
      </c>
      <c r="N62" s="70">
        <f t="shared" si="12"/>
        <v>2067.0810000000001</v>
      </c>
      <c r="O62" s="70">
        <f t="shared" si="13"/>
        <v>1219.0810000000001</v>
      </c>
      <c r="P62" s="69"/>
      <c r="Q62" s="69"/>
      <c r="R62" s="70"/>
      <c r="S62" s="70" t="s">
        <v>327</v>
      </c>
      <c r="T62" s="55"/>
      <c r="U62" s="69"/>
    </row>
    <row r="63" spans="1:21">
      <c r="A63" s="68">
        <v>24220100</v>
      </c>
      <c r="B63" s="13">
        <v>46268</v>
      </c>
      <c r="C63" s="14">
        <v>0.49437500000000001</v>
      </c>
      <c r="D63" s="15"/>
      <c r="E63" s="16">
        <v>5219981049803</v>
      </c>
      <c r="F63" s="15"/>
      <c r="G63" s="15"/>
      <c r="H63" s="17">
        <v>82826413443</v>
      </c>
      <c r="I63" s="15"/>
      <c r="J63" s="18"/>
      <c r="K63" s="69" t="s">
        <v>54</v>
      </c>
      <c r="L63" s="70">
        <v>11029.03</v>
      </c>
      <c r="M63" s="70"/>
      <c r="N63" s="70">
        <f t="shared" si="12"/>
        <v>3308.7090000000003</v>
      </c>
      <c r="O63" s="70">
        <f t="shared" si="13"/>
        <v>3308.7090000000003</v>
      </c>
      <c r="P63" s="69"/>
      <c r="Q63" s="69"/>
      <c r="R63" s="70"/>
      <c r="S63" s="70" t="s">
        <v>55</v>
      </c>
      <c r="T63" s="55"/>
      <c r="U63" s="69"/>
    </row>
    <row r="64" spans="1:21">
      <c r="A64" s="72">
        <v>24220278</v>
      </c>
      <c r="B64" s="31">
        <v>46268</v>
      </c>
      <c r="C64" s="32">
        <v>0.49753472222222223</v>
      </c>
      <c r="D64" s="33" t="s">
        <v>1439</v>
      </c>
      <c r="E64" s="34">
        <v>5214781053874</v>
      </c>
      <c r="F64" s="33"/>
      <c r="G64" s="33" t="s">
        <v>1440</v>
      </c>
      <c r="H64" s="35">
        <v>92946101083</v>
      </c>
      <c r="I64" s="33"/>
      <c r="J64" s="36"/>
      <c r="K64" s="69" t="s">
        <v>34</v>
      </c>
      <c r="L64" s="113">
        <v>8059.64</v>
      </c>
      <c r="M64" s="113">
        <v>1977.45</v>
      </c>
      <c r="N64" s="70">
        <f>L64*0.3</f>
        <v>2417.8919999999998</v>
      </c>
      <c r="O64" s="70">
        <f>(IF(L64&lt;4172.98,0,MIN(L64*0.3,L64-4172.98)))-M64</f>
        <v>440.44199999999978</v>
      </c>
      <c r="P64" s="71">
        <v>45627</v>
      </c>
      <c r="Q64" s="69" t="s">
        <v>141</v>
      </c>
      <c r="R64" s="70">
        <v>1977.45</v>
      </c>
      <c r="S64" s="70" t="s">
        <v>271</v>
      </c>
      <c r="T64" s="55"/>
      <c r="U64" s="69"/>
    </row>
    <row r="65" spans="1:21">
      <c r="A65" s="72">
        <v>24220508</v>
      </c>
      <c r="B65" s="31">
        <v>46268</v>
      </c>
      <c r="C65" s="32">
        <v>0.50517361111111114</v>
      </c>
      <c r="D65" s="33"/>
      <c r="E65" s="34">
        <v>5215520721882</v>
      </c>
      <c r="F65" s="33"/>
      <c r="G65" s="33"/>
      <c r="H65" s="35">
        <v>88806209545</v>
      </c>
      <c r="I65" s="33"/>
      <c r="J65" s="36"/>
      <c r="K65" s="69" t="s">
        <v>54</v>
      </c>
      <c r="L65" s="70">
        <v>14151.18</v>
      </c>
      <c r="M65" s="70"/>
      <c r="N65" s="70">
        <f>L65*0.3</f>
        <v>4245.3540000000003</v>
      </c>
      <c r="O65" s="70">
        <f>(IF(L65&lt;4172.98,0,MIN(L65*0.3,L65-4172.98)))-M65</f>
        <v>4245.3540000000003</v>
      </c>
      <c r="P65" s="69"/>
      <c r="Q65" s="69"/>
      <c r="R65" s="70"/>
      <c r="S65" s="70" t="s">
        <v>28</v>
      </c>
      <c r="T65" s="55"/>
      <c r="U65" s="69"/>
    </row>
    <row r="66" spans="1:21">
      <c r="A66" s="72">
        <v>24221258</v>
      </c>
      <c r="B66" s="31">
        <v>46268</v>
      </c>
      <c r="C66" s="32">
        <v>0.52482638888888888</v>
      </c>
      <c r="D66" s="33"/>
      <c r="E66" s="34">
        <v>5215646794204</v>
      </c>
      <c r="F66" s="33"/>
      <c r="G66" s="33"/>
      <c r="H66" s="35" t="s">
        <v>1442</v>
      </c>
      <c r="I66" s="33"/>
      <c r="J66" s="36"/>
      <c r="K66" s="69" t="s">
        <v>27</v>
      </c>
      <c r="L66" s="113">
        <v>9081.52</v>
      </c>
      <c r="M66" s="113">
        <v>2520.37</v>
      </c>
      <c r="N66" s="70">
        <f>L66*0.3</f>
        <v>2724.4560000000001</v>
      </c>
      <c r="O66" s="70">
        <f>(IF(L66&lt;4172.98,0,MIN(L66*0.3,L66-4172.98)))-M66</f>
        <v>204.08600000000024</v>
      </c>
      <c r="P66" s="71">
        <v>46204</v>
      </c>
      <c r="Q66" s="69" t="s">
        <v>47</v>
      </c>
      <c r="R66" s="70">
        <v>2520.37</v>
      </c>
      <c r="S66" s="70" t="s">
        <v>879</v>
      </c>
      <c r="T66" s="55"/>
      <c r="U66" s="69"/>
    </row>
    <row r="67" spans="1:21">
      <c r="A67" s="68">
        <v>24221396</v>
      </c>
      <c r="B67" s="13">
        <v>46268</v>
      </c>
      <c r="C67" s="14">
        <v>0.53156250000000005</v>
      </c>
      <c r="D67" s="15"/>
      <c r="E67" s="16">
        <v>5212412397202</v>
      </c>
      <c r="F67" s="15"/>
      <c r="G67" s="15"/>
      <c r="H67" s="17" t="s">
        <v>1443</v>
      </c>
      <c r="I67" s="15"/>
      <c r="J67" s="18"/>
      <c r="K67" s="69" t="s">
        <v>38</v>
      </c>
      <c r="L67" s="113">
        <v>8539.89</v>
      </c>
      <c r="M67" s="113">
        <v>1723.89</v>
      </c>
      <c r="N67" s="70">
        <f t="shared" ref="N67:N68" si="14">L67*0.3</f>
        <v>2561.9669999999996</v>
      </c>
      <c r="O67" s="70">
        <f t="shared" ref="O67:O68" si="15">(IF(L67&lt;4172.98,0,MIN(L67*0.3,L67-4172.98)))-M67</f>
        <v>838.07699999999954</v>
      </c>
      <c r="P67" s="71">
        <v>46935</v>
      </c>
      <c r="Q67" s="69" t="s">
        <v>141</v>
      </c>
      <c r="R67" s="113">
        <v>1723.89</v>
      </c>
      <c r="S67" s="70" t="s">
        <v>266</v>
      </c>
      <c r="T67" s="55"/>
      <c r="U67" s="69"/>
    </row>
    <row r="68" spans="1:21">
      <c r="A68" s="72">
        <v>24221740</v>
      </c>
      <c r="B68" s="31">
        <v>46268</v>
      </c>
      <c r="C68" s="32">
        <v>0.53202546296296294</v>
      </c>
      <c r="D68" s="33"/>
      <c r="E68" s="34">
        <v>5216391618866</v>
      </c>
      <c r="F68" s="33"/>
      <c r="G68" s="33"/>
      <c r="H68" s="35" t="s">
        <v>1444</v>
      </c>
      <c r="I68" s="33"/>
      <c r="J68" s="36"/>
      <c r="K68" s="69" t="s">
        <v>54</v>
      </c>
      <c r="L68" s="70">
        <v>7920.51</v>
      </c>
      <c r="M68" s="70"/>
      <c r="N68" s="70">
        <f t="shared" si="14"/>
        <v>2376.1529999999998</v>
      </c>
      <c r="O68" s="70">
        <f t="shared" si="15"/>
        <v>2376.1529999999998</v>
      </c>
      <c r="P68" s="69"/>
      <c r="Q68" s="69"/>
      <c r="R68" s="70"/>
      <c r="S68" s="70" t="s">
        <v>62</v>
      </c>
      <c r="T68" s="55"/>
      <c r="U68" s="69"/>
    </row>
    <row r="69" spans="1:21">
      <c r="A69" s="72">
        <v>24221968</v>
      </c>
      <c r="B69" s="31">
        <v>46268</v>
      </c>
      <c r="C69" s="32">
        <v>0.53651620370370368</v>
      </c>
      <c r="D69" s="33"/>
      <c r="E69" s="34"/>
      <c r="F69" s="33"/>
      <c r="G69" s="33"/>
      <c r="H69" s="35">
        <v>31887033962</v>
      </c>
      <c r="I69" s="33"/>
      <c r="J69" s="36"/>
      <c r="K69" s="69" t="s">
        <v>27</v>
      </c>
      <c r="L69" s="113">
        <v>6411.47</v>
      </c>
      <c r="M69" s="113">
        <v>1776.98</v>
      </c>
      <c r="N69" s="70">
        <f>L69*0.3</f>
        <v>1923.441</v>
      </c>
      <c r="O69" s="70">
        <f>(IF(L69&lt;4172.98,0,MIN(L69*0.3,L69-4172.98)))-M69</f>
        <v>146.46100000000001</v>
      </c>
      <c r="P69" s="71">
        <v>46266</v>
      </c>
      <c r="Q69" s="69" t="s">
        <v>1312</v>
      </c>
      <c r="R69" s="113">
        <v>1776.98</v>
      </c>
      <c r="S69" s="70" t="s">
        <v>358</v>
      </c>
      <c r="T69" s="55"/>
      <c r="U69" s="69"/>
    </row>
    <row r="70" spans="1:21">
      <c r="A70" s="72">
        <v>24222262</v>
      </c>
      <c r="B70" s="31">
        <v>46268</v>
      </c>
      <c r="C70" s="32">
        <v>0.54833333333333334</v>
      </c>
      <c r="D70" s="33"/>
      <c r="E70" s="34">
        <v>5218112132273</v>
      </c>
      <c r="F70" s="33"/>
      <c r="G70" s="33"/>
      <c r="H70" s="35">
        <v>43866808165</v>
      </c>
      <c r="I70" s="33"/>
      <c r="J70" s="36"/>
      <c r="K70" s="69" t="s">
        <v>54</v>
      </c>
      <c r="L70" s="70">
        <v>7913.78</v>
      </c>
      <c r="M70" s="70"/>
      <c r="N70" s="70">
        <f>L70*0.3</f>
        <v>2374.134</v>
      </c>
      <c r="O70" s="70">
        <f>(IF(L70&lt;4172.98,0,MIN(L70*0.3,L70-4172.98)))-M70</f>
        <v>2374.134</v>
      </c>
      <c r="P70" s="69"/>
      <c r="Q70" s="69"/>
      <c r="R70" s="70"/>
      <c r="S70" s="70" t="s">
        <v>886</v>
      </c>
      <c r="T70" s="55"/>
      <c r="U70" s="69"/>
    </row>
    <row r="71" spans="1:21">
      <c r="A71" s="72">
        <v>24222542</v>
      </c>
      <c r="B71" s="31">
        <v>46268</v>
      </c>
      <c r="C71" s="32">
        <v>0.55905092592592598</v>
      </c>
      <c r="D71" s="33"/>
      <c r="E71" s="34">
        <v>17846309288</v>
      </c>
      <c r="F71" s="33"/>
      <c r="G71" s="33"/>
      <c r="H71" s="35">
        <v>17846309288</v>
      </c>
      <c r="I71" s="33"/>
      <c r="J71" s="36"/>
      <c r="K71" s="69" t="s">
        <v>54</v>
      </c>
      <c r="L71" s="70">
        <v>10636.54</v>
      </c>
      <c r="M71" s="70"/>
      <c r="N71" s="70">
        <f>L71*0.3</f>
        <v>3190.962</v>
      </c>
      <c r="O71" s="70">
        <f>(IF(L71&lt;4172.98,0,MIN(L71*0.3,L71-4172.98)))-M71</f>
        <v>3190.962</v>
      </c>
      <c r="P71" s="69"/>
      <c r="Q71" s="69"/>
      <c r="R71" s="70"/>
      <c r="S71" s="70" t="s">
        <v>55</v>
      </c>
      <c r="T71" s="55"/>
      <c r="U71" s="69"/>
    </row>
    <row r="72" spans="1:21">
      <c r="A72" s="68">
        <v>24223596</v>
      </c>
      <c r="B72" s="13">
        <v>46268</v>
      </c>
      <c r="C72" s="14">
        <v>0.58078703703703705</v>
      </c>
      <c r="D72" s="15"/>
      <c r="E72" s="16">
        <v>5219933601985</v>
      </c>
      <c r="F72" s="15"/>
      <c r="G72" s="15"/>
      <c r="H72" s="17">
        <v>83816436386</v>
      </c>
      <c r="I72" s="15"/>
      <c r="J72" s="18"/>
      <c r="K72" s="69" t="s">
        <v>54</v>
      </c>
      <c r="L72" s="70">
        <v>12084.32</v>
      </c>
      <c r="M72" s="70"/>
      <c r="N72" s="70">
        <f t="shared" ref="N72" si="16">L72*0.3</f>
        <v>3625.2959999999998</v>
      </c>
      <c r="O72" s="70">
        <f t="shared" ref="O72" si="17">(IF(L72&lt;4172.98,0,MIN(L72*0.3,L72-4172.98)))-M72</f>
        <v>3625.2959999999998</v>
      </c>
      <c r="P72" s="69"/>
      <c r="Q72" s="69"/>
      <c r="R72" s="70"/>
      <c r="S72" s="70" t="s">
        <v>28</v>
      </c>
      <c r="T72" s="55"/>
      <c r="U72" s="69"/>
    </row>
    <row r="73" spans="1:21">
      <c r="A73" s="72">
        <v>24223410</v>
      </c>
      <c r="B73" s="31">
        <v>46268</v>
      </c>
      <c r="C73" s="32">
        <v>0.58587962962962958</v>
      </c>
      <c r="D73" s="33"/>
      <c r="E73" s="34">
        <v>5216442099980</v>
      </c>
      <c r="F73" s="33"/>
      <c r="G73" s="33"/>
      <c r="H73" s="35" t="s">
        <v>1447</v>
      </c>
      <c r="I73" s="33"/>
      <c r="J73" s="36"/>
      <c r="K73" s="69" t="s">
        <v>38</v>
      </c>
      <c r="L73" s="170">
        <v>5017.5</v>
      </c>
      <c r="M73" s="170">
        <v>439.62</v>
      </c>
      <c r="N73" s="70">
        <f>L73*0.3</f>
        <v>1505.25</v>
      </c>
      <c r="O73" s="70">
        <f>(IF(L73&lt;4172.98,0,MIN(L73*0.3,L73-4172.98)))-M73</f>
        <v>404.90000000000043</v>
      </c>
      <c r="P73" s="71">
        <v>46966</v>
      </c>
      <c r="Q73" s="69" t="s">
        <v>184</v>
      </c>
      <c r="R73" s="170">
        <v>439.62</v>
      </c>
      <c r="S73" s="70" t="s">
        <v>266</v>
      </c>
      <c r="T73" s="55"/>
      <c r="U73" s="69"/>
    </row>
    <row r="74" spans="1:21">
      <c r="A74" s="72">
        <v>24224150</v>
      </c>
      <c r="B74" s="31">
        <v>46268</v>
      </c>
      <c r="C74" s="32">
        <v>0.59703703703703703</v>
      </c>
      <c r="D74" s="33"/>
      <c r="E74" s="34">
        <v>5214151446284</v>
      </c>
      <c r="F74" s="33"/>
      <c r="G74" s="33"/>
      <c r="H74" s="35">
        <v>10856332381</v>
      </c>
      <c r="I74" s="33"/>
      <c r="J74" s="36"/>
      <c r="K74" s="69" t="s">
        <v>38</v>
      </c>
      <c r="L74" s="170">
        <v>28845.23</v>
      </c>
      <c r="M74" s="170">
        <v>8341.84</v>
      </c>
      <c r="N74" s="70">
        <f>L74*0.3</f>
        <v>8653.5689999999995</v>
      </c>
      <c r="O74" s="70">
        <f>(IF(L74&lt;4172.98,0,MIN(L74*0.3,L74-4172.98)))-M74</f>
        <v>311.72899999999936</v>
      </c>
      <c r="P74" s="71">
        <v>46692</v>
      </c>
      <c r="Q74" s="69" t="s">
        <v>739</v>
      </c>
      <c r="R74" s="70">
        <v>8341.84</v>
      </c>
      <c r="S74" s="70" t="s">
        <v>266</v>
      </c>
      <c r="T74" s="55"/>
      <c r="U74" s="69"/>
    </row>
    <row r="75" spans="1:21">
      <c r="A75" s="72">
        <v>24224344</v>
      </c>
      <c r="B75" s="31">
        <v>46268</v>
      </c>
      <c r="C75" s="32">
        <v>0.6068634259259259</v>
      </c>
      <c r="D75" s="33"/>
      <c r="E75" s="34">
        <v>5215548531711</v>
      </c>
      <c r="F75" s="33"/>
      <c r="G75" s="33"/>
      <c r="H75" s="35" t="s">
        <v>1453</v>
      </c>
      <c r="I75" s="33"/>
      <c r="J75" s="36"/>
      <c r="K75" s="69" t="s">
        <v>34</v>
      </c>
      <c r="L75" s="170">
        <v>12564.26</v>
      </c>
      <c r="M75" s="170">
        <v>3323.97</v>
      </c>
      <c r="N75" s="70">
        <f>L75*0.3</f>
        <v>3769.2779999999998</v>
      </c>
      <c r="O75" s="70">
        <f>(IF(L75&lt;4172.98,0,MIN(L75*0.3,L75-4172.98)))-M75</f>
        <v>445.30799999999999</v>
      </c>
      <c r="P75" s="71">
        <v>45839</v>
      </c>
      <c r="Q75" s="69" t="s">
        <v>141</v>
      </c>
      <c r="R75" s="170">
        <v>3323.97</v>
      </c>
      <c r="S75" s="70" t="s">
        <v>271</v>
      </c>
      <c r="T75" s="55"/>
      <c r="U75" s="69"/>
    </row>
    <row r="76" spans="1:21">
      <c r="A76" s="68">
        <v>24226154</v>
      </c>
      <c r="B76" s="13">
        <v>46268</v>
      </c>
      <c r="C76" s="14">
        <v>0.62258101851851855</v>
      </c>
      <c r="D76" s="15"/>
      <c r="E76" s="16">
        <v>5215621714633</v>
      </c>
      <c r="F76" s="15"/>
      <c r="G76" s="15"/>
      <c r="H76" s="17">
        <v>17826020459</v>
      </c>
      <c r="I76" s="15"/>
      <c r="J76" s="18"/>
      <c r="K76" s="69" t="s">
        <v>54</v>
      </c>
      <c r="L76" s="70">
        <v>10636.54</v>
      </c>
      <c r="M76" s="70"/>
      <c r="N76" s="70">
        <f>L76*0.3</f>
        <v>3190.962</v>
      </c>
      <c r="O76" s="70">
        <f>(IF(L76&lt;4172.98,0,MIN(L76*0.3,L76-4172.98)))-M76</f>
        <v>3190.962</v>
      </c>
      <c r="P76" s="69"/>
      <c r="Q76" s="69"/>
      <c r="R76" s="70"/>
      <c r="S76" s="70" t="s">
        <v>28</v>
      </c>
      <c r="T76" s="55"/>
      <c r="U76" s="69"/>
    </row>
    <row r="77" spans="1:21">
      <c r="A77" s="72">
        <v>24226360</v>
      </c>
      <c r="B77" s="31">
        <v>46268</v>
      </c>
      <c r="C77" s="32">
        <v>0.62967592592592592</v>
      </c>
      <c r="D77" s="33"/>
      <c r="E77" s="34">
        <v>5218994268879</v>
      </c>
      <c r="F77" s="33"/>
      <c r="G77" s="33" t="s">
        <v>1456</v>
      </c>
      <c r="H77" s="35"/>
      <c r="I77" s="33"/>
      <c r="J77" s="36"/>
      <c r="K77" s="69" t="s">
        <v>54</v>
      </c>
      <c r="L77" s="70">
        <v>6947.65</v>
      </c>
      <c r="M77" s="70"/>
      <c r="N77" s="70">
        <f>L77*0.3</f>
        <v>2084.2949999999996</v>
      </c>
      <c r="O77" s="70">
        <f>(IF(L77&lt;4172.98,0,MIN(L77*0.3,L77-4172.98)))-M77</f>
        <v>2084.2949999999996</v>
      </c>
      <c r="P77" s="69"/>
      <c r="Q77" s="69"/>
      <c r="R77" s="70"/>
      <c r="S77" s="70" t="s">
        <v>62</v>
      </c>
      <c r="T77" s="55"/>
      <c r="U77" s="69"/>
    </row>
    <row r="78" spans="1:21">
      <c r="A78" s="72">
        <v>24226318</v>
      </c>
      <c r="B78" s="31">
        <v>46268</v>
      </c>
      <c r="C78" s="32">
        <v>0.63018518518518518</v>
      </c>
      <c r="D78" s="33"/>
      <c r="E78" s="34">
        <v>5216311771472</v>
      </c>
      <c r="F78" s="33"/>
      <c r="G78" s="33" t="s">
        <v>1457</v>
      </c>
      <c r="H78" s="35"/>
      <c r="I78" s="33"/>
      <c r="J78" s="36"/>
      <c r="K78" s="69" t="s">
        <v>107</v>
      </c>
      <c r="L78" s="113">
        <v>7116.7</v>
      </c>
      <c r="M78" s="113">
        <v>1320.58</v>
      </c>
      <c r="N78" s="70">
        <f>L78*0.3</f>
        <v>2135.0099999999998</v>
      </c>
      <c r="O78" s="70">
        <f>(IF(L78&lt;4172.98,0,MIN(L78*0.3,L78-4172.98)))-M78</f>
        <v>814.42999999999984</v>
      </c>
      <c r="P78" s="71">
        <v>46143</v>
      </c>
      <c r="Q78" s="69" t="s">
        <v>80</v>
      </c>
      <c r="R78" s="113">
        <v>880.27</v>
      </c>
      <c r="S78" s="70" t="s">
        <v>2810</v>
      </c>
      <c r="T78" s="55"/>
      <c r="U78" s="69"/>
    </row>
    <row r="79" spans="1:21">
      <c r="A79" s="72">
        <v>24229380</v>
      </c>
      <c r="B79" s="31">
        <v>46268</v>
      </c>
      <c r="C79" s="32">
        <v>0.74256944444444439</v>
      </c>
      <c r="D79" s="33"/>
      <c r="E79" s="34">
        <v>5219991582469</v>
      </c>
      <c r="F79" s="33"/>
      <c r="G79" s="33" t="s">
        <v>1473</v>
      </c>
      <c r="H79" s="35"/>
      <c r="I79" s="33"/>
      <c r="J79" s="36"/>
      <c r="K79" s="69" t="s">
        <v>54</v>
      </c>
      <c r="L79" s="70">
        <v>8539.89</v>
      </c>
      <c r="M79" s="70"/>
      <c r="N79" s="70">
        <f>L79*0.3</f>
        <v>2561.9669999999996</v>
      </c>
      <c r="O79" s="70">
        <f>(IF(L79&lt;4172.98,0,MIN(L79*0.3,L79-4172.98)))-M79</f>
        <v>2561.9669999999996</v>
      </c>
      <c r="P79" s="69"/>
      <c r="Q79" s="69"/>
      <c r="R79" s="70"/>
      <c r="S79" s="70" t="s">
        <v>28</v>
      </c>
      <c r="T79" s="55"/>
      <c r="U79" s="69"/>
    </row>
    <row r="80" spans="1:21">
      <c r="A80" s="68">
        <v>24229996</v>
      </c>
      <c r="B80" s="13">
        <v>46268</v>
      </c>
      <c r="C80" s="14">
        <v>0.77031249999999996</v>
      </c>
      <c r="D80" s="15"/>
      <c r="E80" s="16">
        <v>5215648842502</v>
      </c>
      <c r="F80" s="15"/>
      <c r="G80" s="15" t="s">
        <v>1476</v>
      </c>
      <c r="H80" s="17">
        <v>6796104096</v>
      </c>
      <c r="I80" s="15"/>
      <c r="J80" s="18"/>
      <c r="K80" s="69" t="s">
        <v>54</v>
      </c>
      <c r="L80" s="70">
        <v>38631.31</v>
      </c>
      <c r="M80" s="70"/>
      <c r="N80" s="70">
        <f t="shared" ref="N80:N82" si="18">L80*0.3</f>
        <v>11589.392999999998</v>
      </c>
      <c r="O80" s="70">
        <f t="shared" ref="O80:O82" si="19">(IF(L80&lt;4172.98,0,MIN(L80*0.3,L80-4172.98)))-M80</f>
        <v>11589.392999999998</v>
      </c>
      <c r="P80" s="69"/>
      <c r="Q80" s="69"/>
      <c r="R80" s="70"/>
      <c r="S80" s="70" t="s">
        <v>879</v>
      </c>
      <c r="T80" s="55"/>
      <c r="U80" s="69"/>
    </row>
    <row r="81" spans="1:21">
      <c r="A81" s="68">
        <v>24241430</v>
      </c>
      <c r="B81" s="13">
        <v>46269</v>
      </c>
      <c r="C81" s="14">
        <v>0.37201388888888887</v>
      </c>
      <c r="D81" s="15"/>
      <c r="E81" s="16">
        <v>5214271171411</v>
      </c>
      <c r="F81" s="15"/>
      <c r="G81" s="187" t="s">
        <v>1485</v>
      </c>
      <c r="H81" s="17"/>
      <c r="I81" s="15"/>
      <c r="J81" s="18"/>
      <c r="K81" s="69" t="s">
        <v>54</v>
      </c>
      <c r="L81" s="70">
        <v>6262.86</v>
      </c>
      <c r="M81" s="70"/>
      <c r="N81" s="70">
        <f t="shared" si="18"/>
        <v>1878.8579999999997</v>
      </c>
      <c r="O81" s="70">
        <f t="shared" si="19"/>
        <v>1878.8579999999997</v>
      </c>
      <c r="P81" s="69"/>
      <c r="Q81" s="69"/>
      <c r="R81" s="70"/>
      <c r="S81" s="70" t="s">
        <v>327</v>
      </c>
      <c r="T81" s="55"/>
      <c r="U81" s="69"/>
    </row>
    <row r="82" spans="1:21">
      <c r="A82" s="68">
        <v>24242012</v>
      </c>
      <c r="B82" s="13">
        <v>46269</v>
      </c>
      <c r="C82" s="14">
        <v>0.37319444444444444</v>
      </c>
      <c r="D82" s="15"/>
      <c r="E82" s="16">
        <v>5218187073102</v>
      </c>
      <c r="F82" s="15"/>
      <c r="G82" s="15"/>
      <c r="H82" s="17">
        <v>43896224219</v>
      </c>
      <c r="I82" s="15"/>
      <c r="J82" s="18"/>
      <c r="K82" s="69" t="s">
        <v>107</v>
      </c>
      <c r="L82" s="170">
        <v>8270.24</v>
      </c>
      <c r="M82" s="170">
        <v>2392.7800000000002</v>
      </c>
      <c r="N82" s="70">
        <f t="shared" si="18"/>
        <v>2481.0719999999997</v>
      </c>
      <c r="O82" s="70">
        <f t="shared" si="19"/>
        <v>88.291999999999462</v>
      </c>
      <c r="P82" s="71">
        <v>45931</v>
      </c>
      <c r="Q82" s="69" t="s">
        <v>184</v>
      </c>
      <c r="R82" s="70">
        <v>576.47</v>
      </c>
      <c r="S82" s="70" t="s">
        <v>266</v>
      </c>
      <c r="T82" s="55"/>
      <c r="U82" s="69"/>
    </row>
    <row r="83" spans="1:21">
      <c r="A83" s="72">
        <v>24243554</v>
      </c>
      <c r="B83" s="31">
        <v>46269</v>
      </c>
      <c r="C83" s="32">
        <v>0.40658564814814813</v>
      </c>
      <c r="D83" s="33"/>
      <c r="E83" s="34">
        <v>5212711349180</v>
      </c>
      <c r="F83" s="33"/>
      <c r="G83" s="33"/>
      <c r="H83" s="35">
        <v>67846152279</v>
      </c>
      <c r="I83" s="33"/>
      <c r="J83" s="36"/>
      <c r="K83" s="69" t="s">
        <v>34</v>
      </c>
      <c r="L83" s="113">
        <v>6262.86</v>
      </c>
      <c r="M83" s="113">
        <v>1651.41</v>
      </c>
      <c r="N83" s="70">
        <f>L83*0.3</f>
        <v>1878.8579999999997</v>
      </c>
      <c r="O83" s="70">
        <f>(IF(L83&lt;4172.98,0,MIN(L83*0.3,L83-4172.98)))-M83</f>
        <v>227.44799999999964</v>
      </c>
      <c r="P83" s="71">
        <v>45778</v>
      </c>
      <c r="Q83" s="69" t="s">
        <v>141</v>
      </c>
      <c r="R83" s="113">
        <v>1651.41</v>
      </c>
      <c r="S83" s="70" t="s">
        <v>271</v>
      </c>
      <c r="T83" s="55"/>
      <c r="U83" s="69"/>
    </row>
    <row r="84" spans="1:21">
      <c r="A84" s="72">
        <v>24243982</v>
      </c>
      <c r="B84" s="31">
        <v>46269</v>
      </c>
      <c r="C84" s="32">
        <v>0.42959490740740741</v>
      </c>
      <c r="D84" s="33"/>
      <c r="E84" s="34">
        <v>5217444075710</v>
      </c>
      <c r="F84" s="33"/>
      <c r="G84" s="33"/>
      <c r="H84" s="35">
        <v>72816325863</v>
      </c>
      <c r="I84" s="33"/>
      <c r="J84" s="36"/>
      <c r="K84" s="69" t="s">
        <v>54</v>
      </c>
      <c r="L84" s="70">
        <v>6270</v>
      </c>
      <c r="M84" s="70"/>
      <c r="N84" s="70">
        <f>L84*0.3</f>
        <v>1881</v>
      </c>
      <c r="O84" s="70">
        <f>(IF(L84&lt;4172.98,0,MIN(L84*0.3,L84-4172.98)))-M84</f>
        <v>1881</v>
      </c>
      <c r="P84" s="69"/>
      <c r="Q84" s="69"/>
      <c r="R84" s="70"/>
      <c r="S84" s="70" t="s">
        <v>62</v>
      </c>
      <c r="T84" s="55"/>
      <c r="U84" s="69"/>
    </row>
    <row r="85" spans="1:21">
      <c r="A85" s="72">
        <v>24245026</v>
      </c>
      <c r="B85" s="31">
        <v>46269</v>
      </c>
      <c r="C85" s="32">
        <v>0.44756944444444446</v>
      </c>
      <c r="D85" s="33"/>
      <c r="E85" s="34">
        <v>5217775914098</v>
      </c>
      <c r="F85" s="33"/>
      <c r="G85" s="33"/>
      <c r="H85" s="35" t="s">
        <v>1489</v>
      </c>
      <c r="I85" s="33"/>
      <c r="J85" s="36"/>
      <c r="K85" s="69" t="s">
        <v>54</v>
      </c>
      <c r="L85" s="113">
        <v>9081.52</v>
      </c>
      <c r="M85" s="113"/>
      <c r="N85" s="70">
        <f>L85*0.3</f>
        <v>2724.4560000000001</v>
      </c>
      <c r="O85" s="70">
        <f>(IF(L85&lt;4172.98,0,MIN(L85*0.3,L85-4172.98)))-M85</f>
        <v>2724.4560000000001</v>
      </c>
      <c r="P85" s="69"/>
      <c r="Q85" s="69"/>
      <c r="R85" s="70"/>
      <c r="S85" s="70" t="s">
        <v>1080</v>
      </c>
      <c r="T85" s="55"/>
      <c r="U85" s="69"/>
    </row>
    <row r="86" spans="1:21">
      <c r="A86" s="72">
        <v>24245628</v>
      </c>
      <c r="B86" s="31">
        <v>46269</v>
      </c>
      <c r="C86" s="32">
        <v>0.46361111111111108</v>
      </c>
      <c r="D86" s="33"/>
      <c r="E86" s="34">
        <v>5218117032781</v>
      </c>
      <c r="F86" s="33"/>
      <c r="G86" s="33"/>
      <c r="H86" s="35">
        <v>43927326207</v>
      </c>
      <c r="I86" s="33"/>
      <c r="J86" s="36"/>
      <c r="K86" s="69" t="s">
        <v>54</v>
      </c>
      <c r="L86" s="70">
        <v>15275.98</v>
      </c>
      <c r="M86" s="70"/>
      <c r="N86" s="70">
        <f>L86*0.3</f>
        <v>4582.7939999999999</v>
      </c>
      <c r="O86" s="70">
        <f>(IF(L86&lt;4172.98,0,MIN(L86*0.3,L86-4172.98)))-M86</f>
        <v>4582.7939999999999</v>
      </c>
      <c r="P86" s="69"/>
      <c r="Q86" s="69"/>
      <c r="R86" s="70"/>
      <c r="S86" s="70" t="s">
        <v>886</v>
      </c>
      <c r="T86" s="55"/>
      <c r="U86" s="69"/>
    </row>
    <row r="87" spans="1:21">
      <c r="A87" s="72">
        <v>24246328</v>
      </c>
      <c r="B87" s="31">
        <v>46269</v>
      </c>
      <c r="C87" s="32">
        <v>0.48856481481481484</v>
      </c>
      <c r="D87" s="33"/>
      <c r="E87" s="34">
        <v>5217447010425</v>
      </c>
      <c r="F87" s="33"/>
      <c r="G87" s="33"/>
      <c r="H87" s="35">
        <v>72856646848</v>
      </c>
      <c r="I87" s="33"/>
      <c r="J87" s="36"/>
      <c r="K87" s="69" t="s">
        <v>54</v>
      </c>
      <c r="L87" s="70">
        <v>10636.54</v>
      </c>
      <c r="M87" s="70"/>
      <c r="N87" s="70">
        <f>L87*0.3</f>
        <v>3190.962</v>
      </c>
      <c r="O87" s="70">
        <f>(IF(L87&lt;4172.98,0,MIN(L87*0.3,L87-4172.98)))-M87</f>
        <v>3190.962</v>
      </c>
      <c r="P87" s="69"/>
      <c r="Q87" s="69"/>
      <c r="R87" s="70"/>
      <c r="S87" s="70" t="s">
        <v>886</v>
      </c>
      <c r="T87" s="55"/>
      <c r="U87" s="69"/>
    </row>
    <row r="88" spans="1:21">
      <c r="A88" s="72">
        <v>24246764</v>
      </c>
      <c r="B88" s="31">
        <v>46269</v>
      </c>
      <c r="C88" s="32">
        <v>0.49916666666666665</v>
      </c>
      <c r="D88" s="33"/>
      <c r="E88" s="34">
        <v>5216647087165</v>
      </c>
      <c r="F88" s="33"/>
      <c r="G88" s="33"/>
      <c r="H88" s="35">
        <v>67806417472</v>
      </c>
      <c r="I88" s="33"/>
      <c r="J88" s="36"/>
      <c r="K88" s="69" t="s">
        <v>38</v>
      </c>
      <c r="L88" s="113">
        <v>5877.47</v>
      </c>
      <c r="M88" s="113">
        <v>550.1</v>
      </c>
      <c r="N88" s="70">
        <f>L88*0.3</f>
        <v>1763.241</v>
      </c>
      <c r="O88" s="70">
        <f>(IF(L88&lt;4172.98,0,MIN(L88*0.3,L88-4172.98)))-M88</f>
        <v>1154.3900000000008</v>
      </c>
      <c r="P88" s="71">
        <v>46935</v>
      </c>
      <c r="Q88" s="69" t="s">
        <v>43</v>
      </c>
      <c r="R88" s="70">
        <v>366.19</v>
      </c>
      <c r="S88" s="70" t="s">
        <v>2810</v>
      </c>
      <c r="T88" s="55"/>
      <c r="U88" s="69"/>
    </row>
    <row r="89" spans="1:21">
      <c r="A89" s="72">
        <v>24249094</v>
      </c>
      <c r="B89" s="31">
        <v>46269</v>
      </c>
      <c r="C89" s="32">
        <v>0.56584490740740745</v>
      </c>
      <c r="D89" s="33"/>
      <c r="E89" s="34">
        <v>5216682330647</v>
      </c>
      <c r="F89" s="33"/>
      <c r="G89" s="33"/>
      <c r="H89" s="35">
        <v>23916728035</v>
      </c>
      <c r="I89" s="33"/>
      <c r="J89" s="36"/>
      <c r="K89" s="69" t="s">
        <v>54</v>
      </c>
      <c r="L89" s="70">
        <v>6411.47</v>
      </c>
      <c r="M89" s="70"/>
      <c r="N89" s="70">
        <f>L89*0.3</f>
        <v>1923.441</v>
      </c>
      <c r="O89" s="70">
        <f>(IF(L89&lt;4172.98,0,MIN(L89*0.3,L89-4172.98)))-M89</f>
        <v>1923.441</v>
      </c>
      <c r="P89" s="69"/>
      <c r="Q89" s="69"/>
      <c r="R89" s="70"/>
      <c r="S89" s="70" t="s">
        <v>62</v>
      </c>
      <c r="T89" s="55"/>
      <c r="U89" s="69"/>
    </row>
    <row r="90" spans="1:21">
      <c r="A90" s="72">
        <v>24249652</v>
      </c>
      <c r="B90" s="31">
        <v>46269</v>
      </c>
      <c r="C90" s="32">
        <v>0.57984953703703701</v>
      </c>
      <c r="D90" s="33"/>
      <c r="E90" s="34">
        <v>5219223224886</v>
      </c>
      <c r="F90" s="33"/>
      <c r="G90" s="33"/>
      <c r="H90" s="35" t="s">
        <v>1502</v>
      </c>
      <c r="I90" s="33"/>
      <c r="J90" s="36"/>
      <c r="K90" s="69" t="s">
        <v>38</v>
      </c>
      <c r="L90" s="113">
        <v>5661.69</v>
      </c>
      <c r="M90" s="113">
        <v>848</v>
      </c>
      <c r="N90" s="70">
        <f>L90*0.3</f>
        <v>1698.5069999999998</v>
      </c>
      <c r="O90" s="70">
        <f>(IF(L90&lt;4172.98,0,MIN(L90*0.3,L90-4172.98)))-M90</f>
        <v>640.71</v>
      </c>
      <c r="P90" s="69"/>
      <c r="Q90" s="69"/>
      <c r="R90" s="70"/>
      <c r="S90" s="70" t="s">
        <v>266</v>
      </c>
      <c r="T90" s="55"/>
      <c r="U90" s="69"/>
    </row>
    <row r="91" spans="1:21">
      <c r="A91" s="72">
        <v>24252242</v>
      </c>
      <c r="B91" s="31">
        <v>46269</v>
      </c>
      <c r="C91" s="32">
        <v>0.67467592592592596</v>
      </c>
      <c r="D91" s="33"/>
      <c r="E91" s="34">
        <v>5216143516471</v>
      </c>
      <c r="F91" s="33"/>
      <c r="G91" s="33"/>
      <c r="H91" s="35" t="s">
        <v>1506</v>
      </c>
      <c r="I91" s="33"/>
      <c r="J91" s="36"/>
      <c r="K91" s="69" t="s">
        <v>54</v>
      </c>
      <c r="L91" s="113">
        <v>7135.6</v>
      </c>
      <c r="M91" s="113">
        <v>732.38</v>
      </c>
      <c r="N91" s="70">
        <f>L91*0.3</f>
        <v>2140.6799999999998</v>
      </c>
      <c r="O91" s="70">
        <f>(IF(L91&lt;4172.98,0,MIN(L91*0.3,L91-4172.98)))-M91</f>
        <v>1408.2999999999997</v>
      </c>
      <c r="P91" s="71">
        <v>46935</v>
      </c>
      <c r="Q91" s="69" t="s">
        <v>43</v>
      </c>
      <c r="R91" s="113">
        <v>732.38</v>
      </c>
      <c r="S91" s="70" t="s">
        <v>327</v>
      </c>
      <c r="T91" s="55"/>
      <c r="U91" s="69"/>
    </row>
    <row r="92" spans="1:21">
      <c r="A92" s="72">
        <v>24252178</v>
      </c>
      <c r="B92" s="31">
        <v>46269</v>
      </c>
      <c r="C92" s="32">
        <v>0.67598379629629635</v>
      </c>
      <c r="D92" s="33"/>
      <c r="E92" s="34">
        <v>5214492135797</v>
      </c>
      <c r="F92" s="33"/>
      <c r="G92" s="33" t="s">
        <v>1507</v>
      </c>
      <c r="H92" s="35">
        <v>51806002369</v>
      </c>
      <c r="I92" s="33"/>
      <c r="J92" s="36"/>
      <c r="K92" s="69" t="s">
        <v>54</v>
      </c>
      <c r="L92" s="70">
        <v>5617.63</v>
      </c>
      <c r="M92" s="70"/>
      <c r="N92" s="70">
        <f>L92*0.3</f>
        <v>1685.289</v>
      </c>
      <c r="O92" s="70">
        <f>(IF(L92&lt;4172.98,0,MIN(L92*0.3,L92-4172.98)))-M92</f>
        <v>1444.6500000000005</v>
      </c>
      <c r="P92" s="69"/>
      <c r="Q92" s="69"/>
      <c r="R92" s="70"/>
      <c r="S92" s="70" t="s">
        <v>358</v>
      </c>
      <c r="T92" s="55"/>
      <c r="U92" s="69"/>
    </row>
    <row r="93" spans="1:21">
      <c r="A93" s="72">
        <v>24252674</v>
      </c>
      <c r="B93" s="31">
        <v>46269</v>
      </c>
      <c r="C93" s="32">
        <v>0.68668981481481484</v>
      </c>
      <c r="D93" s="33"/>
      <c r="E93" s="34">
        <v>5214611354941</v>
      </c>
      <c r="F93" s="33"/>
      <c r="G93" s="33" t="s">
        <v>1508</v>
      </c>
      <c r="H93" s="35"/>
      <c r="I93" s="33"/>
      <c r="J93" s="36"/>
      <c r="K93" s="69" t="s">
        <v>54</v>
      </c>
      <c r="L93" s="70">
        <v>25665.59</v>
      </c>
      <c r="M93" s="70"/>
      <c r="N93" s="70">
        <f>L93*0.3</f>
        <v>7699.6769999999997</v>
      </c>
      <c r="O93" s="70">
        <f>(IF(L93&lt;4172.98,0,MIN(L93*0.3,L93-4172.98)))-M93</f>
        <v>7699.6769999999997</v>
      </c>
      <c r="P93" s="69"/>
      <c r="Q93" s="69"/>
      <c r="R93" s="70"/>
      <c r="S93" s="70" t="s">
        <v>35</v>
      </c>
      <c r="T93" s="55"/>
      <c r="U93" s="69"/>
    </row>
    <row r="94" spans="1:21">
      <c r="A94" s="72">
        <v>24254140</v>
      </c>
      <c r="B94" s="31">
        <v>46269</v>
      </c>
      <c r="C94" s="32">
        <v>0.734837962962963</v>
      </c>
      <c r="D94" s="33"/>
      <c r="E94" s="34">
        <v>5219992454203</v>
      </c>
      <c r="F94" s="33"/>
      <c r="G94" s="33"/>
      <c r="H94" s="35" t="s">
        <v>1512</v>
      </c>
      <c r="I94" s="33"/>
      <c r="J94" s="36"/>
      <c r="K94" s="69" t="s">
        <v>54</v>
      </c>
      <c r="L94" s="70">
        <v>10636.54</v>
      </c>
      <c r="M94" s="70"/>
      <c r="N94" s="70">
        <f>L94*0.3</f>
        <v>3190.962</v>
      </c>
      <c r="O94" s="70">
        <f>(IF(L94&lt;4172.98,0,MIN(L94*0.3,L94-4172.98)))-M94</f>
        <v>3190.962</v>
      </c>
      <c r="P94" s="69"/>
      <c r="Q94" s="69"/>
      <c r="R94" s="70"/>
      <c r="S94" s="70" t="s">
        <v>35</v>
      </c>
      <c r="T94" s="55"/>
      <c r="U94" s="69"/>
    </row>
    <row r="95" spans="1:21">
      <c r="A95" s="68">
        <v>24254602</v>
      </c>
      <c r="B95" s="13">
        <v>46269</v>
      </c>
      <c r="C95" s="14">
        <v>0.75618055555555552</v>
      </c>
      <c r="D95" s="15"/>
      <c r="E95" s="16">
        <v>5213123046161</v>
      </c>
      <c r="F95" s="15"/>
      <c r="G95" s="15"/>
      <c r="H95" s="17">
        <v>54845843512</v>
      </c>
      <c r="I95" s="15"/>
      <c r="J95" s="18"/>
      <c r="K95" s="69" t="s">
        <v>34</v>
      </c>
      <c r="L95" s="170">
        <v>32952.33</v>
      </c>
      <c r="M95" s="170">
        <v>9884.7000000000007</v>
      </c>
      <c r="N95" s="70">
        <f>L95*0.3</f>
        <v>9885.6990000000005</v>
      </c>
      <c r="O95" s="70">
        <f>(IF(L95&lt;4172.98,0,MIN(L95*0.3,L95-4172.98)))-M95</f>
        <v>0.99899999999979627</v>
      </c>
      <c r="P95" s="71">
        <v>46266</v>
      </c>
      <c r="Q95" s="69" t="s">
        <v>43</v>
      </c>
      <c r="R95" s="70">
        <v>9148.7000000000007</v>
      </c>
      <c r="S95" s="70" t="s">
        <v>35</v>
      </c>
      <c r="T95" s="55"/>
      <c r="U95" s="69"/>
    </row>
    <row r="96" spans="1:21">
      <c r="A96" s="68">
        <v>24254618</v>
      </c>
      <c r="B96" s="13">
        <v>46269</v>
      </c>
      <c r="C96" s="14">
        <v>0.75813657407407409</v>
      </c>
      <c r="D96" s="15"/>
      <c r="E96" s="16"/>
      <c r="F96" s="15"/>
      <c r="G96" s="15"/>
      <c r="H96" s="17" t="s">
        <v>1513</v>
      </c>
      <c r="I96" s="15"/>
      <c r="J96" s="18"/>
      <c r="K96" s="69" t="s">
        <v>54</v>
      </c>
      <c r="L96" s="70">
        <v>6405.06</v>
      </c>
      <c r="M96" s="70"/>
      <c r="N96" s="70">
        <f>L96*0.3</f>
        <v>1921.518</v>
      </c>
      <c r="O96" s="70">
        <f>(IF(L96&lt;4172.98,0,MIN(L96*0.3,L96-4172.98)))-M96</f>
        <v>1921.518</v>
      </c>
      <c r="P96" s="69"/>
      <c r="Q96" s="69"/>
      <c r="R96" s="70"/>
      <c r="S96" s="70" t="s">
        <v>548</v>
      </c>
      <c r="T96" s="55"/>
      <c r="U96" s="74"/>
    </row>
    <row r="97" spans="1:20">
      <c r="A97" s="68">
        <v>24256640</v>
      </c>
      <c r="B97" s="13">
        <v>46269</v>
      </c>
      <c r="C97" s="14">
        <v>0.85608796296296297</v>
      </c>
      <c r="D97" s="15" t="s">
        <v>1518</v>
      </c>
      <c r="E97" s="16">
        <v>5214423424279</v>
      </c>
      <c r="F97" s="15"/>
      <c r="G97" s="15" t="s">
        <v>1519</v>
      </c>
      <c r="H97" s="17" t="s">
        <v>1520</v>
      </c>
      <c r="I97" s="15"/>
      <c r="J97" s="18"/>
      <c r="K97" s="69" t="s">
        <v>54</v>
      </c>
      <c r="L97" s="70">
        <v>6239.68</v>
      </c>
      <c r="M97" s="70"/>
      <c r="N97" s="70">
        <f>L97*0.3</f>
        <v>1871.904</v>
      </c>
      <c r="O97" s="70">
        <f>(IF(L97&lt;4172.98,0,MIN(L97*0.3,L97-4172.98)))-M97</f>
        <v>1871.904</v>
      </c>
      <c r="P97" s="69"/>
      <c r="Q97" s="69"/>
      <c r="R97" s="70"/>
      <c r="S97" s="70" t="s">
        <v>358</v>
      </c>
      <c r="T97" s="55"/>
    </row>
    <row r="98" spans="1:20">
      <c r="A98" s="68">
        <v>24257216</v>
      </c>
      <c r="B98" s="13">
        <v>46269</v>
      </c>
      <c r="C98" s="14">
        <v>0.87747685185185187</v>
      </c>
      <c r="D98" s="15"/>
      <c r="E98" s="16">
        <v>5216143395520</v>
      </c>
      <c r="F98" s="15"/>
      <c r="G98" s="15"/>
      <c r="H98" s="17">
        <v>33816488010</v>
      </c>
      <c r="I98" s="15"/>
      <c r="J98" s="18"/>
      <c r="K98" s="69" t="s">
        <v>54</v>
      </c>
      <c r="L98" s="70">
        <v>5465.89</v>
      </c>
      <c r="M98" s="70"/>
      <c r="N98" s="70">
        <f>L98*0.3</f>
        <v>1639.7670000000001</v>
      </c>
      <c r="O98" s="70">
        <f>(IF(L98&lt;4172.98,0,MIN(L98*0.3,L98-4172.98)))-M98</f>
        <v>1292.9100000000008</v>
      </c>
      <c r="P98" s="69"/>
      <c r="Q98" s="69"/>
      <c r="R98" s="70"/>
      <c r="S98" s="70" t="s">
        <v>358</v>
      </c>
      <c r="T98" s="55"/>
    </row>
    <row r="99" spans="1:20">
      <c r="A99" s="68">
        <v>24258116</v>
      </c>
      <c r="B99" s="13">
        <v>46269</v>
      </c>
      <c r="C99" s="14">
        <v>0.97355324074074079</v>
      </c>
      <c r="D99" s="15"/>
      <c r="E99" s="16">
        <v>5216621027546</v>
      </c>
      <c r="F99" s="15"/>
      <c r="G99" s="15"/>
      <c r="H99" s="17">
        <v>24735709156</v>
      </c>
      <c r="I99" s="15"/>
      <c r="J99" s="18"/>
      <c r="K99" s="69" t="s">
        <v>54</v>
      </c>
      <c r="L99" s="170">
        <v>29639.040000000001</v>
      </c>
      <c r="M99" s="170">
        <v>2423.7600000000002</v>
      </c>
      <c r="N99" s="70">
        <f>L99*0.3</f>
        <v>8891.7119999999995</v>
      </c>
      <c r="O99" s="70">
        <f>(IF(L99&lt;4172.98,0,MIN(L99*0.3,L99-4172.98)))-M99</f>
        <v>6467.9519999999993</v>
      </c>
      <c r="P99" s="71">
        <v>46935</v>
      </c>
      <c r="Q99" s="69" t="s">
        <v>75</v>
      </c>
      <c r="R99" s="70">
        <v>2423.7600000000002</v>
      </c>
      <c r="S99" s="70" t="s">
        <v>879</v>
      </c>
      <c r="T99" s="55"/>
    </row>
    <row r="100" spans="1:20">
      <c r="A100" s="72">
        <v>24258262</v>
      </c>
      <c r="B100" s="31">
        <v>46269</v>
      </c>
      <c r="C100" s="32">
        <v>0.99534722222222227</v>
      </c>
      <c r="D100" s="33"/>
      <c r="E100" s="34">
        <v>5214775748416</v>
      </c>
      <c r="F100" s="33"/>
      <c r="G100" s="33" t="s">
        <v>1529</v>
      </c>
      <c r="H100" s="35"/>
      <c r="I100" s="33"/>
      <c r="J100" s="36"/>
      <c r="K100" s="69" t="s">
        <v>38</v>
      </c>
      <c r="L100" s="170">
        <v>9760.32</v>
      </c>
      <c r="M100" s="170">
        <v>1770.78</v>
      </c>
      <c r="N100" s="70">
        <f>L100*0.3</f>
        <v>2928.096</v>
      </c>
      <c r="O100" s="70">
        <f>(IF(L100&lt;4172.98,0,MIN(L100*0.3,L100-4172.98)))-M100</f>
        <v>1157.316</v>
      </c>
      <c r="P100" s="71">
        <v>46935</v>
      </c>
      <c r="Q100" s="69" t="s">
        <v>59</v>
      </c>
      <c r="R100" s="70">
        <v>1770.78</v>
      </c>
      <c r="S100" s="70" t="s">
        <v>39</v>
      </c>
      <c r="T100" s="55"/>
    </row>
    <row r="101" spans="1:20">
      <c r="A101" s="68">
        <v>24258602</v>
      </c>
      <c r="B101" s="13">
        <v>46270</v>
      </c>
      <c r="C101" s="14">
        <v>0.11625000000000001</v>
      </c>
      <c r="D101" s="15"/>
      <c r="E101" s="16">
        <v>5215620235655</v>
      </c>
      <c r="F101" s="15"/>
      <c r="G101" s="15"/>
      <c r="H101" s="17" t="s">
        <v>1532</v>
      </c>
      <c r="I101" s="15"/>
      <c r="J101" s="18"/>
      <c r="K101" s="69" t="s">
        <v>54</v>
      </c>
      <c r="L101" s="70">
        <v>9081.52</v>
      </c>
      <c r="M101" s="70"/>
      <c r="N101" s="70">
        <f>L101*0.3</f>
        <v>2724.4560000000001</v>
      </c>
      <c r="O101" s="70">
        <f>(IF(L101&lt;4172.98,0,MIN(L101*0.3,L101-4172.98)))-M101</f>
        <v>2724.4560000000001</v>
      </c>
      <c r="P101" s="69"/>
      <c r="Q101" s="69"/>
      <c r="R101" s="70"/>
      <c r="S101" s="70" t="s">
        <v>1091</v>
      </c>
      <c r="T101" s="55"/>
    </row>
    <row r="102" spans="1:20">
      <c r="A102" s="68">
        <v>24259300</v>
      </c>
      <c r="B102" s="13">
        <v>46270</v>
      </c>
      <c r="C102" s="14">
        <v>0.20899305555555556</v>
      </c>
      <c r="D102" s="15"/>
      <c r="E102" s="16">
        <v>5219991924776</v>
      </c>
      <c r="F102" s="15"/>
      <c r="G102" s="15"/>
      <c r="H102" s="17" t="s">
        <v>1534</v>
      </c>
      <c r="I102" s="15"/>
      <c r="J102" s="18"/>
      <c r="K102" s="69" t="s">
        <v>27</v>
      </c>
      <c r="L102" s="170">
        <v>37148.46</v>
      </c>
      <c r="M102" s="170">
        <v>11142.19</v>
      </c>
      <c r="N102" s="70">
        <f>L102*0.3</f>
        <v>11144.537999999999</v>
      </c>
      <c r="O102" s="70">
        <f>(IF(L102&lt;4172.98,0,MIN(L102*0.3,L102-4172.98)))-M102</f>
        <v>2.3479999999981374</v>
      </c>
      <c r="P102" s="71">
        <v>46113</v>
      </c>
      <c r="Q102" s="69" t="s">
        <v>334</v>
      </c>
      <c r="R102" s="70">
        <v>3003.08</v>
      </c>
      <c r="S102" s="70" t="s">
        <v>98</v>
      </c>
      <c r="T102" s="55"/>
    </row>
    <row r="103" spans="1:20">
      <c r="A103" s="68">
        <v>24260666</v>
      </c>
      <c r="B103" s="13">
        <v>46270</v>
      </c>
      <c r="C103" s="14">
        <v>0.28905092592592591</v>
      </c>
      <c r="D103" s="15"/>
      <c r="E103" s="16">
        <v>5218119112863</v>
      </c>
      <c r="F103" s="15"/>
      <c r="G103" s="15"/>
      <c r="H103" s="17">
        <v>43796318681</v>
      </c>
      <c r="I103" s="15"/>
      <c r="J103" s="18"/>
      <c r="K103" s="69" t="s">
        <v>54</v>
      </c>
      <c r="L103" s="170">
        <v>36400.269999999997</v>
      </c>
      <c r="M103" s="170">
        <v>4903.18</v>
      </c>
      <c r="N103" s="70">
        <f>L103*0.3</f>
        <v>10920.080999999998</v>
      </c>
      <c r="O103" s="70">
        <f>(IF(L103&lt;4172.98,0,MIN(L103*0.3,L103-4172.98)))-M103</f>
        <v>6016.900999999998</v>
      </c>
      <c r="P103" s="71">
        <v>46935</v>
      </c>
      <c r="Q103" s="69" t="s">
        <v>44</v>
      </c>
      <c r="R103" s="70">
        <v>2196.36</v>
      </c>
      <c r="S103" s="70" t="s">
        <v>35</v>
      </c>
      <c r="T103" s="55"/>
    </row>
    <row r="104" spans="1:20">
      <c r="A104" s="68">
        <v>24261294</v>
      </c>
      <c r="B104" s="13">
        <v>46270</v>
      </c>
      <c r="C104" s="14">
        <v>0.3125</v>
      </c>
      <c r="D104" s="15"/>
      <c r="E104" s="16">
        <v>5215530771632</v>
      </c>
      <c r="F104" s="15"/>
      <c r="G104" s="15" t="s">
        <v>1536</v>
      </c>
      <c r="H104" s="17"/>
      <c r="I104" s="15"/>
      <c r="J104" s="18"/>
      <c r="K104" s="69" t="s">
        <v>54</v>
      </c>
      <c r="L104" s="70">
        <f>53661.84-44079.37</f>
        <v>9582.4699999999939</v>
      </c>
      <c r="M104" s="70"/>
      <c r="N104" s="70">
        <f>L104*0.3</f>
        <v>2874.7409999999982</v>
      </c>
      <c r="O104" s="70">
        <f>(IF(L104&lt;4172.98,0,MIN(L104*0.3,L104-4172.98)))-M104</f>
        <v>2874.7409999999982</v>
      </c>
      <c r="P104" s="69"/>
      <c r="Q104" s="69"/>
      <c r="R104" s="70"/>
      <c r="S104" s="70" t="s">
        <v>1091</v>
      </c>
      <c r="T104" s="55"/>
    </row>
    <row r="105" spans="1:20">
      <c r="A105" s="72">
        <v>24262890</v>
      </c>
      <c r="B105" s="31">
        <v>46270</v>
      </c>
      <c r="C105" s="32">
        <v>0.3835763888888889</v>
      </c>
      <c r="D105" s="33"/>
      <c r="E105" s="34">
        <v>5216142190738</v>
      </c>
      <c r="F105" s="33"/>
      <c r="G105" s="33"/>
      <c r="H105" s="35" t="s">
        <v>1539</v>
      </c>
      <c r="I105" s="33"/>
      <c r="J105" s="36"/>
      <c r="K105" s="69" t="s">
        <v>38</v>
      </c>
      <c r="L105" s="170">
        <v>8173.37</v>
      </c>
      <c r="M105" s="170">
        <v>1717</v>
      </c>
      <c r="N105" s="70">
        <f>L105*0.3</f>
        <v>2452.011</v>
      </c>
      <c r="O105" s="70">
        <f>(IF(L105&lt;4172.98,0,MIN(L105*0.3,L105-4172.98)))-M105</f>
        <v>735.01099999999997</v>
      </c>
      <c r="P105" s="71">
        <v>46935</v>
      </c>
      <c r="Q105" s="69" t="s">
        <v>43</v>
      </c>
      <c r="R105" s="70">
        <v>801.52</v>
      </c>
      <c r="S105" s="70" t="s">
        <v>39</v>
      </c>
      <c r="T105" s="55"/>
    </row>
    <row r="106" spans="1:20">
      <c r="A106" s="72">
        <v>24263250</v>
      </c>
      <c r="B106" s="31">
        <v>46270</v>
      </c>
      <c r="C106" s="32">
        <v>0.39151620370370371</v>
      </c>
      <c r="D106" s="33"/>
      <c r="E106" s="34">
        <v>5215566742463</v>
      </c>
      <c r="F106" s="33"/>
      <c r="G106" s="33"/>
      <c r="H106" s="35">
        <v>28907304183</v>
      </c>
      <c r="I106" s="33"/>
      <c r="J106" s="36"/>
      <c r="K106" s="69" t="s">
        <v>54</v>
      </c>
      <c r="L106" s="70">
        <f>7302.55+879</f>
        <v>8181.55</v>
      </c>
      <c r="M106" s="70">
        <v>879</v>
      </c>
      <c r="N106" s="70">
        <f>L106*0.3</f>
        <v>2454.4650000000001</v>
      </c>
      <c r="O106" s="70">
        <f>(IF(L106&lt;4172.98,0,MIN(L106*0.3,L106-4172.98)))-M106</f>
        <v>1575.4650000000001</v>
      </c>
      <c r="P106" s="69"/>
      <c r="Q106" s="69"/>
      <c r="R106" s="70"/>
      <c r="S106" s="70" t="s">
        <v>1080</v>
      </c>
      <c r="T106" s="55"/>
    </row>
    <row r="107" spans="1:20">
      <c r="A107" s="72">
        <v>24264788</v>
      </c>
      <c r="B107" s="31">
        <v>46270</v>
      </c>
      <c r="C107" s="32">
        <v>0.46119212962962963</v>
      </c>
      <c r="D107" s="33"/>
      <c r="E107" s="34">
        <v>5218445639916</v>
      </c>
      <c r="F107" s="33"/>
      <c r="G107" s="33"/>
      <c r="H107" s="35" t="s">
        <v>1542</v>
      </c>
      <c r="I107" s="33"/>
      <c r="J107" s="36"/>
      <c r="K107" s="69" t="s">
        <v>54</v>
      </c>
      <c r="L107" s="70">
        <v>9572.89</v>
      </c>
      <c r="M107" s="70"/>
      <c r="N107" s="70">
        <f>L107*0.3</f>
        <v>2871.8669999999997</v>
      </c>
      <c r="O107" s="70">
        <f>(IF(L107&lt;4172.98,0,MIN(L107*0.3,L107-4172.98)))-M107</f>
        <v>2871.8669999999997</v>
      </c>
      <c r="P107" s="69"/>
      <c r="Q107" s="69"/>
      <c r="R107" s="70"/>
      <c r="S107" s="70" t="s">
        <v>35</v>
      </c>
      <c r="T107" s="55"/>
    </row>
    <row r="108" spans="1:20">
      <c r="A108" s="72">
        <v>24265796</v>
      </c>
      <c r="B108" s="31">
        <v>46270</v>
      </c>
      <c r="C108" s="32">
        <v>0.4931712962962963</v>
      </c>
      <c r="D108" s="33"/>
      <c r="E108" s="34">
        <v>5216679631198</v>
      </c>
      <c r="F108" s="33"/>
      <c r="G108" s="33" t="s">
        <v>1546</v>
      </c>
      <c r="H108" s="35">
        <v>24826257073</v>
      </c>
      <c r="I108" s="33"/>
      <c r="J108" s="36"/>
      <c r="K108" s="69" t="s">
        <v>27</v>
      </c>
      <c r="L108" s="113">
        <v>7101.73</v>
      </c>
      <c r="M108" s="113">
        <v>1887.32</v>
      </c>
      <c r="N108" s="70">
        <f t="shared" ref="N108" si="20">L108*0.3</f>
        <v>2130.5189999999998</v>
      </c>
      <c r="O108" s="70">
        <f t="shared" ref="O108" si="21">(IF(L108&lt;4172.98,0,MIN(L108*0.3,L108-4172.98)))-M108</f>
        <v>243.19899999999984</v>
      </c>
      <c r="P108" s="71">
        <v>45717</v>
      </c>
      <c r="Q108" s="69" t="s">
        <v>818</v>
      </c>
      <c r="R108" s="70">
        <v>1887.32</v>
      </c>
      <c r="S108" s="70" t="s">
        <v>98</v>
      </c>
      <c r="T108" s="55"/>
    </row>
    <row r="109" spans="1:20">
      <c r="A109" s="72">
        <v>24266146</v>
      </c>
      <c r="B109" s="31">
        <v>46270</v>
      </c>
      <c r="C109" s="32">
        <v>0.51059027777777777</v>
      </c>
      <c r="D109" s="33"/>
      <c r="E109" s="34">
        <v>5218441032253</v>
      </c>
      <c r="F109" s="33"/>
      <c r="G109" s="33" t="s">
        <v>1548</v>
      </c>
      <c r="H109" s="35">
        <v>13815506285</v>
      </c>
      <c r="I109" s="33"/>
      <c r="J109" s="36"/>
      <c r="K109" s="69" t="s">
        <v>34</v>
      </c>
      <c r="L109" s="113">
        <v>5639.15</v>
      </c>
      <c r="M109" s="113">
        <v>1350.94</v>
      </c>
      <c r="N109" s="70">
        <f>L109*0.3</f>
        <v>1691.7449999999999</v>
      </c>
      <c r="O109" s="70">
        <f>(IF(L109&lt;4172.98,0,MIN(L109*0.3,L109-4172.98)))-M109</f>
        <v>115.23000000000002</v>
      </c>
      <c r="P109" s="71">
        <v>46113</v>
      </c>
      <c r="Q109" s="69" t="s">
        <v>141</v>
      </c>
      <c r="R109" s="70">
        <v>1350.94</v>
      </c>
      <c r="S109" s="70" t="s">
        <v>35</v>
      </c>
      <c r="T109" s="55"/>
    </row>
    <row r="110" spans="1:20">
      <c r="A110" s="78">
        <v>24266054</v>
      </c>
      <c r="B110" s="79">
        <v>46270</v>
      </c>
      <c r="C110" s="80">
        <v>0.51165509259259256</v>
      </c>
      <c r="D110" s="81"/>
      <c r="E110" s="82">
        <v>5212971008931</v>
      </c>
      <c r="F110" s="81"/>
      <c r="G110" s="81" t="s">
        <v>1549</v>
      </c>
      <c r="H110" s="83" t="s">
        <v>1550</v>
      </c>
      <c r="I110" s="81"/>
      <c r="J110" s="84"/>
      <c r="K110" s="74" t="s">
        <v>54</v>
      </c>
      <c r="L110" s="75">
        <v>11029.03</v>
      </c>
      <c r="M110" s="75"/>
      <c r="N110" s="75">
        <f>L110*0.3</f>
        <v>3308.7090000000003</v>
      </c>
      <c r="O110" s="75">
        <f>(IF(L110&lt;4172.98,0,MIN(L110*0.3,L110-4172.98)))-M110</f>
        <v>3308.7090000000003</v>
      </c>
      <c r="P110" s="74"/>
      <c r="Q110" s="74"/>
      <c r="R110" s="75"/>
      <c r="S110" s="75" t="s">
        <v>879</v>
      </c>
      <c r="T110" s="55"/>
    </row>
    <row r="111" spans="1:20">
      <c r="A111" s="68"/>
      <c r="B111" s="13"/>
      <c r="C111" s="14"/>
      <c r="D111" s="15"/>
      <c r="E111" s="16"/>
      <c r="F111" s="15"/>
      <c r="G111" s="15"/>
      <c r="H111" s="17"/>
      <c r="I111" s="15"/>
      <c r="J111" s="18"/>
      <c r="K111" s="69"/>
      <c r="L111" s="70"/>
      <c r="M111" s="70"/>
      <c r="N111" s="70"/>
      <c r="O111" s="70"/>
      <c r="P111" s="71"/>
      <c r="Q111" s="69"/>
      <c r="R111" s="70"/>
      <c r="S111" s="70"/>
      <c r="T111" s="55"/>
    </row>
    <row r="112" spans="1:20">
      <c r="A112" s="72"/>
      <c r="B112" s="31"/>
      <c r="C112" s="32"/>
      <c r="D112" s="33"/>
      <c r="E112" s="34"/>
      <c r="F112" s="33"/>
      <c r="G112" s="33"/>
      <c r="H112" s="35"/>
      <c r="I112" s="33"/>
      <c r="J112" s="36"/>
      <c r="K112" s="69"/>
      <c r="L112" s="70"/>
      <c r="M112" s="70"/>
      <c r="N112" s="70"/>
      <c r="O112" s="70"/>
      <c r="P112" s="71"/>
      <c r="Q112" s="69"/>
      <c r="R112" s="70"/>
      <c r="S112" s="70"/>
      <c r="T112" s="55"/>
    </row>
    <row r="113" spans="1:20">
      <c r="A113" s="68"/>
      <c r="B113" s="13"/>
      <c r="C113" s="14"/>
      <c r="D113" s="15"/>
      <c r="E113" s="16"/>
      <c r="F113" s="15"/>
      <c r="G113" s="15"/>
      <c r="H113" s="17"/>
      <c r="I113" s="15"/>
      <c r="J113" s="18"/>
      <c r="K113" s="69"/>
      <c r="L113" s="70"/>
      <c r="M113" s="70"/>
      <c r="N113" s="70"/>
      <c r="O113" s="70"/>
      <c r="P113" s="71"/>
      <c r="Q113" s="69"/>
      <c r="R113" s="70"/>
      <c r="S113" s="70"/>
      <c r="T113" s="55"/>
    </row>
    <row r="114" spans="1:20">
      <c r="A114" s="72"/>
      <c r="B114" s="31"/>
      <c r="C114" s="32"/>
      <c r="D114" s="33"/>
      <c r="E114" s="34"/>
      <c r="F114" s="33"/>
      <c r="G114" s="33"/>
      <c r="H114" s="35"/>
      <c r="I114" s="33"/>
      <c r="J114" s="36"/>
      <c r="K114" s="69"/>
      <c r="L114" s="70"/>
      <c r="M114" s="70"/>
      <c r="N114" s="70"/>
      <c r="O114" s="70"/>
      <c r="P114" s="71"/>
      <c r="Q114" s="69"/>
      <c r="R114" s="70"/>
      <c r="S114" s="70"/>
      <c r="T114" s="55"/>
    </row>
    <row r="115" spans="1:20">
      <c r="A115" s="68"/>
      <c r="B115" s="13"/>
      <c r="C115" s="14"/>
      <c r="D115" s="15"/>
      <c r="E115" s="16"/>
      <c r="F115" s="15"/>
      <c r="G115" s="15"/>
      <c r="H115" s="17"/>
      <c r="I115" s="15"/>
      <c r="J115" s="18"/>
      <c r="K115" s="69"/>
      <c r="L115" s="70"/>
      <c r="M115" s="70"/>
      <c r="N115" s="70"/>
      <c r="O115" s="70"/>
      <c r="P115" s="69"/>
      <c r="Q115" s="69"/>
      <c r="R115" s="70"/>
      <c r="S115" s="70"/>
      <c r="T115" s="55"/>
    </row>
    <row r="116" spans="1:20">
      <c r="A116" s="68"/>
      <c r="B116" s="13"/>
      <c r="C116" s="14"/>
      <c r="D116" s="15"/>
      <c r="E116" s="16"/>
      <c r="F116" s="15"/>
      <c r="G116" s="15"/>
      <c r="H116" s="17"/>
      <c r="I116" s="15"/>
      <c r="J116" s="18"/>
      <c r="K116" s="69"/>
      <c r="L116" s="70"/>
      <c r="M116" s="70"/>
      <c r="N116" s="70"/>
      <c r="O116" s="70"/>
      <c r="P116" s="71"/>
      <c r="Q116" s="69"/>
      <c r="R116" s="70"/>
      <c r="S116" s="70"/>
      <c r="T116" s="55"/>
    </row>
    <row r="117" spans="1:20">
      <c r="A117" s="72"/>
      <c r="B117" s="31"/>
      <c r="C117" s="32"/>
      <c r="D117" s="33"/>
      <c r="E117" s="34"/>
      <c r="F117" s="33"/>
      <c r="G117" s="33"/>
      <c r="H117" s="35"/>
      <c r="I117" s="33"/>
      <c r="J117" s="36"/>
      <c r="K117" s="69"/>
      <c r="L117" s="70"/>
      <c r="M117" s="70"/>
      <c r="N117" s="70"/>
      <c r="O117" s="70"/>
      <c r="P117" s="69"/>
      <c r="Q117" s="69"/>
      <c r="R117" s="70"/>
      <c r="S117" s="70"/>
      <c r="T117" s="55"/>
    </row>
    <row r="118" spans="1:20">
      <c r="A118" s="68"/>
      <c r="B118" s="13"/>
      <c r="C118" s="14"/>
      <c r="D118" s="15"/>
      <c r="E118" s="16"/>
      <c r="F118" s="15"/>
      <c r="G118" s="15"/>
      <c r="H118" s="17"/>
      <c r="I118" s="15"/>
      <c r="J118" s="18"/>
      <c r="K118" s="69"/>
      <c r="L118" s="70"/>
      <c r="M118" s="70"/>
      <c r="N118" s="70"/>
      <c r="O118" s="70"/>
      <c r="P118" s="71"/>
      <c r="Q118" s="69"/>
      <c r="R118" s="70"/>
      <c r="S118" s="70"/>
      <c r="T118" s="55"/>
    </row>
    <row r="119" spans="1:20">
      <c r="A119" s="68"/>
      <c r="B119" s="13"/>
      <c r="C119" s="14"/>
      <c r="D119" s="15"/>
      <c r="E119" s="16"/>
      <c r="F119" s="15"/>
      <c r="G119" s="15"/>
      <c r="H119" s="17"/>
      <c r="I119" s="15"/>
      <c r="J119" s="18"/>
      <c r="K119" s="69"/>
      <c r="L119" s="70"/>
      <c r="M119" s="70"/>
      <c r="N119" s="70"/>
      <c r="O119" s="70"/>
      <c r="P119" s="69"/>
      <c r="Q119" s="69"/>
      <c r="R119" s="70"/>
      <c r="S119" s="70"/>
      <c r="T119" s="55"/>
    </row>
    <row r="120" spans="1:20">
      <c r="A120" s="68"/>
      <c r="B120" s="13"/>
      <c r="C120" s="14"/>
      <c r="D120" s="15"/>
      <c r="E120" s="16"/>
      <c r="F120" s="15"/>
      <c r="G120" s="15"/>
      <c r="H120" s="17"/>
      <c r="I120" s="15"/>
      <c r="J120" s="18"/>
      <c r="K120" s="69"/>
      <c r="L120" s="70"/>
      <c r="M120" s="70"/>
      <c r="N120" s="70"/>
      <c r="O120" s="70"/>
      <c r="P120" s="69"/>
      <c r="Q120" s="69"/>
      <c r="R120" s="70"/>
      <c r="S120" s="70"/>
      <c r="T120" s="55"/>
    </row>
    <row r="121" spans="1:20">
      <c r="A121" s="72"/>
      <c r="B121" s="31"/>
      <c r="C121" s="32"/>
      <c r="D121" s="33"/>
      <c r="E121" s="34"/>
      <c r="F121" s="33"/>
      <c r="G121" s="33"/>
      <c r="H121" s="35"/>
      <c r="I121" s="33"/>
      <c r="J121" s="36"/>
      <c r="K121" s="69"/>
      <c r="L121" s="70"/>
      <c r="M121" s="70"/>
      <c r="N121" s="70"/>
      <c r="O121" s="70"/>
      <c r="P121" s="71"/>
      <c r="Q121" s="69"/>
      <c r="R121" s="70"/>
      <c r="S121" s="73"/>
      <c r="T121" s="55"/>
    </row>
    <row r="122" spans="1:20">
      <c r="A122" s="72"/>
      <c r="B122" s="31"/>
      <c r="C122" s="32"/>
      <c r="D122" s="33"/>
      <c r="E122" s="34"/>
      <c r="F122" s="33"/>
      <c r="G122" s="33"/>
      <c r="H122" s="35"/>
      <c r="I122" s="33"/>
      <c r="J122" s="36"/>
      <c r="K122" s="69"/>
      <c r="L122" s="70"/>
      <c r="M122" s="70"/>
      <c r="N122" s="70"/>
      <c r="O122" s="70"/>
      <c r="P122" s="71"/>
      <c r="Q122" s="69"/>
      <c r="R122" s="70"/>
      <c r="S122" s="70"/>
      <c r="T122" s="55"/>
    </row>
    <row r="123" spans="1:20">
      <c r="A123" s="68"/>
      <c r="B123" s="13"/>
      <c r="C123" s="14"/>
      <c r="D123" s="15"/>
      <c r="E123" s="16"/>
      <c r="F123" s="15"/>
      <c r="G123" s="15"/>
      <c r="H123" s="17"/>
      <c r="I123" s="15"/>
      <c r="J123" s="18"/>
      <c r="K123" s="69"/>
      <c r="L123" s="70"/>
      <c r="M123" s="70"/>
      <c r="N123" s="70"/>
      <c r="O123" s="70"/>
      <c r="P123" s="69"/>
      <c r="Q123" s="69"/>
      <c r="R123" s="70"/>
      <c r="S123" s="70"/>
      <c r="T123" s="55"/>
    </row>
    <row r="124" spans="1:20">
      <c r="A124" s="72"/>
      <c r="B124" s="31"/>
      <c r="C124" s="32"/>
      <c r="D124" s="33"/>
      <c r="E124" s="34"/>
      <c r="F124" s="33"/>
      <c r="G124" s="33"/>
      <c r="H124" s="35"/>
      <c r="I124" s="33"/>
      <c r="J124" s="36"/>
      <c r="K124" s="69"/>
      <c r="L124" s="70"/>
      <c r="M124" s="70"/>
      <c r="N124" s="70"/>
      <c r="O124" s="70"/>
      <c r="P124" s="71"/>
      <c r="Q124" s="69"/>
      <c r="R124" s="70"/>
      <c r="S124" s="70"/>
      <c r="T124" s="55"/>
    </row>
    <row r="125" spans="1:20">
      <c r="A125" s="72"/>
      <c r="B125" s="31"/>
      <c r="C125" s="32"/>
      <c r="D125" s="33"/>
      <c r="E125" s="34"/>
      <c r="F125" s="33"/>
      <c r="G125" s="33"/>
      <c r="H125" s="35"/>
      <c r="I125" s="33"/>
      <c r="J125" s="36"/>
      <c r="K125" s="69"/>
      <c r="L125" s="70"/>
      <c r="M125" s="70"/>
      <c r="N125" s="70"/>
      <c r="O125" s="70"/>
      <c r="P125" s="71"/>
      <c r="Q125" s="69"/>
      <c r="R125" s="70"/>
      <c r="S125" s="70"/>
      <c r="T125" s="55"/>
    </row>
    <row r="126" spans="1:20">
      <c r="A126" s="68"/>
      <c r="B126" s="13"/>
      <c r="C126" s="14"/>
      <c r="D126" s="15"/>
      <c r="E126" s="16"/>
      <c r="F126" s="15"/>
      <c r="G126" s="15"/>
      <c r="H126" s="17"/>
      <c r="I126" s="15"/>
      <c r="J126" s="18"/>
      <c r="K126" s="69"/>
      <c r="L126" s="70"/>
      <c r="M126" s="70"/>
      <c r="N126" s="70"/>
      <c r="O126" s="70"/>
      <c r="P126" s="71"/>
      <c r="Q126" s="69"/>
      <c r="R126" s="70"/>
      <c r="S126" s="70"/>
      <c r="T126" s="55"/>
    </row>
    <row r="127" spans="1:20">
      <c r="A127" s="68"/>
      <c r="B127" s="13"/>
      <c r="C127" s="14"/>
      <c r="D127" s="15"/>
      <c r="E127" s="16"/>
      <c r="F127" s="15"/>
      <c r="G127" s="15"/>
      <c r="H127" s="17"/>
      <c r="I127" s="15"/>
      <c r="J127" s="18"/>
      <c r="K127" s="69"/>
      <c r="L127" s="70"/>
      <c r="M127" s="70"/>
      <c r="N127" s="70"/>
      <c r="O127" s="70"/>
      <c r="P127" s="69"/>
      <c r="Q127" s="69"/>
      <c r="R127" s="70"/>
      <c r="S127" s="70"/>
      <c r="T127" s="55"/>
    </row>
    <row r="128" spans="1:20">
      <c r="A128" s="68"/>
      <c r="B128" s="13"/>
      <c r="C128" s="14"/>
      <c r="D128" s="15"/>
      <c r="E128" s="16"/>
      <c r="F128" s="15"/>
      <c r="G128" s="15"/>
      <c r="H128" s="17"/>
      <c r="I128" s="15"/>
      <c r="J128" s="18"/>
      <c r="K128" s="69"/>
      <c r="L128" s="70"/>
      <c r="M128" s="70"/>
      <c r="N128" s="70"/>
      <c r="O128" s="70"/>
      <c r="P128" s="69"/>
      <c r="Q128" s="69"/>
      <c r="R128" s="70"/>
      <c r="S128" s="70"/>
      <c r="T128" s="55"/>
    </row>
    <row r="129" spans="1:20">
      <c r="A129" s="68"/>
      <c r="B129" s="13"/>
      <c r="C129" s="14"/>
      <c r="D129" s="15"/>
      <c r="E129" s="16"/>
      <c r="F129" s="15"/>
      <c r="G129" s="15"/>
      <c r="H129" s="17"/>
      <c r="I129" s="15"/>
      <c r="J129" s="18"/>
      <c r="K129" s="69"/>
      <c r="L129" s="70"/>
      <c r="M129" s="70"/>
      <c r="N129" s="70"/>
      <c r="O129" s="70"/>
      <c r="P129" s="69"/>
      <c r="Q129" s="69"/>
      <c r="R129" s="70"/>
      <c r="S129" s="70"/>
      <c r="T129" s="55"/>
    </row>
    <row r="130" spans="1:20">
      <c r="A130" s="68"/>
      <c r="B130" s="13"/>
      <c r="C130" s="14"/>
      <c r="D130" s="15"/>
      <c r="E130" s="16"/>
      <c r="F130" s="15"/>
      <c r="G130" s="15"/>
      <c r="H130" s="87"/>
      <c r="I130" s="88"/>
      <c r="J130" s="89"/>
      <c r="K130" s="92"/>
      <c r="L130" s="93"/>
      <c r="M130" s="93"/>
      <c r="N130" s="93"/>
      <c r="O130" s="93"/>
      <c r="P130" s="92"/>
      <c r="Q130" s="92"/>
      <c r="R130" s="93"/>
      <c r="S130" s="69"/>
      <c r="T130" s="55"/>
    </row>
    <row r="131" spans="1:20">
      <c r="A131" s="68"/>
      <c r="B131" s="13"/>
      <c r="C131" s="14"/>
      <c r="D131" s="15"/>
      <c r="E131" s="16"/>
      <c r="F131" s="15"/>
      <c r="G131" s="15"/>
      <c r="H131" s="17"/>
      <c r="I131" s="15"/>
      <c r="J131" s="18"/>
      <c r="K131" s="69"/>
      <c r="L131" s="70"/>
      <c r="M131" s="70"/>
      <c r="N131" s="70"/>
      <c r="O131" s="70"/>
      <c r="P131" s="71"/>
      <c r="Q131" s="69"/>
      <c r="R131" s="70"/>
      <c r="S131" s="70"/>
      <c r="T131" s="55"/>
    </row>
    <row r="132" spans="1:20">
      <c r="A132" s="68"/>
      <c r="B132" s="13"/>
      <c r="C132" s="14"/>
      <c r="D132" s="15"/>
      <c r="E132" s="16"/>
      <c r="F132" s="15"/>
      <c r="G132" s="15"/>
      <c r="H132" s="17"/>
      <c r="I132" s="15"/>
      <c r="J132" s="18"/>
      <c r="K132" s="69"/>
      <c r="L132" s="70"/>
      <c r="M132" s="70"/>
      <c r="N132" s="70"/>
      <c r="O132" s="70"/>
      <c r="P132" s="69"/>
      <c r="Q132" s="69"/>
      <c r="R132" s="70"/>
      <c r="S132" s="70"/>
      <c r="T132" s="55"/>
    </row>
    <row r="133" spans="1:20">
      <c r="A133" s="68"/>
      <c r="B133" s="13"/>
      <c r="C133" s="14"/>
      <c r="D133" s="15"/>
      <c r="E133" s="16"/>
      <c r="F133" s="15"/>
      <c r="G133" s="15"/>
      <c r="H133" s="17"/>
      <c r="I133" s="15"/>
      <c r="J133" s="18"/>
      <c r="K133" s="69"/>
      <c r="L133" s="70"/>
      <c r="M133" s="70"/>
      <c r="N133" s="70"/>
      <c r="O133" s="70"/>
      <c r="P133" s="69"/>
      <c r="Q133" s="69"/>
      <c r="R133" s="70"/>
      <c r="S133" s="70"/>
      <c r="T133" s="55"/>
    </row>
    <row r="134" spans="1:20">
      <c r="A134" s="68"/>
      <c r="B134" s="13"/>
      <c r="C134" s="14"/>
      <c r="D134" s="15"/>
      <c r="E134" s="16"/>
      <c r="F134" s="15"/>
      <c r="G134" s="15"/>
      <c r="H134" s="17"/>
      <c r="I134" s="15"/>
      <c r="J134" s="18"/>
      <c r="K134" s="69"/>
      <c r="L134" s="70"/>
      <c r="M134" s="70"/>
      <c r="N134" s="70"/>
      <c r="O134" s="70"/>
      <c r="P134" s="71"/>
      <c r="Q134" s="69"/>
      <c r="R134" s="70"/>
      <c r="S134" s="70"/>
      <c r="T134" s="55"/>
    </row>
    <row r="135" spans="1:20">
      <c r="A135" s="68"/>
      <c r="B135" s="13"/>
      <c r="C135" s="14"/>
      <c r="D135" s="15"/>
      <c r="E135" s="16"/>
      <c r="F135" s="15"/>
      <c r="G135" s="15"/>
      <c r="H135" s="17"/>
      <c r="I135" s="15"/>
      <c r="J135" s="18"/>
      <c r="K135" s="69"/>
      <c r="L135" s="70"/>
      <c r="M135" s="70"/>
      <c r="N135" s="70"/>
      <c r="O135" s="70"/>
      <c r="P135" s="69"/>
      <c r="Q135" s="69"/>
      <c r="R135" s="70"/>
      <c r="S135" s="70"/>
      <c r="T135" s="55"/>
    </row>
    <row r="136" spans="1:20">
      <c r="A136" s="68"/>
      <c r="B136" s="13"/>
      <c r="C136" s="14"/>
      <c r="D136" s="15"/>
      <c r="E136" s="16"/>
      <c r="F136" s="15"/>
      <c r="G136" s="15"/>
      <c r="H136" s="17"/>
      <c r="I136" s="15"/>
      <c r="J136" s="18"/>
      <c r="K136" s="69"/>
      <c r="L136" s="70"/>
      <c r="M136" s="70"/>
      <c r="N136" s="70"/>
      <c r="O136" s="70"/>
      <c r="P136" s="69"/>
      <c r="Q136" s="69"/>
      <c r="R136" s="70"/>
      <c r="S136" s="70"/>
      <c r="T136" s="55"/>
    </row>
    <row r="137" spans="1:20">
      <c r="A137" s="72"/>
      <c r="B137" s="31"/>
      <c r="C137" s="32"/>
      <c r="D137" s="33"/>
      <c r="E137" s="34"/>
      <c r="F137" s="33"/>
      <c r="G137" s="33"/>
      <c r="H137" s="35"/>
      <c r="I137" s="33"/>
      <c r="J137" s="36"/>
      <c r="K137" s="69"/>
      <c r="L137" s="70"/>
      <c r="M137" s="70"/>
      <c r="N137" s="70"/>
      <c r="O137" s="70"/>
      <c r="P137" s="69"/>
      <c r="Q137" s="69"/>
      <c r="R137" s="70"/>
      <c r="S137" s="70"/>
      <c r="T137" s="55"/>
    </row>
    <row r="138" spans="1:20">
      <c r="A138" s="68"/>
      <c r="B138" s="13"/>
      <c r="C138" s="14"/>
      <c r="D138" s="15"/>
      <c r="E138" s="16"/>
      <c r="F138" s="15"/>
      <c r="G138" s="15"/>
      <c r="H138" s="17"/>
      <c r="I138" s="15"/>
      <c r="J138" s="18"/>
      <c r="K138" s="69"/>
      <c r="L138" s="70"/>
      <c r="M138" s="70"/>
      <c r="N138" s="70"/>
      <c r="O138" s="70"/>
      <c r="P138" s="69"/>
      <c r="Q138" s="69"/>
      <c r="R138" s="70"/>
      <c r="S138" s="70"/>
      <c r="T138" s="55"/>
    </row>
    <row r="139" spans="1:20">
      <c r="A139" s="68"/>
      <c r="B139" s="13"/>
      <c r="C139" s="14"/>
      <c r="D139" s="15"/>
      <c r="E139" s="16"/>
      <c r="F139" s="15"/>
      <c r="G139" s="15"/>
      <c r="H139" s="17"/>
      <c r="I139" s="15"/>
      <c r="J139" s="18"/>
      <c r="K139" s="69"/>
      <c r="L139" s="70"/>
      <c r="M139" s="70"/>
      <c r="N139" s="70"/>
      <c r="O139" s="70"/>
      <c r="P139" s="69"/>
      <c r="Q139" s="69"/>
      <c r="R139" s="70"/>
      <c r="S139" s="70"/>
      <c r="T139" s="55"/>
    </row>
    <row r="140" spans="1:20">
      <c r="A140" s="68"/>
      <c r="B140" s="13"/>
      <c r="C140" s="14"/>
      <c r="D140" s="15"/>
      <c r="E140" s="16"/>
      <c r="F140" s="15"/>
      <c r="G140" s="15"/>
      <c r="H140" s="17"/>
      <c r="I140" s="15"/>
      <c r="J140" s="18"/>
      <c r="K140" s="69"/>
      <c r="L140" s="70"/>
      <c r="M140" s="70"/>
      <c r="N140" s="70"/>
      <c r="O140" s="70"/>
      <c r="P140" s="71"/>
      <c r="Q140" s="69"/>
      <c r="R140" s="70"/>
      <c r="S140" s="70"/>
      <c r="T140" s="55"/>
    </row>
    <row r="141" spans="1:20">
      <c r="A141" s="68"/>
      <c r="B141" s="13"/>
      <c r="C141" s="14"/>
      <c r="D141" s="15"/>
      <c r="E141" s="16"/>
      <c r="F141" s="15"/>
      <c r="G141" s="15"/>
      <c r="H141" s="17"/>
      <c r="I141" s="15"/>
      <c r="J141" s="18"/>
      <c r="K141" s="69"/>
      <c r="L141" s="70"/>
      <c r="M141" s="70"/>
      <c r="N141" s="70"/>
      <c r="O141" s="70"/>
      <c r="P141" s="69"/>
      <c r="Q141" s="69"/>
      <c r="R141" s="70"/>
      <c r="S141" s="70"/>
      <c r="T141" s="55"/>
    </row>
    <row r="142" spans="1:20">
      <c r="A142" s="72"/>
      <c r="B142" s="31"/>
      <c r="C142" s="32"/>
      <c r="D142" s="33"/>
      <c r="E142" s="34"/>
      <c r="F142" s="33"/>
      <c r="G142" s="33"/>
      <c r="H142" s="35"/>
      <c r="I142" s="33"/>
      <c r="J142" s="36"/>
      <c r="K142" s="69"/>
      <c r="L142" s="70"/>
      <c r="M142" s="70"/>
      <c r="N142" s="70"/>
      <c r="O142" s="70"/>
      <c r="P142" s="69"/>
      <c r="Q142" s="69"/>
      <c r="R142" s="70"/>
      <c r="S142" s="70"/>
      <c r="T142" s="55"/>
    </row>
    <row r="143" spans="1:20">
      <c r="A143" s="68"/>
      <c r="B143" s="13"/>
      <c r="C143" s="14"/>
      <c r="D143" s="15"/>
      <c r="E143" s="16"/>
      <c r="F143" s="15"/>
      <c r="G143" s="15"/>
      <c r="H143" s="17"/>
      <c r="I143" s="15"/>
      <c r="J143" s="18"/>
      <c r="K143" s="69"/>
      <c r="L143" s="70"/>
      <c r="M143" s="70"/>
      <c r="N143" s="70"/>
      <c r="O143" s="70"/>
      <c r="P143" s="69"/>
      <c r="Q143" s="69"/>
      <c r="R143" s="70"/>
      <c r="S143" s="70"/>
      <c r="T143" s="55"/>
    </row>
    <row r="144" spans="1:20">
      <c r="A144" s="68"/>
      <c r="B144" s="13"/>
      <c r="C144" s="14"/>
      <c r="D144" s="15"/>
      <c r="E144" s="16"/>
      <c r="F144" s="15"/>
      <c r="G144" s="15"/>
      <c r="H144" s="17"/>
      <c r="I144" s="15"/>
      <c r="J144" s="18"/>
      <c r="K144" s="69"/>
      <c r="L144" s="70"/>
      <c r="M144" s="70"/>
      <c r="N144" s="70"/>
      <c r="O144" s="70"/>
      <c r="P144" s="69"/>
      <c r="Q144" s="69"/>
      <c r="R144" s="70"/>
      <c r="S144" s="70"/>
      <c r="T144" s="55"/>
    </row>
    <row r="145" spans="1:20">
      <c r="A145" s="68"/>
      <c r="B145" s="13"/>
      <c r="C145" s="14"/>
      <c r="D145" s="15"/>
      <c r="E145" s="16"/>
      <c r="F145" s="15"/>
      <c r="G145" s="15"/>
      <c r="H145" s="17"/>
      <c r="I145" s="15"/>
      <c r="J145" s="18"/>
      <c r="K145" s="69"/>
      <c r="L145" s="70"/>
      <c r="M145" s="70"/>
      <c r="N145" s="70"/>
      <c r="O145" s="70"/>
      <c r="P145" s="69"/>
      <c r="Q145" s="69"/>
      <c r="R145" s="70"/>
      <c r="S145" s="70"/>
      <c r="T145" s="55"/>
    </row>
    <row r="146" spans="1:20">
      <c r="A146" s="72"/>
      <c r="B146" s="31"/>
      <c r="C146" s="32"/>
      <c r="D146" s="33"/>
      <c r="E146" s="34"/>
      <c r="F146" s="33"/>
      <c r="G146" s="33"/>
      <c r="H146" s="35"/>
      <c r="I146" s="33"/>
      <c r="J146" s="36"/>
      <c r="K146" s="69"/>
      <c r="L146" s="70"/>
      <c r="M146" s="70"/>
      <c r="N146" s="70"/>
      <c r="O146" s="70"/>
      <c r="P146" s="71"/>
      <c r="Q146" s="69"/>
      <c r="R146" s="70"/>
      <c r="S146" s="70"/>
      <c r="T146" s="55"/>
    </row>
    <row r="147" spans="1:20">
      <c r="A147" s="68"/>
      <c r="B147" s="13"/>
      <c r="C147" s="14"/>
      <c r="D147" s="15"/>
      <c r="E147" s="16"/>
      <c r="F147" s="15"/>
      <c r="G147" s="15"/>
      <c r="H147" s="17"/>
      <c r="I147" s="15"/>
      <c r="J147" s="18"/>
      <c r="K147" s="69"/>
      <c r="L147" s="70"/>
      <c r="M147" s="70"/>
      <c r="N147" s="70"/>
      <c r="O147" s="70"/>
      <c r="P147" s="69"/>
      <c r="Q147" s="69"/>
      <c r="R147" s="70"/>
      <c r="S147" s="70"/>
      <c r="T147" s="55"/>
    </row>
    <row r="148" spans="1:20">
      <c r="A148" s="72"/>
      <c r="B148" s="31"/>
      <c r="C148" s="32"/>
      <c r="D148" s="33"/>
      <c r="E148" s="34"/>
      <c r="F148" s="33"/>
      <c r="G148" s="33"/>
      <c r="H148" s="35"/>
      <c r="I148" s="33"/>
      <c r="J148" s="36"/>
      <c r="K148" s="69"/>
      <c r="L148" s="70"/>
      <c r="M148" s="70"/>
      <c r="N148" s="70"/>
      <c r="O148" s="70"/>
      <c r="P148" s="71"/>
      <c r="Q148" s="69"/>
      <c r="R148" s="70"/>
      <c r="S148" s="70"/>
      <c r="T148" s="55"/>
    </row>
    <row r="149" spans="1:20">
      <c r="A149" s="72"/>
      <c r="B149" s="31"/>
      <c r="C149" s="32"/>
      <c r="D149" s="33"/>
      <c r="E149" s="34"/>
      <c r="F149" s="33"/>
      <c r="G149" s="33"/>
      <c r="H149" s="35"/>
      <c r="I149" s="33"/>
      <c r="J149" s="36"/>
      <c r="K149" s="69"/>
      <c r="L149" s="70"/>
      <c r="M149" s="70"/>
      <c r="N149" s="70"/>
      <c r="O149" s="70"/>
      <c r="P149" s="69"/>
      <c r="Q149" s="69"/>
      <c r="R149" s="70"/>
      <c r="S149" s="70"/>
      <c r="T149" s="55"/>
    </row>
    <row r="150" spans="1:20">
      <c r="A150" s="72"/>
      <c r="B150" s="31"/>
      <c r="C150" s="32"/>
      <c r="D150" s="33"/>
      <c r="E150" s="34"/>
      <c r="F150" s="33"/>
      <c r="G150" s="33"/>
      <c r="H150" s="35"/>
      <c r="I150" s="33"/>
      <c r="J150" s="36"/>
      <c r="K150" s="69"/>
      <c r="L150" s="70"/>
      <c r="M150" s="70"/>
      <c r="N150" s="70"/>
      <c r="O150" s="70"/>
      <c r="P150" s="71"/>
      <c r="Q150" s="69"/>
      <c r="R150" s="70"/>
      <c r="S150" s="70"/>
      <c r="T150" s="55"/>
    </row>
    <row r="151" spans="1:20">
      <c r="A151" s="72"/>
      <c r="B151" s="31"/>
      <c r="C151" s="32"/>
      <c r="D151" s="33"/>
      <c r="E151" s="34"/>
      <c r="F151" s="33"/>
      <c r="G151" s="33"/>
      <c r="H151" s="35"/>
      <c r="I151" s="33"/>
      <c r="J151" s="36"/>
      <c r="K151" s="69"/>
      <c r="L151" s="70"/>
      <c r="M151" s="70"/>
      <c r="N151" s="70"/>
      <c r="O151" s="70"/>
      <c r="P151" s="71"/>
      <c r="Q151" s="69"/>
      <c r="R151" s="70"/>
      <c r="S151" s="70"/>
      <c r="T151" s="55"/>
    </row>
    <row r="152" spans="1:20">
      <c r="A152" s="72"/>
      <c r="B152" s="31"/>
      <c r="C152" s="32"/>
      <c r="D152" s="33"/>
      <c r="E152" s="34"/>
      <c r="F152" s="33"/>
      <c r="G152" s="33"/>
      <c r="H152" s="35"/>
      <c r="I152" s="33"/>
      <c r="J152" s="36"/>
      <c r="K152" s="69"/>
      <c r="L152" s="70"/>
      <c r="M152" s="70"/>
      <c r="N152" s="70"/>
      <c r="O152" s="70"/>
      <c r="P152" s="69"/>
      <c r="Q152" s="69"/>
      <c r="R152" s="70"/>
      <c r="S152" s="70"/>
      <c r="T152" s="55"/>
    </row>
    <row r="153" spans="1:20">
      <c r="A153" s="72"/>
      <c r="B153" s="31"/>
      <c r="C153" s="32"/>
      <c r="D153" s="33"/>
      <c r="E153" s="34"/>
      <c r="F153" s="33"/>
      <c r="G153" s="33"/>
      <c r="H153" s="35"/>
      <c r="I153" s="33"/>
      <c r="J153" s="36"/>
      <c r="K153" s="69"/>
      <c r="L153" s="70"/>
      <c r="M153" s="70"/>
      <c r="N153" s="70"/>
      <c r="O153" s="70"/>
      <c r="P153" s="69"/>
      <c r="Q153" s="69"/>
      <c r="R153" s="70"/>
      <c r="S153" s="70"/>
      <c r="T153" s="55"/>
    </row>
    <row r="154" spans="1:20">
      <c r="A154" s="72"/>
      <c r="B154" s="31"/>
      <c r="C154" s="32"/>
      <c r="D154" s="33"/>
      <c r="E154" s="34"/>
      <c r="F154" s="33"/>
      <c r="G154" s="33"/>
      <c r="H154" s="35"/>
      <c r="I154" s="33"/>
      <c r="J154" s="36"/>
      <c r="K154" s="69"/>
      <c r="L154" s="70"/>
      <c r="M154" s="70"/>
      <c r="N154" s="70"/>
      <c r="O154" s="70"/>
      <c r="P154" s="69"/>
      <c r="Q154" s="69"/>
      <c r="R154" s="70"/>
      <c r="S154" s="70"/>
      <c r="T154" s="55"/>
    </row>
    <row r="155" spans="1:20">
      <c r="A155" s="68"/>
      <c r="B155" s="13"/>
      <c r="C155" s="14"/>
      <c r="D155" s="15"/>
      <c r="E155" s="16"/>
      <c r="F155" s="15"/>
      <c r="G155" s="15"/>
      <c r="H155" s="17"/>
      <c r="I155" s="15"/>
      <c r="J155" s="18"/>
      <c r="K155" s="69"/>
      <c r="L155" s="70"/>
      <c r="M155" s="70"/>
      <c r="N155" s="70"/>
      <c r="O155" s="70"/>
      <c r="P155" s="71"/>
      <c r="Q155" s="69"/>
      <c r="R155" s="70"/>
      <c r="S155" s="70"/>
      <c r="T155" s="55"/>
    </row>
    <row r="156" spans="1:20">
      <c r="A156" s="72"/>
      <c r="B156" s="31"/>
      <c r="C156" s="32"/>
      <c r="D156" s="33"/>
      <c r="E156" s="34"/>
      <c r="F156" s="33"/>
      <c r="G156" s="33"/>
      <c r="H156" s="35"/>
      <c r="I156" s="33"/>
      <c r="J156" s="36"/>
      <c r="K156" s="69"/>
      <c r="L156" s="70"/>
      <c r="M156" s="70"/>
      <c r="N156" s="70"/>
      <c r="O156" s="70"/>
      <c r="P156" s="69"/>
      <c r="Q156" s="69"/>
      <c r="R156" s="70"/>
      <c r="S156" s="70"/>
      <c r="T156" s="55"/>
    </row>
    <row r="157" spans="1:20">
      <c r="A157" s="72"/>
      <c r="B157" s="31"/>
      <c r="C157" s="32"/>
      <c r="D157" s="33"/>
      <c r="E157" s="34"/>
      <c r="F157" s="33"/>
      <c r="G157" s="33"/>
      <c r="H157" s="35"/>
      <c r="I157" s="33"/>
      <c r="J157" s="36"/>
      <c r="K157" s="69"/>
      <c r="L157" s="70"/>
      <c r="M157" s="70"/>
      <c r="N157" s="70"/>
      <c r="O157" s="70"/>
      <c r="P157" s="71"/>
      <c r="Q157" s="69"/>
      <c r="R157" s="70"/>
      <c r="S157" s="70"/>
      <c r="T157" s="55"/>
    </row>
    <row r="158" spans="1:20">
      <c r="A158" s="72"/>
      <c r="B158" s="31"/>
      <c r="C158" s="32"/>
      <c r="D158" s="33"/>
      <c r="E158" s="34"/>
      <c r="F158" s="33"/>
      <c r="G158" s="33"/>
      <c r="H158" s="35"/>
      <c r="I158" s="33"/>
      <c r="J158" s="36"/>
      <c r="K158" s="69"/>
      <c r="L158" s="70"/>
      <c r="M158" s="70"/>
      <c r="N158" s="70"/>
      <c r="O158" s="70"/>
      <c r="P158" s="69"/>
      <c r="Q158" s="69"/>
      <c r="R158" s="70"/>
      <c r="S158" s="70"/>
      <c r="T158" s="55"/>
    </row>
    <row r="159" spans="1:20">
      <c r="A159" s="72"/>
      <c r="B159" s="31"/>
      <c r="C159" s="32"/>
      <c r="D159" s="33"/>
      <c r="E159" s="34"/>
      <c r="F159" s="33"/>
      <c r="G159" s="33"/>
      <c r="H159" s="35"/>
      <c r="I159" s="33"/>
      <c r="J159" s="36"/>
      <c r="K159" s="69"/>
      <c r="L159" s="70"/>
      <c r="M159" s="70"/>
      <c r="N159" s="70"/>
      <c r="O159" s="70"/>
      <c r="P159" s="71"/>
      <c r="Q159" s="69"/>
      <c r="R159" s="70"/>
      <c r="S159" s="70"/>
      <c r="T159" s="55"/>
    </row>
    <row r="160" spans="1:20">
      <c r="A160" s="72"/>
      <c r="B160" s="31"/>
      <c r="C160" s="32"/>
      <c r="D160" s="33"/>
      <c r="E160" s="34"/>
      <c r="F160" s="33"/>
      <c r="G160" s="33"/>
      <c r="H160" s="35"/>
      <c r="I160" s="33"/>
      <c r="J160" s="36"/>
      <c r="K160" s="69"/>
      <c r="L160" s="70"/>
      <c r="M160" s="70"/>
      <c r="N160" s="70"/>
      <c r="O160" s="70"/>
      <c r="P160" s="71"/>
      <c r="Q160" s="69"/>
      <c r="R160" s="70"/>
      <c r="S160" s="70"/>
      <c r="T160" s="55"/>
    </row>
    <row r="161" spans="1:20">
      <c r="A161" s="72"/>
      <c r="B161" s="31"/>
      <c r="C161" s="32"/>
      <c r="D161" s="33"/>
      <c r="E161" s="34"/>
      <c r="F161" s="33"/>
      <c r="G161" s="33"/>
      <c r="H161" s="35"/>
      <c r="I161" s="33"/>
      <c r="J161" s="36"/>
      <c r="K161" s="69"/>
      <c r="L161" s="70"/>
      <c r="M161" s="70"/>
      <c r="N161" s="70"/>
      <c r="O161" s="70"/>
      <c r="P161" s="69"/>
      <c r="Q161" s="69"/>
      <c r="R161" s="70"/>
      <c r="S161" s="70"/>
      <c r="T161" s="55"/>
    </row>
    <row r="162" spans="1:20">
      <c r="A162" s="72"/>
      <c r="B162" s="31"/>
      <c r="C162" s="32"/>
      <c r="D162" s="33"/>
      <c r="E162" s="34"/>
      <c r="F162" s="33"/>
      <c r="G162" s="33"/>
      <c r="H162" s="35"/>
      <c r="I162" s="33"/>
      <c r="J162" s="36"/>
      <c r="K162" s="69"/>
      <c r="L162" s="70"/>
      <c r="M162" s="70"/>
      <c r="N162" s="70"/>
      <c r="O162" s="70"/>
      <c r="P162" s="69"/>
      <c r="Q162" s="69"/>
      <c r="R162" s="70"/>
      <c r="S162" s="70"/>
      <c r="T162" s="55"/>
    </row>
    <row r="163" spans="1:20">
      <c r="A163" s="72"/>
      <c r="B163" s="31"/>
      <c r="C163" s="32"/>
      <c r="D163" s="33"/>
      <c r="E163" s="34"/>
      <c r="F163" s="33"/>
      <c r="G163" s="33"/>
      <c r="H163" s="35"/>
      <c r="I163" s="33"/>
      <c r="J163" s="36"/>
      <c r="K163" s="69"/>
      <c r="L163" s="70"/>
      <c r="M163" s="70"/>
      <c r="N163" s="70"/>
      <c r="O163" s="70"/>
      <c r="P163" s="71"/>
      <c r="Q163" s="69"/>
      <c r="R163" s="70"/>
      <c r="S163" s="70"/>
      <c r="T163" s="55"/>
    </row>
    <row r="164" spans="1:20">
      <c r="A164" s="72"/>
      <c r="B164" s="31"/>
      <c r="C164" s="32"/>
      <c r="D164" s="33"/>
      <c r="E164" s="34"/>
      <c r="F164" s="33"/>
      <c r="G164" s="33"/>
      <c r="H164" s="35"/>
      <c r="I164" s="33"/>
      <c r="J164" s="36"/>
      <c r="K164" s="69"/>
      <c r="L164" s="70"/>
      <c r="M164" s="70"/>
      <c r="N164" s="70"/>
      <c r="O164" s="70"/>
      <c r="P164" s="69"/>
      <c r="Q164" s="69"/>
      <c r="R164" s="70"/>
      <c r="S164" s="70"/>
      <c r="T164" s="55"/>
    </row>
    <row r="165" spans="1:20">
      <c r="A165" s="72"/>
      <c r="B165" s="31"/>
      <c r="C165" s="32"/>
      <c r="D165" s="33"/>
      <c r="E165" s="34"/>
      <c r="F165" s="33"/>
      <c r="G165" s="33"/>
      <c r="H165" s="35"/>
      <c r="I165" s="33"/>
      <c r="J165" s="36"/>
      <c r="K165" s="69"/>
      <c r="L165" s="70"/>
      <c r="M165" s="70"/>
      <c r="N165" s="70"/>
      <c r="O165" s="70"/>
      <c r="P165" s="71"/>
      <c r="Q165" s="69"/>
      <c r="R165" s="70"/>
      <c r="S165" s="70"/>
      <c r="T165" s="55"/>
    </row>
    <row r="166" spans="1:20">
      <c r="A166" s="68"/>
      <c r="B166" s="13"/>
      <c r="C166" s="14"/>
      <c r="D166" s="15"/>
      <c r="E166" s="16"/>
      <c r="F166" s="15"/>
      <c r="G166" s="15"/>
      <c r="H166" s="17"/>
      <c r="I166" s="15"/>
      <c r="J166" s="18"/>
      <c r="K166" s="69"/>
      <c r="L166" s="70"/>
      <c r="M166" s="70"/>
      <c r="N166" s="70"/>
      <c r="O166" s="70"/>
      <c r="P166" s="69"/>
      <c r="Q166" s="69"/>
      <c r="R166" s="70"/>
      <c r="S166" s="70"/>
      <c r="T166" s="55"/>
    </row>
    <row r="167" spans="1:20">
      <c r="A167" s="68"/>
      <c r="B167" s="13"/>
      <c r="C167" s="14"/>
      <c r="D167" s="15"/>
      <c r="E167" s="16"/>
      <c r="F167" s="15"/>
      <c r="G167" s="15"/>
      <c r="H167" s="17"/>
      <c r="I167" s="15"/>
      <c r="J167" s="18"/>
      <c r="K167" s="69"/>
      <c r="L167" s="70"/>
      <c r="M167" s="70"/>
      <c r="N167" s="70"/>
      <c r="O167" s="70"/>
      <c r="P167" s="69"/>
      <c r="Q167" s="69"/>
      <c r="R167" s="70"/>
      <c r="S167" s="70"/>
      <c r="T167" s="55"/>
    </row>
    <row r="168" spans="1:20">
      <c r="A168" s="72"/>
      <c r="B168" s="31"/>
      <c r="C168" s="32"/>
      <c r="D168" s="33"/>
      <c r="E168" s="34"/>
      <c r="F168" s="33"/>
      <c r="G168" s="33"/>
      <c r="H168" s="35"/>
      <c r="I168" s="33"/>
      <c r="J168" s="36"/>
      <c r="K168" s="69"/>
      <c r="L168" s="70"/>
      <c r="M168" s="70"/>
      <c r="N168" s="70"/>
      <c r="O168" s="70"/>
      <c r="P168" s="69"/>
      <c r="Q168" s="69"/>
      <c r="R168" s="70"/>
      <c r="S168" s="70"/>
      <c r="T168" s="55"/>
    </row>
    <row r="169" spans="1:20">
      <c r="A169" s="78"/>
      <c r="B169" s="79"/>
      <c r="C169" s="80"/>
      <c r="D169" s="81"/>
      <c r="E169" s="82"/>
      <c r="F169" s="81"/>
      <c r="G169" s="81"/>
      <c r="H169" s="83"/>
      <c r="I169" s="81"/>
      <c r="J169" s="84"/>
      <c r="K169" s="74"/>
      <c r="L169" s="75"/>
      <c r="M169" s="75"/>
      <c r="N169" s="75"/>
      <c r="O169" s="75"/>
      <c r="P169" s="76"/>
      <c r="Q169" s="74"/>
      <c r="R169" s="75"/>
      <c r="S169" s="75"/>
      <c r="T169" s="77"/>
    </row>
    <row r="170" spans="1:20">
      <c r="A170" s="68"/>
      <c r="B170" s="13"/>
      <c r="C170" s="14"/>
      <c r="D170" s="15"/>
      <c r="E170" s="16"/>
      <c r="F170" s="15"/>
      <c r="G170" s="15"/>
      <c r="H170" s="17"/>
      <c r="I170" s="15"/>
      <c r="J170" s="18"/>
      <c r="K170" s="69"/>
      <c r="L170" s="70"/>
      <c r="M170" s="70"/>
      <c r="N170" s="70"/>
      <c r="O170" s="70"/>
      <c r="P170" s="71"/>
      <c r="Q170" s="69"/>
      <c r="R170" s="70"/>
      <c r="S170" s="70"/>
      <c r="T170" s="55"/>
    </row>
    <row r="171" spans="1:20">
      <c r="A171" s="68"/>
      <c r="B171" s="13"/>
      <c r="C171" s="14"/>
      <c r="D171" s="15"/>
      <c r="E171" s="16"/>
      <c r="F171" s="15"/>
      <c r="G171" s="15"/>
      <c r="H171" s="17"/>
      <c r="I171" s="15"/>
      <c r="J171" s="18"/>
      <c r="K171" s="69"/>
      <c r="L171" s="70"/>
      <c r="M171" s="70"/>
      <c r="N171" s="70"/>
      <c r="O171" s="70"/>
      <c r="P171" s="69"/>
      <c r="Q171" s="69"/>
      <c r="R171" s="70"/>
      <c r="S171" s="70"/>
      <c r="T171" s="55"/>
    </row>
    <row r="172" spans="1:20">
      <c r="A172" s="72"/>
      <c r="B172" s="31"/>
      <c r="C172" s="32"/>
      <c r="D172" s="33"/>
      <c r="E172" s="34"/>
      <c r="F172" s="33"/>
      <c r="G172" s="33"/>
      <c r="H172" s="35"/>
      <c r="I172" s="33"/>
      <c r="J172" s="36"/>
      <c r="K172" s="69"/>
      <c r="L172" s="70"/>
      <c r="M172" s="70"/>
      <c r="N172" s="70"/>
      <c r="O172" s="70"/>
      <c r="P172" s="69"/>
      <c r="Q172" s="69"/>
      <c r="R172" s="70"/>
      <c r="S172" s="70"/>
      <c r="T172" s="55"/>
    </row>
    <row r="173" spans="1:20">
      <c r="A173" s="72"/>
      <c r="B173" s="31"/>
      <c r="C173" s="32"/>
      <c r="D173" s="33"/>
      <c r="E173" s="34"/>
      <c r="F173" s="33"/>
      <c r="G173" s="33"/>
      <c r="H173" s="35"/>
      <c r="I173" s="33"/>
      <c r="J173" s="36"/>
      <c r="K173" s="69"/>
      <c r="L173" s="70"/>
      <c r="M173" s="70"/>
      <c r="N173" s="70"/>
      <c r="O173" s="70"/>
      <c r="P173" s="71"/>
      <c r="Q173" s="69"/>
      <c r="R173" s="70"/>
      <c r="S173" s="70"/>
      <c r="T173" s="55"/>
    </row>
    <row r="174" spans="1:20">
      <c r="A174" s="68"/>
      <c r="B174" s="13"/>
      <c r="C174" s="14"/>
      <c r="D174" s="15"/>
      <c r="E174" s="16"/>
      <c r="F174" s="15"/>
      <c r="G174" s="15"/>
      <c r="H174" s="17"/>
      <c r="I174" s="15"/>
      <c r="J174" s="18"/>
      <c r="K174" s="69"/>
      <c r="L174" s="70"/>
      <c r="M174" s="70"/>
      <c r="N174" s="70"/>
      <c r="O174" s="70"/>
      <c r="P174" s="71"/>
      <c r="Q174" s="69"/>
      <c r="R174" s="70"/>
      <c r="S174" s="70"/>
      <c r="T174" s="55"/>
    </row>
    <row r="175" spans="1:20">
      <c r="A175" s="68"/>
      <c r="B175" s="13"/>
      <c r="C175" s="14"/>
      <c r="D175" s="15"/>
      <c r="E175" s="16"/>
      <c r="F175" s="15"/>
      <c r="G175" s="15"/>
      <c r="H175" s="17"/>
      <c r="I175" s="15"/>
      <c r="J175" s="18"/>
      <c r="K175" s="69"/>
      <c r="L175" s="70"/>
      <c r="M175" s="70"/>
      <c r="N175" s="70"/>
      <c r="O175" s="70"/>
      <c r="P175" s="69"/>
      <c r="Q175" s="69"/>
      <c r="R175" s="70"/>
      <c r="S175" s="70"/>
      <c r="T175" s="55"/>
    </row>
    <row r="176" spans="1:20">
      <c r="A176" s="68"/>
      <c r="B176" s="13"/>
      <c r="C176" s="14"/>
      <c r="D176" s="15"/>
      <c r="E176" s="16"/>
      <c r="F176" s="15"/>
      <c r="G176" s="15"/>
      <c r="H176" s="17"/>
      <c r="I176" s="15"/>
      <c r="J176" s="18"/>
      <c r="K176" s="69"/>
      <c r="L176" s="70"/>
      <c r="M176" s="70"/>
      <c r="N176" s="70"/>
      <c r="O176" s="70"/>
      <c r="P176" s="69"/>
      <c r="Q176" s="69"/>
      <c r="R176" s="70"/>
      <c r="S176" s="70"/>
      <c r="T176" s="55"/>
    </row>
    <row r="177" spans="1:20">
      <c r="A177" s="68"/>
      <c r="B177" s="13"/>
      <c r="C177" s="14"/>
      <c r="D177" s="15"/>
      <c r="E177" s="16"/>
      <c r="F177" s="15"/>
      <c r="G177" s="15"/>
      <c r="H177" s="17"/>
      <c r="I177" s="15"/>
      <c r="J177" s="18"/>
      <c r="K177" s="69"/>
      <c r="L177" s="70"/>
      <c r="M177" s="70"/>
      <c r="N177" s="70"/>
      <c r="O177" s="70"/>
      <c r="P177" s="71"/>
      <c r="Q177" s="69"/>
      <c r="R177" s="70"/>
      <c r="S177" s="70"/>
      <c r="T177" s="55"/>
    </row>
    <row r="178" spans="1:20">
      <c r="A178" s="68"/>
      <c r="B178" s="13"/>
      <c r="C178" s="14"/>
      <c r="D178" s="15"/>
      <c r="E178" s="16"/>
      <c r="F178" s="106"/>
      <c r="G178" s="112"/>
      <c r="H178" s="107"/>
      <c r="I178" s="15"/>
      <c r="J178" s="18"/>
      <c r="K178" s="69"/>
      <c r="L178" s="70"/>
      <c r="M178" s="70"/>
      <c r="N178" s="70"/>
      <c r="O178" s="70"/>
      <c r="P178" s="71"/>
      <c r="Q178" s="69"/>
      <c r="R178" s="70"/>
      <c r="S178" s="70"/>
      <c r="T178" s="55"/>
    </row>
    <row r="179" spans="1:20">
      <c r="A179" s="68"/>
      <c r="B179" s="13"/>
      <c r="C179" s="14"/>
      <c r="D179" s="15"/>
      <c r="E179" s="16"/>
      <c r="F179" s="15"/>
      <c r="G179" s="15"/>
      <c r="H179" s="17"/>
      <c r="I179" s="15"/>
      <c r="J179" s="18"/>
      <c r="K179" s="69"/>
      <c r="L179" s="70"/>
      <c r="M179" s="70"/>
      <c r="N179" s="70"/>
      <c r="O179" s="70"/>
      <c r="P179" s="69"/>
      <c r="Q179" s="69"/>
      <c r="R179" s="70"/>
      <c r="S179" s="70"/>
      <c r="T179" s="55"/>
    </row>
    <row r="180" spans="1:20">
      <c r="A180" s="72"/>
      <c r="B180" s="31"/>
      <c r="C180" s="32"/>
      <c r="D180" s="33"/>
      <c r="E180" s="34"/>
      <c r="F180" s="33"/>
      <c r="G180" s="33"/>
      <c r="H180" s="35"/>
      <c r="I180" s="33"/>
      <c r="J180" s="36"/>
      <c r="K180" s="69"/>
      <c r="L180" s="70"/>
      <c r="M180" s="70"/>
      <c r="N180" s="70"/>
      <c r="O180" s="70"/>
      <c r="P180" s="69"/>
      <c r="Q180" s="69"/>
      <c r="R180" s="70"/>
      <c r="S180" s="70"/>
      <c r="T180" s="55"/>
    </row>
    <row r="181" spans="1:20">
      <c r="A181" s="72"/>
      <c r="B181" s="31"/>
      <c r="C181" s="32"/>
      <c r="D181" s="33"/>
      <c r="E181" s="34"/>
      <c r="F181" s="33"/>
      <c r="G181" s="33"/>
      <c r="H181" s="35"/>
      <c r="I181" s="33"/>
      <c r="J181" s="36"/>
      <c r="K181" s="69"/>
      <c r="L181" s="70"/>
      <c r="M181" s="70"/>
      <c r="N181" s="70"/>
      <c r="O181" s="70"/>
      <c r="P181" s="69"/>
      <c r="Q181" s="69"/>
      <c r="R181" s="70"/>
      <c r="S181" s="70"/>
      <c r="T181" s="55"/>
    </row>
    <row r="182" spans="1:20">
      <c r="A182" s="72"/>
      <c r="B182" s="31"/>
      <c r="C182" s="32"/>
      <c r="D182" s="33"/>
      <c r="E182" s="34"/>
      <c r="F182" s="33"/>
      <c r="G182" s="33"/>
      <c r="H182" s="35"/>
      <c r="I182" s="33"/>
      <c r="J182" s="36"/>
      <c r="K182" s="69"/>
      <c r="L182" s="70"/>
      <c r="M182" s="70"/>
      <c r="N182" s="70"/>
      <c r="O182" s="70"/>
      <c r="P182" s="71"/>
      <c r="Q182" s="69"/>
      <c r="R182" s="70"/>
      <c r="S182" s="73"/>
      <c r="T182" s="55"/>
    </row>
    <row r="183" spans="1:20">
      <c r="A183" s="72"/>
      <c r="B183" s="31"/>
      <c r="C183" s="32"/>
      <c r="D183" s="33"/>
      <c r="E183" s="34"/>
      <c r="F183" s="33"/>
      <c r="G183" s="33"/>
      <c r="H183" s="35"/>
      <c r="I183" s="33"/>
      <c r="J183" s="36"/>
      <c r="K183" s="69"/>
      <c r="L183" s="70"/>
      <c r="M183" s="70"/>
      <c r="N183" s="70"/>
      <c r="O183" s="70"/>
      <c r="P183" s="71"/>
      <c r="Q183" s="69"/>
      <c r="R183" s="70"/>
      <c r="S183" s="70"/>
      <c r="T183" s="55"/>
    </row>
    <row r="184" spans="1:20">
      <c r="A184" s="72"/>
      <c r="B184" s="31"/>
      <c r="C184" s="32"/>
      <c r="D184" s="33"/>
      <c r="E184" s="34"/>
      <c r="F184" s="33"/>
      <c r="G184" s="33"/>
      <c r="H184" s="35"/>
      <c r="I184" s="33"/>
      <c r="J184" s="36"/>
      <c r="K184" s="69"/>
      <c r="L184" s="70"/>
      <c r="M184" s="70"/>
      <c r="N184" s="70"/>
      <c r="O184" s="70"/>
      <c r="P184" s="71"/>
      <c r="Q184" s="69"/>
      <c r="R184" s="70"/>
      <c r="S184" s="70"/>
      <c r="T184" s="55"/>
    </row>
    <row r="185" spans="1:20">
      <c r="A185" s="72"/>
      <c r="B185" s="31"/>
      <c r="C185" s="32"/>
      <c r="D185" s="33"/>
      <c r="E185" s="34"/>
      <c r="F185" s="33"/>
      <c r="G185" s="33"/>
      <c r="H185" s="35"/>
      <c r="I185" s="33"/>
      <c r="J185" s="36"/>
      <c r="K185" s="69"/>
      <c r="L185" s="70"/>
      <c r="M185" s="70"/>
      <c r="N185" s="70"/>
      <c r="O185" s="70"/>
      <c r="P185" s="69"/>
      <c r="Q185" s="69"/>
      <c r="R185" s="70"/>
      <c r="S185" s="70"/>
      <c r="T185" s="55"/>
    </row>
    <row r="186" spans="1:20">
      <c r="A186" s="68"/>
      <c r="B186" s="13"/>
      <c r="C186" s="14"/>
      <c r="D186" s="15"/>
      <c r="E186" s="16"/>
      <c r="F186" s="15"/>
      <c r="G186" s="15"/>
      <c r="H186" s="17"/>
      <c r="I186" s="15"/>
      <c r="J186" s="18"/>
      <c r="K186" s="69"/>
      <c r="L186" s="70"/>
      <c r="M186" s="70"/>
      <c r="N186" s="70"/>
      <c r="O186" s="70"/>
      <c r="P186" s="71"/>
      <c r="Q186" s="69"/>
      <c r="R186" s="70"/>
      <c r="S186" s="70"/>
      <c r="T186" s="55"/>
    </row>
    <row r="187" spans="1:20">
      <c r="A187" s="72"/>
      <c r="B187" s="31"/>
      <c r="C187" s="32"/>
      <c r="D187" s="33"/>
      <c r="E187" s="34"/>
      <c r="F187" s="33"/>
      <c r="G187" s="33"/>
      <c r="H187" s="35"/>
      <c r="I187" s="33"/>
      <c r="J187" s="36"/>
      <c r="K187" s="69"/>
      <c r="L187" s="70"/>
      <c r="M187" s="70"/>
      <c r="N187" s="70"/>
      <c r="O187" s="70"/>
      <c r="P187" s="69"/>
      <c r="Q187" s="69"/>
      <c r="R187" s="70"/>
      <c r="S187" s="70"/>
      <c r="T187" s="55"/>
    </row>
    <row r="188" spans="1:20">
      <c r="A188" s="72"/>
      <c r="B188" s="31"/>
      <c r="C188" s="32"/>
      <c r="D188" s="33"/>
      <c r="E188" s="34"/>
      <c r="F188" s="33"/>
      <c r="G188" s="33"/>
      <c r="H188" s="35"/>
      <c r="I188" s="33"/>
      <c r="J188" s="36"/>
      <c r="K188" s="69"/>
      <c r="L188" s="70"/>
      <c r="M188" s="70"/>
      <c r="N188" s="70"/>
      <c r="O188" s="70"/>
      <c r="P188" s="71"/>
      <c r="Q188" s="69"/>
      <c r="R188" s="70"/>
      <c r="S188" s="70"/>
      <c r="T188" s="55"/>
    </row>
    <row r="189" spans="1:20">
      <c r="A189" s="72"/>
      <c r="B189" s="31"/>
      <c r="C189" s="32"/>
      <c r="D189" s="33"/>
      <c r="E189" s="34"/>
      <c r="F189" s="33"/>
      <c r="G189" s="33"/>
      <c r="H189" s="35"/>
      <c r="I189" s="33"/>
      <c r="J189" s="36"/>
      <c r="K189" s="69"/>
      <c r="L189" s="70"/>
      <c r="M189" s="70"/>
      <c r="N189" s="70"/>
      <c r="O189" s="70"/>
      <c r="P189" s="71"/>
      <c r="Q189" s="69"/>
      <c r="R189" s="70"/>
      <c r="S189" s="70"/>
      <c r="T189" s="55"/>
    </row>
    <row r="190" spans="1:20">
      <c r="A190" s="72"/>
      <c r="B190" s="31"/>
      <c r="C190" s="32"/>
      <c r="D190" s="33"/>
      <c r="E190" s="34"/>
      <c r="F190" s="33"/>
      <c r="G190" s="33"/>
      <c r="H190" s="35"/>
      <c r="I190" s="33"/>
      <c r="J190" s="36"/>
      <c r="K190" s="69"/>
      <c r="L190" s="70"/>
      <c r="M190" s="70"/>
      <c r="N190" s="70"/>
      <c r="O190" s="70"/>
      <c r="P190" s="69"/>
      <c r="Q190" s="69"/>
      <c r="R190" s="70"/>
      <c r="S190" s="70"/>
      <c r="T190" s="55"/>
    </row>
    <row r="191" spans="1:20">
      <c r="A191" s="72"/>
      <c r="B191" s="31"/>
      <c r="C191" s="32"/>
      <c r="D191" s="33"/>
      <c r="E191" s="34"/>
      <c r="F191" s="33"/>
      <c r="G191" s="33"/>
      <c r="H191" s="35"/>
      <c r="I191" s="33"/>
      <c r="J191" s="36"/>
      <c r="K191" s="69"/>
      <c r="L191" s="70"/>
      <c r="M191" s="70"/>
      <c r="N191" s="70"/>
      <c r="O191" s="70"/>
      <c r="P191" s="71"/>
      <c r="Q191" s="69"/>
      <c r="R191" s="70"/>
      <c r="S191" s="70"/>
      <c r="T191" s="55"/>
    </row>
    <row r="192" spans="1:20">
      <c r="A192" s="72"/>
      <c r="B192" s="31"/>
      <c r="C192" s="32"/>
      <c r="D192" s="33"/>
      <c r="E192" s="34"/>
      <c r="F192" s="33"/>
      <c r="G192" s="33"/>
      <c r="H192" s="35"/>
      <c r="I192" s="33"/>
      <c r="J192" s="36"/>
      <c r="K192" s="69"/>
      <c r="L192" s="70"/>
      <c r="M192" s="70"/>
      <c r="N192" s="70"/>
      <c r="O192" s="70"/>
      <c r="P192" s="69"/>
      <c r="Q192" s="69"/>
      <c r="R192" s="70"/>
      <c r="S192" s="70"/>
      <c r="T192" s="55"/>
    </row>
    <row r="193" spans="1:20">
      <c r="A193" s="72"/>
      <c r="B193" s="31"/>
      <c r="C193" s="32"/>
      <c r="D193" s="33"/>
      <c r="E193" s="34"/>
      <c r="F193" s="33"/>
      <c r="G193" s="33"/>
      <c r="H193" s="35"/>
      <c r="I193" s="33"/>
      <c r="J193" s="36"/>
      <c r="K193" s="69"/>
      <c r="L193" s="70"/>
      <c r="M193" s="70"/>
      <c r="N193" s="70"/>
      <c r="O193" s="70"/>
      <c r="P193" s="71"/>
      <c r="Q193" s="69"/>
      <c r="R193" s="70"/>
      <c r="S193" s="70"/>
      <c r="T193" s="55"/>
    </row>
    <row r="194" spans="1:20">
      <c r="A194" s="68"/>
      <c r="B194" s="13"/>
      <c r="C194" s="14"/>
      <c r="D194" s="15"/>
      <c r="E194" s="16"/>
      <c r="F194" s="15"/>
      <c r="G194" s="15"/>
      <c r="H194" s="17"/>
      <c r="I194" s="15"/>
      <c r="J194" s="18"/>
      <c r="K194" s="69"/>
      <c r="L194" s="70"/>
      <c r="M194" s="70"/>
      <c r="N194" s="70"/>
      <c r="O194" s="70"/>
      <c r="P194" s="69"/>
      <c r="Q194" s="69"/>
      <c r="R194" s="70"/>
      <c r="S194" s="70"/>
      <c r="T194" s="55"/>
    </row>
    <row r="195" spans="1:20">
      <c r="A195" s="68"/>
      <c r="B195" s="13"/>
      <c r="C195" s="14"/>
      <c r="D195" s="15"/>
      <c r="E195" s="16"/>
      <c r="F195" s="15"/>
      <c r="G195" s="15"/>
      <c r="H195" s="17"/>
      <c r="I195" s="15"/>
      <c r="J195" s="18"/>
      <c r="K195" s="69"/>
      <c r="L195" s="70"/>
      <c r="M195" s="70"/>
      <c r="N195" s="70"/>
      <c r="O195" s="70"/>
      <c r="P195" s="69"/>
      <c r="Q195" s="69"/>
      <c r="R195" s="70"/>
      <c r="S195" s="70"/>
      <c r="T195" s="55"/>
    </row>
    <row r="196" spans="1:20">
      <c r="A196" s="68"/>
      <c r="B196" s="13"/>
      <c r="C196" s="14"/>
      <c r="D196" s="15"/>
      <c r="E196" s="16"/>
      <c r="F196" s="15"/>
      <c r="G196" s="15"/>
      <c r="H196" s="17"/>
      <c r="I196" s="15"/>
      <c r="J196" s="18"/>
      <c r="K196" s="69"/>
      <c r="L196" s="70"/>
      <c r="M196" s="70"/>
      <c r="N196" s="70"/>
      <c r="O196" s="70"/>
      <c r="P196" s="71"/>
      <c r="Q196" s="69"/>
      <c r="R196" s="70"/>
      <c r="S196" s="70"/>
      <c r="T196" s="55"/>
    </row>
    <row r="197" spans="1:20">
      <c r="A197" s="68"/>
      <c r="B197" s="13"/>
      <c r="C197" s="14"/>
      <c r="D197" s="15"/>
      <c r="E197" s="16"/>
      <c r="F197" s="15"/>
      <c r="G197" s="15"/>
      <c r="H197" s="17"/>
      <c r="I197" s="15"/>
      <c r="J197" s="18"/>
      <c r="K197" s="69"/>
      <c r="L197" s="70"/>
      <c r="M197" s="70"/>
      <c r="N197" s="70"/>
      <c r="O197" s="70"/>
      <c r="P197" s="69"/>
      <c r="Q197" s="69"/>
      <c r="R197" s="70"/>
      <c r="S197" s="70"/>
      <c r="T197" s="55"/>
    </row>
    <row r="198" spans="1:20">
      <c r="A198" s="72"/>
      <c r="B198" s="31"/>
      <c r="C198" s="32"/>
      <c r="D198" s="33"/>
      <c r="E198" s="34"/>
      <c r="F198" s="33"/>
      <c r="G198" s="33"/>
      <c r="H198" s="35"/>
      <c r="I198" s="33"/>
      <c r="J198" s="36"/>
      <c r="K198" s="69"/>
      <c r="L198" s="70"/>
      <c r="M198" s="70"/>
      <c r="N198" s="70"/>
      <c r="O198" s="70"/>
      <c r="P198" s="71"/>
      <c r="Q198" s="69"/>
      <c r="R198" s="70"/>
      <c r="S198" s="70"/>
      <c r="T198" s="55"/>
    </row>
    <row r="199" spans="1:20">
      <c r="A199" s="72"/>
      <c r="B199" s="31"/>
      <c r="C199" s="32"/>
      <c r="D199" s="33"/>
      <c r="E199" s="34"/>
      <c r="F199" s="33"/>
      <c r="G199" s="33"/>
      <c r="H199" s="35"/>
      <c r="I199" s="33"/>
      <c r="J199" s="36"/>
      <c r="K199" s="69"/>
      <c r="L199" s="70"/>
      <c r="M199" s="70"/>
      <c r="N199" s="70"/>
      <c r="O199" s="70"/>
      <c r="P199" s="69"/>
      <c r="Q199" s="69"/>
      <c r="R199" s="70"/>
      <c r="S199" s="70"/>
      <c r="T199" s="55"/>
    </row>
    <row r="200" spans="1:20">
      <c r="A200" s="72"/>
      <c r="B200" s="31"/>
      <c r="C200" s="32"/>
      <c r="D200" s="33"/>
      <c r="E200" s="34"/>
      <c r="F200" s="33"/>
      <c r="G200" s="33"/>
      <c r="H200" s="35"/>
      <c r="I200" s="33"/>
      <c r="J200" s="36"/>
      <c r="K200" s="69"/>
      <c r="L200" s="70"/>
      <c r="M200" s="70"/>
      <c r="N200" s="70"/>
      <c r="O200" s="70"/>
      <c r="P200" s="69"/>
      <c r="Q200" s="69"/>
      <c r="R200" s="70"/>
      <c r="S200" s="70"/>
      <c r="T200" s="55"/>
    </row>
    <row r="201" spans="1:20">
      <c r="A201" s="72"/>
      <c r="B201" s="31"/>
      <c r="C201" s="32"/>
      <c r="D201" s="33"/>
      <c r="E201" s="34"/>
      <c r="F201" s="33"/>
      <c r="G201" s="33"/>
      <c r="H201" s="35"/>
      <c r="I201" s="33"/>
      <c r="J201" s="36"/>
      <c r="K201" s="69"/>
      <c r="L201" s="70"/>
      <c r="M201" s="70"/>
      <c r="N201" s="70"/>
      <c r="O201" s="70"/>
      <c r="P201" s="69"/>
      <c r="Q201" s="69"/>
      <c r="R201" s="70"/>
      <c r="S201" s="73"/>
      <c r="T201" s="55"/>
    </row>
    <row r="202" spans="1:20">
      <c r="A202" s="72"/>
      <c r="B202" s="31"/>
      <c r="C202" s="32"/>
      <c r="D202" s="33"/>
      <c r="E202" s="34"/>
      <c r="F202" s="33"/>
      <c r="G202" s="33"/>
      <c r="H202" s="35"/>
      <c r="I202" s="33"/>
      <c r="J202" s="36"/>
      <c r="K202" s="69"/>
      <c r="L202" s="70"/>
      <c r="M202" s="70"/>
      <c r="N202" s="70"/>
      <c r="O202" s="70"/>
      <c r="P202" s="71"/>
      <c r="Q202" s="69"/>
      <c r="R202" s="70"/>
      <c r="S202" s="70"/>
      <c r="T202" s="55"/>
    </row>
    <row r="203" spans="1:20">
      <c r="A203" s="72"/>
      <c r="B203" s="31"/>
      <c r="C203" s="32"/>
      <c r="D203" s="33"/>
      <c r="E203" s="34"/>
      <c r="F203" s="33"/>
      <c r="G203" s="33"/>
      <c r="H203" s="35"/>
      <c r="I203" s="33"/>
      <c r="J203" s="36"/>
      <c r="K203" s="69"/>
      <c r="L203" s="70"/>
      <c r="M203" s="70"/>
      <c r="N203" s="70"/>
      <c r="O203" s="70"/>
      <c r="P203" s="71"/>
      <c r="Q203" s="69"/>
      <c r="R203" s="70"/>
      <c r="S203" s="70"/>
      <c r="T203" s="55"/>
    </row>
    <row r="204" spans="1:20">
      <c r="A204" s="72"/>
      <c r="B204" s="31"/>
      <c r="C204" s="32"/>
      <c r="D204" s="33"/>
      <c r="E204" s="34"/>
      <c r="F204" s="33"/>
      <c r="G204" s="33"/>
      <c r="H204" s="35"/>
      <c r="I204" s="33"/>
      <c r="J204" s="36"/>
      <c r="K204" s="69"/>
      <c r="L204" s="70"/>
      <c r="M204" s="70"/>
      <c r="N204" s="70"/>
      <c r="O204" s="70"/>
      <c r="P204" s="69"/>
      <c r="Q204" s="69"/>
      <c r="R204" s="70"/>
      <c r="S204" s="70"/>
      <c r="T204" s="55"/>
    </row>
    <row r="205" spans="1:20">
      <c r="A205" s="72"/>
      <c r="B205" s="31"/>
      <c r="C205" s="32"/>
      <c r="D205" s="33"/>
      <c r="E205" s="34"/>
      <c r="F205" s="33"/>
      <c r="G205" s="33"/>
      <c r="H205" s="35"/>
      <c r="I205" s="33"/>
      <c r="J205" s="36"/>
      <c r="K205" s="69"/>
      <c r="L205" s="70"/>
      <c r="M205" s="70"/>
      <c r="N205" s="70"/>
      <c r="O205" s="70"/>
      <c r="P205" s="69"/>
      <c r="Q205" s="69"/>
      <c r="R205" s="70"/>
      <c r="S205" s="70"/>
      <c r="T205" s="55"/>
    </row>
    <row r="206" spans="1:20">
      <c r="A206" s="72"/>
      <c r="B206" s="31"/>
      <c r="C206" s="32"/>
      <c r="D206" s="33"/>
      <c r="E206" s="34"/>
      <c r="F206" s="33"/>
      <c r="G206" s="33"/>
      <c r="H206" s="35"/>
      <c r="I206" s="33"/>
      <c r="J206" s="36"/>
      <c r="K206" s="69"/>
      <c r="L206" s="113"/>
      <c r="M206" s="113"/>
      <c r="N206" s="70"/>
      <c r="O206" s="70"/>
      <c r="P206" s="71"/>
      <c r="Q206" s="69"/>
      <c r="R206" s="113"/>
      <c r="S206" s="70"/>
      <c r="T206" s="55"/>
    </row>
    <row r="207" spans="1:20">
      <c r="A207" s="72"/>
      <c r="B207" s="31"/>
      <c r="C207" s="32"/>
      <c r="D207" s="33"/>
      <c r="E207" s="34"/>
      <c r="F207" s="33"/>
      <c r="G207" s="33"/>
      <c r="H207" s="35"/>
      <c r="I207" s="33"/>
      <c r="J207" s="36"/>
      <c r="K207" s="69"/>
      <c r="L207" s="113"/>
      <c r="M207" s="113"/>
      <c r="N207" s="70"/>
      <c r="O207" s="70"/>
      <c r="P207" s="71"/>
      <c r="Q207" s="69"/>
      <c r="R207" s="113"/>
      <c r="S207" s="70"/>
      <c r="T207" s="55"/>
    </row>
    <row r="208" spans="1:20">
      <c r="A208" s="72"/>
      <c r="B208" s="31"/>
      <c r="C208" s="32"/>
      <c r="D208" s="33"/>
      <c r="E208" s="34"/>
      <c r="F208" s="33"/>
      <c r="G208" s="33"/>
      <c r="H208" s="35"/>
      <c r="I208" s="33"/>
      <c r="J208" s="36"/>
      <c r="K208" s="69"/>
      <c r="L208" s="113"/>
      <c r="M208" s="113"/>
      <c r="N208" s="70"/>
      <c r="O208" s="70"/>
      <c r="P208" s="71"/>
      <c r="Q208" s="69"/>
      <c r="R208" s="113"/>
      <c r="S208" s="70"/>
      <c r="T208" s="55"/>
    </row>
    <row r="209" spans="1:20">
      <c r="A209" s="72"/>
      <c r="B209" s="31"/>
      <c r="C209" s="32"/>
      <c r="D209" s="33"/>
      <c r="E209" s="34"/>
      <c r="F209" s="33"/>
      <c r="G209" s="33"/>
      <c r="H209" s="35"/>
      <c r="I209" s="33"/>
      <c r="J209" s="36"/>
      <c r="K209" s="69"/>
      <c r="L209" s="113"/>
      <c r="M209" s="113"/>
      <c r="N209" s="70"/>
      <c r="O209" s="70"/>
      <c r="P209" s="71"/>
      <c r="Q209" s="69"/>
      <c r="R209" s="113"/>
      <c r="S209" s="70"/>
      <c r="T209" s="55"/>
    </row>
    <row r="210" spans="1:20">
      <c r="A210" s="72"/>
      <c r="B210" s="31"/>
      <c r="C210" s="32"/>
      <c r="D210" s="33"/>
      <c r="E210" s="34"/>
      <c r="F210" s="33"/>
      <c r="G210" s="33"/>
      <c r="H210" s="35"/>
      <c r="I210" s="33"/>
      <c r="J210" s="36"/>
      <c r="K210" s="69"/>
      <c r="L210" s="113"/>
      <c r="M210" s="113"/>
      <c r="N210" s="70"/>
      <c r="O210" s="70"/>
      <c r="P210" s="71"/>
      <c r="Q210" s="69"/>
      <c r="R210" s="113"/>
      <c r="S210" s="70"/>
      <c r="T210" s="55"/>
    </row>
    <row r="211" spans="1:20">
      <c r="A211" s="72"/>
      <c r="B211" s="31"/>
      <c r="C211" s="32"/>
      <c r="D211" s="33"/>
      <c r="E211" s="34"/>
      <c r="F211" s="33"/>
      <c r="G211" s="33"/>
      <c r="H211" s="35"/>
      <c r="I211" s="33"/>
      <c r="J211" s="36"/>
      <c r="K211" s="69"/>
      <c r="L211" s="70"/>
      <c r="M211" s="70"/>
      <c r="N211" s="70"/>
      <c r="O211" s="70"/>
      <c r="P211" s="69"/>
      <c r="Q211" s="69"/>
      <c r="R211" s="70"/>
      <c r="S211" s="70"/>
      <c r="T211" s="55"/>
    </row>
    <row r="212" spans="1:20">
      <c r="A212" s="68"/>
      <c r="B212" s="13"/>
      <c r="C212" s="14"/>
      <c r="D212" s="15"/>
      <c r="E212" s="16"/>
      <c r="F212" s="15"/>
      <c r="G212" s="15"/>
      <c r="H212" s="17"/>
      <c r="I212" s="15"/>
      <c r="J212" s="18"/>
      <c r="K212" s="69"/>
      <c r="L212" s="70"/>
      <c r="M212" s="70"/>
      <c r="N212" s="70"/>
      <c r="O212" s="70"/>
      <c r="P212" s="69"/>
      <c r="Q212" s="69"/>
      <c r="R212" s="70"/>
      <c r="S212" s="70"/>
      <c r="T212" s="55"/>
    </row>
    <row r="213" spans="1:20">
      <c r="A213" s="68"/>
      <c r="B213" s="13"/>
      <c r="C213" s="14"/>
      <c r="D213" s="15"/>
      <c r="E213" s="16"/>
      <c r="F213" s="15"/>
      <c r="G213" s="15"/>
      <c r="H213" s="17"/>
      <c r="I213" s="15"/>
      <c r="J213" s="18"/>
      <c r="K213" s="69"/>
      <c r="L213" s="70"/>
      <c r="M213" s="70"/>
      <c r="N213" s="70"/>
      <c r="O213" s="70"/>
      <c r="P213" s="71"/>
      <c r="Q213" s="69"/>
      <c r="R213" s="70"/>
      <c r="S213" s="70"/>
      <c r="T213" s="55"/>
    </row>
    <row r="214" spans="1:20">
      <c r="A214" s="68"/>
      <c r="B214" s="13"/>
      <c r="C214" s="14"/>
      <c r="D214" s="15"/>
      <c r="E214" s="16"/>
      <c r="F214" s="15"/>
      <c r="G214" s="15"/>
      <c r="H214" s="17"/>
      <c r="I214" s="15"/>
      <c r="J214" s="18"/>
      <c r="K214" s="69"/>
      <c r="L214" s="70"/>
      <c r="M214" s="70"/>
      <c r="N214" s="70"/>
      <c r="O214" s="70"/>
      <c r="P214" s="71"/>
      <c r="Q214" s="69"/>
      <c r="R214" s="70"/>
      <c r="S214" s="70"/>
      <c r="T214" s="55"/>
    </row>
    <row r="215" spans="1:20">
      <c r="A215" s="68"/>
      <c r="B215" s="13"/>
      <c r="C215" s="14"/>
      <c r="D215" s="15"/>
      <c r="E215" s="16"/>
      <c r="F215" s="15"/>
      <c r="G215" s="15"/>
      <c r="H215" s="17"/>
      <c r="I215" s="15"/>
      <c r="J215" s="18"/>
      <c r="K215" s="69"/>
      <c r="L215" s="70"/>
      <c r="M215" s="70"/>
      <c r="N215" s="70"/>
      <c r="O215" s="70"/>
      <c r="P215" s="69"/>
      <c r="Q215" s="69"/>
      <c r="R215" s="70"/>
      <c r="S215" s="70"/>
      <c r="T215" s="55"/>
    </row>
    <row r="216" spans="1:20">
      <c r="A216" s="68"/>
      <c r="B216" s="13"/>
      <c r="C216" s="14"/>
      <c r="D216" s="15"/>
      <c r="E216" s="16"/>
      <c r="F216" s="15"/>
      <c r="G216" s="15"/>
      <c r="H216" s="17"/>
      <c r="I216" s="15"/>
      <c r="J216" s="18"/>
      <c r="K216" s="69"/>
      <c r="L216" s="70"/>
      <c r="M216" s="70"/>
      <c r="N216" s="70"/>
      <c r="O216" s="70"/>
      <c r="P216" s="69"/>
      <c r="Q216" s="69"/>
      <c r="R216" s="70"/>
      <c r="S216" s="70"/>
      <c r="T216" s="55"/>
    </row>
    <row r="217" spans="1:20">
      <c r="A217" s="72"/>
      <c r="B217" s="31"/>
      <c r="C217" s="32"/>
      <c r="D217" s="33"/>
      <c r="E217" s="34"/>
      <c r="F217" s="33"/>
      <c r="G217" s="33"/>
      <c r="H217" s="35"/>
      <c r="I217" s="33"/>
      <c r="J217" s="36"/>
      <c r="K217" s="69"/>
      <c r="L217" s="70"/>
      <c r="M217" s="70"/>
      <c r="N217" s="70"/>
      <c r="O217" s="70"/>
      <c r="P217" s="71"/>
      <c r="Q217" s="69"/>
      <c r="R217" s="70"/>
      <c r="S217" s="70"/>
      <c r="T217" s="55"/>
    </row>
    <row r="218" spans="1:20">
      <c r="A218" s="72"/>
      <c r="B218" s="31"/>
      <c r="C218" s="32"/>
      <c r="D218" s="33"/>
      <c r="E218" s="34"/>
      <c r="F218" s="33"/>
      <c r="G218" s="33"/>
      <c r="H218" s="35"/>
      <c r="I218" s="33"/>
      <c r="J218" s="36"/>
      <c r="K218" s="69"/>
      <c r="L218" s="70"/>
      <c r="M218" s="70"/>
      <c r="N218" s="70"/>
      <c r="O218" s="70"/>
      <c r="P218" s="71"/>
      <c r="Q218" s="69"/>
      <c r="R218" s="70"/>
      <c r="S218" s="70"/>
      <c r="T218" s="55"/>
    </row>
    <row r="219" spans="1:20">
      <c r="A219" s="72"/>
      <c r="B219" s="31"/>
      <c r="C219" s="32"/>
      <c r="D219" s="33"/>
      <c r="E219" s="34"/>
      <c r="F219" s="33"/>
      <c r="G219" s="33"/>
      <c r="H219" s="35"/>
      <c r="I219" s="33"/>
      <c r="J219" s="36"/>
      <c r="K219" s="69"/>
      <c r="L219" s="70"/>
      <c r="M219" s="70"/>
      <c r="N219" s="70"/>
      <c r="O219" s="70"/>
      <c r="P219" s="69"/>
      <c r="Q219" s="69"/>
      <c r="R219" s="70"/>
      <c r="S219" s="70"/>
      <c r="T219" s="55"/>
    </row>
    <row r="220" spans="1:20">
      <c r="A220" s="68"/>
      <c r="B220" s="13"/>
      <c r="C220" s="14"/>
      <c r="D220" s="15"/>
      <c r="E220" s="16"/>
      <c r="F220" s="15"/>
      <c r="G220" s="15"/>
      <c r="H220" s="17"/>
      <c r="I220" s="15"/>
      <c r="J220" s="18"/>
      <c r="K220" s="69"/>
      <c r="L220" s="70"/>
      <c r="M220" s="70"/>
      <c r="N220" s="70"/>
      <c r="O220" s="70"/>
      <c r="P220" s="71"/>
      <c r="Q220" s="69"/>
      <c r="R220" s="70"/>
      <c r="S220" s="70"/>
      <c r="T220" s="55"/>
    </row>
    <row r="221" spans="1:20">
      <c r="A221" s="72"/>
      <c r="B221" s="31"/>
      <c r="C221" s="32"/>
      <c r="D221" s="33"/>
      <c r="E221" s="34"/>
      <c r="F221" s="33"/>
      <c r="G221" s="33"/>
      <c r="H221" s="35"/>
      <c r="I221" s="33"/>
      <c r="J221" s="36"/>
      <c r="K221" s="69"/>
      <c r="L221" s="70"/>
      <c r="M221" s="70"/>
      <c r="N221" s="70"/>
      <c r="O221" s="70"/>
      <c r="P221" s="69"/>
      <c r="Q221" s="69"/>
      <c r="R221" s="70"/>
      <c r="S221" s="70"/>
      <c r="T221" s="55"/>
    </row>
    <row r="222" spans="1:20">
      <c r="A222" s="72"/>
      <c r="B222" s="31"/>
      <c r="C222" s="32"/>
      <c r="D222" s="33"/>
      <c r="E222" s="34"/>
      <c r="F222" s="33"/>
      <c r="G222" s="33"/>
      <c r="H222" s="35"/>
      <c r="I222" s="33"/>
      <c r="J222" s="36"/>
      <c r="K222" s="69"/>
      <c r="L222" s="70"/>
      <c r="M222" s="70"/>
      <c r="N222" s="70"/>
      <c r="O222" s="70"/>
      <c r="P222" s="69"/>
      <c r="Q222" s="69"/>
      <c r="R222" s="70"/>
      <c r="S222" s="70"/>
      <c r="T222" s="55"/>
    </row>
    <row r="223" spans="1:20">
      <c r="A223" s="68"/>
      <c r="B223" s="13"/>
      <c r="C223" s="14"/>
      <c r="D223" s="15"/>
      <c r="E223" s="16"/>
      <c r="F223" s="15"/>
      <c r="G223" s="15"/>
      <c r="H223" s="17"/>
      <c r="I223" s="15"/>
      <c r="J223" s="18"/>
      <c r="K223" s="69"/>
      <c r="L223" s="70"/>
      <c r="M223" s="70"/>
      <c r="N223" s="70"/>
      <c r="O223" s="70"/>
      <c r="P223" s="69"/>
      <c r="Q223" s="69"/>
      <c r="R223" s="70"/>
      <c r="S223" s="70"/>
      <c r="T223" s="55"/>
    </row>
    <row r="224" spans="1:20">
      <c r="A224" s="72"/>
      <c r="B224" s="31"/>
      <c r="C224" s="32"/>
      <c r="D224" s="33"/>
      <c r="E224" s="34"/>
      <c r="F224" s="33"/>
      <c r="G224" s="33"/>
      <c r="H224" s="35"/>
      <c r="I224" s="33"/>
      <c r="J224" s="36"/>
      <c r="K224" s="69"/>
      <c r="L224" s="70"/>
      <c r="M224" s="70"/>
      <c r="N224" s="70"/>
      <c r="O224" s="70"/>
      <c r="P224" s="69"/>
      <c r="Q224" s="69"/>
      <c r="R224" s="70"/>
      <c r="S224" s="70"/>
      <c r="T224" s="55"/>
    </row>
    <row r="225" spans="1:20">
      <c r="A225" s="68"/>
      <c r="B225" s="13"/>
      <c r="C225" s="14"/>
      <c r="D225" s="15"/>
      <c r="E225" s="16"/>
      <c r="F225" s="15"/>
      <c r="G225" s="15"/>
      <c r="H225" s="17"/>
      <c r="I225" s="15"/>
      <c r="J225" s="18"/>
      <c r="K225" s="69"/>
      <c r="L225" s="70"/>
      <c r="M225" s="70"/>
      <c r="N225" s="70"/>
      <c r="O225" s="70"/>
      <c r="P225" s="69"/>
      <c r="Q225" s="69"/>
      <c r="R225" s="70"/>
      <c r="S225" s="70"/>
      <c r="T225" s="55"/>
    </row>
    <row r="226" spans="1:20">
      <c r="A226" s="72"/>
      <c r="B226" s="31"/>
      <c r="C226" s="32"/>
      <c r="D226" s="33"/>
      <c r="E226" s="34"/>
      <c r="F226" s="33"/>
      <c r="G226" s="33"/>
      <c r="H226" s="35"/>
      <c r="I226" s="33"/>
      <c r="J226" s="36"/>
      <c r="K226" s="69"/>
      <c r="L226" s="70"/>
      <c r="M226" s="70"/>
      <c r="N226" s="70"/>
      <c r="O226" s="70"/>
      <c r="P226" s="71"/>
      <c r="Q226" s="69"/>
      <c r="R226" s="70"/>
      <c r="S226" s="70"/>
      <c r="T226" s="55"/>
    </row>
    <row r="227" spans="1:20">
      <c r="A227" s="68"/>
      <c r="B227" s="13"/>
      <c r="C227" s="14"/>
      <c r="D227" s="15"/>
      <c r="E227" s="16"/>
      <c r="F227" s="15"/>
      <c r="G227" s="15"/>
      <c r="H227" s="17"/>
      <c r="I227" s="15"/>
      <c r="J227" s="18"/>
      <c r="K227" s="69"/>
      <c r="L227" s="70"/>
      <c r="M227" s="70"/>
      <c r="N227" s="70"/>
      <c r="O227" s="70"/>
      <c r="P227" s="71"/>
      <c r="Q227" s="69"/>
      <c r="R227" s="70"/>
      <c r="S227" s="70"/>
      <c r="T227" s="55"/>
    </row>
    <row r="228" spans="1:20">
      <c r="A228" s="78"/>
      <c r="B228" s="79"/>
      <c r="C228" s="80"/>
      <c r="D228" s="81"/>
      <c r="E228" s="82"/>
      <c r="F228" s="81"/>
      <c r="G228" s="81"/>
      <c r="H228" s="83"/>
      <c r="I228" s="81"/>
      <c r="J228" s="84"/>
      <c r="K228" s="74"/>
      <c r="L228" s="75"/>
      <c r="M228" s="75"/>
      <c r="N228" s="75"/>
      <c r="O228" s="75"/>
      <c r="P228" s="74"/>
      <c r="Q228" s="74"/>
      <c r="R228" s="75"/>
      <c r="S228" s="75"/>
      <c r="T228" s="77"/>
    </row>
    <row r="229" spans="1:20">
      <c r="A229" s="72"/>
      <c r="B229" s="31"/>
      <c r="C229" s="32"/>
      <c r="D229" s="33"/>
      <c r="E229" s="34"/>
      <c r="F229" s="33"/>
      <c r="G229" s="33"/>
      <c r="H229" s="35"/>
      <c r="I229" s="33"/>
      <c r="J229" s="36"/>
      <c r="K229" s="69"/>
      <c r="L229" s="70"/>
      <c r="M229" s="70"/>
      <c r="N229" s="70"/>
      <c r="O229" s="70"/>
      <c r="P229" s="71"/>
      <c r="Q229" s="69"/>
      <c r="R229" s="70"/>
      <c r="S229" s="70"/>
      <c r="T229" s="55"/>
    </row>
    <row r="230" spans="1:20">
      <c r="A230" s="72"/>
      <c r="B230" s="31"/>
      <c r="C230" s="32"/>
      <c r="D230" s="33"/>
      <c r="E230" s="34"/>
      <c r="F230" s="33"/>
      <c r="G230" s="33"/>
      <c r="H230" s="35"/>
      <c r="I230" s="33"/>
      <c r="J230" s="36"/>
      <c r="K230" s="69"/>
      <c r="L230" s="70"/>
      <c r="M230" s="70"/>
      <c r="N230" s="70"/>
      <c r="O230" s="70"/>
      <c r="P230" s="71"/>
      <c r="Q230" s="69"/>
      <c r="R230" s="70"/>
      <c r="S230" s="73"/>
      <c r="T230" s="55"/>
    </row>
    <row r="231" spans="1:20">
      <c r="A231" s="72"/>
      <c r="B231" s="31"/>
      <c r="C231" s="32"/>
      <c r="D231" s="33"/>
      <c r="E231" s="34"/>
      <c r="F231" s="33"/>
      <c r="G231" s="33"/>
      <c r="H231" s="35"/>
      <c r="I231" s="33"/>
      <c r="J231" s="36"/>
      <c r="K231" s="69"/>
      <c r="L231" s="70"/>
      <c r="M231" s="70"/>
      <c r="N231" s="70"/>
      <c r="O231" s="70"/>
      <c r="P231" s="69"/>
      <c r="Q231" s="69"/>
      <c r="R231" s="70"/>
      <c r="S231" s="70"/>
      <c r="T231" s="55"/>
    </row>
    <row r="232" spans="1:20">
      <c r="A232" s="72"/>
      <c r="B232" s="31"/>
      <c r="C232" s="32"/>
      <c r="D232" s="33"/>
      <c r="E232" s="34"/>
      <c r="F232" s="33"/>
      <c r="G232" s="33"/>
      <c r="H232" s="35"/>
      <c r="I232" s="33"/>
      <c r="J232" s="36"/>
      <c r="K232" s="69"/>
      <c r="L232" s="70"/>
      <c r="M232" s="70"/>
      <c r="N232" s="70"/>
      <c r="O232" s="70"/>
      <c r="P232" s="69"/>
      <c r="Q232" s="69"/>
      <c r="R232" s="70"/>
      <c r="S232" s="70"/>
      <c r="T232" s="55"/>
    </row>
    <row r="233" spans="1:20">
      <c r="A233" s="72"/>
      <c r="B233" s="31"/>
      <c r="C233" s="32"/>
      <c r="D233" s="33"/>
      <c r="E233" s="34"/>
      <c r="F233" s="33"/>
      <c r="G233" s="33"/>
      <c r="H233" s="35"/>
      <c r="I233" s="33"/>
      <c r="J233" s="36"/>
      <c r="K233" s="69"/>
      <c r="L233" s="113"/>
      <c r="M233" s="113"/>
      <c r="N233" s="70"/>
      <c r="O233" s="70"/>
      <c r="P233" s="71"/>
      <c r="Q233" s="69"/>
      <c r="R233" s="113"/>
      <c r="S233" s="70"/>
      <c r="T233" s="55"/>
    </row>
    <row r="234" spans="1:20">
      <c r="A234" s="68"/>
      <c r="B234" s="13"/>
      <c r="C234" s="14"/>
      <c r="D234" s="15"/>
      <c r="E234" s="16"/>
      <c r="F234" s="15"/>
      <c r="G234" s="15"/>
      <c r="H234" s="17"/>
      <c r="I234" s="15"/>
      <c r="J234" s="18"/>
      <c r="K234" s="69"/>
      <c r="L234" s="70"/>
      <c r="M234" s="70"/>
      <c r="N234" s="70"/>
      <c r="O234" s="70"/>
      <c r="P234" s="69"/>
      <c r="Q234" s="69"/>
      <c r="R234" s="70"/>
      <c r="S234" s="70"/>
      <c r="T234" s="55"/>
    </row>
    <row r="235" spans="1:20">
      <c r="A235" s="68"/>
      <c r="B235" s="13"/>
      <c r="C235" s="14"/>
      <c r="D235" s="15"/>
      <c r="E235" s="16"/>
      <c r="F235" s="15"/>
      <c r="G235" s="15"/>
      <c r="H235" s="17"/>
      <c r="I235" s="15"/>
      <c r="J235" s="18"/>
      <c r="K235" s="69"/>
      <c r="L235" s="70"/>
      <c r="M235" s="70"/>
      <c r="N235" s="70"/>
      <c r="O235" s="70"/>
      <c r="P235" s="71"/>
      <c r="Q235" s="69"/>
      <c r="R235" s="70"/>
      <c r="S235" s="70"/>
      <c r="T235" s="55"/>
    </row>
    <row r="236" spans="1:20">
      <c r="A236" s="68"/>
      <c r="B236" s="13"/>
      <c r="C236" s="14"/>
      <c r="D236" s="15"/>
      <c r="E236" s="16"/>
      <c r="F236" s="15"/>
      <c r="G236" s="15"/>
      <c r="H236" s="17"/>
      <c r="I236" s="15"/>
      <c r="J236" s="18"/>
      <c r="K236" s="69"/>
      <c r="L236" s="70"/>
      <c r="M236" s="70"/>
      <c r="N236" s="70"/>
      <c r="O236" s="70"/>
      <c r="P236" s="69"/>
      <c r="Q236" s="69"/>
      <c r="R236" s="70"/>
      <c r="S236" s="70"/>
      <c r="T236" s="55"/>
    </row>
    <row r="237" spans="1:20">
      <c r="A237" s="68"/>
      <c r="B237" s="13"/>
      <c r="C237" s="14"/>
      <c r="D237" s="15"/>
      <c r="E237" s="16"/>
      <c r="F237" s="15"/>
      <c r="G237" s="15"/>
      <c r="H237" s="17"/>
      <c r="I237" s="15"/>
      <c r="J237" s="18"/>
      <c r="K237" s="69"/>
      <c r="L237" s="70"/>
      <c r="M237" s="70"/>
      <c r="N237" s="70"/>
      <c r="O237" s="70"/>
      <c r="P237" s="69"/>
      <c r="Q237" s="69"/>
      <c r="R237" s="70"/>
      <c r="S237" s="70"/>
      <c r="T237" s="55"/>
    </row>
    <row r="238" spans="1:20">
      <c r="A238" s="68"/>
      <c r="B238" s="13"/>
      <c r="C238" s="14"/>
      <c r="D238" s="15"/>
      <c r="E238" s="16"/>
      <c r="F238" s="15"/>
      <c r="G238" s="15"/>
      <c r="H238" s="17"/>
      <c r="I238" s="15"/>
      <c r="J238" s="18"/>
      <c r="K238" s="69"/>
      <c r="L238" s="70"/>
      <c r="M238" s="70"/>
      <c r="N238" s="70"/>
      <c r="O238" s="70"/>
      <c r="P238" s="71"/>
      <c r="Q238" s="69"/>
      <c r="R238" s="70"/>
      <c r="S238" s="70"/>
      <c r="T238" s="55"/>
    </row>
    <row r="239" spans="1:20">
      <c r="A239" s="68"/>
      <c r="B239" s="13"/>
      <c r="C239" s="14"/>
      <c r="D239" s="15"/>
      <c r="E239" s="16"/>
      <c r="F239" s="15"/>
      <c r="G239" s="15"/>
      <c r="H239" s="17"/>
      <c r="I239" s="15"/>
      <c r="J239" s="18"/>
      <c r="K239" s="69"/>
      <c r="L239" s="70"/>
      <c r="M239" s="70"/>
      <c r="N239" s="70"/>
      <c r="O239" s="70"/>
      <c r="P239" s="69"/>
      <c r="Q239" s="69"/>
      <c r="R239" s="70"/>
      <c r="S239" s="70"/>
      <c r="T239" s="55"/>
    </row>
    <row r="240" spans="1:20">
      <c r="A240" s="72"/>
      <c r="B240" s="31"/>
      <c r="C240" s="32"/>
      <c r="D240" s="33"/>
      <c r="E240" s="34"/>
      <c r="F240" s="33"/>
      <c r="G240" s="33"/>
      <c r="H240" s="35"/>
      <c r="I240" s="33"/>
      <c r="J240" s="36"/>
      <c r="K240" s="69"/>
      <c r="L240" s="70"/>
      <c r="M240" s="70"/>
      <c r="N240" s="70"/>
      <c r="O240" s="70"/>
      <c r="P240" s="71"/>
      <c r="Q240" s="69"/>
      <c r="R240" s="70"/>
      <c r="S240" s="70"/>
      <c r="T240" s="55"/>
    </row>
    <row r="241" spans="1:20">
      <c r="A241" s="72"/>
      <c r="B241" s="31"/>
      <c r="C241" s="32"/>
      <c r="D241" s="33"/>
      <c r="E241" s="34"/>
      <c r="F241" s="33"/>
      <c r="G241" s="15"/>
      <c r="H241" s="17"/>
      <c r="I241" s="33"/>
      <c r="J241" s="36"/>
      <c r="K241" s="69"/>
      <c r="L241" s="70"/>
      <c r="M241" s="70"/>
      <c r="N241" s="70"/>
      <c r="O241" s="70"/>
      <c r="P241" s="69"/>
      <c r="Q241" s="69"/>
      <c r="R241" s="70"/>
      <c r="S241" s="70"/>
      <c r="T241" s="55"/>
    </row>
    <row r="242" spans="1:20">
      <c r="A242" s="72"/>
      <c r="B242" s="31"/>
      <c r="C242" s="32"/>
      <c r="D242" s="33"/>
      <c r="E242" s="34"/>
      <c r="F242" s="33"/>
      <c r="G242" s="33"/>
      <c r="H242" s="35"/>
      <c r="I242" s="33"/>
      <c r="J242" s="36"/>
      <c r="K242" s="69"/>
      <c r="L242" s="113"/>
      <c r="M242" s="113"/>
      <c r="N242" s="70"/>
      <c r="O242" s="70"/>
      <c r="P242" s="71"/>
      <c r="Q242" s="69"/>
      <c r="R242" s="70"/>
      <c r="S242" s="70"/>
      <c r="T242" s="55"/>
    </row>
    <row r="243" spans="1:20">
      <c r="A243" s="72"/>
      <c r="B243" s="31"/>
      <c r="C243" s="32"/>
      <c r="D243" s="33"/>
      <c r="E243" s="34"/>
      <c r="F243" s="33"/>
      <c r="G243" s="33"/>
      <c r="H243" s="35"/>
      <c r="I243" s="33"/>
      <c r="J243" s="36"/>
      <c r="K243" s="69"/>
      <c r="L243" s="113"/>
      <c r="M243" s="113"/>
      <c r="N243" s="70"/>
      <c r="O243" s="70"/>
      <c r="P243" s="71"/>
      <c r="Q243" s="69"/>
      <c r="R243" s="113"/>
      <c r="S243" s="70"/>
      <c r="T243" s="55"/>
    </row>
    <row r="244" spans="1:20">
      <c r="A244" s="68"/>
      <c r="B244" s="13"/>
      <c r="C244" s="14"/>
      <c r="D244" s="15"/>
      <c r="E244" s="16"/>
      <c r="F244" s="15"/>
      <c r="G244" s="15"/>
      <c r="H244" s="17"/>
      <c r="I244" s="15"/>
      <c r="J244" s="18"/>
      <c r="K244" s="69"/>
      <c r="L244" s="113"/>
      <c r="M244" s="113"/>
      <c r="N244" s="70"/>
      <c r="O244" s="70"/>
      <c r="P244" s="71"/>
      <c r="Q244" s="69"/>
      <c r="R244" s="70"/>
      <c r="S244" s="70"/>
      <c r="T244" s="55"/>
    </row>
    <row r="245" spans="1:20">
      <c r="A245" s="72"/>
      <c r="B245" s="31"/>
      <c r="C245" s="32"/>
      <c r="D245" s="33"/>
      <c r="E245" s="34"/>
      <c r="F245" s="33"/>
      <c r="G245" s="33"/>
      <c r="H245" s="35"/>
      <c r="I245" s="33"/>
      <c r="J245" s="36"/>
      <c r="K245" s="69"/>
      <c r="L245" s="70"/>
      <c r="M245" s="70"/>
      <c r="N245" s="70"/>
      <c r="O245" s="70"/>
      <c r="P245" s="69"/>
      <c r="Q245" s="69"/>
      <c r="R245" s="70"/>
      <c r="S245" s="70"/>
      <c r="T245" s="55"/>
    </row>
    <row r="246" spans="1:20">
      <c r="A246" s="72"/>
      <c r="B246" s="31"/>
      <c r="C246" s="32"/>
      <c r="D246" s="33"/>
      <c r="E246" s="34"/>
      <c r="F246" s="33"/>
      <c r="G246" s="33"/>
      <c r="H246" s="35"/>
      <c r="I246" s="33"/>
      <c r="J246" s="36"/>
      <c r="K246" s="69"/>
      <c r="L246" s="113"/>
      <c r="M246" s="113"/>
      <c r="N246" s="70"/>
      <c r="O246" s="70"/>
      <c r="P246" s="71"/>
      <c r="Q246" s="69"/>
      <c r="R246" s="113"/>
      <c r="S246" s="70"/>
      <c r="T246" s="55"/>
    </row>
    <row r="247" spans="1:20">
      <c r="A247" s="72"/>
      <c r="B247" s="31"/>
      <c r="C247" s="32"/>
      <c r="D247" s="33"/>
      <c r="E247" s="34"/>
      <c r="F247" s="33"/>
      <c r="G247" s="33"/>
      <c r="H247" s="35"/>
      <c r="I247" s="33"/>
      <c r="J247" s="36"/>
      <c r="K247" s="69"/>
      <c r="L247" s="113"/>
      <c r="M247" s="113"/>
      <c r="N247" s="70"/>
      <c r="O247" s="70"/>
      <c r="P247" s="71"/>
      <c r="Q247" s="69"/>
      <c r="R247" s="113"/>
      <c r="S247" s="70"/>
      <c r="T247" s="55"/>
    </row>
    <row r="248" spans="1:20">
      <c r="A248" s="72"/>
      <c r="B248" s="31"/>
      <c r="C248" s="32"/>
      <c r="D248" s="33"/>
      <c r="E248" s="34"/>
      <c r="F248" s="33"/>
      <c r="G248" s="33"/>
      <c r="H248" s="35"/>
      <c r="I248" s="33"/>
      <c r="J248" s="36"/>
      <c r="K248" s="69"/>
      <c r="L248" s="113"/>
      <c r="M248" s="113"/>
      <c r="N248" s="70"/>
      <c r="O248" s="70"/>
      <c r="P248" s="71"/>
      <c r="Q248" s="69"/>
      <c r="R248" s="113"/>
      <c r="S248" s="70"/>
      <c r="T248" s="55"/>
    </row>
    <row r="249" spans="1:20">
      <c r="A249" s="68"/>
      <c r="B249" s="13"/>
      <c r="C249" s="14"/>
      <c r="D249" s="15"/>
      <c r="E249" s="16"/>
      <c r="F249" s="15"/>
      <c r="G249" s="15"/>
      <c r="H249" s="17"/>
      <c r="I249" s="15"/>
      <c r="J249" s="18"/>
      <c r="K249" s="69"/>
      <c r="L249" s="70"/>
      <c r="M249" s="70"/>
      <c r="N249" s="70"/>
      <c r="O249" s="70"/>
      <c r="P249" s="71"/>
      <c r="Q249" s="69"/>
      <c r="R249" s="70"/>
      <c r="S249" s="70"/>
      <c r="T249" s="55"/>
    </row>
    <row r="250" spans="1:20">
      <c r="A250" s="72"/>
      <c r="B250" s="31"/>
      <c r="C250" s="32"/>
      <c r="D250" s="33"/>
      <c r="E250" s="34"/>
      <c r="F250" s="33"/>
      <c r="G250" s="33"/>
      <c r="H250" s="35"/>
      <c r="I250" s="33"/>
      <c r="J250" s="36"/>
      <c r="K250" s="69"/>
      <c r="L250" s="70"/>
      <c r="M250" s="70"/>
      <c r="N250" s="70"/>
      <c r="O250" s="70"/>
      <c r="P250" s="69"/>
      <c r="Q250" s="69"/>
      <c r="R250" s="70"/>
      <c r="S250" s="70"/>
      <c r="T250" s="55"/>
    </row>
    <row r="251" spans="1:20">
      <c r="A251" s="72"/>
      <c r="B251" s="31"/>
      <c r="C251" s="32"/>
      <c r="D251" s="33"/>
      <c r="E251" s="34"/>
      <c r="F251" s="33"/>
      <c r="G251" s="33"/>
      <c r="H251" s="35"/>
      <c r="I251" s="33"/>
      <c r="J251" s="36"/>
      <c r="K251" s="69"/>
      <c r="L251" s="70"/>
      <c r="M251" s="70"/>
      <c r="N251" s="70"/>
      <c r="O251" s="70"/>
      <c r="P251" s="69"/>
      <c r="Q251" s="69"/>
      <c r="R251" s="70"/>
      <c r="S251" s="70"/>
      <c r="T251" s="55"/>
    </row>
    <row r="252" spans="1:20">
      <c r="A252" s="68"/>
      <c r="B252" s="13"/>
      <c r="C252" s="14"/>
      <c r="D252" s="15"/>
      <c r="E252" s="16"/>
      <c r="F252" s="15"/>
      <c r="G252" s="15"/>
      <c r="H252" s="17"/>
      <c r="I252" s="15"/>
      <c r="J252" s="18"/>
      <c r="K252" s="69"/>
      <c r="L252" s="70"/>
      <c r="M252" s="70"/>
      <c r="N252" s="70"/>
      <c r="O252" s="70"/>
      <c r="P252" s="69"/>
      <c r="Q252" s="69"/>
      <c r="R252" s="70"/>
      <c r="S252" s="70"/>
      <c r="T252" s="55"/>
    </row>
    <row r="253" spans="1:20">
      <c r="A253" s="68"/>
      <c r="B253" s="13"/>
      <c r="C253" s="14"/>
      <c r="D253" s="15"/>
      <c r="E253" s="16"/>
      <c r="F253" s="15"/>
      <c r="G253" s="15"/>
      <c r="H253" s="17"/>
      <c r="I253" s="15"/>
      <c r="J253" s="18"/>
      <c r="K253" s="69"/>
      <c r="L253" s="70"/>
      <c r="M253" s="70"/>
      <c r="N253" s="70"/>
      <c r="O253" s="70"/>
      <c r="P253" s="69"/>
      <c r="Q253" s="69"/>
      <c r="R253" s="70"/>
      <c r="S253" s="70"/>
      <c r="T253" s="55"/>
    </row>
    <row r="254" spans="1:20">
      <c r="A254" s="72"/>
      <c r="B254" s="31"/>
      <c r="C254" s="32"/>
      <c r="D254" s="33"/>
      <c r="E254" s="34"/>
      <c r="F254" s="33"/>
      <c r="G254" s="33"/>
      <c r="H254" s="35"/>
      <c r="I254" s="33"/>
      <c r="J254" s="36"/>
      <c r="K254" s="69"/>
      <c r="L254" s="113"/>
      <c r="M254" s="113"/>
      <c r="N254" s="70"/>
      <c r="O254" s="70"/>
      <c r="P254" s="71"/>
      <c r="Q254" s="69"/>
      <c r="R254" s="113"/>
      <c r="S254" s="70"/>
      <c r="T254" s="55"/>
    </row>
    <row r="255" spans="1:20">
      <c r="A255" s="68"/>
      <c r="B255" s="13"/>
      <c r="C255" s="14"/>
      <c r="D255" s="15"/>
      <c r="E255" s="16"/>
      <c r="F255" s="15"/>
      <c r="G255" s="15"/>
      <c r="H255" s="17"/>
      <c r="I255" s="15"/>
      <c r="J255" s="18"/>
      <c r="K255" s="69"/>
      <c r="L255" s="70"/>
      <c r="M255" s="70"/>
      <c r="N255" s="70"/>
      <c r="O255" s="70"/>
      <c r="P255" s="69"/>
      <c r="Q255" s="69"/>
      <c r="R255" s="70"/>
      <c r="S255" s="70"/>
      <c r="T255" s="55"/>
    </row>
    <row r="256" spans="1:20">
      <c r="A256" s="68"/>
      <c r="B256" s="13"/>
      <c r="C256" s="14"/>
      <c r="D256" s="15"/>
      <c r="E256" s="16"/>
      <c r="F256" s="15"/>
      <c r="G256" s="15"/>
      <c r="H256" s="17"/>
      <c r="I256" s="15"/>
      <c r="J256" s="18"/>
      <c r="K256" s="69"/>
      <c r="L256" s="70"/>
      <c r="M256" s="70"/>
      <c r="N256" s="70"/>
      <c r="O256" s="70"/>
      <c r="P256" s="69"/>
      <c r="Q256" s="69"/>
      <c r="R256" s="70"/>
      <c r="S256" s="70"/>
      <c r="T256" s="55"/>
    </row>
    <row r="257" spans="1:20">
      <c r="A257" s="68"/>
      <c r="B257" s="13"/>
      <c r="C257" s="14"/>
      <c r="D257" s="15"/>
      <c r="E257" s="16"/>
      <c r="F257" s="15"/>
      <c r="G257" s="15"/>
      <c r="H257" s="17"/>
      <c r="I257" s="15"/>
      <c r="J257" s="18"/>
      <c r="K257" s="69"/>
      <c r="L257" s="113"/>
      <c r="M257" s="113"/>
      <c r="N257" s="70"/>
      <c r="O257" s="70"/>
      <c r="P257" s="71"/>
      <c r="Q257" s="69"/>
      <c r="R257" s="113"/>
      <c r="S257" s="70"/>
      <c r="T257" s="55"/>
    </row>
    <row r="258" spans="1:20">
      <c r="A258" s="68"/>
      <c r="B258" s="13"/>
      <c r="C258" s="14"/>
      <c r="D258" s="15"/>
      <c r="E258" s="16"/>
      <c r="F258" s="15"/>
      <c r="G258" s="15"/>
      <c r="H258" s="17"/>
      <c r="I258" s="15"/>
      <c r="J258" s="18"/>
      <c r="K258" s="69"/>
      <c r="L258" s="113"/>
      <c r="M258" s="113"/>
      <c r="N258" s="70"/>
      <c r="O258" s="70"/>
      <c r="P258" s="71"/>
      <c r="Q258" s="69"/>
      <c r="R258" s="70"/>
      <c r="S258" s="70"/>
      <c r="T258" s="55"/>
    </row>
    <row r="259" spans="1:20">
      <c r="A259" s="68"/>
      <c r="B259" s="13"/>
      <c r="C259" s="14"/>
      <c r="D259" s="15"/>
      <c r="E259" s="16"/>
      <c r="F259" s="15"/>
      <c r="G259" s="15"/>
      <c r="H259" s="17"/>
      <c r="I259" s="15"/>
      <c r="J259" s="18"/>
      <c r="K259" s="69"/>
      <c r="L259" s="70"/>
      <c r="M259" s="70"/>
      <c r="N259" s="70"/>
      <c r="O259" s="70"/>
      <c r="P259" s="71"/>
      <c r="Q259" s="69"/>
      <c r="R259" s="70"/>
      <c r="S259" s="70"/>
      <c r="T259" s="55"/>
    </row>
    <row r="260" spans="1:20">
      <c r="A260" s="72"/>
      <c r="B260" s="31"/>
      <c r="C260" s="32"/>
      <c r="D260" s="33"/>
      <c r="E260" s="34"/>
      <c r="F260" s="33"/>
      <c r="G260" s="33"/>
      <c r="H260" s="35"/>
      <c r="I260" s="33"/>
      <c r="J260" s="36"/>
      <c r="K260" s="69"/>
      <c r="L260" s="70"/>
      <c r="M260" s="70"/>
      <c r="N260" s="70"/>
      <c r="O260" s="70"/>
      <c r="P260" s="69"/>
      <c r="Q260" s="69"/>
      <c r="R260" s="70"/>
      <c r="S260" s="70"/>
      <c r="T260" s="55"/>
    </row>
    <row r="261" spans="1:20">
      <c r="A261" s="68"/>
      <c r="B261" s="13"/>
      <c r="C261" s="14"/>
      <c r="D261" s="15"/>
      <c r="E261" s="16"/>
      <c r="F261" s="15"/>
      <c r="G261" s="15"/>
      <c r="H261" s="17"/>
      <c r="I261" s="15"/>
      <c r="J261" s="18"/>
      <c r="K261" s="69"/>
      <c r="L261" s="70"/>
      <c r="M261" s="70"/>
      <c r="N261" s="70"/>
      <c r="O261" s="70"/>
      <c r="P261" s="69"/>
      <c r="Q261" s="69"/>
      <c r="R261" s="70"/>
      <c r="S261" s="70"/>
      <c r="T261" s="55"/>
    </row>
    <row r="262" spans="1:20">
      <c r="A262" s="72"/>
      <c r="B262" s="31"/>
      <c r="C262" s="32"/>
      <c r="D262" s="33"/>
      <c r="E262" s="34"/>
      <c r="F262" s="33"/>
      <c r="G262" s="33"/>
      <c r="H262" s="35"/>
      <c r="I262" s="33"/>
      <c r="J262" s="36"/>
      <c r="K262" s="69"/>
      <c r="L262" s="70"/>
      <c r="M262" s="70"/>
      <c r="N262" s="70"/>
      <c r="O262" s="70"/>
      <c r="P262" s="71"/>
      <c r="Q262" s="69"/>
      <c r="R262" s="70"/>
      <c r="S262" s="70"/>
      <c r="T262" s="55"/>
    </row>
    <row r="263" spans="1:20">
      <c r="A263" s="72"/>
      <c r="B263" s="31"/>
      <c r="C263" s="32"/>
      <c r="D263" s="33"/>
      <c r="E263" s="34"/>
      <c r="F263" s="33"/>
      <c r="G263" s="33"/>
      <c r="H263" s="35"/>
      <c r="I263" s="33"/>
      <c r="J263" s="36"/>
      <c r="K263" s="69"/>
      <c r="L263" s="70"/>
      <c r="M263" s="70"/>
      <c r="N263" s="70"/>
      <c r="O263" s="70"/>
      <c r="P263" s="69"/>
      <c r="Q263" s="69"/>
      <c r="R263" s="70"/>
      <c r="S263" s="70"/>
      <c r="T263" s="55"/>
    </row>
    <row r="264" spans="1:20">
      <c r="A264" s="72"/>
      <c r="B264" s="31"/>
      <c r="C264" s="32"/>
      <c r="D264" s="33"/>
      <c r="E264" s="34"/>
      <c r="F264" s="33"/>
      <c r="G264" s="33"/>
      <c r="H264" s="35"/>
      <c r="I264" s="33"/>
      <c r="J264" s="36"/>
      <c r="K264" s="69"/>
      <c r="L264" s="70"/>
      <c r="M264" s="70"/>
      <c r="N264" s="70"/>
      <c r="O264" s="70"/>
      <c r="P264" s="71"/>
      <c r="Q264" s="69"/>
      <c r="R264" s="70"/>
      <c r="S264" s="70"/>
      <c r="T264" s="55"/>
    </row>
    <row r="265" spans="1:20">
      <c r="A265" s="68"/>
      <c r="B265" s="13"/>
      <c r="C265" s="14"/>
      <c r="D265" s="15"/>
      <c r="E265" s="16"/>
      <c r="F265" s="15"/>
      <c r="G265" s="15"/>
      <c r="H265" s="17"/>
      <c r="I265" s="15"/>
      <c r="J265" s="18"/>
      <c r="K265" s="69"/>
      <c r="L265" s="70"/>
      <c r="M265" s="70"/>
      <c r="N265" s="70"/>
      <c r="O265" s="70"/>
      <c r="P265" s="69"/>
      <c r="Q265" s="69"/>
      <c r="R265" s="70"/>
      <c r="S265" s="70"/>
      <c r="T265" s="55"/>
    </row>
    <row r="266" spans="1:20">
      <c r="A266" s="72"/>
      <c r="B266" s="31"/>
      <c r="C266" s="32"/>
      <c r="D266" s="33"/>
      <c r="E266" s="34"/>
      <c r="F266" s="33"/>
      <c r="G266" s="33"/>
      <c r="H266" s="35"/>
      <c r="I266" s="33"/>
      <c r="J266" s="36"/>
      <c r="K266" s="69"/>
      <c r="L266" s="70"/>
      <c r="M266" s="70"/>
      <c r="N266" s="70"/>
      <c r="O266" s="70"/>
      <c r="P266" s="69"/>
      <c r="Q266" s="69"/>
      <c r="R266" s="70"/>
      <c r="S266" s="73"/>
      <c r="T266" s="55"/>
    </row>
    <row r="267" spans="1:20">
      <c r="A267" s="72"/>
      <c r="B267" s="31"/>
      <c r="C267" s="32"/>
      <c r="D267" s="33"/>
      <c r="E267" s="34"/>
      <c r="F267" s="33"/>
      <c r="G267" s="33"/>
      <c r="H267" s="35"/>
      <c r="I267" s="33"/>
      <c r="J267" s="36"/>
      <c r="K267" s="69"/>
      <c r="L267" s="70"/>
      <c r="M267" s="70"/>
      <c r="N267" s="70"/>
      <c r="O267" s="70"/>
      <c r="P267" s="71"/>
      <c r="Q267" s="69"/>
      <c r="R267" s="70"/>
      <c r="S267" s="73"/>
      <c r="T267" s="55"/>
    </row>
    <row r="268" spans="1:20">
      <c r="A268" s="68"/>
      <c r="B268" s="13"/>
      <c r="C268" s="14"/>
      <c r="D268" s="15"/>
      <c r="E268" s="16"/>
      <c r="F268" s="15"/>
      <c r="G268" s="15"/>
      <c r="H268" s="17"/>
      <c r="I268" s="15"/>
      <c r="J268" s="18"/>
      <c r="K268" s="69"/>
      <c r="L268" s="70"/>
      <c r="M268" s="70"/>
      <c r="N268" s="70"/>
      <c r="O268" s="70"/>
      <c r="P268" s="69"/>
      <c r="Q268" s="69"/>
      <c r="R268" s="70"/>
      <c r="S268" s="70"/>
      <c r="T268" s="55"/>
    </row>
    <row r="269" spans="1:20">
      <c r="A269" s="68"/>
      <c r="B269" s="13"/>
      <c r="C269" s="14"/>
      <c r="D269" s="15"/>
      <c r="E269" s="16"/>
      <c r="F269" s="15"/>
      <c r="G269" s="15"/>
      <c r="H269" s="17"/>
      <c r="I269" s="15"/>
      <c r="J269" s="18"/>
      <c r="K269" s="69"/>
      <c r="L269" s="70"/>
      <c r="M269" s="70"/>
      <c r="N269" s="70"/>
      <c r="O269" s="70"/>
      <c r="P269" s="69"/>
      <c r="Q269" s="69"/>
      <c r="R269" s="70"/>
      <c r="S269" s="70"/>
      <c r="T269" s="55"/>
    </row>
    <row r="270" spans="1:20">
      <c r="A270" s="68"/>
      <c r="B270" s="13"/>
      <c r="C270" s="14"/>
      <c r="D270" s="15"/>
      <c r="E270" s="16"/>
      <c r="F270" s="15"/>
      <c r="G270" s="15"/>
      <c r="H270" s="17"/>
      <c r="I270" s="15"/>
      <c r="J270" s="18"/>
      <c r="K270" s="69"/>
      <c r="L270" s="70"/>
      <c r="M270" s="70"/>
      <c r="N270" s="70"/>
      <c r="O270" s="70"/>
      <c r="P270" s="69"/>
      <c r="Q270" s="69"/>
      <c r="R270" s="70"/>
      <c r="S270" s="70"/>
      <c r="T270" s="55"/>
    </row>
    <row r="271" spans="1:20">
      <c r="A271" s="68"/>
      <c r="B271" s="13"/>
      <c r="C271" s="14"/>
      <c r="D271" s="15"/>
      <c r="E271" s="16"/>
      <c r="F271" s="15"/>
      <c r="G271" s="15"/>
      <c r="H271" s="17"/>
      <c r="I271" s="15"/>
      <c r="J271" s="18"/>
      <c r="K271" s="69"/>
      <c r="L271" s="70"/>
      <c r="M271" s="70"/>
      <c r="N271" s="70"/>
      <c r="O271" s="70"/>
      <c r="P271" s="71"/>
      <c r="Q271" s="69"/>
      <c r="R271" s="70"/>
      <c r="S271" s="70"/>
      <c r="T271" s="55"/>
    </row>
    <row r="272" spans="1:20">
      <c r="A272" s="68"/>
      <c r="B272" s="13"/>
      <c r="C272" s="14"/>
      <c r="D272" s="15"/>
      <c r="E272" s="16"/>
      <c r="F272" s="15"/>
      <c r="G272" s="15"/>
      <c r="H272" s="17"/>
      <c r="I272" s="15"/>
      <c r="J272" s="18"/>
      <c r="K272" s="69"/>
      <c r="L272" s="70"/>
      <c r="M272" s="70"/>
      <c r="N272" s="70"/>
      <c r="O272" s="70"/>
      <c r="P272" s="71"/>
      <c r="Q272" s="69"/>
      <c r="R272" s="70"/>
      <c r="S272" s="70"/>
      <c r="T272" s="55"/>
    </row>
    <row r="273" spans="1:20">
      <c r="A273" s="68"/>
      <c r="B273" s="13"/>
      <c r="C273" s="14"/>
      <c r="D273" s="15"/>
      <c r="E273" s="16"/>
      <c r="F273" s="15"/>
      <c r="G273" s="112"/>
      <c r="H273" s="17"/>
      <c r="I273" s="15"/>
      <c r="J273" s="18"/>
      <c r="K273" s="69"/>
      <c r="L273" s="70"/>
      <c r="M273" s="70"/>
      <c r="N273" s="70"/>
      <c r="O273" s="70"/>
      <c r="P273" s="69"/>
      <c r="Q273" s="69"/>
      <c r="R273" s="70"/>
      <c r="S273" s="122"/>
      <c r="T273" s="55"/>
    </row>
    <row r="274" spans="1:20">
      <c r="A274" s="68"/>
      <c r="B274" s="13"/>
      <c r="C274" s="14"/>
      <c r="D274" s="15"/>
      <c r="E274" s="16"/>
      <c r="F274" s="15"/>
      <c r="G274" s="15"/>
      <c r="H274" s="17"/>
      <c r="I274" s="15"/>
      <c r="J274" s="18"/>
      <c r="K274" s="69"/>
      <c r="L274" s="70"/>
      <c r="M274" s="70"/>
      <c r="N274" s="70"/>
      <c r="O274" s="70"/>
      <c r="P274" s="69"/>
      <c r="Q274" s="69"/>
      <c r="R274" s="70"/>
      <c r="S274" s="70"/>
      <c r="T274" s="55"/>
    </row>
    <row r="275" spans="1:20">
      <c r="A275" s="68"/>
      <c r="B275" s="13"/>
      <c r="C275" s="14"/>
      <c r="D275" s="15"/>
      <c r="E275" s="16"/>
      <c r="F275" s="15"/>
      <c r="G275" s="15"/>
      <c r="H275" s="17"/>
      <c r="I275" s="15"/>
      <c r="J275" s="18"/>
      <c r="K275" s="69"/>
      <c r="L275" s="70"/>
      <c r="M275" s="70"/>
      <c r="N275" s="70"/>
      <c r="O275" s="70"/>
      <c r="P275" s="69"/>
      <c r="Q275" s="69"/>
      <c r="R275" s="70"/>
      <c r="S275" s="70"/>
      <c r="T275" s="55"/>
    </row>
    <row r="276" spans="1:20">
      <c r="A276" s="72"/>
      <c r="B276" s="31"/>
      <c r="C276" s="32"/>
      <c r="D276" s="33"/>
      <c r="E276" s="34"/>
      <c r="F276" s="33"/>
      <c r="G276" s="33"/>
      <c r="H276" s="35"/>
      <c r="I276" s="33"/>
      <c r="J276" s="36"/>
      <c r="K276" s="69"/>
      <c r="L276" s="70"/>
      <c r="M276" s="70"/>
      <c r="N276" s="70"/>
      <c r="O276" s="70"/>
      <c r="P276" s="69"/>
      <c r="Q276" s="69"/>
      <c r="R276" s="70"/>
      <c r="S276" s="70"/>
      <c r="T276" s="55"/>
    </row>
    <row r="277" spans="1:20">
      <c r="A277" s="72"/>
      <c r="B277" s="31"/>
      <c r="C277" s="32"/>
      <c r="D277" s="33"/>
      <c r="E277" s="34"/>
      <c r="F277" s="33"/>
      <c r="G277" s="33"/>
      <c r="H277" s="35"/>
      <c r="I277" s="33"/>
      <c r="J277" s="36"/>
      <c r="K277" s="69"/>
      <c r="L277" s="70"/>
      <c r="M277" s="70"/>
      <c r="N277" s="70"/>
      <c r="O277" s="70"/>
      <c r="P277" s="69"/>
      <c r="Q277" s="69"/>
      <c r="R277" s="70"/>
      <c r="S277" s="70"/>
      <c r="T277" s="55"/>
    </row>
    <row r="278" spans="1:20">
      <c r="A278" s="68"/>
      <c r="B278" s="13"/>
      <c r="C278" s="14"/>
      <c r="D278" s="15"/>
      <c r="E278" s="16"/>
      <c r="F278" s="15"/>
      <c r="G278" s="15"/>
      <c r="H278" s="17"/>
      <c r="I278" s="15"/>
      <c r="J278" s="18"/>
      <c r="K278" s="69"/>
      <c r="L278" s="70"/>
      <c r="M278" s="70"/>
      <c r="N278" s="70"/>
      <c r="O278" s="70"/>
      <c r="P278" s="71"/>
      <c r="Q278" s="69"/>
      <c r="R278" s="70"/>
      <c r="S278" s="70"/>
      <c r="T278" s="55"/>
    </row>
    <row r="279" spans="1:20">
      <c r="A279" s="68"/>
      <c r="B279" s="13"/>
      <c r="C279" s="14"/>
      <c r="D279" s="15"/>
      <c r="E279" s="16"/>
      <c r="F279" s="15"/>
      <c r="G279" s="15"/>
      <c r="H279" s="17"/>
      <c r="I279" s="15"/>
      <c r="J279" s="18"/>
      <c r="K279" s="69"/>
      <c r="L279" s="70"/>
      <c r="M279" s="70"/>
      <c r="N279" s="70"/>
      <c r="O279" s="70"/>
      <c r="P279" s="69"/>
      <c r="Q279" s="69"/>
      <c r="R279" s="70"/>
      <c r="S279" s="70"/>
      <c r="T279" s="55"/>
    </row>
    <row r="280" spans="1:20">
      <c r="A280" s="68"/>
      <c r="B280" s="13"/>
      <c r="C280" s="14"/>
      <c r="D280" s="15"/>
      <c r="E280" s="16"/>
      <c r="F280" s="15"/>
      <c r="G280" s="15"/>
      <c r="H280" s="17"/>
      <c r="I280" s="15"/>
      <c r="J280" s="18"/>
      <c r="K280" s="69"/>
      <c r="L280" s="70"/>
      <c r="M280" s="70"/>
      <c r="N280" s="70"/>
      <c r="O280" s="70"/>
      <c r="P280" s="69"/>
      <c r="Q280" s="69"/>
      <c r="R280" s="70"/>
      <c r="S280" s="70"/>
      <c r="T280" s="55"/>
    </row>
    <row r="281" spans="1:20">
      <c r="A281" s="68"/>
      <c r="B281" s="13"/>
      <c r="C281" s="14"/>
      <c r="D281" s="15"/>
      <c r="E281" s="16"/>
      <c r="F281" s="15"/>
      <c r="G281" s="15"/>
      <c r="H281" s="17"/>
      <c r="I281" s="15"/>
      <c r="J281" s="18"/>
      <c r="K281" s="69"/>
      <c r="L281" s="70"/>
      <c r="M281" s="70"/>
      <c r="N281" s="70"/>
      <c r="O281" s="70"/>
      <c r="P281" s="71"/>
      <c r="Q281" s="69"/>
      <c r="R281" s="70"/>
      <c r="S281" s="70"/>
      <c r="T281" s="55"/>
    </row>
    <row r="282" spans="1:20">
      <c r="A282" s="68"/>
      <c r="B282" s="13"/>
      <c r="C282" s="14"/>
      <c r="D282" s="15"/>
      <c r="E282" s="16"/>
      <c r="F282" s="15"/>
      <c r="G282" s="15"/>
      <c r="H282" s="17"/>
      <c r="I282" s="15"/>
      <c r="J282" s="18"/>
      <c r="K282" s="69"/>
      <c r="L282" s="70"/>
      <c r="M282" s="70"/>
      <c r="N282" s="70"/>
      <c r="O282" s="70"/>
      <c r="P282" s="71"/>
      <c r="Q282" s="69"/>
      <c r="R282" s="70"/>
      <c r="S282" s="70"/>
      <c r="T282" s="55"/>
    </row>
    <row r="283" spans="1:20">
      <c r="A283" s="68"/>
      <c r="B283" s="13"/>
      <c r="C283" s="14"/>
      <c r="D283" s="15"/>
      <c r="E283" s="16"/>
      <c r="F283" s="15"/>
      <c r="G283" s="15"/>
      <c r="H283" s="17"/>
      <c r="I283" s="15"/>
      <c r="J283" s="18"/>
      <c r="K283" s="69"/>
      <c r="L283" s="70"/>
      <c r="M283" s="70"/>
      <c r="N283" s="70"/>
      <c r="O283" s="70"/>
      <c r="P283" s="69"/>
      <c r="Q283" s="69"/>
      <c r="R283" s="70"/>
      <c r="S283" s="70"/>
      <c r="T283" s="55"/>
    </row>
    <row r="284" spans="1:20">
      <c r="A284" s="68"/>
      <c r="B284" s="13"/>
      <c r="C284" s="14"/>
      <c r="D284" s="15"/>
      <c r="E284" s="16"/>
      <c r="F284" s="15"/>
      <c r="G284" s="15"/>
      <c r="H284" s="17"/>
      <c r="I284" s="15"/>
      <c r="J284" s="18"/>
      <c r="K284" s="69"/>
      <c r="L284" s="70"/>
      <c r="M284" s="70"/>
      <c r="N284" s="70"/>
      <c r="O284" s="70"/>
      <c r="P284" s="69"/>
      <c r="Q284" s="69"/>
      <c r="R284" s="70"/>
      <c r="S284" s="70"/>
      <c r="T284" s="55"/>
    </row>
    <row r="285" spans="1:20">
      <c r="A285" s="68"/>
      <c r="B285" s="13"/>
      <c r="C285" s="14"/>
      <c r="D285" s="15"/>
      <c r="E285" s="16"/>
      <c r="F285" s="15"/>
      <c r="G285" s="15"/>
      <c r="H285" s="17"/>
      <c r="I285" s="15"/>
      <c r="J285" s="18"/>
      <c r="K285" s="69"/>
      <c r="L285" s="70"/>
      <c r="M285" s="70"/>
      <c r="N285" s="70"/>
      <c r="O285" s="70"/>
      <c r="P285" s="71"/>
      <c r="Q285" s="69"/>
      <c r="R285" s="70"/>
      <c r="S285" s="70"/>
      <c r="T285" s="55"/>
    </row>
    <row r="286" spans="1:20">
      <c r="A286" s="68"/>
      <c r="B286" s="13"/>
      <c r="C286" s="14"/>
      <c r="D286" s="15"/>
      <c r="E286" s="16"/>
      <c r="F286" s="15"/>
      <c r="G286" s="15"/>
      <c r="H286" s="17"/>
      <c r="I286" s="15"/>
      <c r="J286" s="18"/>
      <c r="K286" s="69"/>
      <c r="L286" s="70"/>
      <c r="M286" s="70"/>
      <c r="N286" s="70"/>
      <c r="O286" s="70"/>
      <c r="P286" s="71"/>
      <c r="Q286" s="69"/>
      <c r="R286" s="70"/>
      <c r="S286" s="70"/>
      <c r="T286" s="55"/>
    </row>
    <row r="287" spans="1:20">
      <c r="A287" s="68"/>
      <c r="B287" s="13"/>
      <c r="C287" s="14"/>
      <c r="D287" s="15"/>
      <c r="E287" s="16"/>
      <c r="F287" s="15"/>
      <c r="G287" s="15"/>
      <c r="H287" s="17"/>
      <c r="I287" s="15"/>
      <c r="J287" s="18"/>
      <c r="K287" s="69"/>
      <c r="L287" s="70"/>
      <c r="M287" s="70"/>
      <c r="N287" s="70"/>
      <c r="O287" s="70"/>
      <c r="P287" s="71"/>
      <c r="Q287" s="69"/>
      <c r="R287" s="70"/>
      <c r="S287" s="70"/>
      <c r="T287" s="55"/>
    </row>
    <row r="288" spans="1:20">
      <c r="A288" s="68"/>
      <c r="B288" s="13"/>
      <c r="C288" s="14"/>
      <c r="D288" s="15"/>
      <c r="E288" s="16"/>
      <c r="F288" s="15"/>
      <c r="G288" s="15"/>
      <c r="H288" s="17"/>
      <c r="I288" s="15"/>
      <c r="J288" s="18"/>
      <c r="K288" s="69"/>
      <c r="L288" s="70"/>
      <c r="M288" s="70"/>
      <c r="N288" s="70"/>
      <c r="O288" s="70"/>
      <c r="P288" s="71"/>
      <c r="Q288" s="69"/>
      <c r="R288" s="70"/>
      <c r="S288" s="70"/>
      <c r="T288" s="55"/>
    </row>
    <row r="289" spans="1:20">
      <c r="A289" s="68"/>
      <c r="B289" s="13"/>
      <c r="C289" s="14"/>
      <c r="D289" s="15"/>
      <c r="E289" s="16"/>
      <c r="F289" s="15"/>
      <c r="G289" s="15"/>
      <c r="H289" s="17"/>
      <c r="I289" s="15"/>
      <c r="J289" s="18"/>
      <c r="K289" s="69"/>
      <c r="L289" s="70"/>
      <c r="M289" s="70"/>
      <c r="N289" s="70"/>
      <c r="O289" s="70"/>
      <c r="P289" s="69"/>
      <c r="Q289" s="69"/>
      <c r="R289" s="70"/>
      <c r="S289" s="70"/>
      <c r="T289" s="55"/>
    </row>
    <row r="290" spans="1:20">
      <c r="A290" s="68"/>
      <c r="B290" s="13"/>
      <c r="C290" s="14"/>
      <c r="D290" s="15"/>
      <c r="E290" s="16"/>
      <c r="F290" s="15"/>
      <c r="G290" s="15"/>
      <c r="H290" s="17"/>
      <c r="I290" s="15"/>
      <c r="J290" s="18"/>
      <c r="K290" s="69"/>
      <c r="L290" s="70"/>
      <c r="M290" s="70"/>
      <c r="N290" s="70"/>
      <c r="O290" s="70"/>
      <c r="P290" s="69"/>
      <c r="Q290" s="69"/>
      <c r="R290" s="70"/>
      <c r="S290" s="70"/>
      <c r="T290" s="55"/>
    </row>
    <row r="291" spans="1:20">
      <c r="A291" s="72"/>
      <c r="B291" s="31"/>
      <c r="C291" s="32"/>
      <c r="D291" s="33"/>
      <c r="E291" s="34"/>
      <c r="F291" s="33"/>
      <c r="G291" s="33"/>
      <c r="H291" s="35"/>
      <c r="I291" s="33"/>
      <c r="J291" s="36"/>
      <c r="K291" s="69"/>
      <c r="L291" s="70"/>
      <c r="M291" s="70"/>
      <c r="N291" s="70"/>
      <c r="O291" s="70"/>
      <c r="P291" s="71"/>
      <c r="Q291" s="69"/>
      <c r="R291" s="70"/>
      <c r="S291" s="70"/>
      <c r="T291" s="55"/>
    </row>
    <row r="292" spans="1:20">
      <c r="A292" s="72"/>
      <c r="B292" s="31"/>
      <c r="C292" s="32"/>
      <c r="D292" s="33"/>
      <c r="E292" s="34"/>
      <c r="F292" s="33"/>
      <c r="G292" s="33"/>
      <c r="H292" s="35"/>
      <c r="I292" s="33"/>
      <c r="J292" s="36"/>
      <c r="K292" s="69"/>
      <c r="L292" s="70"/>
      <c r="M292" s="70"/>
      <c r="N292" s="70"/>
      <c r="O292" s="70"/>
      <c r="P292" s="69"/>
      <c r="Q292" s="69"/>
      <c r="R292" s="70"/>
      <c r="S292" s="70"/>
      <c r="T292" s="55"/>
    </row>
    <row r="293" spans="1:20">
      <c r="A293" s="72"/>
      <c r="B293" s="31"/>
      <c r="C293" s="32"/>
      <c r="D293" s="33"/>
      <c r="E293" s="34"/>
      <c r="F293" s="33"/>
      <c r="G293" s="33"/>
      <c r="H293" s="35"/>
      <c r="I293" s="33"/>
      <c r="J293" s="36"/>
      <c r="K293" s="69"/>
      <c r="L293" s="70"/>
      <c r="M293" s="70"/>
      <c r="N293" s="70"/>
      <c r="O293" s="70"/>
      <c r="P293" s="69"/>
      <c r="Q293" s="69"/>
      <c r="R293" s="70"/>
      <c r="S293" s="70"/>
      <c r="T293" s="55"/>
    </row>
    <row r="294" spans="1:20">
      <c r="A294" s="72"/>
      <c r="B294" s="31"/>
      <c r="C294" s="32"/>
      <c r="D294" s="33"/>
      <c r="E294" s="34"/>
      <c r="F294" s="33"/>
      <c r="G294" s="33"/>
      <c r="H294" s="35"/>
      <c r="I294" s="33"/>
      <c r="J294" s="36"/>
      <c r="K294" s="69"/>
      <c r="L294" s="70"/>
      <c r="M294" s="70"/>
      <c r="N294" s="70"/>
      <c r="O294" s="70"/>
      <c r="P294" s="69"/>
      <c r="Q294" s="69"/>
      <c r="R294" s="70"/>
      <c r="S294" s="70"/>
      <c r="T294" s="55"/>
    </row>
    <row r="295" spans="1:20">
      <c r="A295" s="72"/>
      <c r="B295" s="31"/>
      <c r="C295" s="32"/>
      <c r="D295" s="33"/>
      <c r="E295" s="34"/>
      <c r="F295" s="33"/>
      <c r="G295" s="33"/>
      <c r="H295" s="35"/>
      <c r="I295" s="33"/>
      <c r="J295" s="36"/>
      <c r="K295" s="69"/>
      <c r="L295" s="70"/>
      <c r="M295" s="70"/>
      <c r="N295" s="70"/>
      <c r="O295" s="70"/>
      <c r="P295" s="69"/>
      <c r="Q295" s="69"/>
      <c r="R295" s="70"/>
      <c r="S295" s="70"/>
      <c r="T295" s="55"/>
    </row>
    <row r="296" spans="1:20">
      <c r="A296" s="72"/>
      <c r="B296" s="31"/>
      <c r="C296" s="32"/>
      <c r="D296" s="33"/>
      <c r="E296" s="34"/>
      <c r="F296" s="33"/>
      <c r="G296" s="33"/>
      <c r="H296" s="35"/>
      <c r="I296" s="33"/>
      <c r="J296" s="36"/>
      <c r="K296" s="69"/>
      <c r="L296" s="70"/>
      <c r="M296" s="70"/>
      <c r="N296" s="70"/>
      <c r="O296" s="70"/>
      <c r="P296" s="71"/>
      <c r="Q296" s="69"/>
      <c r="R296" s="70"/>
      <c r="S296" s="70"/>
      <c r="T296" s="55"/>
    </row>
    <row r="297" spans="1:20">
      <c r="A297" s="72"/>
      <c r="B297" s="31"/>
      <c r="C297" s="32"/>
      <c r="D297" s="33"/>
      <c r="E297" s="34"/>
      <c r="F297" s="33"/>
      <c r="G297" s="33"/>
      <c r="H297" s="35"/>
      <c r="I297" s="33"/>
      <c r="J297" s="36"/>
      <c r="K297" s="69"/>
      <c r="L297" s="113"/>
      <c r="M297" s="113"/>
      <c r="N297" s="70"/>
      <c r="O297" s="70"/>
      <c r="P297" s="71"/>
      <c r="Q297" s="69"/>
      <c r="R297" s="113"/>
      <c r="S297" s="73"/>
      <c r="T297" s="55"/>
    </row>
    <row r="298" spans="1:20">
      <c r="A298" s="68"/>
      <c r="B298" s="13"/>
      <c r="C298" s="14"/>
      <c r="D298" s="15"/>
      <c r="E298" s="16"/>
      <c r="F298" s="15"/>
      <c r="G298" s="15"/>
      <c r="H298" s="17"/>
      <c r="I298" s="15"/>
      <c r="J298" s="18"/>
      <c r="K298" s="69"/>
      <c r="L298" s="70"/>
      <c r="M298" s="70"/>
      <c r="N298" s="70"/>
      <c r="O298" s="70"/>
      <c r="P298" s="69"/>
      <c r="Q298" s="69"/>
      <c r="R298" s="70"/>
      <c r="S298" s="70"/>
      <c r="T298" s="55"/>
    </row>
    <row r="299" spans="1:20">
      <c r="A299" s="72"/>
      <c r="B299" s="31"/>
      <c r="C299" s="32"/>
      <c r="D299" s="33"/>
      <c r="E299" s="34"/>
      <c r="F299" s="33"/>
      <c r="G299" s="33"/>
      <c r="H299" s="35"/>
      <c r="I299" s="33"/>
      <c r="J299" s="36"/>
      <c r="K299" s="69"/>
      <c r="L299" s="113"/>
      <c r="M299" s="113"/>
      <c r="N299" s="70"/>
      <c r="O299" s="70"/>
      <c r="P299" s="71"/>
      <c r="Q299" s="69"/>
      <c r="R299" s="113"/>
      <c r="S299" s="70"/>
      <c r="T299" s="55"/>
    </row>
    <row r="300" spans="1:20">
      <c r="A300" s="72"/>
      <c r="B300" s="31"/>
      <c r="C300" s="32"/>
      <c r="D300" s="33"/>
      <c r="E300" s="34"/>
      <c r="F300" s="33"/>
      <c r="G300" s="33"/>
      <c r="H300" s="35"/>
      <c r="I300" s="33"/>
      <c r="J300" s="36"/>
      <c r="K300" s="69"/>
      <c r="L300" s="113"/>
      <c r="M300" s="113"/>
      <c r="N300" s="70"/>
      <c r="O300" s="70"/>
      <c r="P300" s="69"/>
      <c r="Q300" s="69"/>
      <c r="R300" s="70"/>
      <c r="S300" s="70"/>
      <c r="T300" s="55"/>
    </row>
    <row r="301" spans="1:20">
      <c r="A301" s="72"/>
      <c r="B301" s="31"/>
      <c r="C301" s="32"/>
      <c r="D301" s="33"/>
      <c r="E301" s="34"/>
      <c r="F301" s="33"/>
      <c r="G301" s="33"/>
      <c r="H301" s="35"/>
      <c r="I301" s="33"/>
      <c r="J301" s="36"/>
      <c r="K301" s="69"/>
      <c r="L301" s="113"/>
      <c r="M301" s="113"/>
      <c r="N301" s="70"/>
      <c r="O301" s="70"/>
      <c r="P301" s="71"/>
      <c r="Q301" s="69"/>
      <c r="R301" s="113"/>
      <c r="S301" s="70"/>
      <c r="T301" s="55"/>
    </row>
    <row r="302" spans="1:20">
      <c r="A302" s="68"/>
      <c r="B302" s="13"/>
      <c r="C302" s="14"/>
      <c r="D302" s="15"/>
      <c r="E302" s="16"/>
      <c r="F302" s="15"/>
      <c r="G302" s="169"/>
      <c r="H302" s="17"/>
      <c r="I302" s="15"/>
      <c r="J302" s="18"/>
      <c r="K302" s="69"/>
      <c r="L302" s="70"/>
      <c r="M302" s="70"/>
      <c r="N302" s="70"/>
      <c r="O302" s="70"/>
      <c r="P302" s="71"/>
      <c r="Q302" s="69"/>
      <c r="R302" s="70"/>
      <c r="S302" s="70"/>
      <c r="T302" s="55"/>
    </row>
    <row r="303" spans="1:20">
      <c r="A303" s="68"/>
      <c r="B303" s="13"/>
      <c r="C303" s="14"/>
      <c r="D303" s="15"/>
      <c r="E303" s="16"/>
      <c r="F303" s="15"/>
      <c r="G303" s="15"/>
      <c r="H303" s="17"/>
      <c r="I303" s="15"/>
      <c r="J303" s="18"/>
      <c r="K303" s="69"/>
      <c r="L303" s="70"/>
      <c r="M303" s="70"/>
      <c r="N303" s="70"/>
      <c r="O303" s="70"/>
      <c r="P303" s="69"/>
      <c r="Q303" s="69"/>
      <c r="R303" s="70"/>
      <c r="S303" s="70"/>
      <c r="T303" s="55"/>
    </row>
    <row r="304" spans="1:20">
      <c r="A304" s="68"/>
      <c r="B304" s="13"/>
      <c r="C304" s="14"/>
      <c r="D304" s="15"/>
      <c r="E304" s="16"/>
      <c r="F304" s="15"/>
      <c r="G304" s="15"/>
      <c r="H304" s="17"/>
      <c r="I304" s="15"/>
      <c r="J304" s="18"/>
      <c r="K304" s="69"/>
      <c r="L304" s="70"/>
      <c r="M304" s="70"/>
      <c r="N304" s="70"/>
      <c r="O304" s="70"/>
      <c r="P304" s="69"/>
      <c r="Q304" s="69"/>
      <c r="R304" s="70"/>
      <c r="S304" s="70"/>
      <c r="T304" s="55"/>
    </row>
    <row r="305" spans="1:20">
      <c r="A305" s="72"/>
      <c r="B305" s="31"/>
      <c r="C305" s="32"/>
      <c r="D305" s="33"/>
      <c r="E305" s="34"/>
      <c r="F305" s="33"/>
      <c r="G305" s="33"/>
      <c r="H305" s="35"/>
      <c r="I305" s="33"/>
      <c r="J305" s="36"/>
      <c r="K305" s="69"/>
      <c r="L305" s="113"/>
      <c r="M305" s="113"/>
      <c r="N305" s="70"/>
      <c r="O305" s="70"/>
      <c r="P305" s="71"/>
      <c r="Q305" s="69"/>
      <c r="R305" s="70"/>
      <c r="S305" s="70"/>
      <c r="T305" s="55"/>
    </row>
    <row r="306" spans="1:20">
      <c r="A306" s="68"/>
      <c r="B306" s="13"/>
      <c r="C306" s="14"/>
      <c r="D306" s="15"/>
      <c r="E306" s="16"/>
      <c r="F306" s="15"/>
      <c r="G306" s="15"/>
      <c r="H306" s="17"/>
      <c r="I306" s="15"/>
      <c r="J306" s="18"/>
      <c r="K306" s="69"/>
      <c r="L306" s="70"/>
      <c r="M306" s="70"/>
      <c r="N306" s="70"/>
      <c r="O306" s="70"/>
      <c r="P306" s="69"/>
      <c r="Q306" s="69"/>
      <c r="R306" s="70"/>
      <c r="S306" s="70"/>
      <c r="T306" s="55"/>
    </row>
    <row r="307" spans="1:20">
      <c r="A307" s="72"/>
      <c r="B307" s="31"/>
      <c r="C307" s="32"/>
      <c r="D307" s="33"/>
      <c r="E307" s="34"/>
      <c r="F307" s="33"/>
      <c r="G307" s="33"/>
      <c r="H307" s="35"/>
      <c r="I307" s="33"/>
      <c r="J307" s="36"/>
      <c r="K307" s="69"/>
      <c r="L307" s="113"/>
      <c r="M307" s="113"/>
      <c r="N307" s="70"/>
      <c r="O307" s="70"/>
      <c r="P307" s="71"/>
      <c r="Q307" s="69"/>
      <c r="R307" s="113"/>
      <c r="S307" s="70"/>
      <c r="T307" s="55"/>
    </row>
    <row r="308" spans="1:20">
      <c r="A308" s="72"/>
      <c r="B308" s="31"/>
      <c r="C308" s="32"/>
      <c r="D308" s="33"/>
      <c r="E308" s="34"/>
      <c r="F308" s="33"/>
      <c r="G308" s="33"/>
      <c r="H308" s="35"/>
      <c r="I308" s="33"/>
      <c r="J308" s="36"/>
      <c r="K308" s="69"/>
      <c r="L308" s="113"/>
      <c r="M308" s="113"/>
      <c r="N308" s="70"/>
      <c r="O308" s="70"/>
      <c r="P308" s="69"/>
      <c r="Q308" s="69"/>
      <c r="R308" s="70"/>
      <c r="S308" s="70"/>
      <c r="T308" s="55"/>
    </row>
    <row r="309" spans="1:20">
      <c r="A309" s="68"/>
      <c r="B309" s="13"/>
      <c r="C309" s="14"/>
      <c r="D309" s="15"/>
      <c r="E309" s="16"/>
      <c r="F309" s="15"/>
      <c r="G309" s="15"/>
      <c r="H309" s="17"/>
      <c r="I309" s="15"/>
      <c r="J309" s="18"/>
      <c r="K309" s="69"/>
      <c r="L309" s="70"/>
      <c r="M309" s="70"/>
      <c r="N309" s="70"/>
      <c r="O309" s="70"/>
      <c r="P309" s="69"/>
      <c r="Q309" s="69"/>
      <c r="R309" s="70"/>
      <c r="S309" s="70"/>
      <c r="T309" s="55"/>
    </row>
    <row r="310" spans="1:20">
      <c r="A310" s="68"/>
      <c r="B310" s="13"/>
      <c r="C310" s="14"/>
      <c r="D310" s="15"/>
      <c r="E310" s="16"/>
      <c r="F310" s="15"/>
      <c r="G310" s="15"/>
      <c r="H310" s="17"/>
      <c r="I310" s="15"/>
      <c r="J310" s="18"/>
      <c r="K310" s="69"/>
      <c r="L310" s="70"/>
      <c r="M310" s="70"/>
      <c r="N310" s="70"/>
      <c r="O310" s="70"/>
      <c r="P310" s="69"/>
      <c r="Q310" s="69"/>
      <c r="R310" s="70"/>
      <c r="S310" s="70"/>
      <c r="T310" s="55"/>
    </row>
    <row r="311" spans="1:20">
      <c r="A311" s="68"/>
      <c r="B311" s="13"/>
      <c r="C311" s="14"/>
      <c r="D311" s="15"/>
      <c r="E311" s="16"/>
      <c r="F311" s="15"/>
      <c r="G311" s="15"/>
      <c r="H311" s="17"/>
      <c r="I311" s="15"/>
      <c r="J311" s="18"/>
      <c r="K311" s="69"/>
      <c r="L311" s="70"/>
      <c r="M311" s="70"/>
      <c r="N311" s="70"/>
      <c r="O311" s="70"/>
      <c r="P311" s="71"/>
      <c r="Q311" s="69"/>
      <c r="R311" s="70"/>
      <c r="S311" s="70"/>
      <c r="T311" s="55"/>
    </row>
    <row r="312" spans="1:20">
      <c r="A312" s="68"/>
      <c r="B312" s="13"/>
      <c r="C312" s="14"/>
      <c r="D312" s="15"/>
      <c r="E312" s="16"/>
      <c r="F312" s="15"/>
      <c r="G312" s="15"/>
      <c r="H312" s="17"/>
      <c r="I312" s="15"/>
      <c r="J312" s="18"/>
      <c r="K312" s="69"/>
      <c r="L312" s="70"/>
      <c r="M312" s="70"/>
      <c r="N312" s="70"/>
      <c r="O312" s="70"/>
      <c r="P312" s="71"/>
      <c r="Q312" s="69"/>
      <c r="R312" s="70"/>
      <c r="S312" s="70"/>
      <c r="T312" s="55"/>
    </row>
    <row r="313" spans="1:20">
      <c r="A313" s="68"/>
      <c r="B313" s="13"/>
      <c r="C313" s="14"/>
      <c r="D313" s="15"/>
      <c r="E313" s="16"/>
      <c r="F313" s="15"/>
      <c r="G313" s="15"/>
      <c r="H313" s="17"/>
      <c r="I313" s="15"/>
      <c r="J313" s="18"/>
      <c r="K313" s="69"/>
      <c r="L313" s="70"/>
      <c r="M313" s="70"/>
      <c r="N313" s="70"/>
      <c r="O313" s="70"/>
      <c r="P313" s="69"/>
      <c r="Q313" s="69"/>
      <c r="R313" s="70"/>
      <c r="S313" s="70"/>
      <c r="T313" s="55"/>
    </row>
    <row r="314" spans="1:20">
      <c r="A314" s="72"/>
      <c r="B314" s="31"/>
      <c r="C314" s="32"/>
      <c r="D314" s="33"/>
      <c r="E314" s="34"/>
      <c r="F314" s="33"/>
      <c r="G314" s="33"/>
      <c r="H314" s="35"/>
      <c r="I314" s="33"/>
      <c r="J314" s="36"/>
      <c r="K314" s="69"/>
      <c r="L314" s="70"/>
      <c r="M314" s="70"/>
      <c r="N314" s="70"/>
      <c r="O314" s="70"/>
      <c r="P314" s="69"/>
      <c r="Q314" s="69"/>
      <c r="R314" s="70"/>
      <c r="S314" s="70"/>
      <c r="T314" s="55"/>
    </row>
    <row r="315" spans="1:20">
      <c r="A315" s="72"/>
      <c r="B315" s="31"/>
      <c r="C315" s="32"/>
      <c r="D315" s="33"/>
      <c r="E315" s="34"/>
      <c r="F315" s="33"/>
      <c r="G315" s="33"/>
      <c r="H315" s="35"/>
      <c r="I315" s="33"/>
      <c r="J315" s="36"/>
      <c r="K315" s="69"/>
      <c r="L315" s="70"/>
      <c r="M315" s="70"/>
      <c r="N315" s="70"/>
      <c r="O315" s="70"/>
      <c r="P315" s="71"/>
      <c r="Q315" s="69"/>
      <c r="R315" s="70"/>
      <c r="S315" s="70"/>
      <c r="T315" s="55"/>
    </row>
    <row r="316" spans="1:20">
      <c r="A316" s="68"/>
      <c r="B316" s="13"/>
      <c r="C316" s="14"/>
      <c r="D316" s="15"/>
      <c r="E316" s="16"/>
      <c r="F316" s="15"/>
      <c r="G316" s="15"/>
      <c r="H316" s="17"/>
      <c r="I316" s="15"/>
      <c r="J316" s="18"/>
      <c r="K316" s="69"/>
      <c r="L316" s="70"/>
      <c r="M316" s="70"/>
      <c r="N316" s="70"/>
      <c r="O316" s="70"/>
      <c r="P316" s="71"/>
      <c r="Q316" s="69"/>
      <c r="R316" s="70"/>
      <c r="S316" s="70"/>
      <c r="T316" s="55"/>
    </row>
    <row r="317" spans="1:20">
      <c r="A317" s="72"/>
      <c r="B317" s="31"/>
      <c r="C317" s="32"/>
      <c r="D317" s="33"/>
      <c r="E317" s="34"/>
      <c r="F317" s="33"/>
      <c r="G317" s="33"/>
      <c r="H317" s="35"/>
      <c r="I317" s="33"/>
      <c r="J317" s="36"/>
      <c r="K317" s="69"/>
      <c r="L317" s="113"/>
      <c r="M317" s="113"/>
      <c r="N317" s="70"/>
      <c r="O317" s="70"/>
      <c r="P317" s="71"/>
      <c r="Q317" s="69"/>
      <c r="R317" s="113"/>
      <c r="S317" s="70"/>
      <c r="T317" s="55"/>
    </row>
    <row r="318" spans="1:20">
      <c r="A318" s="72"/>
      <c r="B318" s="31"/>
      <c r="C318" s="32"/>
      <c r="D318" s="33"/>
      <c r="E318" s="34"/>
      <c r="F318" s="33"/>
      <c r="G318" s="33"/>
      <c r="H318" s="35"/>
      <c r="I318" s="33"/>
      <c r="J318" s="36"/>
      <c r="K318" s="69"/>
      <c r="L318" s="70"/>
      <c r="M318" s="70"/>
      <c r="N318" s="70"/>
      <c r="O318" s="70"/>
      <c r="P318" s="69"/>
      <c r="Q318" s="69"/>
      <c r="R318" s="70"/>
      <c r="S318" s="70"/>
      <c r="T318" s="55"/>
    </row>
    <row r="319" spans="1:20">
      <c r="A319" s="72"/>
      <c r="B319" s="31"/>
      <c r="C319" s="32"/>
      <c r="D319" s="33"/>
      <c r="E319" s="34"/>
      <c r="F319" s="33"/>
      <c r="G319" s="33"/>
      <c r="H319" s="35"/>
      <c r="I319" s="33"/>
      <c r="J319" s="36"/>
      <c r="K319" s="69"/>
      <c r="L319" s="70"/>
      <c r="M319" s="70"/>
      <c r="N319" s="70"/>
      <c r="O319" s="70"/>
      <c r="P319" s="69"/>
      <c r="Q319" s="69"/>
      <c r="R319" s="70"/>
      <c r="S319" s="70"/>
      <c r="T319" s="55"/>
    </row>
    <row r="320" spans="1:20">
      <c r="A320" s="72"/>
      <c r="B320" s="31"/>
      <c r="C320" s="32"/>
      <c r="D320" s="33"/>
      <c r="E320" s="34"/>
      <c r="F320" s="33"/>
      <c r="G320" s="33"/>
      <c r="H320" s="35"/>
      <c r="I320" s="33"/>
      <c r="J320" s="36"/>
      <c r="K320" s="69"/>
      <c r="L320" s="170"/>
      <c r="M320" s="170"/>
      <c r="N320" s="70"/>
      <c r="O320" s="70"/>
      <c r="P320" s="71"/>
      <c r="Q320" s="69"/>
      <c r="R320" s="70"/>
      <c r="S320" s="73"/>
      <c r="T320" s="55"/>
    </row>
    <row r="321" spans="1:20">
      <c r="A321" s="72"/>
      <c r="B321" s="31"/>
      <c r="C321" s="32"/>
      <c r="D321" s="33"/>
      <c r="E321" s="34"/>
      <c r="F321" s="33"/>
      <c r="G321" s="33"/>
      <c r="H321" s="35"/>
      <c r="I321" s="33"/>
      <c r="J321" s="36"/>
      <c r="K321" s="69"/>
      <c r="L321" s="70"/>
      <c r="M321" s="70"/>
      <c r="N321" s="70"/>
      <c r="O321" s="70"/>
      <c r="P321" s="69"/>
      <c r="Q321" s="69"/>
      <c r="R321" s="70"/>
      <c r="S321" s="70"/>
      <c r="T321" s="55"/>
    </row>
    <row r="322" spans="1:20">
      <c r="A322" s="72"/>
      <c r="B322" s="31"/>
      <c r="C322" s="32"/>
      <c r="D322" s="33"/>
      <c r="E322" s="34"/>
      <c r="F322" s="33"/>
      <c r="G322" s="33"/>
      <c r="H322" s="35"/>
      <c r="I322" s="33"/>
      <c r="J322" s="36"/>
      <c r="K322" s="69"/>
      <c r="L322" s="70"/>
      <c r="M322" s="70"/>
      <c r="N322" s="70"/>
      <c r="O322" s="70"/>
      <c r="P322" s="71"/>
      <c r="Q322" s="69"/>
      <c r="R322" s="70"/>
      <c r="S322" s="70"/>
      <c r="T322" s="55"/>
    </row>
    <row r="323" spans="1:20">
      <c r="A323" s="68"/>
      <c r="B323" s="13"/>
      <c r="C323" s="14"/>
      <c r="D323" s="15"/>
      <c r="E323" s="16"/>
      <c r="F323" s="15"/>
      <c r="G323" s="15"/>
      <c r="H323" s="17"/>
      <c r="I323" s="15"/>
      <c r="J323" s="18"/>
      <c r="K323" s="69"/>
      <c r="L323" s="70"/>
      <c r="M323" s="70"/>
      <c r="N323" s="70"/>
      <c r="O323" s="70"/>
      <c r="P323" s="69"/>
      <c r="Q323" s="69"/>
      <c r="R323" s="70"/>
      <c r="S323" s="70"/>
      <c r="T323" s="55"/>
    </row>
    <row r="324" spans="1:20">
      <c r="A324" s="68"/>
      <c r="B324" s="13"/>
      <c r="C324" s="14"/>
      <c r="D324" s="15"/>
      <c r="E324" s="16"/>
      <c r="F324" s="15"/>
      <c r="G324" s="15"/>
      <c r="H324" s="17"/>
      <c r="I324" s="15"/>
      <c r="J324" s="18"/>
      <c r="K324" s="69"/>
      <c r="L324" s="70"/>
      <c r="M324" s="70"/>
      <c r="N324" s="70"/>
      <c r="O324" s="70"/>
      <c r="P324" s="69"/>
      <c r="Q324" s="69"/>
      <c r="R324" s="70"/>
      <c r="S324" s="70"/>
      <c r="T324" s="55"/>
    </row>
    <row r="325" spans="1:20">
      <c r="A325" s="72"/>
      <c r="B325" s="31"/>
      <c r="C325" s="32"/>
      <c r="D325" s="33"/>
      <c r="E325" s="34"/>
      <c r="F325" s="33"/>
      <c r="G325" s="33"/>
      <c r="H325" s="35"/>
      <c r="I325" s="33"/>
      <c r="J325" s="36"/>
      <c r="K325" s="69"/>
      <c r="L325" s="70"/>
      <c r="M325" s="70"/>
      <c r="N325" s="70"/>
      <c r="O325" s="70"/>
      <c r="P325" s="69"/>
      <c r="Q325" s="69"/>
      <c r="R325" s="70"/>
      <c r="S325" s="70"/>
      <c r="T325" s="55"/>
    </row>
    <row r="326" spans="1:20">
      <c r="A326" s="72"/>
      <c r="B326" s="31"/>
      <c r="C326" s="32"/>
      <c r="D326" s="33"/>
      <c r="E326" s="34"/>
      <c r="F326" s="33"/>
      <c r="G326" s="33"/>
      <c r="H326" s="169"/>
      <c r="I326" s="33"/>
      <c r="J326" s="36"/>
      <c r="K326" s="69"/>
      <c r="L326" s="170"/>
      <c r="M326" s="170"/>
      <c r="N326" s="70"/>
      <c r="O326" s="70"/>
      <c r="P326" s="71"/>
      <c r="Q326" s="69"/>
      <c r="R326" s="170"/>
      <c r="S326" s="70"/>
      <c r="T326" s="55"/>
    </row>
    <row r="327" spans="1:20">
      <c r="A327" s="72"/>
      <c r="B327" s="31"/>
      <c r="C327" s="32"/>
      <c r="D327" s="33"/>
      <c r="E327" s="34"/>
      <c r="F327" s="33"/>
      <c r="G327" s="33"/>
      <c r="H327" s="35"/>
      <c r="I327" s="33"/>
      <c r="J327" s="36"/>
      <c r="K327" s="69"/>
      <c r="L327" s="70"/>
      <c r="M327" s="70"/>
      <c r="N327" s="70"/>
      <c r="O327" s="70"/>
      <c r="P327" s="69"/>
      <c r="Q327" s="69"/>
      <c r="R327" s="70"/>
      <c r="S327" s="73"/>
      <c r="T327" s="55"/>
    </row>
    <row r="328" spans="1:20">
      <c r="A328" s="68"/>
      <c r="B328" s="13"/>
      <c r="C328" s="14"/>
      <c r="D328" s="15"/>
      <c r="E328" s="16"/>
      <c r="F328" s="15"/>
      <c r="G328" s="15"/>
      <c r="H328" s="17"/>
      <c r="I328" s="15"/>
      <c r="J328" s="18"/>
      <c r="K328" s="69"/>
      <c r="L328" s="70"/>
      <c r="M328" s="70"/>
      <c r="N328" s="70"/>
      <c r="O328" s="70"/>
      <c r="P328" s="69"/>
      <c r="Q328" s="69"/>
      <c r="R328" s="70"/>
      <c r="S328" s="70"/>
      <c r="T328" s="55"/>
    </row>
    <row r="329" spans="1:20">
      <c r="A329" s="72"/>
      <c r="B329" s="31"/>
      <c r="C329" s="32"/>
      <c r="D329" s="33"/>
      <c r="E329" s="34"/>
      <c r="F329" s="33"/>
      <c r="G329" s="33"/>
      <c r="H329" s="35"/>
      <c r="I329" s="33"/>
      <c r="J329" s="36"/>
      <c r="K329" s="69"/>
      <c r="L329" s="70"/>
      <c r="M329" s="70"/>
      <c r="N329" s="70"/>
      <c r="O329" s="70"/>
      <c r="P329" s="69"/>
      <c r="Q329" s="69"/>
      <c r="R329" s="70"/>
      <c r="S329" s="70"/>
      <c r="T329" s="55"/>
    </row>
    <row r="330" spans="1:20">
      <c r="A330" s="68"/>
      <c r="B330" s="13"/>
      <c r="C330" s="14"/>
      <c r="D330" s="15"/>
      <c r="E330" s="16"/>
      <c r="F330" s="15"/>
      <c r="G330" s="15"/>
      <c r="H330" s="17"/>
      <c r="I330" s="15"/>
      <c r="J330" s="18"/>
      <c r="K330" s="69"/>
      <c r="L330" s="70"/>
      <c r="M330" s="70"/>
      <c r="N330" s="70"/>
      <c r="O330" s="70"/>
      <c r="P330" s="71"/>
      <c r="Q330" s="69"/>
      <c r="R330" s="70"/>
      <c r="S330" s="70"/>
      <c r="T330" s="55"/>
    </row>
    <row r="331" spans="1:20">
      <c r="A331" s="68"/>
      <c r="B331" s="13"/>
      <c r="C331" s="14"/>
      <c r="D331" s="15"/>
      <c r="E331" s="16"/>
      <c r="F331" s="15"/>
      <c r="G331" s="15"/>
      <c r="H331" s="17"/>
      <c r="I331" s="15"/>
      <c r="J331" s="18"/>
      <c r="K331" s="69"/>
      <c r="L331" s="70"/>
      <c r="M331" s="70"/>
      <c r="N331" s="70"/>
      <c r="O331" s="70"/>
      <c r="P331" s="69"/>
      <c r="Q331" s="69"/>
      <c r="R331" s="70"/>
      <c r="S331" s="70"/>
      <c r="T331" s="55"/>
    </row>
    <row r="332" spans="1:20">
      <c r="A332" s="68"/>
      <c r="B332" s="13"/>
      <c r="C332" s="14"/>
      <c r="D332" s="15"/>
      <c r="E332" s="16"/>
      <c r="F332" s="15"/>
      <c r="G332" s="15"/>
      <c r="H332" s="17"/>
      <c r="I332" s="15"/>
      <c r="J332" s="18"/>
      <c r="K332" s="69"/>
      <c r="L332" s="70"/>
      <c r="M332" s="70"/>
      <c r="N332" s="70"/>
      <c r="O332" s="70"/>
      <c r="P332" s="69"/>
      <c r="Q332" s="69"/>
      <c r="R332" s="70"/>
      <c r="S332" s="70"/>
      <c r="T332" s="55"/>
    </row>
    <row r="333" spans="1:20">
      <c r="A333" s="72"/>
      <c r="B333" s="31"/>
      <c r="C333" s="32"/>
      <c r="D333" s="33"/>
      <c r="E333" s="34"/>
      <c r="F333" s="33"/>
      <c r="G333" s="33"/>
      <c r="H333" s="35"/>
      <c r="I333" s="33"/>
      <c r="J333" s="36"/>
      <c r="K333" s="69"/>
      <c r="L333" s="70"/>
      <c r="M333" s="70"/>
      <c r="N333" s="70"/>
      <c r="O333" s="70"/>
      <c r="P333" s="69"/>
      <c r="Q333" s="69"/>
      <c r="R333" s="70"/>
      <c r="S333" s="70"/>
      <c r="T333" s="55"/>
    </row>
    <row r="334" spans="1:20">
      <c r="A334" s="68"/>
      <c r="B334" s="13"/>
      <c r="C334" s="14"/>
      <c r="D334" s="15"/>
      <c r="E334" s="16"/>
      <c r="F334" s="15"/>
      <c r="G334" s="15"/>
      <c r="H334" s="17"/>
      <c r="I334" s="15"/>
      <c r="J334" s="18"/>
      <c r="K334" s="69"/>
      <c r="L334" s="70"/>
      <c r="M334" s="70"/>
      <c r="N334" s="70"/>
      <c r="O334" s="70"/>
      <c r="P334" s="69"/>
      <c r="Q334" s="69"/>
      <c r="R334" s="70"/>
      <c r="S334" s="70"/>
      <c r="T334" s="55"/>
    </row>
    <row r="335" spans="1:20">
      <c r="A335" s="68"/>
      <c r="B335" s="13"/>
      <c r="C335" s="14"/>
      <c r="D335" s="15"/>
      <c r="E335" s="16"/>
      <c r="F335" s="15"/>
      <c r="G335" s="15"/>
      <c r="H335" s="17"/>
      <c r="I335" s="15"/>
      <c r="J335" s="18"/>
      <c r="K335" s="69"/>
      <c r="L335" s="70"/>
      <c r="M335" s="70"/>
      <c r="N335" s="70"/>
      <c r="O335" s="70"/>
      <c r="P335" s="69"/>
      <c r="Q335" s="69"/>
      <c r="R335" s="70"/>
      <c r="S335" s="70"/>
      <c r="T335" s="55"/>
    </row>
    <row r="336" spans="1:20">
      <c r="A336" s="68"/>
      <c r="B336" s="13"/>
      <c r="C336" s="14"/>
      <c r="D336" s="15"/>
      <c r="E336" s="16"/>
      <c r="F336" s="15"/>
      <c r="G336" s="15"/>
      <c r="H336" s="17"/>
      <c r="I336" s="15"/>
      <c r="J336" s="18"/>
      <c r="K336" s="69"/>
      <c r="L336" s="70"/>
      <c r="M336" s="70"/>
      <c r="N336" s="70"/>
      <c r="O336" s="70"/>
      <c r="P336" s="69"/>
      <c r="Q336" s="69"/>
      <c r="R336" s="70"/>
      <c r="S336" s="70"/>
      <c r="T336" s="55"/>
    </row>
    <row r="337" spans="1:20">
      <c r="A337" s="68"/>
      <c r="B337" s="13"/>
      <c r="C337" s="14"/>
      <c r="D337" s="15"/>
      <c r="E337" s="16"/>
      <c r="F337" s="15"/>
      <c r="G337" s="15"/>
      <c r="H337" s="17"/>
      <c r="I337" s="15"/>
      <c r="J337" s="18"/>
      <c r="K337" s="69"/>
      <c r="L337" s="70"/>
      <c r="M337" s="70"/>
      <c r="N337" s="70"/>
      <c r="O337" s="70"/>
      <c r="P337" s="69"/>
      <c r="Q337" s="69"/>
      <c r="R337" s="70"/>
      <c r="S337" s="70"/>
      <c r="T337" s="55"/>
    </row>
    <row r="338" spans="1:20">
      <c r="A338" s="68"/>
      <c r="B338" s="13"/>
      <c r="C338" s="14"/>
      <c r="D338" s="15"/>
      <c r="E338" s="16"/>
      <c r="F338" s="15"/>
      <c r="G338" s="15"/>
      <c r="H338" s="17"/>
      <c r="I338" s="15"/>
      <c r="J338" s="18"/>
      <c r="K338" s="69"/>
      <c r="L338" s="70"/>
      <c r="M338" s="70"/>
      <c r="N338" s="70"/>
      <c r="O338" s="70"/>
      <c r="P338" s="69"/>
      <c r="Q338" s="69"/>
      <c r="R338" s="70"/>
      <c r="S338" s="70"/>
      <c r="T338" s="55"/>
    </row>
    <row r="339" spans="1:20">
      <c r="A339" s="68"/>
      <c r="B339" s="13"/>
      <c r="C339" s="14"/>
      <c r="D339" s="15"/>
      <c r="E339" s="16"/>
      <c r="F339" s="15"/>
      <c r="G339" s="15"/>
      <c r="H339" s="17"/>
      <c r="I339" s="15"/>
      <c r="J339" s="18"/>
      <c r="K339" s="69"/>
      <c r="L339" s="70"/>
      <c r="M339" s="70"/>
      <c r="N339" s="70"/>
      <c r="O339" s="70"/>
      <c r="P339" s="71"/>
      <c r="Q339" s="69"/>
      <c r="R339" s="70"/>
      <c r="S339" s="70"/>
      <c r="T339" s="55"/>
    </row>
    <row r="340" spans="1:20">
      <c r="A340" s="68"/>
      <c r="B340" s="13"/>
      <c r="C340" s="14"/>
      <c r="D340" s="15"/>
      <c r="E340" s="16"/>
      <c r="F340" s="15"/>
      <c r="G340" s="15"/>
      <c r="H340" s="17"/>
      <c r="I340" s="15"/>
      <c r="J340" s="18"/>
      <c r="K340" s="69"/>
      <c r="L340" s="70"/>
      <c r="M340" s="70"/>
      <c r="N340" s="70"/>
      <c r="O340" s="70"/>
      <c r="P340" s="69"/>
      <c r="Q340" s="69"/>
      <c r="R340" s="70"/>
      <c r="S340" s="70"/>
      <c r="T340" s="55"/>
    </row>
    <row r="341" spans="1:20">
      <c r="A341" s="72"/>
      <c r="B341" s="31"/>
      <c r="C341" s="32"/>
      <c r="D341" s="33"/>
      <c r="E341" s="34"/>
      <c r="F341" s="33"/>
      <c r="G341" s="33"/>
      <c r="H341" s="35"/>
      <c r="I341" s="33"/>
      <c r="J341" s="36"/>
      <c r="K341" s="69"/>
      <c r="L341" s="70"/>
      <c r="M341" s="70"/>
      <c r="N341" s="70"/>
      <c r="O341" s="70"/>
      <c r="P341" s="69"/>
      <c r="Q341" s="69"/>
      <c r="R341" s="70"/>
      <c r="S341" s="70"/>
      <c r="T341" s="55"/>
    </row>
    <row r="342" spans="1:20">
      <c r="A342" s="72"/>
      <c r="B342" s="31"/>
      <c r="C342" s="32"/>
      <c r="D342" s="33"/>
      <c r="E342" s="34"/>
      <c r="F342" s="33"/>
      <c r="G342" s="33"/>
      <c r="H342" s="35"/>
      <c r="I342" s="33"/>
      <c r="J342" s="36"/>
      <c r="K342" s="69"/>
      <c r="L342" s="70"/>
      <c r="M342" s="70"/>
      <c r="N342" s="70"/>
      <c r="O342" s="70"/>
      <c r="P342" s="69"/>
      <c r="Q342" s="69"/>
      <c r="R342" s="70"/>
      <c r="S342" s="70"/>
      <c r="T342" s="55"/>
    </row>
    <row r="343" spans="1:20">
      <c r="A343" s="72"/>
      <c r="B343" s="31"/>
      <c r="C343" s="32"/>
      <c r="D343" s="33"/>
      <c r="E343" s="34"/>
      <c r="F343" s="33"/>
      <c r="G343" s="33"/>
      <c r="H343" s="35"/>
      <c r="I343" s="33"/>
      <c r="J343" s="36"/>
      <c r="K343" s="69"/>
      <c r="L343" s="70"/>
      <c r="M343" s="70"/>
      <c r="N343" s="70"/>
      <c r="O343" s="70"/>
      <c r="P343" s="71"/>
      <c r="Q343" s="69"/>
      <c r="R343" s="70"/>
      <c r="S343" s="70"/>
      <c r="T343" s="55"/>
    </row>
    <row r="344" spans="1:20">
      <c r="A344" s="68"/>
      <c r="B344" s="13"/>
      <c r="C344" s="14"/>
      <c r="D344" s="15"/>
      <c r="E344" s="16"/>
      <c r="F344" s="15"/>
      <c r="G344" s="15"/>
      <c r="H344" s="17"/>
      <c r="I344" s="15"/>
      <c r="J344" s="18"/>
      <c r="K344" s="69"/>
      <c r="L344" s="70"/>
      <c r="M344" s="70"/>
      <c r="N344" s="70"/>
      <c r="O344" s="70"/>
      <c r="P344" s="69"/>
      <c r="Q344" s="69"/>
      <c r="R344" s="70"/>
      <c r="S344" s="70"/>
      <c r="T344" s="55"/>
    </row>
    <row r="345" spans="1:20">
      <c r="A345" s="72"/>
      <c r="B345" s="31"/>
      <c r="C345" s="32"/>
      <c r="D345" s="33"/>
      <c r="E345" s="34"/>
      <c r="F345" s="33"/>
      <c r="G345" s="33"/>
      <c r="H345" s="35"/>
      <c r="I345" s="33"/>
      <c r="J345" s="36"/>
      <c r="K345" s="69"/>
      <c r="L345" s="70"/>
      <c r="M345" s="70"/>
      <c r="N345" s="70"/>
      <c r="O345" s="70"/>
      <c r="P345" s="71"/>
      <c r="Q345" s="69"/>
      <c r="R345" s="70"/>
      <c r="S345" s="70"/>
      <c r="T345" s="55"/>
    </row>
    <row r="346" spans="1:20">
      <c r="A346" s="72"/>
      <c r="B346" s="31"/>
      <c r="C346" s="32"/>
      <c r="D346" s="33"/>
      <c r="E346" s="34"/>
      <c r="F346" s="33"/>
      <c r="G346" s="33"/>
      <c r="H346" s="35"/>
      <c r="I346" s="33"/>
      <c r="J346" s="36"/>
      <c r="K346" s="69"/>
      <c r="L346" s="70"/>
      <c r="M346" s="70"/>
      <c r="N346" s="70"/>
      <c r="O346" s="70"/>
      <c r="P346" s="69"/>
      <c r="Q346" s="69"/>
      <c r="R346" s="70"/>
      <c r="S346" s="70"/>
      <c r="T346" s="55"/>
    </row>
    <row r="347" spans="1:20">
      <c r="A347" s="72"/>
      <c r="B347" s="31"/>
      <c r="C347" s="32"/>
      <c r="D347" s="33"/>
      <c r="E347" s="34"/>
      <c r="F347" s="33"/>
      <c r="G347" s="33"/>
      <c r="H347" s="35"/>
      <c r="I347" s="33"/>
      <c r="J347" s="36"/>
      <c r="K347" s="69"/>
      <c r="L347" s="70"/>
      <c r="M347" s="70"/>
      <c r="N347" s="70"/>
      <c r="O347" s="70"/>
      <c r="P347" s="69"/>
      <c r="Q347" s="69"/>
      <c r="R347" s="70"/>
      <c r="S347" s="70"/>
      <c r="T347" s="55"/>
    </row>
    <row r="348" spans="1:20">
      <c r="A348" s="98"/>
      <c r="B348" s="100"/>
      <c r="C348" s="101"/>
      <c r="D348" s="99"/>
      <c r="E348" s="99"/>
      <c r="F348" s="99"/>
      <c r="G348" s="99"/>
      <c r="H348" s="99"/>
      <c r="I348" s="99"/>
      <c r="J348" s="102"/>
      <c r="K348" s="69"/>
      <c r="L348" s="70"/>
      <c r="M348" s="70"/>
      <c r="N348" s="70"/>
      <c r="O348" s="70"/>
      <c r="P348" s="69"/>
      <c r="Q348" s="69"/>
      <c r="R348" s="70"/>
      <c r="S348" s="70"/>
      <c r="T348" s="55"/>
    </row>
    <row r="349" spans="1:20">
      <c r="A349" s="68"/>
      <c r="B349" s="13"/>
      <c r="C349" s="14"/>
      <c r="D349" s="15"/>
      <c r="E349" s="16"/>
      <c r="F349" s="15"/>
      <c r="G349" s="15"/>
      <c r="H349" s="17"/>
      <c r="I349" s="15"/>
      <c r="J349" s="18"/>
      <c r="K349" s="69"/>
      <c r="L349" s="113"/>
      <c r="M349" s="113"/>
      <c r="N349" s="70"/>
      <c r="O349" s="70"/>
      <c r="P349" s="69"/>
      <c r="Q349" s="69"/>
      <c r="R349" s="70"/>
      <c r="S349" s="70"/>
      <c r="T349" s="55"/>
    </row>
    <row r="350" spans="1:20">
      <c r="A350" s="72"/>
      <c r="B350" s="31"/>
      <c r="C350" s="32"/>
      <c r="D350" s="33"/>
      <c r="E350" s="34"/>
      <c r="F350" s="33"/>
      <c r="G350" s="33"/>
      <c r="H350" s="35"/>
      <c r="I350" s="33"/>
      <c r="J350" s="36"/>
      <c r="K350" s="69"/>
      <c r="L350" s="70"/>
      <c r="M350" s="70"/>
      <c r="N350" s="70"/>
      <c r="O350" s="70"/>
      <c r="P350" s="69"/>
      <c r="Q350" s="69"/>
      <c r="R350" s="70"/>
      <c r="S350" s="70"/>
      <c r="T350" s="55"/>
    </row>
    <row r="351" spans="1:20">
      <c r="A351" s="72"/>
      <c r="B351" s="31"/>
      <c r="C351" s="32"/>
      <c r="D351" s="33"/>
      <c r="E351" s="34"/>
      <c r="F351" s="33"/>
      <c r="G351" s="33"/>
      <c r="H351" s="35"/>
      <c r="I351" s="33"/>
      <c r="J351" s="36"/>
      <c r="K351" s="69"/>
      <c r="L351" s="70"/>
      <c r="M351" s="70"/>
      <c r="N351" s="70"/>
      <c r="O351" s="70"/>
      <c r="P351" s="71"/>
      <c r="Q351" s="69"/>
      <c r="R351" s="70"/>
      <c r="S351" s="70"/>
      <c r="T351" s="55"/>
    </row>
    <row r="352" spans="1:20">
      <c r="A352" s="72"/>
      <c r="B352" s="31"/>
      <c r="C352" s="32"/>
      <c r="D352" s="33"/>
      <c r="E352" s="34"/>
      <c r="F352" s="33"/>
      <c r="G352" s="33"/>
      <c r="H352" s="35"/>
      <c r="I352" s="33"/>
      <c r="J352" s="36"/>
      <c r="K352" s="69"/>
      <c r="L352" s="70"/>
      <c r="M352" s="70"/>
      <c r="N352" s="70"/>
      <c r="O352" s="70"/>
      <c r="P352" s="69"/>
      <c r="Q352" s="69"/>
      <c r="R352" s="70"/>
      <c r="S352" s="70"/>
      <c r="T352" s="55"/>
    </row>
    <row r="353" spans="1:20">
      <c r="A353" s="68"/>
      <c r="B353" s="13"/>
      <c r="C353" s="14"/>
      <c r="D353" s="15"/>
      <c r="E353" s="16"/>
      <c r="F353" s="15"/>
      <c r="G353" s="15"/>
      <c r="H353" s="17"/>
      <c r="I353" s="15"/>
      <c r="J353" s="18"/>
      <c r="K353" s="69"/>
      <c r="L353" s="70"/>
      <c r="M353" s="70"/>
      <c r="N353" s="70"/>
      <c r="O353" s="70"/>
      <c r="P353" s="69"/>
      <c r="Q353" s="69"/>
      <c r="R353" s="70"/>
      <c r="S353" s="70"/>
      <c r="T353" s="55"/>
    </row>
    <row r="354" spans="1:20">
      <c r="A354" s="72"/>
      <c r="B354" s="31"/>
      <c r="C354" s="32"/>
      <c r="D354" s="33"/>
      <c r="E354" s="34"/>
      <c r="F354" s="33"/>
      <c r="G354" s="33"/>
      <c r="H354" s="35"/>
      <c r="I354" s="33"/>
      <c r="J354" s="36"/>
      <c r="K354" s="69"/>
      <c r="L354" s="70"/>
      <c r="M354" s="70"/>
      <c r="N354" s="70"/>
      <c r="O354" s="70"/>
      <c r="P354" s="69"/>
      <c r="Q354" s="69"/>
      <c r="R354" s="70"/>
      <c r="S354" s="70"/>
      <c r="T354" s="55"/>
    </row>
    <row r="355" spans="1:20">
      <c r="A355" s="72"/>
      <c r="B355" s="31"/>
      <c r="C355" s="32"/>
      <c r="D355" s="33"/>
      <c r="E355" s="34"/>
      <c r="F355" s="33"/>
      <c r="G355" s="33"/>
      <c r="H355" s="35"/>
      <c r="I355" s="33"/>
      <c r="J355" s="36"/>
      <c r="K355" s="69"/>
      <c r="L355" s="70"/>
      <c r="M355" s="70"/>
      <c r="N355" s="70"/>
      <c r="O355" s="70"/>
      <c r="P355" s="69"/>
      <c r="Q355" s="69"/>
      <c r="R355" s="70"/>
      <c r="S355" s="70"/>
      <c r="T355" s="55"/>
    </row>
    <row r="356" spans="1:20">
      <c r="A356" s="72"/>
      <c r="B356" s="31"/>
      <c r="C356" s="32"/>
      <c r="D356" s="33"/>
      <c r="E356" s="34"/>
      <c r="F356" s="33"/>
      <c r="G356" s="33"/>
      <c r="H356" s="35"/>
      <c r="I356" s="33"/>
      <c r="J356" s="36"/>
      <c r="K356" s="69"/>
      <c r="L356" s="113"/>
      <c r="M356" s="113"/>
      <c r="N356" s="70"/>
      <c r="O356" s="70"/>
      <c r="P356" s="71"/>
      <c r="Q356" s="69"/>
      <c r="R356" s="113"/>
      <c r="S356" s="70"/>
      <c r="T356" s="55"/>
    </row>
    <row r="357" spans="1:20">
      <c r="A357" s="72"/>
      <c r="B357" s="31"/>
      <c r="C357" s="32"/>
      <c r="D357" s="33"/>
      <c r="E357" s="34"/>
      <c r="F357" s="33"/>
      <c r="G357" s="33"/>
      <c r="H357" s="35"/>
      <c r="I357" s="33"/>
      <c r="J357" s="36"/>
      <c r="K357" s="69"/>
      <c r="L357" s="70"/>
      <c r="M357" s="70"/>
      <c r="N357" s="70"/>
      <c r="O357" s="70"/>
      <c r="P357" s="69"/>
      <c r="Q357" s="69"/>
      <c r="R357" s="70"/>
      <c r="S357" s="70"/>
      <c r="T357" s="55"/>
    </row>
    <row r="358" spans="1:20">
      <c r="A358" s="68"/>
      <c r="B358" s="13"/>
      <c r="C358" s="14"/>
      <c r="D358" s="15"/>
      <c r="E358" s="16"/>
      <c r="F358" s="15"/>
      <c r="G358" s="15"/>
      <c r="H358" s="17"/>
      <c r="I358" s="15"/>
      <c r="J358" s="18"/>
      <c r="K358" s="69"/>
      <c r="L358" s="70"/>
      <c r="M358" s="70"/>
      <c r="N358" s="70"/>
      <c r="O358" s="70"/>
      <c r="P358" s="69"/>
      <c r="Q358" s="69"/>
      <c r="R358" s="70"/>
      <c r="S358" s="70"/>
      <c r="T358" s="55"/>
    </row>
    <row r="359" spans="1:20">
      <c r="A359" s="78"/>
      <c r="B359" s="79"/>
      <c r="C359" s="80"/>
      <c r="D359" s="81"/>
      <c r="E359" s="82"/>
      <c r="F359" s="81"/>
      <c r="G359" s="81"/>
      <c r="H359" s="83"/>
      <c r="I359" s="81"/>
      <c r="J359" s="84"/>
      <c r="K359" s="74"/>
      <c r="L359" s="171"/>
      <c r="M359" s="171"/>
      <c r="N359" s="75"/>
      <c r="O359" s="75"/>
      <c r="P359" s="76"/>
      <c r="Q359" s="74"/>
      <c r="R359" s="171"/>
      <c r="S359" s="75"/>
      <c r="T359" s="77"/>
    </row>
  </sheetData>
  <autoFilter ref="A1:S110" xr:uid="{10A84122-AD69-42EA-A2AB-69D913DCBBE3}"/>
  <conditionalFormatting sqref="O111:O169">
    <cfRule type="cellIs" dxfId="1046" priority="12" operator="between">
      <formula>300</formula>
      <formula>1200</formula>
    </cfRule>
  </conditionalFormatting>
  <conditionalFormatting sqref="O111:O169">
    <cfRule type="cellIs" dxfId="1045" priority="11" operator="greaterThan">
      <formula>1200</formula>
    </cfRule>
  </conditionalFormatting>
  <conditionalFormatting sqref="O170:O174">
    <cfRule type="cellIs" dxfId="1044" priority="10" operator="between">
      <formula>300</formula>
      <formula>1200</formula>
    </cfRule>
  </conditionalFormatting>
  <conditionalFormatting sqref="O170:O174">
    <cfRule type="cellIs" dxfId="1043" priority="9" operator="greaterThan">
      <formula>1200</formula>
    </cfRule>
  </conditionalFormatting>
  <conditionalFormatting sqref="O175:O228">
    <cfRule type="cellIs" dxfId="1042" priority="8" operator="between">
      <formula>300</formula>
      <formula>1200</formula>
    </cfRule>
  </conditionalFormatting>
  <conditionalFormatting sqref="O175:O228">
    <cfRule type="cellIs" dxfId="1041" priority="7" operator="greaterThan">
      <formula>1200</formula>
    </cfRule>
  </conditionalFormatting>
  <conditionalFormatting sqref="O229:O285">
    <cfRule type="cellIs" dxfId="1040" priority="6" operator="between">
      <formula>300</formula>
      <formula>1200</formula>
    </cfRule>
  </conditionalFormatting>
  <conditionalFormatting sqref="O229:O285">
    <cfRule type="cellIs" dxfId="1039" priority="5" operator="greaterThan">
      <formula>1200</formula>
    </cfRule>
  </conditionalFormatting>
  <conditionalFormatting sqref="O286:O359">
    <cfRule type="cellIs" dxfId="1038" priority="4" operator="between">
      <formula>300</formula>
      <formula>1200</formula>
    </cfRule>
  </conditionalFormatting>
  <conditionalFormatting sqref="O286:O359">
    <cfRule type="cellIs" dxfId="1037" priority="3" operator="greaterThan">
      <formula>1200</formula>
    </cfRule>
  </conditionalFormatting>
  <conditionalFormatting sqref="O1:O110">
    <cfRule type="cellIs" dxfId="1036" priority="2" operator="between">
      <formula>300</formula>
      <formula>1200</formula>
    </cfRule>
  </conditionalFormatting>
  <conditionalFormatting sqref="O1:O110">
    <cfRule type="cellIs" dxfId="1035" priority="1" operator="greaterThan">
      <formula>1200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8D2356-3A4C-47C8-9976-EC7AFED1FABC}">
          <x14:formula1>
            <xm:f>LISTA!$A$1:$A$13</xm:f>
          </x14:formula1>
          <xm:sqref>K341:K359 K119:K339 K1:K117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D300-A8AA-40D8-BDC3-48DE59E5848C}">
  <dimension ref="A1:F12"/>
  <sheetViews>
    <sheetView workbookViewId="0">
      <selection activeCell="B1" sqref="B1"/>
    </sheetView>
  </sheetViews>
  <sheetFormatPr defaultRowHeight="15"/>
  <cols>
    <col min="1" max="1" width="20.7109375" bestFit="1" customWidth="1"/>
    <col min="2" max="2" width="16.140625" bestFit="1" customWidth="1"/>
    <col min="3" max="3" width="14.5703125" bestFit="1" customWidth="1"/>
    <col min="4" max="4" width="14.7109375" bestFit="1" customWidth="1"/>
    <col min="5" max="5" width="13.42578125" bestFit="1" customWidth="1"/>
    <col min="6" max="8" width="12.5703125" bestFit="1" customWidth="1"/>
  </cols>
  <sheetData>
    <row r="1" spans="1:6">
      <c r="A1" s="128" t="s">
        <v>2811</v>
      </c>
      <c r="B1" s="189">
        <v>46294</v>
      </c>
    </row>
    <row r="3" spans="1:6">
      <c r="A3" s="128" t="s">
        <v>2812</v>
      </c>
      <c r="B3" s="128" t="s">
        <v>10</v>
      </c>
    </row>
    <row r="4" spans="1:6">
      <c r="A4" s="128" t="s">
        <v>2813</v>
      </c>
      <c r="B4" t="s">
        <v>27</v>
      </c>
      <c r="C4" t="s">
        <v>54</v>
      </c>
      <c r="D4" t="s">
        <v>38</v>
      </c>
      <c r="E4" t="s">
        <v>34</v>
      </c>
      <c r="F4" t="s">
        <v>2814</v>
      </c>
    </row>
    <row r="5" spans="1:6">
      <c r="A5" t="s">
        <v>28</v>
      </c>
      <c r="D5">
        <v>2</v>
      </c>
      <c r="F5">
        <v>2</v>
      </c>
    </row>
    <row r="6" spans="1:6">
      <c r="A6" t="s">
        <v>1080</v>
      </c>
      <c r="B6">
        <v>1</v>
      </c>
      <c r="C6">
        <v>1</v>
      </c>
      <c r="F6">
        <v>2</v>
      </c>
    </row>
    <row r="7" spans="1:6">
      <c r="A7" t="s">
        <v>1910</v>
      </c>
      <c r="C7">
        <v>1</v>
      </c>
      <c r="F7">
        <v>1</v>
      </c>
    </row>
    <row r="8" spans="1:6">
      <c r="A8" t="s">
        <v>2179</v>
      </c>
      <c r="D8">
        <v>4</v>
      </c>
      <c r="F8">
        <v>4</v>
      </c>
    </row>
    <row r="9" spans="1:6">
      <c r="A9" t="s">
        <v>830</v>
      </c>
      <c r="E9">
        <v>1</v>
      </c>
      <c r="F9">
        <v>1</v>
      </c>
    </row>
    <row r="10" spans="1:6">
      <c r="A10" t="s">
        <v>2576</v>
      </c>
      <c r="C10">
        <v>2</v>
      </c>
      <c r="F10">
        <v>2</v>
      </c>
    </row>
    <row r="11" spans="1:6">
      <c r="A11" t="s">
        <v>2582</v>
      </c>
      <c r="C11">
        <v>1</v>
      </c>
      <c r="F11">
        <v>1</v>
      </c>
    </row>
    <row r="12" spans="1:6">
      <c r="A12" t="s">
        <v>2814</v>
      </c>
      <c r="B12">
        <v>1</v>
      </c>
      <c r="C12">
        <v>5</v>
      </c>
      <c r="D12">
        <v>6</v>
      </c>
      <c r="E12">
        <v>1</v>
      </c>
      <c r="F12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EF1E-E203-4BA0-9B8C-7B9F8BFC8727}">
  <dimension ref="A1:L1137"/>
  <sheetViews>
    <sheetView topLeftCell="A1126" workbookViewId="0">
      <selection activeCell="A1137" sqref="A1137"/>
    </sheetView>
  </sheetViews>
  <sheetFormatPr defaultRowHeight="15"/>
  <cols>
    <col min="1" max="1" width="9.85546875" bestFit="1" customWidth="1"/>
    <col min="2" max="2" width="19.5703125" customWidth="1"/>
    <col min="3" max="3" width="16.5703125" bestFit="1" customWidth="1"/>
    <col min="4" max="4" width="20.85546875" bestFit="1" customWidth="1"/>
    <col min="5" max="5" width="21.7109375" bestFit="1" customWidth="1"/>
    <col min="6" max="6" width="13.28515625" customWidth="1"/>
    <col min="7" max="7" width="14" bestFit="1" customWidth="1"/>
    <col min="8" max="8" width="16.42578125" bestFit="1" customWidth="1"/>
    <col min="9" max="9" width="14.85546875" bestFit="1" customWidth="1"/>
    <col min="10" max="10" width="16.85546875" bestFit="1" customWidth="1"/>
    <col min="11" max="11" width="15.7109375" bestFit="1" customWidth="1"/>
    <col min="12" max="12" width="18.5703125" style="47" bestFit="1" customWidth="1"/>
  </cols>
  <sheetData>
    <row r="1" spans="1:12">
      <c r="A1" s="145" t="s">
        <v>2815</v>
      </c>
      <c r="B1" s="146" t="s">
        <v>2816</v>
      </c>
      <c r="C1" s="147" t="s">
        <v>10</v>
      </c>
      <c r="D1" s="148" t="s">
        <v>11</v>
      </c>
      <c r="E1" s="149" t="s">
        <v>12</v>
      </c>
      <c r="F1" s="150" t="s">
        <v>13</v>
      </c>
      <c r="G1" s="151" t="s">
        <v>14</v>
      </c>
      <c r="H1" s="152" t="s">
        <v>15</v>
      </c>
      <c r="I1" s="153" t="s">
        <v>16</v>
      </c>
      <c r="J1" s="154" t="s">
        <v>2817</v>
      </c>
      <c r="K1" s="155" t="s">
        <v>2813</v>
      </c>
      <c r="L1" s="156" t="s">
        <v>2811</v>
      </c>
    </row>
    <row r="2" spans="1:12">
      <c r="A2" s="130">
        <v>23726144</v>
      </c>
      <c r="B2" s="131">
        <v>5219541548449</v>
      </c>
      <c r="C2" s="132" t="s">
        <v>38</v>
      </c>
      <c r="D2" s="133">
        <v>15280.15</v>
      </c>
      <c r="E2" s="134">
        <v>4046.08</v>
      </c>
      <c r="F2" s="135">
        <f>D2*0.3</f>
        <v>4584.0450000000001</v>
      </c>
      <c r="G2" s="136">
        <f>(IF(D2&lt;4172.98,0,MIN(D2*0.3,D2-4172.98)))-E2</f>
        <v>537.96500000000015</v>
      </c>
      <c r="H2" s="137"/>
      <c r="I2" s="138"/>
      <c r="J2" s="139"/>
      <c r="K2" s="138" t="s">
        <v>39</v>
      </c>
      <c r="L2" s="140">
        <v>46253</v>
      </c>
    </row>
    <row r="3" spans="1:12">
      <c r="A3" s="130">
        <v>23756661</v>
      </c>
      <c r="B3" s="131">
        <v>5214776735685</v>
      </c>
      <c r="C3" s="132" t="s">
        <v>54</v>
      </c>
      <c r="D3" s="133">
        <v>9290.75</v>
      </c>
      <c r="E3" s="134"/>
      <c r="F3" s="135">
        <f>D3*0.3</f>
        <v>2787.2249999999999</v>
      </c>
      <c r="G3" s="136">
        <f>(IF(D3&lt;4172.98,0,MIN(D3*0.3,D3-4172.98)))-E3</f>
        <v>2787.2249999999999</v>
      </c>
      <c r="H3" s="137"/>
      <c r="I3" s="138"/>
      <c r="J3" s="139"/>
      <c r="K3" s="138" t="s">
        <v>63</v>
      </c>
      <c r="L3" s="140">
        <v>46253</v>
      </c>
    </row>
    <row r="4" spans="1:12">
      <c r="A4" s="130">
        <v>23706370</v>
      </c>
      <c r="B4" s="131">
        <v>6444470845</v>
      </c>
      <c r="C4" s="132" t="s">
        <v>54</v>
      </c>
      <c r="D4" s="133">
        <v>9760.32</v>
      </c>
      <c r="E4" s="134"/>
      <c r="F4" s="135">
        <f>D4*0.3</f>
        <v>2928.096</v>
      </c>
      <c r="G4" s="136">
        <f>(IF(D4&lt;4172.98,0,MIN(D4*0.3,D4-4172.98)))-E4</f>
        <v>2928.096</v>
      </c>
      <c r="H4" s="137"/>
      <c r="I4" s="138"/>
      <c r="J4" s="139"/>
      <c r="K4" s="138" t="s">
        <v>1080</v>
      </c>
      <c r="L4" s="140">
        <v>46253</v>
      </c>
    </row>
    <row r="5" spans="1:12">
      <c r="A5" s="130">
        <v>23761287</v>
      </c>
      <c r="B5" s="131">
        <v>8124440400</v>
      </c>
      <c r="C5" s="132" t="s">
        <v>27</v>
      </c>
      <c r="D5" s="133">
        <v>8592.73</v>
      </c>
      <c r="E5" s="134">
        <v>2385.73</v>
      </c>
      <c r="F5" s="135">
        <f>D5*0.3</f>
        <v>2577.819</v>
      </c>
      <c r="G5" s="136">
        <f>(IF(D5&lt;4172.98,0,MIN(D5*0.3,D5-4172.98)))-E5</f>
        <v>192.08899999999994</v>
      </c>
      <c r="H5" s="137">
        <v>46235</v>
      </c>
      <c r="I5" s="138"/>
      <c r="J5" s="139"/>
      <c r="K5" s="138" t="s">
        <v>63</v>
      </c>
      <c r="L5" s="140">
        <v>46253</v>
      </c>
    </row>
    <row r="6" spans="1:12">
      <c r="A6" s="130">
        <v>23762769</v>
      </c>
      <c r="B6" s="131">
        <v>5212221625726</v>
      </c>
      <c r="C6" s="132" t="s">
        <v>54</v>
      </c>
      <c r="D6" s="133">
        <v>21036.47</v>
      </c>
      <c r="E6" s="134">
        <v>1533.09</v>
      </c>
      <c r="F6" s="135">
        <f>D6*0.3</f>
        <v>6310.9409999999998</v>
      </c>
      <c r="G6" s="136">
        <f>(IF(D6&lt;4172.98,0,MIN(D6*0.3,D6-4172.98)))-E6</f>
        <v>4777.8509999999997</v>
      </c>
      <c r="H6" s="137">
        <v>46447</v>
      </c>
      <c r="I6" s="138"/>
      <c r="J6" s="139"/>
      <c r="K6" s="138" t="s">
        <v>879</v>
      </c>
      <c r="L6" s="140">
        <v>46253</v>
      </c>
    </row>
    <row r="7" spans="1:12">
      <c r="A7" s="130">
        <v>23742131</v>
      </c>
      <c r="B7" s="131">
        <v>5216145090575</v>
      </c>
      <c r="C7" s="132" t="s">
        <v>54</v>
      </c>
      <c r="D7" s="133">
        <f>88669.49-80969.29</f>
        <v>7700.2000000000116</v>
      </c>
      <c r="E7" s="134"/>
      <c r="F7" s="135">
        <f>D7*0.3</f>
        <v>2310.0600000000036</v>
      </c>
      <c r="G7" s="136">
        <f>(IF(D7&lt;4172.98,0,MIN(D7*0.3,D7-4172.98)))-E7</f>
        <v>2310.0600000000036</v>
      </c>
      <c r="H7" s="137"/>
      <c r="I7" s="138"/>
      <c r="J7" s="139"/>
      <c r="K7" s="138" t="s">
        <v>1091</v>
      </c>
      <c r="L7" s="140">
        <v>46253</v>
      </c>
    </row>
    <row r="8" spans="1:12">
      <c r="A8" s="130">
        <v>23757641</v>
      </c>
      <c r="B8" s="131">
        <v>5212225682011</v>
      </c>
      <c r="C8" s="132" t="s">
        <v>54</v>
      </c>
      <c r="D8" s="133">
        <v>9760.32</v>
      </c>
      <c r="E8" s="134"/>
      <c r="F8" s="135">
        <f>D8*0.3</f>
        <v>2928.096</v>
      </c>
      <c r="G8" s="136">
        <f>(IF(D8&lt;4172.98,0,MIN(D8*0.3,D8-4172.98)))-E8</f>
        <v>2928.096</v>
      </c>
      <c r="H8" s="137"/>
      <c r="I8" s="138"/>
      <c r="J8" s="139"/>
      <c r="K8" s="138" t="s">
        <v>1080</v>
      </c>
      <c r="L8" s="140">
        <v>46253</v>
      </c>
    </row>
    <row r="9" spans="1:12">
      <c r="A9" s="130">
        <v>23766780</v>
      </c>
      <c r="B9" s="131">
        <v>2721532069</v>
      </c>
      <c r="C9" s="141" t="s">
        <v>38</v>
      </c>
      <c r="D9" s="142">
        <v>5617.63</v>
      </c>
      <c r="E9" s="142">
        <v>1000</v>
      </c>
      <c r="F9" s="135">
        <f>D9*0.3</f>
        <v>1685.289</v>
      </c>
      <c r="G9" s="136">
        <f>(IF(D9&lt;4172.98,0,MIN(D9*0.3,D9-4172.98)))-E9</f>
        <v>444.65000000000055</v>
      </c>
      <c r="H9" s="137">
        <v>46722</v>
      </c>
      <c r="I9" s="138"/>
      <c r="J9" s="139"/>
      <c r="K9" s="138" t="s">
        <v>39</v>
      </c>
      <c r="L9" s="140">
        <v>46253</v>
      </c>
    </row>
    <row r="10" spans="1:12">
      <c r="A10" s="130">
        <v>23763509</v>
      </c>
      <c r="B10" s="131">
        <v>5213312837635</v>
      </c>
      <c r="C10" s="141" t="s">
        <v>34</v>
      </c>
      <c r="D10" s="142">
        <v>4172.53</v>
      </c>
      <c r="E10" s="142">
        <v>375</v>
      </c>
      <c r="F10" s="135">
        <f>D10*0.3</f>
        <v>1251.7589999999998</v>
      </c>
      <c r="G10" s="136">
        <f>(IF(D10&lt;4172.98,0,MIN(D10*0.3,D10-4172.98)))-E10</f>
        <v>-375</v>
      </c>
      <c r="H10" s="137">
        <v>46204</v>
      </c>
      <c r="I10" s="138" t="s">
        <v>141</v>
      </c>
      <c r="J10" s="139"/>
      <c r="K10" s="138" t="s">
        <v>35</v>
      </c>
      <c r="L10" s="140">
        <v>46253</v>
      </c>
    </row>
    <row r="11" spans="1:12">
      <c r="A11" s="130">
        <v>23770102</v>
      </c>
      <c r="B11" s="131">
        <v>5213320114300</v>
      </c>
      <c r="C11" s="141" t="s">
        <v>54</v>
      </c>
      <c r="D11" s="133">
        <v>13720.49</v>
      </c>
      <c r="E11" s="134"/>
      <c r="F11" s="135">
        <f>D11*0.3</f>
        <v>4116.1469999999999</v>
      </c>
      <c r="G11" s="136">
        <f>(IF(D11&lt;4172.98,0,MIN(D11*0.3,D11-4172.98)))-E11</f>
        <v>4116.1469999999999</v>
      </c>
      <c r="H11" s="137"/>
      <c r="I11" s="138"/>
      <c r="J11" s="139"/>
      <c r="K11" s="138" t="s">
        <v>35</v>
      </c>
      <c r="L11" s="140">
        <v>46253</v>
      </c>
    </row>
    <row r="12" spans="1:12">
      <c r="A12" s="130">
        <v>23769606</v>
      </c>
      <c r="B12" s="131">
        <v>3122727690</v>
      </c>
      <c r="C12" s="141" t="s">
        <v>107</v>
      </c>
      <c r="D12" s="142">
        <v>4813.6899999999996</v>
      </c>
      <c r="E12" s="142">
        <v>592.94000000000005</v>
      </c>
      <c r="F12" s="135">
        <f>D12*0.3</f>
        <v>1444.1069999999997</v>
      </c>
      <c r="G12" s="136">
        <f>(IF(D12&lt;4172.98,0,MIN(D12*0.3,D12-4172.98)))-E12</f>
        <v>47.769999999999982</v>
      </c>
      <c r="H12" s="137">
        <v>46174</v>
      </c>
      <c r="I12" s="138"/>
      <c r="J12" s="139"/>
      <c r="K12" s="138" t="s">
        <v>39</v>
      </c>
      <c r="L12" s="140">
        <v>46253</v>
      </c>
    </row>
    <row r="13" spans="1:12">
      <c r="A13" s="130">
        <v>23772894</v>
      </c>
      <c r="B13" s="131">
        <v>5217441786998</v>
      </c>
      <c r="C13" s="141" t="s">
        <v>34</v>
      </c>
      <c r="D13" s="142">
        <v>10266.120000000001</v>
      </c>
      <c r="E13" s="142">
        <v>2516.6799999999998</v>
      </c>
      <c r="F13" s="135">
        <f>D13*0.3</f>
        <v>3079.8360000000002</v>
      </c>
      <c r="G13" s="136">
        <f>(IF(D13&lt;4172.98,0,MIN(D13*0.3,D13-4172.98)))-E13</f>
        <v>563.1560000000004</v>
      </c>
      <c r="H13" s="137">
        <v>45505</v>
      </c>
      <c r="I13" s="138" t="s">
        <v>57</v>
      </c>
      <c r="J13" s="142">
        <v>2516.6799999999998</v>
      </c>
      <c r="K13" s="138" t="s">
        <v>35</v>
      </c>
      <c r="L13" s="140">
        <v>46253</v>
      </c>
    </row>
    <row r="14" spans="1:12">
      <c r="A14" s="130">
        <v>23760627</v>
      </c>
      <c r="B14" s="131">
        <v>3312602707</v>
      </c>
      <c r="C14" s="141" t="s">
        <v>38</v>
      </c>
      <c r="D14" s="133">
        <v>4938.1899999999996</v>
      </c>
      <c r="E14" s="134"/>
      <c r="F14" s="135">
        <f>D14*0.3</f>
        <v>1481.4569999999999</v>
      </c>
      <c r="G14" s="136">
        <f>(IF(D14&lt;4172.98,0,MIN(D14*0.3,D14-4172.98)))-E14</f>
        <v>765.21</v>
      </c>
      <c r="H14" s="137"/>
      <c r="I14" s="138"/>
      <c r="J14" s="139"/>
      <c r="K14" s="138" t="s">
        <v>266</v>
      </c>
      <c r="L14" s="140">
        <v>46253</v>
      </c>
    </row>
    <row r="15" spans="1:12">
      <c r="A15" s="68">
        <v>23737786</v>
      </c>
      <c r="C15" s="69" t="s">
        <v>38</v>
      </c>
      <c r="D15" s="70">
        <f>5460.44+818.69</f>
        <v>6279.1299999999992</v>
      </c>
      <c r="E15" s="70">
        <v>818.69</v>
      </c>
      <c r="F15" s="70">
        <f>D15*0.3</f>
        <v>1883.7389999999996</v>
      </c>
      <c r="G15" s="70">
        <f>(IF(D15&lt;4172.98,0,MIN(D15*0.3,D15-4172.98)))-E15</f>
        <v>1065.0489999999995</v>
      </c>
      <c r="H15" s="71">
        <v>46692</v>
      </c>
      <c r="I15" s="69" t="s">
        <v>75</v>
      </c>
      <c r="J15" s="70">
        <v>818.69</v>
      </c>
      <c r="K15" s="70" t="s">
        <v>266</v>
      </c>
      <c r="L15" s="143">
        <v>46253</v>
      </c>
    </row>
    <row r="16" spans="1:12">
      <c r="A16" s="68">
        <v>23737964</v>
      </c>
      <c r="C16" s="69" t="s">
        <v>54</v>
      </c>
      <c r="D16" s="70">
        <v>10636.54</v>
      </c>
      <c r="E16" s="70"/>
      <c r="F16" s="70">
        <f>D16*0.3</f>
        <v>3190.962</v>
      </c>
      <c r="G16" s="70">
        <f>(IF(D16&lt;4172.98,0,MIN(D16*0.3,D16-4172.98)))-E16</f>
        <v>3190.962</v>
      </c>
      <c r="H16" s="69"/>
      <c r="I16" s="69"/>
      <c r="J16" s="70"/>
      <c r="K16" s="70" t="s">
        <v>90</v>
      </c>
      <c r="L16" s="143">
        <v>46253</v>
      </c>
    </row>
    <row r="17" spans="1:12">
      <c r="A17" s="68">
        <v>23738744</v>
      </c>
      <c r="C17" s="69" t="s">
        <v>54</v>
      </c>
      <c r="D17" s="70">
        <v>8179.32</v>
      </c>
      <c r="E17" s="70"/>
      <c r="F17" s="70">
        <f>D17*0.3</f>
        <v>2453.7959999999998</v>
      </c>
      <c r="G17" s="70">
        <f>(IF(D17&lt;4172.98,0,MIN(D17*0.3,D17-4172.98)))-E17</f>
        <v>2453.7959999999998</v>
      </c>
      <c r="H17" s="69"/>
      <c r="I17" s="69"/>
      <c r="J17" s="70"/>
      <c r="K17" s="70" t="s">
        <v>63</v>
      </c>
      <c r="L17" s="143">
        <v>46253</v>
      </c>
    </row>
    <row r="18" spans="1:12">
      <c r="A18" s="72">
        <v>23739672</v>
      </c>
      <c r="C18" s="69" t="s">
        <v>54</v>
      </c>
      <c r="D18" s="70">
        <v>16623.22</v>
      </c>
      <c r="E18" s="70"/>
      <c r="F18" s="70">
        <f>D18*0.3</f>
        <v>4986.9660000000003</v>
      </c>
      <c r="G18" s="70">
        <f>(IF(D18&lt;4172.98,0,MIN(D18*0.3,D18-4172.98)))-E18</f>
        <v>4986.9660000000003</v>
      </c>
      <c r="H18" s="69"/>
      <c r="I18" s="69"/>
      <c r="J18" s="70"/>
      <c r="K18" s="70" t="s">
        <v>348</v>
      </c>
      <c r="L18" s="143">
        <v>46253</v>
      </c>
    </row>
    <row r="19" spans="1:12">
      <c r="A19" s="68">
        <v>23740390</v>
      </c>
      <c r="C19" s="69" t="s">
        <v>54</v>
      </c>
      <c r="D19" s="70">
        <v>9760.32</v>
      </c>
      <c r="E19" s="70"/>
      <c r="F19" s="70">
        <f>D19*0.3</f>
        <v>2928.096</v>
      </c>
      <c r="G19" s="70">
        <f>(IF(D19&lt;4172.98,0,MIN(D19*0.3,D19-4172.98)))-E19</f>
        <v>2928.096</v>
      </c>
      <c r="H19" s="69"/>
      <c r="I19" s="69"/>
      <c r="J19" s="70"/>
      <c r="K19" s="70" t="s">
        <v>879</v>
      </c>
      <c r="L19" s="143">
        <v>46253</v>
      </c>
    </row>
    <row r="20" spans="1:12">
      <c r="A20" s="68">
        <v>23740420</v>
      </c>
      <c r="C20" s="69" t="s">
        <v>54</v>
      </c>
      <c r="D20" s="70">
        <v>7920.51</v>
      </c>
      <c r="E20" s="70"/>
      <c r="F20" s="70">
        <f>D20*0.3</f>
        <v>2376.1529999999998</v>
      </c>
      <c r="G20" s="70">
        <f>(IF(D20&lt;4172.98,0,MIN(D20*0.3,D20-4172.98)))-E20</f>
        <v>2376.1529999999998</v>
      </c>
      <c r="H20" s="69"/>
      <c r="I20" s="69"/>
      <c r="J20" s="70"/>
      <c r="K20" s="70" t="s">
        <v>1080</v>
      </c>
      <c r="L20" s="143">
        <v>46253</v>
      </c>
    </row>
    <row r="21" spans="1:12">
      <c r="A21" s="68">
        <v>23741302</v>
      </c>
      <c r="C21" s="69" t="s">
        <v>54</v>
      </c>
      <c r="D21" s="70">
        <v>5869.14</v>
      </c>
      <c r="E21" s="70"/>
      <c r="F21" s="70">
        <f>D21*0.3</f>
        <v>1760.742</v>
      </c>
      <c r="G21" s="70">
        <f>(IF(D21&lt;4172.98,0,MIN(D21*0.3,D21-4172.98)))-E21</f>
        <v>1696.1600000000008</v>
      </c>
      <c r="H21" s="69"/>
      <c r="I21" s="69"/>
      <c r="J21" s="70"/>
      <c r="K21" s="70" t="s">
        <v>886</v>
      </c>
      <c r="L21" s="143">
        <v>46253</v>
      </c>
    </row>
    <row r="22" spans="1:12">
      <c r="A22" s="68">
        <v>23744477</v>
      </c>
      <c r="C22" s="69" t="s">
        <v>54</v>
      </c>
      <c r="D22" s="70">
        <v>5427.74</v>
      </c>
      <c r="E22" s="70"/>
      <c r="F22" s="70">
        <f>D22*0.3</f>
        <v>1628.3219999999999</v>
      </c>
      <c r="G22" s="70">
        <f>(IF(D22&lt;4172.98,0,MIN(D22*0.3,D22-4172.98)))-E22</f>
        <v>1254.7600000000002</v>
      </c>
      <c r="H22" s="69"/>
      <c r="I22" s="69"/>
      <c r="J22" s="70"/>
      <c r="K22" s="70" t="s">
        <v>886</v>
      </c>
      <c r="L22" s="143">
        <v>46253</v>
      </c>
    </row>
    <row r="23" spans="1:12">
      <c r="A23" s="68">
        <v>23750439</v>
      </c>
      <c r="C23" s="69" t="s">
        <v>38</v>
      </c>
      <c r="D23" s="70">
        <v>4990.99</v>
      </c>
      <c r="E23" s="70"/>
      <c r="F23" s="70">
        <f>D23*0.3</f>
        <v>1497.2969999999998</v>
      </c>
      <c r="G23" s="70">
        <f>(IF(D23&lt;4172.98,0,MIN(D23*0.3,D23-4172.98)))-E23</f>
        <v>818.01000000000022</v>
      </c>
      <c r="H23" s="69"/>
      <c r="I23" s="69"/>
      <c r="J23" s="70"/>
      <c r="K23" s="138" t="s">
        <v>39</v>
      </c>
      <c r="L23" s="143">
        <v>46253</v>
      </c>
    </row>
    <row r="24" spans="1:12">
      <c r="A24" s="68">
        <v>23758273</v>
      </c>
      <c r="C24" s="69" t="s">
        <v>27</v>
      </c>
      <c r="D24" s="70">
        <f>5764.33+1876.19</f>
        <v>7640.52</v>
      </c>
      <c r="E24" s="70">
        <v>1876.19</v>
      </c>
      <c r="F24" s="70">
        <f>D24*0.3</f>
        <v>2292.1559999999999</v>
      </c>
      <c r="G24" s="70">
        <f>(IF(D24&lt;4172.98,0,MIN(D24*0.3,D24-4172.98)))-E24</f>
        <v>415.96599999999989</v>
      </c>
      <c r="H24" s="71">
        <v>45597</v>
      </c>
      <c r="I24" s="69" t="s">
        <v>80</v>
      </c>
      <c r="J24" s="70">
        <v>1876.19</v>
      </c>
      <c r="K24" s="70" t="s">
        <v>1091</v>
      </c>
      <c r="L24" s="143">
        <v>46253</v>
      </c>
    </row>
    <row r="25" spans="1:12">
      <c r="A25" s="68">
        <v>23759367</v>
      </c>
      <c r="C25" s="69" t="s">
        <v>54</v>
      </c>
      <c r="D25" s="70">
        <v>11029.03</v>
      </c>
      <c r="E25" s="70"/>
      <c r="F25" s="70">
        <f>D25*0.3</f>
        <v>3308.7090000000003</v>
      </c>
      <c r="G25" s="70">
        <f>(IF(D25&lt;4172.98,0,MIN(D25*0.3,D25-4172.98)))-E25</f>
        <v>3308.7090000000003</v>
      </c>
      <c r="H25" s="69"/>
      <c r="I25" s="69"/>
      <c r="J25" s="70"/>
      <c r="K25" s="70" t="s">
        <v>90</v>
      </c>
      <c r="L25" s="143">
        <v>46253</v>
      </c>
    </row>
    <row r="26" spans="1:12">
      <c r="A26" s="72">
        <v>23759203</v>
      </c>
      <c r="C26" s="69" t="s">
        <v>54</v>
      </c>
      <c r="D26" s="70">
        <v>9760.32</v>
      </c>
      <c r="E26" s="70"/>
      <c r="F26" s="70">
        <f>D26*0.3</f>
        <v>2928.096</v>
      </c>
      <c r="G26" s="70">
        <f>(IF(D26&lt;4172.98,0,MIN(D26*0.3,D26-4172.98)))-E26</f>
        <v>2928.096</v>
      </c>
      <c r="H26" s="69"/>
      <c r="I26" s="69"/>
      <c r="J26" s="70"/>
      <c r="K26" s="70" t="s">
        <v>879</v>
      </c>
      <c r="L26" s="143">
        <v>46253</v>
      </c>
    </row>
    <row r="27" spans="1:12">
      <c r="A27" s="72">
        <v>23762117</v>
      </c>
      <c r="C27" s="69" t="s">
        <v>54</v>
      </c>
      <c r="D27" s="70">
        <v>10636.54</v>
      </c>
      <c r="E27" s="70"/>
      <c r="F27" s="70">
        <f>D27*0.3</f>
        <v>3190.962</v>
      </c>
      <c r="G27" s="70">
        <f>(IF(D27&lt;4172.98,0,MIN(D27*0.3,D27-4172.98)))-E27</f>
        <v>3190.962</v>
      </c>
      <c r="H27" s="69"/>
      <c r="I27" s="69"/>
      <c r="J27" s="70"/>
      <c r="K27" s="70" t="s">
        <v>348</v>
      </c>
      <c r="L27" s="143">
        <v>46253</v>
      </c>
    </row>
    <row r="28" spans="1:12">
      <c r="A28" s="72">
        <v>23762755</v>
      </c>
      <c r="C28" s="69" t="s">
        <v>27</v>
      </c>
      <c r="D28" s="70">
        <f>5230.75+1885.98</f>
        <v>7116.73</v>
      </c>
      <c r="E28" s="70">
        <v>1885.98</v>
      </c>
      <c r="F28" s="70">
        <f>D28*0.3</f>
        <v>2135.0189999999998</v>
      </c>
      <c r="G28" s="70">
        <f>(IF(D28&lt;4172.98,0,MIN(D28*0.3,D28-4172.98)))-E28</f>
        <v>249.03899999999976</v>
      </c>
      <c r="H28" s="71">
        <v>45689</v>
      </c>
      <c r="I28" s="69" t="s">
        <v>206</v>
      </c>
      <c r="J28" s="70">
        <v>1885.98</v>
      </c>
      <c r="K28" s="70" t="s">
        <v>62</v>
      </c>
      <c r="L28" s="143">
        <v>46253</v>
      </c>
    </row>
    <row r="29" spans="1:12">
      <c r="A29" s="68">
        <v>23763013</v>
      </c>
      <c r="C29" s="69" t="s">
        <v>38</v>
      </c>
      <c r="D29" s="70">
        <v>5264.19</v>
      </c>
      <c r="E29" s="70"/>
      <c r="F29" s="70">
        <f>D29*0.3</f>
        <v>1579.2569999999998</v>
      </c>
      <c r="G29" s="70">
        <f>(IF(D29&lt;4172.98,0,MIN(D29*0.3,D29-4172.98)))-E29</f>
        <v>1091.21</v>
      </c>
      <c r="H29" s="69"/>
      <c r="I29" s="69"/>
      <c r="J29" s="70"/>
      <c r="K29" s="70" t="s">
        <v>266</v>
      </c>
      <c r="L29" s="143">
        <v>46253</v>
      </c>
    </row>
    <row r="30" spans="1:12">
      <c r="A30" s="72">
        <v>23763727</v>
      </c>
      <c r="C30" s="69" t="s">
        <v>27</v>
      </c>
      <c r="D30" s="70">
        <v>32694.080000000002</v>
      </c>
      <c r="E30" s="70">
        <v>8776.16</v>
      </c>
      <c r="F30" s="70">
        <f>D30*0.3</f>
        <v>9808.2240000000002</v>
      </c>
      <c r="G30" s="70">
        <f>(IF(D30&lt;4172.98,0,MIN(D30*0.3,D30-4172.98)))-E30</f>
        <v>1032.0640000000003</v>
      </c>
      <c r="H30" s="71">
        <v>46204</v>
      </c>
      <c r="I30" s="69" t="s">
        <v>833</v>
      </c>
      <c r="J30" s="70">
        <v>8776.16</v>
      </c>
      <c r="K30" s="70" t="s">
        <v>348</v>
      </c>
      <c r="L30" s="143">
        <v>46253</v>
      </c>
    </row>
    <row r="31" spans="1:12">
      <c r="A31" s="72">
        <v>23763821</v>
      </c>
      <c r="C31" s="69" t="s">
        <v>54</v>
      </c>
      <c r="D31" s="70">
        <v>7920.51</v>
      </c>
      <c r="E31" s="70"/>
      <c r="F31" s="70">
        <f>D31*0.3</f>
        <v>2376.1529999999998</v>
      </c>
      <c r="G31" s="70">
        <f>(IF(D31&lt;4172.98,0,MIN(D31*0.3,D31-4172.98)))-E31</f>
        <v>2376.1529999999998</v>
      </c>
      <c r="H31" s="69"/>
      <c r="I31" s="69"/>
      <c r="J31" s="70"/>
      <c r="K31" s="70" t="s">
        <v>1091</v>
      </c>
      <c r="L31" s="143">
        <v>46253</v>
      </c>
    </row>
    <row r="32" spans="1:12">
      <c r="A32" s="72">
        <v>23764709</v>
      </c>
      <c r="C32" s="69" t="s">
        <v>54</v>
      </c>
      <c r="D32" s="70">
        <v>34782.28</v>
      </c>
      <c r="E32" s="70"/>
      <c r="F32" s="70">
        <f>D32*0.3</f>
        <v>10434.683999999999</v>
      </c>
      <c r="G32" s="70">
        <f>(IF(D32&lt;4172.98,0,MIN(D32*0.3,D32-4172.98)))-E32</f>
        <v>10434.683999999999</v>
      </c>
      <c r="H32" s="69"/>
      <c r="I32" s="69"/>
      <c r="J32" s="70"/>
      <c r="K32" s="70" t="s">
        <v>548</v>
      </c>
      <c r="L32" s="143">
        <v>46253</v>
      </c>
    </row>
    <row r="33" spans="1:12">
      <c r="A33" s="98">
        <v>23766332</v>
      </c>
      <c r="C33" s="69" t="s">
        <v>54</v>
      </c>
      <c r="D33" s="70">
        <v>21696.27</v>
      </c>
      <c r="E33" s="70"/>
      <c r="F33" s="70">
        <f>D33*0.3</f>
        <v>6508.8810000000003</v>
      </c>
      <c r="G33" s="70">
        <f>(IF(D33&lt;4172.98,0,MIN(D33*0.3,D33-4172.98)))-E33</f>
        <v>6508.8810000000003</v>
      </c>
      <c r="H33" s="69"/>
      <c r="I33" s="69"/>
      <c r="J33" s="70"/>
      <c r="K33" s="70" t="s">
        <v>28</v>
      </c>
      <c r="L33" s="143">
        <v>46253</v>
      </c>
    </row>
    <row r="34" spans="1:12">
      <c r="A34" s="68">
        <v>23766172</v>
      </c>
      <c r="C34" s="69" t="s">
        <v>54</v>
      </c>
      <c r="D34" s="113">
        <v>9081.52</v>
      </c>
      <c r="E34" s="113">
        <v>848</v>
      </c>
      <c r="F34" s="70">
        <f>D34*0.3</f>
        <v>2724.4560000000001</v>
      </c>
      <c r="G34" s="70">
        <f>(IF(D34&lt;4172.98,0,MIN(D34*0.3,D34-4172.98)))-E34</f>
        <v>1876.4560000000001</v>
      </c>
      <c r="H34" s="69"/>
      <c r="I34" s="69"/>
      <c r="J34" s="70"/>
      <c r="K34" s="70" t="s">
        <v>62</v>
      </c>
      <c r="L34" s="143">
        <v>46253</v>
      </c>
    </row>
    <row r="35" spans="1:12">
      <c r="A35" s="72">
        <v>23767716</v>
      </c>
      <c r="C35" s="69" t="s">
        <v>54</v>
      </c>
      <c r="D35" s="70">
        <v>15829.2</v>
      </c>
      <c r="E35" s="70"/>
      <c r="F35" s="70">
        <f>D35*0.3</f>
        <v>4748.76</v>
      </c>
      <c r="G35" s="70">
        <f>(IF(D35&lt;4172.98,0,MIN(D35*0.3,D35-4172.98)))-E35</f>
        <v>4748.76</v>
      </c>
      <c r="H35" s="69"/>
      <c r="I35" s="69"/>
      <c r="J35" s="70"/>
      <c r="K35" s="70" t="s">
        <v>28</v>
      </c>
      <c r="L35" s="143">
        <v>46253</v>
      </c>
    </row>
    <row r="36" spans="1:12">
      <c r="A36" s="72">
        <v>23770750</v>
      </c>
      <c r="C36" s="69" t="s">
        <v>38</v>
      </c>
      <c r="D36" s="70">
        <v>9760.32</v>
      </c>
      <c r="E36" s="70">
        <v>2291.11</v>
      </c>
      <c r="F36" s="70">
        <f>D36*0.3</f>
        <v>2928.096</v>
      </c>
      <c r="G36" s="70">
        <f>(IF(D36&lt;4172.98,0,MIN(D36*0.3,D36-4172.98)))-E36</f>
        <v>636.98599999999988</v>
      </c>
      <c r="H36" s="71">
        <v>46539</v>
      </c>
      <c r="I36" s="69" t="s">
        <v>77</v>
      </c>
      <c r="J36" s="70">
        <v>2291.11</v>
      </c>
      <c r="K36" s="70" t="s">
        <v>266</v>
      </c>
      <c r="L36" s="143">
        <v>46253</v>
      </c>
    </row>
    <row r="37" spans="1:12">
      <c r="A37" s="72">
        <v>23772642</v>
      </c>
      <c r="C37" s="69" t="s">
        <v>54</v>
      </c>
      <c r="D37" s="70">
        <v>11344.78</v>
      </c>
      <c r="E37" s="70"/>
      <c r="F37" s="70">
        <f>D37*0.3</f>
        <v>3403.4340000000002</v>
      </c>
      <c r="G37" s="70">
        <f>(IF(D37&lt;4172.98,0,MIN(D37*0.3,D37-4172.98)))-E37</f>
        <v>3403.4340000000002</v>
      </c>
      <c r="H37" s="69"/>
      <c r="I37" s="69"/>
      <c r="J37" s="70"/>
      <c r="K37" s="70" t="s">
        <v>28</v>
      </c>
      <c r="L37" s="143">
        <v>46253</v>
      </c>
    </row>
    <row r="38" spans="1:12">
      <c r="A38" s="68">
        <v>23772650</v>
      </c>
      <c r="C38" s="69" t="s">
        <v>54</v>
      </c>
      <c r="D38" s="70">
        <v>23704.43</v>
      </c>
      <c r="E38" s="70"/>
      <c r="F38" s="70">
        <f>D38*0.3</f>
        <v>7111.3289999999997</v>
      </c>
      <c r="G38" s="70">
        <f>(IF(D38&lt;4172.98,0,MIN(D38*0.3,D38-4172.98)))-E38</f>
        <v>7111.3289999999997</v>
      </c>
      <c r="H38" s="69"/>
      <c r="I38" s="69"/>
      <c r="J38" s="70"/>
      <c r="K38" s="70" t="s">
        <v>35</v>
      </c>
      <c r="L38" s="143">
        <v>46253</v>
      </c>
    </row>
    <row r="39" spans="1:12">
      <c r="A39" s="72">
        <v>23772790</v>
      </c>
      <c r="C39" s="69" t="s">
        <v>54</v>
      </c>
      <c r="D39" s="70">
        <v>10636.54</v>
      </c>
      <c r="E39" s="70"/>
      <c r="F39" s="70">
        <f>D39*0.3</f>
        <v>3190.962</v>
      </c>
      <c r="G39" s="70">
        <f>(IF(D39&lt;4172.98,0,MIN(D39*0.3,D39-4172.98)))-E39</f>
        <v>3190.962</v>
      </c>
      <c r="H39" s="69"/>
      <c r="I39" s="69"/>
      <c r="J39" s="70"/>
      <c r="K39" s="70" t="s">
        <v>90</v>
      </c>
      <c r="L39" s="143">
        <v>46253</v>
      </c>
    </row>
    <row r="40" spans="1:12">
      <c r="A40" s="78">
        <v>23774854</v>
      </c>
      <c r="C40" s="74" t="s">
        <v>54</v>
      </c>
      <c r="D40" s="75">
        <v>6262.86</v>
      </c>
      <c r="E40" s="75"/>
      <c r="F40" s="75">
        <f>D40*0.3</f>
        <v>1878.8579999999997</v>
      </c>
      <c r="G40" s="75">
        <f>(IF(D40&lt;4172.98,0,MIN(D40*0.3,D40-4172.98)))-E40</f>
        <v>1878.8579999999997</v>
      </c>
      <c r="H40" s="74"/>
      <c r="I40" s="74"/>
      <c r="J40" s="75"/>
      <c r="K40" s="75" t="s">
        <v>62</v>
      </c>
      <c r="L40" s="144">
        <v>46253</v>
      </c>
    </row>
    <row r="41" spans="1:12">
      <c r="A41" s="129">
        <v>23773976</v>
      </c>
      <c r="C41" s="157" t="s">
        <v>27</v>
      </c>
      <c r="D41" s="159">
        <v>7920.51</v>
      </c>
      <c r="E41" s="159">
        <v>2198.9699999999998</v>
      </c>
      <c r="F41" s="75">
        <f>D41*0.3</f>
        <v>2376.1529999999998</v>
      </c>
      <c r="G41" s="160">
        <f>(IF(D41&lt;4172.98,0,MIN(D41*0.3,D41-4172.98)))-E41</f>
        <v>177.18299999999999</v>
      </c>
      <c r="H41" s="163">
        <v>46143</v>
      </c>
      <c r="I41" s="164" t="s">
        <v>75</v>
      </c>
      <c r="J41" s="159">
        <v>2198.9699999999998</v>
      </c>
      <c r="K41" s="159" t="s">
        <v>98</v>
      </c>
      <c r="L41" s="167">
        <v>46253</v>
      </c>
    </row>
    <row r="42" spans="1:12">
      <c r="A42" s="130">
        <v>23698706</v>
      </c>
      <c r="C42" s="158" t="s">
        <v>38</v>
      </c>
      <c r="D42" s="161">
        <v>15982.23</v>
      </c>
      <c r="E42" s="161">
        <v>3917.65</v>
      </c>
      <c r="F42" s="75">
        <f>D42*0.3</f>
        <v>4794.6689999999999</v>
      </c>
      <c r="G42" s="162">
        <f>(IF(D42&lt;4172.98,0,MIN(D42*0.3,D42-4172.98)))-E42</f>
        <v>877.01899999999978</v>
      </c>
      <c r="H42" s="165">
        <v>46266</v>
      </c>
      <c r="I42" s="166" t="s">
        <v>59</v>
      </c>
      <c r="J42" s="161">
        <v>3917.65</v>
      </c>
      <c r="K42" s="161" t="s">
        <v>266</v>
      </c>
      <c r="L42" s="168">
        <v>46253</v>
      </c>
    </row>
    <row r="43" spans="1:12">
      <c r="A43" s="72">
        <v>23173018</v>
      </c>
      <c r="C43" s="69" t="s">
        <v>54</v>
      </c>
      <c r="D43" s="70"/>
      <c r="E43" s="70"/>
      <c r="F43" s="70">
        <v>6120.63</v>
      </c>
      <c r="G43" s="70">
        <v>6120.63</v>
      </c>
      <c r="H43" s="69"/>
      <c r="I43" s="69"/>
      <c r="J43" s="70"/>
      <c r="K43" s="70" t="s">
        <v>28</v>
      </c>
      <c r="L43" s="168">
        <v>46253</v>
      </c>
    </row>
    <row r="44" spans="1:12">
      <c r="A44" s="30">
        <v>23776350</v>
      </c>
      <c r="C44" s="69" t="s">
        <v>27</v>
      </c>
      <c r="D44" s="70">
        <v>6262.86</v>
      </c>
      <c r="E44" s="70">
        <v>1651.84</v>
      </c>
      <c r="F44" s="70">
        <f>D44*0.3</f>
        <v>1878.8579999999997</v>
      </c>
      <c r="G44" s="70">
        <f>(IF(D44&lt;4172.98,0,MIN(D44*0.3,D44-4172.98)))-E44</f>
        <v>227.0179999999998</v>
      </c>
      <c r="H44" s="71">
        <v>45901</v>
      </c>
      <c r="I44" s="69" t="s">
        <v>75</v>
      </c>
      <c r="J44" s="70">
        <v>1651.84</v>
      </c>
      <c r="K44" s="70" t="s">
        <v>886</v>
      </c>
      <c r="L44" s="143">
        <v>46253</v>
      </c>
    </row>
    <row r="45" spans="1:12">
      <c r="A45" s="30">
        <v>23776894</v>
      </c>
      <c r="C45" s="69" t="s">
        <v>38</v>
      </c>
      <c r="D45" s="70">
        <v>5348.64</v>
      </c>
      <c r="E45" s="70"/>
      <c r="F45" s="70">
        <f>D45*0.3</f>
        <v>1604.5920000000001</v>
      </c>
      <c r="G45" s="70">
        <f>(IF(D45&lt;4172.98,0,MIN(D45*0.3,D45-4172.98)))-E45</f>
        <v>1175.6600000000008</v>
      </c>
      <c r="H45" s="69"/>
      <c r="I45" s="69"/>
      <c r="J45" s="70"/>
      <c r="K45" s="138" t="s">
        <v>39</v>
      </c>
      <c r="L45" s="143">
        <v>46253</v>
      </c>
    </row>
    <row r="46" spans="1:12">
      <c r="A46" s="72">
        <v>23774524</v>
      </c>
      <c r="B46">
        <v>5213141504450</v>
      </c>
      <c r="C46" s="69" t="s">
        <v>54</v>
      </c>
      <c r="D46" s="70">
        <v>7128.48</v>
      </c>
      <c r="E46" s="70"/>
      <c r="F46" s="70">
        <v>2138.5439999999999</v>
      </c>
      <c r="G46" s="70">
        <v>2138.5439999999999</v>
      </c>
      <c r="H46" s="69"/>
      <c r="I46" s="69"/>
      <c r="J46" s="70"/>
      <c r="K46" s="70" t="s">
        <v>95</v>
      </c>
      <c r="L46" s="143">
        <v>46253</v>
      </c>
    </row>
    <row r="47" spans="1:12">
      <c r="A47" s="72">
        <v>23756631</v>
      </c>
      <c r="B47">
        <v>5216146108218</v>
      </c>
      <c r="C47" s="69" t="s">
        <v>27</v>
      </c>
      <c r="D47" s="70">
        <v>7116.73</v>
      </c>
      <c r="E47" s="70">
        <v>1298.8399999999999</v>
      </c>
      <c r="F47" s="70">
        <v>2135.0189999999998</v>
      </c>
      <c r="G47" s="70">
        <v>836.17899999999986</v>
      </c>
      <c r="H47" s="69">
        <v>45748</v>
      </c>
      <c r="I47" s="69" t="s">
        <v>44</v>
      </c>
      <c r="J47" s="70">
        <v>1298.8399999999999</v>
      </c>
      <c r="K47" s="70" t="s">
        <v>358</v>
      </c>
      <c r="L47" s="143">
        <v>46253</v>
      </c>
    </row>
    <row r="48" spans="1:12">
      <c r="A48" s="12">
        <v>23777564</v>
      </c>
      <c r="C48" s="69" t="s">
        <v>54</v>
      </c>
      <c r="D48" s="70">
        <v>50977.74</v>
      </c>
      <c r="E48" s="70"/>
      <c r="F48" s="70">
        <f t="shared" ref="F48:F49" si="0">D48*0.3</f>
        <v>15293.321999999998</v>
      </c>
      <c r="G48" s="70">
        <f t="shared" ref="G48:G49" si="1">(IF(D48&lt;4172.98,0,MIN(D48*0.3,D48-4172.98)))-E48</f>
        <v>15293.321999999998</v>
      </c>
      <c r="H48" s="69"/>
      <c r="I48" s="69"/>
      <c r="J48" s="70"/>
      <c r="K48" s="70" t="s">
        <v>548</v>
      </c>
      <c r="L48" s="143">
        <v>46253</v>
      </c>
    </row>
    <row r="49" spans="1:12">
      <c r="A49" s="30">
        <v>23777900</v>
      </c>
      <c r="C49" t="s">
        <v>38</v>
      </c>
      <c r="D49" s="3">
        <v>48524.57</v>
      </c>
      <c r="E49" s="3">
        <v>13998.01</v>
      </c>
      <c r="F49" s="3">
        <f t="shared" si="0"/>
        <v>14557.370999999999</v>
      </c>
      <c r="G49" s="3">
        <f t="shared" si="1"/>
        <v>559.36099999999897</v>
      </c>
      <c r="H49" s="6">
        <v>46569</v>
      </c>
      <c r="I49" t="s">
        <v>141</v>
      </c>
      <c r="J49" s="3">
        <v>13998.01</v>
      </c>
      <c r="K49" s="3" t="s">
        <v>271</v>
      </c>
      <c r="L49" s="47">
        <v>46253</v>
      </c>
    </row>
    <row r="50" spans="1:12">
      <c r="A50" s="72">
        <v>23766352</v>
      </c>
      <c r="B50">
        <v>8120062139</v>
      </c>
      <c r="C50" s="69" t="s">
        <v>54</v>
      </c>
      <c r="D50" s="70">
        <v>10810.94</v>
      </c>
      <c r="E50" s="70">
        <v>486</v>
      </c>
      <c r="F50" s="70">
        <v>3243.2820000000002</v>
      </c>
      <c r="G50" s="70">
        <v>2757.2820000000002</v>
      </c>
      <c r="H50" s="69"/>
      <c r="I50" s="69"/>
      <c r="J50" s="70"/>
      <c r="K50" s="70" t="s">
        <v>63</v>
      </c>
      <c r="L50" s="143">
        <v>46254</v>
      </c>
    </row>
    <row r="51" spans="1:12">
      <c r="A51" s="72">
        <v>23775160</v>
      </c>
      <c r="B51">
        <v>5519838341</v>
      </c>
      <c r="C51" s="69" t="s">
        <v>54</v>
      </c>
      <c r="D51" s="70">
        <v>9408.02</v>
      </c>
      <c r="E51" s="70"/>
      <c r="F51" s="70">
        <v>2822.4059999999999</v>
      </c>
      <c r="G51" s="70">
        <v>2822.4059999999999</v>
      </c>
      <c r="H51" s="69"/>
      <c r="I51" s="69"/>
      <c r="J51" s="70"/>
      <c r="K51" s="70" t="s">
        <v>1080</v>
      </c>
      <c r="L51" s="143">
        <v>46254</v>
      </c>
    </row>
    <row r="52" spans="1:12">
      <c r="A52" s="12">
        <v>23778924</v>
      </c>
      <c r="C52" s="69" t="s">
        <v>54</v>
      </c>
      <c r="D52" s="70">
        <v>15324.13</v>
      </c>
      <c r="E52" s="70"/>
      <c r="F52" s="70">
        <f t="shared" ref="F52:F55" si="2">D52*0.3</f>
        <v>4597.2389999999996</v>
      </c>
      <c r="G52" s="70">
        <f t="shared" ref="G52:G55" si="3">(IF(D52&lt;4172.98,0,MIN(D52*0.3,D52-4172.98)))-E52</f>
        <v>4597.2389999999996</v>
      </c>
      <c r="H52" s="69"/>
      <c r="I52" s="69"/>
      <c r="J52" s="70"/>
      <c r="K52" s="70" t="s">
        <v>348</v>
      </c>
      <c r="L52" s="143">
        <v>46254</v>
      </c>
    </row>
    <row r="53" spans="1:12">
      <c r="A53" s="12">
        <v>23782672</v>
      </c>
      <c r="C53" s="69" t="s">
        <v>54</v>
      </c>
      <c r="D53" s="70">
        <v>7128.48</v>
      </c>
      <c r="E53" s="70"/>
      <c r="F53" s="70">
        <f t="shared" si="2"/>
        <v>2138.5439999999999</v>
      </c>
      <c r="G53" s="70">
        <f t="shared" si="3"/>
        <v>2138.5439999999999</v>
      </c>
      <c r="H53" s="69"/>
      <c r="I53" s="69"/>
      <c r="J53" s="70"/>
      <c r="K53" s="70" t="s">
        <v>98</v>
      </c>
      <c r="L53" s="143">
        <v>46254</v>
      </c>
    </row>
    <row r="54" spans="1:12">
      <c r="A54" s="12">
        <v>23793734</v>
      </c>
      <c r="C54" s="69" t="s">
        <v>54</v>
      </c>
      <c r="D54" s="70">
        <v>5654.65</v>
      </c>
      <c r="E54" s="70"/>
      <c r="F54" s="70">
        <f t="shared" si="2"/>
        <v>1696.3949999999998</v>
      </c>
      <c r="G54" s="70">
        <f t="shared" si="3"/>
        <v>1481.67</v>
      </c>
      <c r="H54" s="69"/>
      <c r="I54" s="69"/>
      <c r="J54" s="70"/>
      <c r="K54" s="70" t="s">
        <v>1091</v>
      </c>
      <c r="L54" s="143">
        <v>46254</v>
      </c>
    </row>
    <row r="55" spans="1:12">
      <c r="A55" s="12">
        <v>23794024</v>
      </c>
      <c r="C55" t="s">
        <v>38</v>
      </c>
      <c r="D55" s="3">
        <v>4855.6899999999996</v>
      </c>
      <c r="E55" s="3"/>
      <c r="F55" s="3">
        <f t="shared" si="2"/>
        <v>1456.7069999999999</v>
      </c>
      <c r="G55" s="3">
        <f t="shared" si="3"/>
        <v>682.71</v>
      </c>
      <c r="J55" s="3"/>
      <c r="K55" s="3" t="s">
        <v>266</v>
      </c>
      <c r="L55" s="47">
        <v>46254</v>
      </c>
    </row>
    <row r="56" spans="1:12">
      <c r="A56" s="30">
        <v>23795654</v>
      </c>
      <c r="C56" s="69" t="s">
        <v>38</v>
      </c>
      <c r="D56" s="70">
        <v>5130.33</v>
      </c>
      <c r="E56" s="70"/>
      <c r="F56" s="70">
        <f>D56*0.3</f>
        <v>1539.0989999999999</v>
      </c>
      <c r="G56" s="70">
        <f>(IF(D56&lt;4172.98,0,MIN(D56*0.3,D56-4172.98)))-E56</f>
        <v>957.35000000000036</v>
      </c>
      <c r="H56" s="69"/>
      <c r="I56" s="69"/>
      <c r="J56" s="70"/>
      <c r="K56" s="70" t="s">
        <v>266</v>
      </c>
      <c r="L56" s="143">
        <v>46254</v>
      </c>
    </row>
    <row r="57" spans="1:12">
      <c r="A57" s="12">
        <v>23767886</v>
      </c>
      <c r="C57" s="69" t="s">
        <v>107</v>
      </c>
      <c r="D57" s="70">
        <v>32756.19</v>
      </c>
      <c r="E57" s="70">
        <v>9476.2000000000007</v>
      </c>
      <c r="F57" s="70">
        <f t="shared" ref="F57" si="4">D57*0.3</f>
        <v>9826.857</v>
      </c>
      <c r="G57" s="70">
        <f t="shared" ref="G57" si="5">(IF(D57&lt;4172.98,0,MIN(D57*0.3,D57-4172.98)))-E57</f>
        <v>350.65699999999924</v>
      </c>
      <c r="H57" s="71">
        <v>46204</v>
      </c>
      <c r="I57" s="69" t="s">
        <v>80</v>
      </c>
      <c r="J57" s="70">
        <v>405.2</v>
      </c>
      <c r="K57" s="70" t="s">
        <v>266</v>
      </c>
      <c r="L57" s="143">
        <v>46254</v>
      </c>
    </row>
    <row r="58" spans="1:12">
      <c r="A58" s="72">
        <v>23064204</v>
      </c>
      <c r="B58">
        <v>7225720606</v>
      </c>
      <c r="C58" s="69" t="s">
        <v>54</v>
      </c>
      <c r="D58" s="70">
        <v>10951.74</v>
      </c>
      <c r="E58" s="70"/>
      <c r="F58" s="70">
        <v>3285.5219999999999</v>
      </c>
      <c r="G58" s="70">
        <v>3285.5219999999999</v>
      </c>
      <c r="H58" s="69"/>
      <c r="I58" s="69"/>
      <c r="J58" s="70"/>
      <c r="K58" s="70" t="s">
        <v>266</v>
      </c>
      <c r="L58" s="143">
        <v>46254</v>
      </c>
    </row>
    <row r="59" spans="1:12">
      <c r="A59" s="72">
        <v>23798624</v>
      </c>
      <c r="B59">
        <v>5214871162058</v>
      </c>
      <c r="C59" s="69" t="s">
        <v>54</v>
      </c>
      <c r="D59" s="70">
        <v>5760.79</v>
      </c>
      <c r="E59" s="70"/>
      <c r="F59" s="70">
        <v>1728.2369999999999</v>
      </c>
      <c r="G59" s="70">
        <v>1587.8100000000004</v>
      </c>
      <c r="H59" s="69"/>
      <c r="I59" s="69"/>
      <c r="J59" s="70"/>
      <c r="K59" s="70" t="s">
        <v>358</v>
      </c>
      <c r="L59" s="143">
        <v>46254</v>
      </c>
    </row>
    <row r="60" spans="1:12">
      <c r="A60" s="173">
        <v>23694574</v>
      </c>
      <c r="B60">
        <v>5215513904730</v>
      </c>
      <c r="C60" t="s">
        <v>54</v>
      </c>
      <c r="D60" s="3">
        <v>25806.09</v>
      </c>
      <c r="E60" s="3"/>
      <c r="F60" s="3">
        <v>7741.8269999999993</v>
      </c>
      <c r="G60" s="3">
        <v>7741.8269999999993</v>
      </c>
      <c r="J60" s="3"/>
      <c r="K60" s="3" t="s">
        <v>548</v>
      </c>
      <c r="L60" s="47">
        <v>46254</v>
      </c>
    </row>
    <row r="61" spans="1:12">
      <c r="A61" s="72">
        <v>23729930</v>
      </c>
      <c r="B61">
        <v>5216673885168</v>
      </c>
      <c r="C61" s="69" t="s">
        <v>107</v>
      </c>
      <c r="D61" s="70">
        <v>5055.87</v>
      </c>
      <c r="E61" s="70">
        <v>1234.26</v>
      </c>
      <c r="F61" s="70">
        <v>1516.761</v>
      </c>
      <c r="G61" s="70">
        <v>-351.36999999999966</v>
      </c>
      <c r="H61" s="69">
        <v>46082</v>
      </c>
      <c r="I61" s="69" t="s">
        <v>47</v>
      </c>
      <c r="J61" s="70">
        <v>374.89</v>
      </c>
      <c r="K61" s="138" t="s">
        <v>39</v>
      </c>
      <c r="L61" s="143">
        <v>46254</v>
      </c>
    </row>
    <row r="62" spans="1:12">
      <c r="A62" s="173">
        <v>23795136</v>
      </c>
      <c r="B62">
        <v>5216562872773</v>
      </c>
      <c r="C62" t="s">
        <v>54</v>
      </c>
      <c r="D62" s="3">
        <v>7920.51</v>
      </c>
      <c r="E62" s="3"/>
      <c r="F62" s="3">
        <v>2376.1529999999998</v>
      </c>
      <c r="G62" s="3">
        <v>2376.1529999999998</v>
      </c>
      <c r="J62" s="3"/>
      <c r="K62" s="3" t="s">
        <v>1091</v>
      </c>
      <c r="L62" s="47">
        <v>46254</v>
      </c>
    </row>
    <row r="63" spans="1:12">
      <c r="A63" s="173">
        <v>23795674</v>
      </c>
      <c r="B63">
        <v>5219985720990</v>
      </c>
      <c r="C63" t="s">
        <v>54</v>
      </c>
      <c r="D63" s="3">
        <v>25398.43</v>
      </c>
      <c r="E63" s="3"/>
      <c r="F63" s="3">
        <v>7619.5289999999995</v>
      </c>
      <c r="G63" s="3">
        <v>7619.5289999999995</v>
      </c>
      <c r="J63" s="3"/>
      <c r="K63" s="3" t="s">
        <v>548</v>
      </c>
      <c r="L63" s="47">
        <v>46254</v>
      </c>
    </row>
    <row r="64" spans="1:12">
      <c r="A64" s="30">
        <v>23802368</v>
      </c>
      <c r="C64" s="69" t="s">
        <v>38</v>
      </c>
      <c r="D64" s="70">
        <v>9081.52</v>
      </c>
      <c r="E64" s="70">
        <v>2349.9699999999998</v>
      </c>
      <c r="F64" s="70">
        <f>D64*0.3</f>
        <v>2724.4560000000001</v>
      </c>
      <c r="G64" s="70">
        <f>(IF(D64&lt;4172.98,0,MIN(D64*0.3,D64-4172.98)))-E64</f>
        <v>374.48600000000033</v>
      </c>
      <c r="H64" s="71">
        <v>46631</v>
      </c>
      <c r="I64" s="69" t="s">
        <v>206</v>
      </c>
      <c r="J64" s="70">
        <v>2349.9699999999998</v>
      </c>
      <c r="K64" s="138" t="s">
        <v>39</v>
      </c>
      <c r="L64" s="143">
        <v>46254</v>
      </c>
    </row>
    <row r="65" spans="1:12">
      <c r="A65" s="30">
        <v>23798552</v>
      </c>
      <c r="C65" s="69" t="s">
        <v>38</v>
      </c>
      <c r="D65" s="70">
        <v>5070.78</v>
      </c>
      <c r="E65" s="70"/>
      <c r="F65" s="70">
        <f>D65*0.3</f>
        <v>1521.2339999999999</v>
      </c>
      <c r="G65" s="70">
        <f>(IF(D65&lt;4172.98,0,MIN(D65*0.3,D65-4172.98)))-E65</f>
        <v>897.80000000000018</v>
      </c>
      <c r="H65" s="69"/>
      <c r="I65" s="69"/>
      <c r="J65" s="70"/>
      <c r="K65" s="70" t="s">
        <v>271</v>
      </c>
      <c r="L65" s="143">
        <v>46254</v>
      </c>
    </row>
    <row r="66" spans="1:12">
      <c r="A66" s="12">
        <v>23804924</v>
      </c>
      <c r="C66" t="s">
        <v>38</v>
      </c>
      <c r="D66" s="3">
        <v>5617.64</v>
      </c>
      <c r="E66" s="3">
        <v>555.19000000000005</v>
      </c>
      <c r="F66" s="3">
        <f t="shared" ref="F66" si="6">D66*0.3</f>
        <v>1685.2920000000001</v>
      </c>
      <c r="G66" s="3">
        <f t="shared" ref="G66" si="7">(IF(D66&lt;4172.98,0,MIN(D66*0.3,D66-4172.98)))-E66</f>
        <v>889.47000000000071</v>
      </c>
      <c r="H66" s="6">
        <v>46296</v>
      </c>
      <c r="I66" t="s">
        <v>75</v>
      </c>
      <c r="J66" s="3">
        <v>555.19000000000005</v>
      </c>
      <c r="K66" s="3" t="s">
        <v>271</v>
      </c>
      <c r="L66" s="47">
        <v>46254</v>
      </c>
    </row>
    <row r="67" spans="1:12">
      <c r="A67" s="72">
        <v>23799212</v>
      </c>
      <c r="B67">
        <v>8110693461</v>
      </c>
      <c r="C67" s="69" t="s">
        <v>54</v>
      </c>
      <c r="D67" s="70">
        <v>12454</v>
      </c>
      <c r="E67" s="70"/>
      <c r="F67" s="70">
        <v>3736.2</v>
      </c>
      <c r="G67" s="70">
        <v>3736.2</v>
      </c>
      <c r="H67" s="69"/>
      <c r="I67" s="69"/>
      <c r="J67" s="70"/>
      <c r="K67" s="70" t="s">
        <v>879</v>
      </c>
      <c r="L67" s="143">
        <v>46254</v>
      </c>
    </row>
    <row r="68" spans="1:12">
      <c r="A68" s="30">
        <v>23807678</v>
      </c>
      <c r="C68" s="69" t="s">
        <v>38</v>
      </c>
      <c r="D68" s="70">
        <v>9760.32</v>
      </c>
      <c r="E68" s="70">
        <v>2240.69</v>
      </c>
      <c r="F68" s="70">
        <f>D68*0.3</f>
        <v>2928.096</v>
      </c>
      <c r="G68" s="70">
        <f>(IF(D68&lt;4172.98,0,MIN(D68*0.3,D68-4172.98)))-E68</f>
        <v>687.40599999999995</v>
      </c>
      <c r="H68" s="71">
        <v>46661</v>
      </c>
      <c r="I68" s="69" t="s">
        <v>206</v>
      </c>
      <c r="J68" s="70">
        <v>2240.69</v>
      </c>
      <c r="K68" s="138" t="s">
        <v>39</v>
      </c>
      <c r="L68" s="143">
        <v>46254</v>
      </c>
    </row>
    <row r="69" spans="1:12">
      <c r="A69" s="30">
        <v>23808074</v>
      </c>
      <c r="C69" t="s">
        <v>54</v>
      </c>
      <c r="D69" s="3">
        <v>9760.32</v>
      </c>
      <c r="E69" s="3"/>
      <c r="F69" s="3">
        <f>D69*0.3</f>
        <v>2928.096</v>
      </c>
      <c r="G69" s="3">
        <f>(IF(D69&lt;4172.98,0,MIN(D69*0.3,D69-4172.98)))-E69</f>
        <v>2928.096</v>
      </c>
      <c r="J69" s="3"/>
      <c r="K69" s="3" t="s">
        <v>327</v>
      </c>
      <c r="L69" s="47">
        <v>46254</v>
      </c>
    </row>
    <row r="70" spans="1:12">
      <c r="A70" s="72">
        <v>23803036</v>
      </c>
      <c r="B70">
        <v>5215545386691</v>
      </c>
      <c r="C70" s="69" t="s">
        <v>54</v>
      </c>
      <c r="D70" s="70">
        <v>10636.54</v>
      </c>
      <c r="E70" s="70"/>
      <c r="F70" s="70">
        <v>3190.962</v>
      </c>
      <c r="G70" s="70">
        <v>3190.962</v>
      </c>
      <c r="H70" s="69"/>
      <c r="I70" s="69"/>
      <c r="J70" s="70"/>
      <c r="K70" s="70" t="s">
        <v>879</v>
      </c>
      <c r="L70" s="143">
        <v>46254</v>
      </c>
    </row>
    <row r="71" spans="1:12">
      <c r="A71" s="173">
        <v>23773002</v>
      </c>
      <c r="B71">
        <v>8994499174</v>
      </c>
      <c r="C71" t="s">
        <v>54</v>
      </c>
      <c r="D71" s="3">
        <v>5983.25</v>
      </c>
      <c r="E71" s="3"/>
      <c r="F71" s="3">
        <v>1794.9749999999999</v>
      </c>
      <c r="G71" s="3">
        <v>1794.9749999999999</v>
      </c>
      <c r="J71" s="3"/>
      <c r="K71" s="3" t="s">
        <v>358</v>
      </c>
      <c r="L71" s="47">
        <v>46254</v>
      </c>
    </row>
    <row r="72" spans="1:12">
      <c r="A72" s="173">
        <v>22903402</v>
      </c>
      <c r="B72">
        <v>5217717412056</v>
      </c>
      <c r="C72" t="s">
        <v>54</v>
      </c>
      <c r="D72" s="3">
        <v>28690.84</v>
      </c>
      <c r="E72" s="3">
        <v>6156.82</v>
      </c>
      <c r="F72" s="3">
        <v>8607.2520000000004</v>
      </c>
      <c r="G72" s="3">
        <v>2450.4320000000007</v>
      </c>
      <c r="H72">
        <v>46600</v>
      </c>
      <c r="I72" t="s">
        <v>77</v>
      </c>
      <c r="J72" s="3">
        <v>3762.83</v>
      </c>
      <c r="K72" s="3" t="s">
        <v>886</v>
      </c>
      <c r="L72" s="47">
        <v>46254</v>
      </c>
    </row>
    <row r="73" spans="1:12">
      <c r="A73" s="72">
        <v>23809056</v>
      </c>
      <c r="B73">
        <v>8443562001</v>
      </c>
      <c r="C73" s="69" t="s">
        <v>54</v>
      </c>
      <c r="D73" s="70">
        <v>10229.02</v>
      </c>
      <c r="E73" s="70"/>
      <c r="F73" s="70">
        <v>3068.7060000000001</v>
      </c>
      <c r="G73" s="70">
        <v>3068.7060000000001</v>
      </c>
      <c r="H73" s="69"/>
      <c r="I73" s="69"/>
      <c r="J73" s="70"/>
      <c r="K73" s="70" t="s">
        <v>879</v>
      </c>
      <c r="L73" s="143">
        <v>46254</v>
      </c>
    </row>
    <row r="74" spans="1:12">
      <c r="A74" s="30">
        <v>23811054</v>
      </c>
      <c r="C74" s="69" t="s">
        <v>54</v>
      </c>
      <c r="D74" s="70">
        <v>10636.54</v>
      </c>
      <c r="E74" s="70"/>
      <c r="F74" s="70">
        <f>D74*0.3</f>
        <v>3190.962</v>
      </c>
      <c r="G74" s="70">
        <f>(IF(D74&lt;4172.98,0,MIN(D74*0.3,D74-4172.98)))-E74</f>
        <v>3190.962</v>
      </c>
      <c r="H74" s="69"/>
      <c r="I74" s="69"/>
      <c r="J74" s="70"/>
      <c r="K74" s="70" t="s">
        <v>548</v>
      </c>
      <c r="L74" s="143">
        <v>46254</v>
      </c>
    </row>
    <row r="75" spans="1:12">
      <c r="A75" s="72">
        <v>23807862</v>
      </c>
      <c r="B75">
        <v>5216566753842</v>
      </c>
      <c r="C75" s="69" t="s">
        <v>54</v>
      </c>
      <c r="D75" s="70">
        <v>16470.3</v>
      </c>
      <c r="E75" s="70">
        <v>1794</v>
      </c>
      <c r="F75" s="70">
        <v>4941.0899999999992</v>
      </c>
      <c r="G75" s="70">
        <v>3147.0899999999992</v>
      </c>
      <c r="H75" s="69">
        <v>46478</v>
      </c>
      <c r="I75" s="69" t="s">
        <v>44</v>
      </c>
      <c r="J75" s="70">
        <v>1794</v>
      </c>
      <c r="K75" s="70" t="s">
        <v>548</v>
      </c>
      <c r="L75" s="143">
        <v>46254</v>
      </c>
    </row>
    <row r="76" spans="1:12">
      <c r="A76" s="72">
        <v>23808822</v>
      </c>
      <c r="B76">
        <v>5216568157139</v>
      </c>
      <c r="C76" s="69" t="s">
        <v>27</v>
      </c>
      <c r="D76" s="70">
        <v>9081.52</v>
      </c>
      <c r="E76" s="70">
        <v>2521.35</v>
      </c>
      <c r="F76" s="70">
        <v>2724.4560000000001</v>
      </c>
      <c r="G76" s="70">
        <v>203.10600000000022</v>
      </c>
      <c r="H76" s="69">
        <v>46204</v>
      </c>
      <c r="I76" s="69" t="s">
        <v>44</v>
      </c>
      <c r="J76" s="70">
        <v>2521.35</v>
      </c>
      <c r="K76" s="70" t="s">
        <v>55</v>
      </c>
      <c r="L76" s="143">
        <v>46254</v>
      </c>
    </row>
    <row r="77" spans="1:12">
      <c r="A77" s="30">
        <v>23812146</v>
      </c>
      <c r="C77" s="176" t="s">
        <v>107</v>
      </c>
      <c r="D77" s="70">
        <v>5121.1899999999996</v>
      </c>
      <c r="E77" s="70">
        <v>877.51</v>
      </c>
      <c r="F77" s="177">
        <f>D77*0.3</f>
        <v>1536.3569999999997</v>
      </c>
      <c r="G77" s="70">
        <f>(IF(D77&lt;4172.98,0,MIN(D77*0.3,D77-4172.98)))-E77</f>
        <v>70.700000000000045</v>
      </c>
      <c r="H77" s="71">
        <v>46235</v>
      </c>
      <c r="I77" s="69" t="s">
        <v>59</v>
      </c>
      <c r="J77" s="70">
        <v>877.51</v>
      </c>
      <c r="K77" s="70" t="s">
        <v>271</v>
      </c>
      <c r="L77" s="143">
        <v>46254</v>
      </c>
    </row>
    <row r="78" spans="1:12">
      <c r="A78" s="12">
        <v>23812978</v>
      </c>
      <c r="C78" s="69" t="s">
        <v>54</v>
      </c>
      <c r="D78" s="70">
        <v>10636.54</v>
      </c>
      <c r="E78" s="70"/>
      <c r="F78" s="70">
        <f t="shared" ref="F78:F80" si="8">D78*0.3</f>
        <v>3190.962</v>
      </c>
      <c r="G78" s="70">
        <f t="shared" ref="G78:G80" si="9">(IF(D78&lt;4172.98,0,MIN(D78*0.3,D78-4172.98)))-E78</f>
        <v>3190.962</v>
      </c>
      <c r="H78" s="69"/>
      <c r="I78" s="69"/>
      <c r="J78" s="70"/>
      <c r="K78" s="70" t="s">
        <v>327</v>
      </c>
      <c r="L78" s="143">
        <v>46255</v>
      </c>
    </row>
    <row r="79" spans="1:12">
      <c r="A79" s="12">
        <v>23813726</v>
      </c>
      <c r="C79" s="69" t="s">
        <v>54</v>
      </c>
      <c r="D79" s="70">
        <f>25220.71-848</f>
        <v>24372.71</v>
      </c>
      <c r="E79" s="70">
        <v>848</v>
      </c>
      <c r="F79" s="70">
        <f t="shared" si="8"/>
        <v>7311.8129999999992</v>
      </c>
      <c r="G79" s="70">
        <f t="shared" si="9"/>
        <v>6463.8129999999992</v>
      </c>
      <c r="H79" s="69"/>
      <c r="I79" s="69"/>
      <c r="J79" s="70"/>
      <c r="K79" s="70" t="s">
        <v>879</v>
      </c>
      <c r="L79" s="143">
        <v>46255</v>
      </c>
    </row>
    <row r="80" spans="1:12">
      <c r="A80" s="12">
        <v>23814640</v>
      </c>
      <c r="C80" s="69" t="s">
        <v>107</v>
      </c>
      <c r="D80" s="70">
        <f>4332.32</f>
        <v>4332.32</v>
      </c>
      <c r="E80" s="70">
        <v>472.72</v>
      </c>
      <c r="F80" s="70">
        <f t="shared" si="8"/>
        <v>1299.6959999999999</v>
      </c>
      <c r="G80" s="70">
        <f t="shared" si="9"/>
        <v>-313.37999999999988</v>
      </c>
      <c r="H80" s="71">
        <v>45658</v>
      </c>
      <c r="I80" s="69" t="s">
        <v>47</v>
      </c>
      <c r="J80" s="70">
        <v>472.72</v>
      </c>
      <c r="K80" s="70" t="s">
        <v>266</v>
      </c>
      <c r="L80" s="143">
        <v>46255</v>
      </c>
    </row>
    <row r="81" spans="1:12">
      <c r="A81" s="72">
        <v>23737228</v>
      </c>
      <c r="B81">
        <v>5218442806796</v>
      </c>
      <c r="C81" s="69" t="s">
        <v>54</v>
      </c>
      <c r="D81" s="70">
        <v>9277.0499999999993</v>
      </c>
      <c r="E81" s="70"/>
      <c r="F81" s="70">
        <v>2783.1149999999998</v>
      </c>
      <c r="G81" s="70">
        <v>2783.1149999999998</v>
      </c>
      <c r="H81" s="69"/>
      <c r="I81" s="69"/>
      <c r="J81" s="70"/>
      <c r="K81" s="70" t="s">
        <v>1080</v>
      </c>
      <c r="L81" s="143">
        <v>46255</v>
      </c>
    </row>
    <row r="82" spans="1:12">
      <c r="A82" s="72">
        <v>23774532</v>
      </c>
      <c r="B82">
        <v>5214772736540</v>
      </c>
      <c r="C82" s="69" t="s">
        <v>54</v>
      </c>
      <c r="D82" s="70">
        <v>10636.54</v>
      </c>
      <c r="E82" s="70"/>
      <c r="F82" s="70">
        <v>3190.962</v>
      </c>
      <c r="G82" s="70">
        <v>3190.962</v>
      </c>
      <c r="H82" s="69"/>
      <c r="I82" s="69"/>
      <c r="J82" s="70"/>
      <c r="K82" s="70" t="s">
        <v>879</v>
      </c>
      <c r="L82" s="143">
        <v>46255</v>
      </c>
    </row>
    <row r="83" spans="1:12">
      <c r="A83" s="72">
        <v>23662598</v>
      </c>
      <c r="B83">
        <v>5219371543936</v>
      </c>
      <c r="C83" s="69" t="s">
        <v>107</v>
      </c>
      <c r="D83" s="70">
        <v>5617.63</v>
      </c>
      <c r="E83" s="70">
        <v>1178.06</v>
      </c>
      <c r="F83" s="70">
        <v>1685.289</v>
      </c>
      <c r="G83" s="70">
        <v>266.5900000000006</v>
      </c>
      <c r="H83" s="69">
        <v>45474</v>
      </c>
      <c r="I83" s="69" t="s">
        <v>80</v>
      </c>
      <c r="J83" s="70">
        <v>1178.06</v>
      </c>
      <c r="K83" s="70" t="s">
        <v>266</v>
      </c>
      <c r="L83" s="143">
        <v>46255</v>
      </c>
    </row>
    <row r="84" spans="1:12">
      <c r="A84" s="72">
        <v>23819870</v>
      </c>
      <c r="B84">
        <v>5218180158985</v>
      </c>
      <c r="C84" s="69" t="s">
        <v>34</v>
      </c>
      <c r="D84" s="70">
        <v>7116.73</v>
      </c>
      <c r="E84" s="70">
        <v>1750.44</v>
      </c>
      <c r="F84" s="70">
        <v>2135.0189999999998</v>
      </c>
      <c r="G84" s="70">
        <v>384.57899999999972</v>
      </c>
      <c r="H84" s="69">
        <v>45627</v>
      </c>
      <c r="I84" s="69" t="s">
        <v>57</v>
      </c>
      <c r="J84" s="70">
        <v>1750.44</v>
      </c>
      <c r="K84" s="70" t="s">
        <v>35</v>
      </c>
      <c r="L84" s="143">
        <v>46255</v>
      </c>
    </row>
    <row r="85" spans="1:12">
      <c r="A85" s="72">
        <v>23813562</v>
      </c>
      <c r="B85">
        <v>5216682470717</v>
      </c>
      <c r="C85" s="69" t="s">
        <v>54</v>
      </c>
      <c r="D85" s="70">
        <v>5636.59</v>
      </c>
      <c r="E85" s="70"/>
      <c r="F85" s="70">
        <v>1690.9770000000001</v>
      </c>
      <c r="G85" s="70">
        <v>1463.6100000000006</v>
      </c>
      <c r="H85" s="69"/>
      <c r="I85" s="69"/>
      <c r="J85" s="70"/>
      <c r="K85" s="70" t="s">
        <v>358</v>
      </c>
      <c r="L85" s="143">
        <v>46255</v>
      </c>
    </row>
    <row r="86" spans="1:12">
      <c r="A86" s="72">
        <v>23673046</v>
      </c>
      <c r="B86">
        <v>5216692740045</v>
      </c>
      <c r="C86" s="69" t="s">
        <v>38</v>
      </c>
      <c r="D86" s="70">
        <v>4813.6899999999996</v>
      </c>
      <c r="E86" s="70"/>
      <c r="F86" s="70">
        <v>1444.1069999999997</v>
      </c>
      <c r="G86" s="70">
        <v>640.71</v>
      </c>
      <c r="H86" s="69"/>
      <c r="I86" s="69"/>
      <c r="J86" s="70"/>
      <c r="K86" s="138" t="s">
        <v>39</v>
      </c>
      <c r="L86" s="143">
        <v>46256</v>
      </c>
    </row>
    <row r="87" spans="1:12">
      <c r="A87" s="72">
        <v>23812196</v>
      </c>
      <c r="B87">
        <v>5212281205645</v>
      </c>
      <c r="C87" s="69" t="s">
        <v>54</v>
      </c>
      <c r="D87" s="70">
        <v>20215.53</v>
      </c>
      <c r="E87" s="70"/>
      <c r="F87" s="70">
        <v>6064.6589999999997</v>
      </c>
      <c r="G87" s="70">
        <v>6064.6589999999997</v>
      </c>
      <c r="H87" s="69"/>
      <c r="I87" s="69"/>
      <c r="J87" s="70"/>
      <c r="K87" s="70" t="s">
        <v>348</v>
      </c>
      <c r="L87" s="143">
        <v>46258</v>
      </c>
    </row>
    <row r="88" spans="1:12">
      <c r="A88" s="30">
        <v>23927594</v>
      </c>
      <c r="C88" s="69" t="s">
        <v>54</v>
      </c>
      <c r="D88" s="70">
        <v>6770.59</v>
      </c>
      <c r="E88" s="70"/>
      <c r="F88" s="70">
        <f>D88*0.3</f>
        <v>2031.1769999999999</v>
      </c>
      <c r="G88" s="70">
        <f>(IF(D88&lt;4172.98,0,MIN(D88*0.3,D88-4172.98)))-E88</f>
        <v>2031.1769999999999</v>
      </c>
      <c r="H88" s="69"/>
      <c r="I88" s="69"/>
      <c r="J88" s="70"/>
      <c r="K88" s="70" t="s">
        <v>348</v>
      </c>
      <c r="L88" s="143">
        <v>46260</v>
      </c>
    </row>
    <row r="89" spans="1:12">
      <c r="A89" s="30">
        <v>24013392</v>
      </c>
      <c r="C89" s="69" t="s">
        <v>38</v>
      </c>
      <c r="D89" s="70">
        <v>5324.51</v>
      </c>
      <c r="E89" s="70"/>
      <c r="F89" s="70">
        <f>D89*0.3</f>
        <v>1597.3530000000001</v>
      </c>
      <c r="G89" s="70">
        <f>(IF(D89&lt;4172.98,0,MIN(D89*0.3,D89-4172.98)))-E89</f>
        <v>1151.5300000000007</v>
      </c>
      <c r="H89" s="69"/>
      <c r="I89" s="69"/>
      <c r="J89" s="70"/>
      <c r="K89" s="70" t="s">
        <v>266</v>
      </c>
      <c r="L89" s="143">
        <v>46260</v>
      </c>
    </row>
    <row r="90" spans="1:12">
      <c r="A90" s="30">
        <v>24021264</v>
      </c>
      <c r="C90" s="69" t="s">
        <v>54</v>
      </c>
      <c r="D90" s="70">
        <v>9081.52</v>
      </c>
      <c r="E90" s="70"/>
      <c r="F90" s="70">
        <f>D90*0.3</f>
        <v>2724.4560000000001</v>
      </c>
      <c r="G90" s="70">
        <f>(IF(D90&lt;4172.98,0,MIN(D90*0.3,D90-4172.98)))-E90</f>
        <v>2724.4560000000001</v>
      </c>
      <c r="H90" s="69"/>
      <c r="I90" s="69"/>
      <c r="J90" s="70"/>
      <c r="K90" s="70" t="s">
        <v>879</v>
      </c>
      <c r="L90" s="143">
        <v>46260</v>
      </c>
    </row>
    <row r="91" spans="1:12">
      <c r="A91" s="30">
        <v>23486806</v>
      </c>
      <c r="C91" s="69" t="s">
        <v>34</v>
      </c>
      <c r="D91" s="70">
        <v>9940.11</v>
      </c>
      <c r="E91" s="70">
        <v>2851.21</v>
      </c>
      <c r="F91" s="70">
        <f>D91*0.3</f>
        <v>2982.0329999999999</v>
      </c>
      <c r="G91" s="70">
        <f>(IF(D91&lt;4172.98,0,MIN(D91*0.3,D91-4172.98)))-E91</f>
        <v>130.82299999999987</v>
      </c>
      <c r="H91" s="71">
        <v>45839</v>
      </c>
      <c r="I91" s="69" t="s">
        <v>57</v>
      </c>
      <c r="J91" s="70">
        <v>701.9</v>
      </c>
      <c r="K91" s="70" t="s">
        <v>35</v>
      </c>
      <c r="L91" s="143">
        <v>46261</v>
      </c>
    </row>
    <row r="92" spans="1:12">
      <c r="A92" s="72">
        <v>24117438</v>
      </c>
      <c r="B92">
        <v>5212283666861</v>
      </c>
      <c r="C92" s="69" t="s">
        <v>54</v>
      </c>
      <c r="D92" s="70">
        <v>37235.910000000003</v>
      </c>
      <c r="E92" s="70"/>
      <c r="F92" s="70">
        <v>11170.773000000001</v>
      </c>
      <c r="G92" s="70">
        <v>11170.773000000001</v>
      </c>
      <c r="H92" s="69"/>
      <c r="I92" s="69"/>
      <c r="J92" s="70"/>
      <c r="K92" s="70" t="s">
        <v>348</v>
      </c>
      <c r="L92" s="143">
        <v>46265</v>
      </c>
    </row>
    <row r="93" spans="1:12">
      <c r="A93" s="12">
        <v>24113202</v>
      </c>
      <c r="C93" s="69" t="s">
        <v>54</v>
      </c>
      <c r="D93" s="70">
        <v>24131.13</v>
      </c>
      <c r="E93" s="70"/>
      <c r="F93" s="70">
        <f t="shared" ref="F93:F99" si="10">D93*0.3</f>
        <v>7239.3389999999999</v>
      </c>
      <c r="G93" s="70">
        <f t="shared" ref="G93:G99" si="11">(IF(D93&lt;4172.98,0,MIN(D93*0.3,D93-4172.98)))-E93</f>
        <v>7239.3389999999999</v>
      </c>
      <c r="H93" s="69"/>
      <c r="I93" s="69"/>
      <c r="J93" s="70"/>
      <c r="K93" s="70" t="s">
        <v>28</v>
      </c>
      <c r="L93" s="143">
        <v>46265</v>
      </c>
    </row>
    <row r="94" spans="1:12">
      <c r="A94" s="30">
        <v>24111990</v>
      </c>
      <c r="C94" s="69" t="s">
        <v>38</v>
      </c>
      <c r="D94" s="70">
        <v>11992.23</v>
      </c>
      <c r="E94" s="70">
        <v>2615.17</v>
      </c>
      <c r="F94" s="70">
        <f t="shared" si="10"/>
        <v>3597.6689999999999</v>
      </c>
      <c r="G94" s="70">
        <f t="shared" si="11"/>
        <v>982.4989999999998</v>
      </c>
      <c r="H94" s="71">
        <v>46600</v>
      </c>
      <c r="I94" s="69" t="s">
        <v>206</v>
      </c>
      <c r="J94" s="70">
        <v>2615.17</v>
      </c>
      <c r="K94" s="138" t="s">
        <v>39</v>
      </c>
      <c r="L94" s="143">
        <v>46265</v>
      </c>
    </row>
    <row r="95" spans="1:12">
      <c r="A95" s="12">
        <v>24117982</v>
      </c>
      <c r="C95" s="69" t="s">
        <v>54</v>
      </c>
      <c r="D95" s="70">
        <v>8181.55</v>
      </c>
      <c r="E95" s="70"/>
      <c r="F95" s="70">
        <f t="shared" si="10"/>
        <v>2454.4650000000001</v>
      </c>
      <c r="G95" s="70">
        <f t="shared" si="11"/>
        <v>2454.4650000000001</v>
      </c>
      <c r="H95" s="69"/>
      <c r="I95" s="69"/>
      <c r="J95" s="70"/>
      <c r="K95" s="70" t="s">
        <v>879</v>
      </c>
      <c r="L95" s="143">
        <v>46265</v>
      </c>
    </row>
    <row r="96" spans="1:12">
      <c r="A96" s="12">
        <v>24117978</v>
      </c>
      <c r="C96" t="s">
        <v>27</v>
      </c>
      <c r="D96" s="3">
        <v>7116.73</v>
      </c>
      <c r="E96" s="3">
        <v>2135</v>
      </c>
      <c r="F96" s="3">
        <f t="shared" si="10"/>
        <v>2135.0189999999998</v>
      </c>
      <c r="G96" s="3">
        <f t="shared" si="11"/>
        <v>1.8999999999778083E-2</v>
      </c>
      <c r="H96" t="s">
        <v>1236</v>
      </c>
      <c r="I96" t="s">
        <v>210</v>
      </c>
      <c r="J96" s="3">
        <v>1817</v>
      </c>
      <c r="K96" s="3" t="s">
        <v>886</v>
      </c>
      <c r="L96" s="47">
        <v>46265</v>
      </c>
    </row>
    <row r="97" spans="1:12">
      <c r="A97" s="12">
        <v>24123874</v>
      </c>
      <c r="C97" s="69" t="s">
        <v>54</v>
      </c>
      <c r="D97" s="70">
        <v>11398.64</v>
      </c>
      <c r="E97" s="70"/>
      <c r="F97" s="70">
        <f t="shared" si="10"/>
        <v>3419.5919999999996</v>
      </c>
      <c r="G97" s="70">
        <f t="shared" si="11"/>
        <v>3419.5919999999996</v>
      </c>
      <c r="H97" s="69"/>
      <c r="I97" s="69"/>
      <c r="J97" s="70"/>
      <c r="K97" s="70" t="s">
        <v>35</v>
      </c>
      <c r="L97" s="143">
        <v>46265</v>
      </c>
    </row>
    <row r="98" spans="1:12">
      <c r="A98" s="30">
        <v>24125462</v>
      </c>
      <c r="C98" s="69" t="s">
        <v>54</v>
      </c>
      <c r="D98" s="70">
        <v>10636.54</v>
      </c>
      <c r="E98" s="70"/>
      <c r="F98" s="70">
        <f t="shared" si="10"/>
        <v>3190.962</v>
      </c>
      <c r="G98" s="70">
        <f t="shared" si="11"/>
        <v>3190.962</v>
      </c>
      <c r="H98" s="69"/>
      <c r="I98" s="69"/>
      <c r="J98" s="70"/>
      <c r="K98" s="70" t="s">
        <v>348</v>
      </c>
      <c r="L98" s="143">
        <v>46265</v>
      </c>
    </row>
    <row r="99" spans="1:12">
      <c r="A99" s="12">
        <v>24125120</v>
      </c>
      <c r="C99" s="69" t="s">
        <v>54</v>
      </c>
      <c r="D99" s="70">
        <v>9760.32</v>
      </c>
      <c r="E99" s="70"/>
      <c r="F99" s="70">
        <f t="shared" si="10"/>
        <v>2928.096</v>
      </c>
      <c r="G99" s="70">
        <f t="shared" si="11"/>
        <v>2928.096</v>
      </c>
      <c r="H99" s="69"/>
      <c r="I99" s="69"/>
      <c r="J99" s="70"/>
      <c r="K99" s="70" t="s">
        <v>35</v>
      </c>
      <c r="L99" s="143">
        <v>46265</v>
      </c>
    </row>
    <row r="100" spans="1:12">
      <c r="A100" s="12">
        <v>24126148</v>
      </c>
      <c r="C100" s="69" t="s">
        <v>27</v>
      </c>
      <c r="D100" s="70">
        <v>5617.63</v>
      </c>
      <c r="E100" s="70">
        <v>1334.29</v>
      </c>
      <c r="F100" s="70">
        <f t="shared" ref="F100" si="12">D100*0.3</f>
        <v>1685.289</v>
      </c>
      <c r="G100" s="70">
        <f t="shared" ref="G100" si="13">(IF(D100&lt;4172.98,0,MIN(D100*0.3,D100-4172.98)))-E100</f>
        <v>110.36000000000058</v>
      </c>
      <c r="H100" s="71">
        <v>46266</v>
      </c>
      <c r="I100" s="69" t="s">
        <v>75</v>
      </c>
      <c r="J100" s="70">
        <v>1334.29</v>
      </c>
      <c r="K100" s="70" t="s">
        <v>62</v>
      </c>
      <c r="L100" s="143">
        <v>46265</v>
      </c>
    </row>
    <row r="101" spans="1:12">
      <c r="A101" s="30">
        <v>24126504</v>
      </c>
      <c r="C101" s="69" t="s">
        <v>27</v>
      </c>
      <c r="D101" s="70">
        <v>12588.16</v>
      </c>
      <c r="E101" s="70">
        <v>3159.28</v>
      </c>
      <c r="F101" s="70">
        <f>D101*0.3</f>
        <v>3776.4479999999999</v>
      </c>
      <c r="G101" s="70">
        <f>(IF(D101&lt;4172.98,0,MIN(D101*0.3,D101-4172.98)))-E101</f>
        <v>617.16799999999967</v>
      </c>
      <c r="H101" s="71">
        <v>45047</v>
      </c>
      <c r="I101" s="69" t="s">
        <v>206</v>
      </c>
      <c r="J101" s="70">
        <v>1893.28</v>
      </c>
      <c r="K101" s="70" t="s">
        <v>358</v>
      </c>
      <c r="L101" s="143">
        <v>46265</v>
      </c>
    </row>
    <row r="102" spans="1:12">
      <c r="A102" s="30">
        <v>24126060</v>
      </c>
      <c r="C102" s="69" t="s">
        <v>107</v>
      </c>
      <c r="D102" s="70">
        <v>4813.6899999999996</v>
      </c>
      <c r="E102" s="70">
        <v>746.39</v>
      </c>
      <c r="F102" s="70">
        <f t="shared" ref="F102:F103" si="14">D102*0.3</f>
        <v>1444.1069999999997</v>
      </c>
      <c r="G102" s="70">
        <f t="shared" ref="G102:G103" si="15">(IF(D102&lt;4172.98,0,MIN(D102*0.3,D102-4172.98)))-E102</f>
        <v>-105.67999999999995</v>
      </c>
      <c r="H102" s="71">
        <v>45352</v>
      </c>
      <c r="I102" s="69" t="s">
        <v>47</v>
      </c>
      <c r="J102" s="70">
        <v>746.39</v>
      </c>
      <c r="K102" s="70" t="s">
        <v>266</v>
      </c>
      <c r="L102" s="143">
        <v>46265</v>
      </c>
    </row>
    <row r="103" spans="1:12">
      <c r="A103" s="30">
        <v>24128120</v>
      </c>
      <c r="C103" s="69" t="s">
        <v>107</v>
      </c>
      <c r="D103" s="70">
        <v>44021.63</v>
      </c>
      <c r="E103" s="70">
        <v>12736.51</v>
      </c>
      <c r="F103" s="70">
        <f t="shared" si="14"/>
        <v>13206.489</v>
      </c>
      <c r="G103" s="70">
        <f t="shared" si="15"/>
        <v>469.97899999999936</v>
      </c>
      <c r="H103" s="71">
        <v>46082</v>
      </c>
      <c r="I103" s="69" t="s">
        <v>80</v>
      </c>
      <c r="J103" s="70">
        <v>540.05999999999995</v>
      </c>
      <c r="K103" s="138" t="s">
        <v>39</v>
      </c>
      <c r="L103" s="143">
        <v>46265</v>
      </c>
    </row>
    <row r="104" spans="1:12">
      <c r="A104" s="30">
        <v>23551540</v>
      </c>
      <c r="C104" s="69" t="s">
        <v>38</v>
      </c>
      <c r="D104" s="70">
        <v>6262.86</v>
      </c>
      <c r="E104" s="70">
        <v>993.52</v>
      </c>
      <c r="F104" s="70">
        <f>D104*0.3</f>
        <v>1878.8579999999997</v>
      </c>
      <c r="G104" s="70">
        <f>(IF(D104&lt;4172.98,0,MIN(D104*0.3,D104-4172.98)))-E104</f>
        <v>885.33799999999974</v>
      </c>
      <c r="H104" s="71">
        <v>46357</v>
      </c>
      <c r="I104" s="69" t="s">
        <v>80</v>
      </c>
      <c r="J104" s="70">
        <v>720.33</v>
      </c>
      <c r="K104" s="70" t="s">
        <v>266</v>
      </c>
      <c r="L104" s="143">
        <v>46265</v>
      </c>
    </row>
    <row r="105" spans="1:12">
      <c r="A105" s="72">
        <v>24114178</v>
      </c>
      <c r="B105">
        <v>5219994215990</v>
      </c>
      <c r="C105" s="69" t="s">
        <v>27</v>
      </c>
      <c r="D105" s="70">
        <v>7921.51</v>
      </c>
      <c r="E105" s="70">
        <v>2188.77</v>
      </c>
      <c r="F105" s="70">
        <v>2376.453</v>
      </c>
      <c r="G105" s="70">
        <v>187.68299999999999</v>
      </c>
      <c r="H105" s="69">
        <v>46143</v>
      </c>
      <c r="I105" s="69" t="s">
        <v>44</v>
      </c>
      <c r="J105" s="70">
        <v>2188.77</v>
      </c>
      <c r="K105" s="70" t="s">
        <v>95</v>
      </c>
      <c r="L105" s="143">
        <v>46265</v>
      </c>
    </row>
    <row r="106" spans="1:12">
      <c r="A106" s="72">
        <v>24115106</v>
      </c>
      <c r="B106">
        <v>5218112056285</v>
      </c>
      <c r="C106" s="69" t="s">
        <v>54</v>
      </c>
      <c r="D106" s="70">
        <v>10636.54</v>
      </c>
      <c r="E106" s="70"/>
      <c r="F106" s="70">
        <v>3190.962</v>
      </c>
      <c r="G106" s="70">
        <v>3190.962</v>
      </c>
      <c r="H106" s="69"/>
      <c r="I106" s="69"/>
      <c r="J106" s="70"/>
      <c r="K106" s="70" t="s">
        <v>28</v>
      </c>
      <c r="L106" s="143">
        <v>46265</v>
      </c>
    </row>
    <row r="107" spans="1:12">
      <c r="A107" s="30">
        <v>24132154</v>
      </c>
      <c r="C107" s="69" t="s">
        <v>54</v>
      </c>
      <c r="D107" s="70">
        <v>7920.51</v>
      </c>
      <c r="E107" s="70"/>
      <c r="F107" s="70">
        <f>D107*0.3</f>
        <v>2376.1529999999998</v>
      </c>
      <c r="G107" s="70">
        <f>(IF(D107&lt;4172.98,0,MIN(D107*0.3,D107-4172.98)))-E107</f>
        <v>2376.1529999999998</v>
      </c>
      <c r="H107" s="69"/>
      <c r="I107" s="69"/>
      <c r="J107" s="70"/>
      <c r="K107" s="70" t="s">
        <v>1091</v>
      </c>
      <c r="L107" s="143">
        <v>46265</v>
      </c>
    </row>
    <row r="108" spans="1:12">
      <c r="A108" s="72">
        <v>24120922</v>
      </c>
      <c r="B108">
        <v>5217221642447</v>
      </c>
      <c r="C108" s="69" t="s">
        <v>54</v>
      </c>
      <c r="D108" s="70">
        <v>10636.54</v>
      </c>
      <c r="E108" s="70"/>
      <c r="F108" s="70">
        <v>3190.962</v>
      </c>
      <c r="G108" s="70">
        <v>3190.962</v>
      </c>
      <c r="H108" s="69"/>
      <c r="I108" s="69"/>
      <c r="J108" s="70"/>
      <c r="K108" s="70" t="s">
        <v>327</v>
      </c>
      <c r="L108" s="143">
        <v>46265</v>
      </c>
    </row>
    <row r="109" spans="1:12">
      <c r="A109" s="72">
        <v>24118172</v>
      </c>
      <c r="B109">
        <v>5217444734971</v>
      </c>
      <c r="C109" s="69" t="s">
        <v>54</v>
      </c>
      <c r="D109" s="70">
        <v>5642.22</v>
      </c>
      <c r="E109" s="70"/>
      <c r="F109" s="70">
        <v>1692.6659999999999</v>
      </c>
      <c r="G109" s="70">
        <v>1469.2400000000007</v>
      </c>
      <c r="H109" s="69"/>
      <c r="I109" s="69"/>
      <c r="J109" s="70"/>
      <c r="K109" s="70" t="s">
        <v>886</v>
      </c>
      <c r="L109" s="143">
        <v>46265</v>
      </c>
    </row>
    <row r="110" spans="1:12">
      <c r="A110" s="72">
        <v>24112100</v>
      </c>
      <c r="B110">
        <v>5212462966441</v>
      </c>
      <c r="C110" s="69" t="s">
        <v>38</v>
      </c>
      <c r="D110" s="70">
        <v>4931.3599999999997</v>
      </c>
      <c r="E110" s="70"/>
      <c r="F110" s="70">
        <v>1479.4079999999999</v>
      </c>
      <c r="G110" s="70">
        <v>758.38000000000011</v>
      </c>
      <c r="H110" s="69"/>
      <c r="I110" s="69"/>
      <c r="J110" s="70"/>
      <c r="K110" s="138" t="s">
        <v>39</v>
      </c>
      <c r="L110" s="143">
        <v>46265</v>
      </c>
    </row>
    <row r="111" spans="1:12">
      <c r="A111" s="30">
        <v>24134834</v>
      </c>
      <c r="C111" s="69" t="s">
        <v>54</v>
      </c>
      <c r="D111" s="70">
        <v>9760.32</v>
      </c>
      <c r="E111" s="70"/>
      <c r="F111" s="70">
        <f>D111*0.3</f>
        <v>2928.096</v>
      </c>
      <c r="G111" s="70">
        <f>(IF(D111&lt;4172.98,0,MIN(D111*0.3,D111-4172.98)))-E111</f>
        <v>2928.096</v>
      </c>
      <c r="H111" s="69"/>
      <c r="I111" s="69"/>
      <c r="J111" s="70"/>
      <c r="K111" s="70" t="s">
        <v>95</v>
      </c>
      <c r="L111" s="143">
        <v>46265</v>
      </c>
    </row>
    <row r="112" spans="1:12">
      <c r="A112" s="12">
        <v>24135332</v>
      </c>
      <c r="C112" s="69" t="s">
        <v>54</v>
      </c>
      <c r="D112" s="70">
        <v>10093.08</v>
      </c>
      <c r="E112" s="70"/>
      <c r="F112" s="70">
        <f>D112*0.3</f>
        <v>3027.924</v>
      </c>
      <c r="G112" s="70">
        <f>(IF(D112&lt;4172.98,0,MIN(D112*0.3,D112-4172.98)))-E112</f>
        <v>3027.924</v>
      </c>
      <c r="H112" s="69"/>
      <c r="I112" s="69"/>
      <c r="J112" s="70"/>
      <c r="K112" s="70" t="s">
        <v>348</v>
      </c>
      <c r="L112" s="143">
        <v>46265</v>
      </c>
    </row>
    <row r="113" spans="1:12">
      <c r="A113" s="30">
        <v>24136138</v>
      </c>
      <c r="C113" s="69" t="s">
        <v>54</v>
      </c>
      <c r="D113" s="70">
        <v>7116.73</v>
      </c>
      <c r="E113" s="70"/>
      <c r="F113" s="70">
        <f>D113*0.3</f>
        <v>2135.0189999999998</v>
      </c>
      <c r="G113" s="70">
        <f>(IF(D113&lt;4172.98,0,MIN(D113*0.3,D113-4172.98)))-E113</f>
        <v>2135.0189999999998</v>
      </c>
      <c r="H113" s="69"/>
      <c r="I113" s="69"/>
      <c r="J113" s="70"/>
      <c r="K113" s="70" t="s">
        <v>1091</v>
      </c>
      <c r="L113" s="143">
        <v>46265</v>
      </c>
    </row>
    <row r="114" spans="1:12">
      <c r="A114" s="72">
        <v>24123358</v>
      </c>
      <c r="B114">
        <v>5219871058155</v>
      </c>
      <c r="C114" s="69" t="s">
        <v>54</v>
      </c>
      <c r="D114" s="70">
        <v>19872.09</v>
      </c>
      <c r="E114" s="70"/>
      <c r="F114" s="70">
        <v>5961.6269999999995</v>
      </c>
      <c r="G114" s="70">
        <v>5961.6269999999995</v>
      </c>
      <c r="H114" s="69"/>
      <c r="I114" s="69"/>
      <c r="J114" s="70"/>
      <c r="K114" s="70" t="s">
        <v>327</v>
      </c>
      <c r="L114" s="143">
        <v>46265</v>
      </c>
    </row>
    <row r="115" spans="1:12">
      <c r="A115" s="72">
        <v>24118148</v>
      </c>
      <c r="B115">
        <v>5212292254903</v>
      </c>
      <c r="C115" s="69" t="s">
        <v>27</v>
      </c>
      <c r="D115" s="70">
        <v>13805.41</v>
      </c>
      <c r="E115" s="70">
        <v>3832.87</v>
      </c>
      <c r="F115" s="70">
        <v>4141.6229999999996</v>
      </c>
      <c r="G115" s="70">
        <v>308.7529999999997</v>
      </c>
      <c r="H115" s="69">
        <v>46266</v>
      </c>
      <c r="I115" s="69" t="s">
        <v>80</v>
      </c>
      <c r="J115" s="70">
        <v>3832.87</v>
      </c>
      <c r="K115" s="70" t="s">
        <v>28</v>
      </c>
      <c r="L115" s="143">
        <v>46265</v>
      </c>
    </row>
    <row r="116" spans="1:12">
      <c r="A116" s="72">
        <v>24117474</v>
      </c>
      <c r="B116">
        <v>5216142705588</v>
      </c>
      <c r="C116" s="69" t="s">
        <v>54</v>
      </c>
      <c r="D116" s="70">
        <v>26742.560000000001</v>
      </c>
      <c r="E116" s="70">
        <v>4057.65</v>
      </c>
      <c r="F116" s="70">
        <v>8022.768</v>
      </c>
      <c r="G116" s="70">
        <v>3965.1179999999999</v>
      </c>
      <c r="H116" s="69">
        <v>46419</v>
      </c>
      <c r="I116" s="69" t="s">
        <v>1312</v>
      </c>
      <c r="J116" s="70">
        <v>4057.65</v>
      </c>
      <c r="K116" s="70" t="s">
        <v>879</v>
      </c>
      <c r="L116" s="143">
        <v>46265</v>
      </c>
    </row>
    <row r="117" spans="1:12">
      <c r="A117" s="30">
        <v>24129398</v>
      </c>
      <c r="C117" s="69" t="s">
        <v>27</v>
      </c>
      <c r="D117" s="70">
        <v>9081.52</v>
      </c>
      <c r="E117" s="70">
        <v>2722.76</v>
      </c>
      <c r="F117" s="70">
        <f>D117*0.3</f>
        <v>2724.4560000000001</v>
      </c>
      <c r="G117" s="70">
        <f>(IF(D117&lt;4172.98,0,MIN(D117*0.3,D117-4172.98)))-E117</f>
        <v>1.6959999999999127</v>
      </c>
      <c r="H117" s="71">
        <v>46204</v>
      </c>
      <c r="I117" s="69" t="s">
        <v>77</v>
      </c>
      <c r="J117" s="70">
        <v>2521.35</v>
      </c>
      <c r="K117" s="70" t="s">
        <v>95</v>
      </c>
      <c r="L117" s="143">
        <v>46265</v>
      </c>
    </row>
    <row r="118" spans="1:12">
      <c r="A118" s="30">
        <v>24137096</v>
      </c>
      <c r="C118" s="69" t="s">
        <v>107</v>
      </c>
      <c r="D118" s="70">
        <v>7116.73</v>
      </c>
      <c r="E118" s="70">
        <v>1197.79</v>
      </c>
      <c r="F118" s="70">
        <f>D118*0.3</f>
        <v>2135.0189999999998</v>
      </c>
      <c r="G118" s="70">
        <f>(IF(D118&lt;4172.98,0,MIN(D118*0.3,D118-4172.98)))-E118</f>
        <v>937.22899999999981</v>
      </c>
      <c r="H118" s="71">
        <v>46113</v>
      </c>
      <c r="I118" s="69" t="s">
        <v>77</v>
      </c>
      <c r="J118" s="70">
        <v>1197.79</v>
      </c>
      <c r="K118" s="138" t="s">
        <v>39</v>
      </c>
      <c r="L118" s="143">
        <v>46265</v>
      </c>
    </row>
    <row r="119" spans="1:12">
      <c r="A119" s="72">
        <v>24131178</v>
      </c>
      <c r="B119">
        <v>5218671988164</v>
      </c>
      <c r="C119" s="69" t="s">
        <v>54</v>
      </c>
      <c r="D119" s="70">
        <v>11029.03</v>
      </c>
      <c r="E119" s="70"/>
      <c r="F119" s="70">
        <v>3308.7090000000003</v>
      </c>
      <c r="G119" s="70">
        <v>3308.7090000000003</v>
      </c>
      <c r="H119" s="69"/>
      <c r="I119" s="69"/>
      <c r="J119" s="70"/>
      <c r="K119" s="70" t="s">
        <v>327</v>
      </c>
      <c r="L119" s="143">
        <v>46265</v>
      </c>
    </row>
    <row r="120" spans="1:12">
      <c r="A120" s="72">
        <v>24127866</v>
      </c>
      <c r="B120">
        <v>5218342687555</v>
      </c>
      <c r="C120" s="69" t="s">
        <v>107</v>
      </c>
      <c r="D120" s="70">
        <v>4813.1000000000004</v>
      </c>
      <c r="E120" s="70">
        <v>565.59</v>
      </c>
      <c r="F120" s="70">
        <v>1443.93</v>
      </c>
      <c r="G120" s="70">
        <v>74.530000000000769</v>
      </c>
      <c r="H120" s="69">
        <v>45931</v>
      </c>
      <c r="I120" s="69" t="s">
        <v>184</v>
      </c>
      <c r="J120" s="70">
        <v>565.59</v>
      </c>
      <c r="K120" s="70" t="s">
        <v>266</v>
      </c>
      <c r="L120" s="143">
        <v>46265</v>
      </c>
    </row>
    <row r="121" spans="1:12">
      <c r="A121" s="12">
        <v>24140548</v>
      </c>
      <c r="C121" s="69" t="s">
        <v>54</v>
      </c>
      <c r="D121" s="70">
        <v>22578.66</v>
      </c>
      <c r="E121" s="70">
        <v>2799.95</v>
      </c>
      <c r="F121" s="70">
        <f t="shared" ref="F121:F125" si="16">D121*0.3</f>
        <v>6773.598</v>
      </c>
      <c r="G121" s="70">
        <f t="shared" ref="G121:G125" si="17">(IF(D121&lt;4172.98,0,MIN(D121*0.3,D121-4172.98)))-E121</f>
        <v>3973.6480000000001</v>
      </c>
      <c r="H121" s="71">
        <v>46508</v>
      </c>
      <c r="I121" s="69" t="s">
        <v>75</v>
      </c>
      <c r="J121" s="70">
        <v>2799.95</v>
      </c>
      <c r="K121" s="70" t="s">
        <v>348</v>
      </c>
      <c r="L121" s="143">
        <v>46266</v>
      </c>
    </row>
    <row r="122" spans="1:12">
      <c r="A122" s="12">
        <v>24140376</v>
      </c>
      <c r="C122" s="69" t="s">
        <v>27</v>
      </c>
      <c r="D122" s="70">
        <v>13520.47</v>
      </c>
      <c r="E122" s="70">
        <v>3908.67</v>
      </c>
      <c r="F122" s="70">
        <f t="shared" si="16"/>
        <v>4056.1409999999996</v>
      </c>
      <c r="G122" s="70">
        <f t="shared" si="17"/>
        <v>147.47099999999955</v>
      </c>
      <c r="H122" s="71">
        <v>45870</v>
      </c>
      <c r="I122" s="69" t="s">
        <v>184</v>
      </c>
      <c r="J122" s="70">
        <v>3021.31</v>
      </c>
      <c r="K122" s="70" t="s">
        <v>879</v>
      </c>
      <c r="L122" s="143">
        <v>46266</v>
      </c>
    </row>
    <row r="123" spans="1:12">
      <c r="A123" s="12">
        <v>24142594</v>
      </c>
      <c r="C123" s="69" t="s">
        <v>54</v>
      </c>
      <c r="D123" s="70">
        <v>10171.24</v>
      </c>
      <c r="E123" s="70"/>
      <c r="F123" s="70">
        <f t="shared" si="16"/>
        <v>3051.3719999999998</v>
      </c>
      <c r="G123" s="70">
        <f t="shared" si="17"/>
        <v>3051.3719999999998</v>
      </c>
      <c r="H123" s="69"/>
      <c r="I123" s="69"/>
      <c r="J123" s="70"/>
      <c r="K123" s="70" t="s">
        <v>28</v>
      </c>
      <c r="L123" s="143">
        <v>46266</v>
      </c>
    </row>
    <row r="124" spans="1:12">
      <c r="A124" s="12">
        <v>24142600</v>
      </c>
      <c r="C124" s="69" t="s">
        <v>27</v>
      </c>
      <c r="D124" s="70">
        <v>21559.83</v>
      </c>
      <c r="E124" s="70">
        <v>6465.08</v>
      </c>
      <c r="F124" s="70">
        <f t="shared" si="16"/>
        <v>6467.9490000000005</v>
      </c>
      <c r="G124" s="70">
        <f t="shared" si="17"/>
        <v>2.8690000000005966</v>
      </c>
      <c r="H124" s="71">
        <v>46023</v>
      </c>
      <c r="I124" s="69" t="s">
        <v>80</v>
      </c>
      <c r="J124" s="70">
        <v>5569.87</v>
      </c>
      <c r="K124" s="70" t="s">
        <v>35</v>
      </c>
      <c r="L124" s="143">
        <v>46266</v>
      </c>
    </row>
    <row r="125" spans="1:12">
      <c r="A125" s="12">
        <v>24143832</v>
      </c>
      <c r="C125" s="69" t="s">
        <v>54</v>
      </c>
      <c r="D125" s="70">
        <v>9760.32</v>
      </c>
      <c r="E125" s="70"/>
      <c r="F125" s="70">
        <f t="shared" si="16"/>
        <v>2928.096</v>
      </c>
      <c r="G125" s="70">
        <f t="shared" si="17"/>
        <v>2928.096</v>
      </c>
      <c r="H125" s="69"/>
      <c r="I125" s="69"/>
      <c r="J125" s="70"/>
      <c r="K125" s="70" t="s">
        <v>95</v>
      </c>
      <c r="L125" s="143">
        <v>46266</v>
      </c>
    </row>
    <row r="126" spans="1:12">
      <c r="A126" s="30">
        <v>24154706</v>
      </c>
      <c r="C126" s="69" t="s">
        <v>54</v>
      </c>
      <c r="D126" s="70">
        <v>10636.54</v>
      </c>
      <c r="E126" s="70"/>
      <c r="F126" s="70">
        <f>D126*0.3</f>
        <v>3190.962</v>
      </c>
      <c r="G126" s="70">
        <f>(IF(D126&lt;4172.98,0,MIN(D126*0.3,D126-4172.98)))-E126</f>
        <v>3190.962</v>
      </c>
      <c r="H126" s="69"/>
      <c r="I126" s="69"/>
      <c r="J126" s="70"/>
      <c r="K126" s="70" t="s">
        <v>55</v>
      </c>
      <c r="L126" s="143">
        <v>46266</v>
      </c>
    </row>
    <row r="127" spans="1:12">
      <c r="A127" s="30">
        <v>24155064</v>
      </c>
      <c r="C127" s="69" t="s">
        <v>54</v>
      </c>
      <c r="D127" s="70">
        <v>38440.160000000003</v>
      </c>
      <c r="E127" s="70"/>
      <c r="F127" s="70">
        <f>D127*0.3</f>
        <v>11532.048000000001</v>
      </c>
      <c r="G127" s="70">
        <f>(IF(D127&lt;4172.98,0,MIN(D127*0.3,D127-4172.98)))-E127</f>
        <v>11532.048000000001</v>
      </c>
      <c r="H127" s="69"/>
      <c r="I127" s="69"/>
      <c r="J127" s="70"/>
      <c r="K127" s="70" t="s">
        <v>348</v>
      </c>
      <c r="L127" s="143">
        <v>46266</v>
      </c>
    </row>
    <row r="128" spans="1:12">
      <c r="A128" s="30">
        <v>24155260</v>
      </c>
      <c r="C128" s="69" t="s">
        <v>27</v>
      </c>
      <c r="D128" s="70">
        <v>11545.07</v>
      </c>
      <c r="E128" s="70">
        <v>3205.32</v>
      </c>
      <c r="F128" s="70">
        <f t="shared" ref="F128" si="18">D128*0.3</f>
        <v>3463.5209999999997</v>
      </c>
      <c r="G128" s="70">
        <f t="shared" ref="G128" si="19">(IF(D128&lt;4172.98,0,MIN(D128*0.3,D128-4172.98)))-E128</f>
        <v>258.20099999999957</v>
      </c>
      <c r="H128" s="71">
        <v>46266</v>
      </c>
      <c r="I128" s="69" t="s">
        <v>75</v>
      </c>
      <c r="J128" s="70">
        <v>3205.32</v>
      </c>
      <c r="K128" s="70" t="s">
        <v>28</v>
      </c>
      <c r="L128" s="143">
        <v>46266</v>
      </c>
    </row>
    <row r="129" spans="1:12">
      <c r="A129" s="72">
        <v>24153432</v>
      </c>
      <c r="B129">
        <v>5218441100397</v>
      </c>
      <c r="C129" s="69" t="s">
        <v>54</v>
      </c>
      <c r="D129" s="70">
        <v>29895.68</v>
      </c>
      <c r="E129" s="70"/>
      <c r="F129" s="70">
        <v>8968.7039999999997</v>
      </c>
      <c r="G129" s="70">
        <v>8968.7039999999997</v>
      </c>
      <c r="H129" s="69"/>
      <c r="I129" s="69"/>
      <c r="J129" s="70"/>
      <c r="K129" s="70" t="s">
        <v>55</v>
      </c>
      <c r="L129" s="143">
        <v>46266</v>
      </c>
    </row>
    <row r="130" spans="1:12">
      <c r="A130" s="30">
        <v>24155744</v>
      </c>
      <c r="C130" s="69" t="s">
        <v>54</v>
      </c>
      <c r="D130" s="70">
        <v>52406.17</v>
      </c>
      <c r="E130" s="70"/>
      <c r="F130" s="70">
        <f>D130*0.3</f>
        <v>15721.850999999999</v>
      </c>
      <c r="G130" s="70">
        <f>(IF(D130&lt;4172.98,0,MIN(D130*0.3,D130-4172.98)))-E130</f>
        <v>15721.850999999999</v>
      </c>
      <c r="H130" s="69"/>
      <c r="I130" s="69"/>
      <c r="J130" s="70"/>
      <c r="K130" s="70" t="s">
        <v>348</v>
      </c>
      <c r="L130" s="143">
        <v>46266</v>
      </c>
    </row>
    <row r="131" spans="1:12">
      <c r="A131" s="72">
        <v>24130534</v>
      </c>
      <c r="B131">
        <v>5219992333696</v>
      </c>
      <c r="C131" s="69" t="s">
        <v>54</v>
      </c>
      <c r="D131" s="70">
        <v>31212.5</v>
      </c>
      <c r="E131" s="70"/>
      <c r="F131" s="70">
        <v>9363.75</v>
      </c>
      <c r="G131" s="70">
        <v>9363.75</v>
      </c>
      <c r="H131" s="69"/>
      <c r="I131" s="69"/>
      <c r="J131" s="70"/>
      <c r="K131" s="70" t="s">
        <v>28</v>
      </c>
      <c r="L131" s="143">
        <v>46266</v>
      </c>
    </row>
    <row r="132" spans="1:12">
      <c r="A132" s="72">
        <v>24150794</v>
      </c>
      <c r="B132">
        <v>5215562550018</v>
      </c>
      <c r="C132" s="69" t="s">
        <v>34</v>
      </c>
      <c r="D132" s="70">
        <v>12155.49</v>
      </c>
      <c r="E132" s="70">
        <v>3216.2</v>
      </c>
      <c r="F132" s="70">
        <v>3646.6469999999999</v>
      </c>
      <c r="G132" s="70">
        <v>430.44700000000012</v>
      </c>
      <c r="H132" s="69">
        <v>45748</v>
      </c>
      <c r="I132" s="69" t="s">
        <v>141</v>
      </c>
      <c r="J132" s="70">
        <v>3216.2</v>
      </c>
      <c r="K132" s="70" t="s">
        <v>35</v>
      </c>
      <c r="L132" s="143">
        <v>46266</v>
      </c>
    </row>
    <row r="133" spans="1:12">
      <c r="A133" s="72">
        <v>23637202</v>
      </c>
      <c r="B133">
        <v>4524803866</v>
      </c>
      <c r="C133" s="69" t="s">
        <v>38</v>
      </c>
      <c r="D133" s="70">
        <v>4785.93</v>
      </c>
      <c r="E133" s="70"/>
      <c r="F133" s="70">
        <v>1435.779</v>
      </c>
      <c r="G133" s="70">
        <v>612.95000000000073</v>
      </c>
      <c r="H133" s="69"/>
      <c r="I133" s="69"/>
      <c r="J133" s="70"/>
      <c r="K133" s="138" t="s">
        <v>39</v>
      </c>
      <c r="L133" s="143">
        <v>46266</v>
      </c>
    </row>
    <row r="134" spans="1:12">
      <c r="A134" s="30">
        <v>24156958</v>
      </c>
      <c r="C134" s="69" t="s">
        <v>54</v>
      </c>
      <c r="D134" s="70">
        <v>10636.54</v>
      </c>
      <c r="E134" s="70"/>
      <c r="F134" s="70">
        <f>D134*0.3</f>
        <v>3190.962</v>
      </c>
      <c r="G134" s="70">
        <f>(IF(D134&lt;4172.98,0,MIN(D134*0.3,D134-4172.98)))-E134</f>
        <v>3190.962</v>
      </c>
      <c r="H134" s="69"/>
      <c r="I134" s="69"/>
      <c r="J134" s="70"/>
      <c r="K134" s="70" t="s">
        <v>879</v>
      </c>
      <c r="L134" s="143">
        <v>46266</v>
      </c>
    </row>
    <row r="135" spans="1:12">
      <c r="A135" s="30">
        <v>24156688</v>
      </c>
      <c r="C135" s="69" t="s">
        <v>38</v>
      </c>
      <c r="D135" s="70">
        <v>5046.1899999999996</v>
      </c>
      <c r="E135" s="70"/>
      <c r="F135" s="70">
        <f>D135*0.3</f>
        <v>1513.8569999999997</v>
      </c>
      <c r="G135" s="70">
        <f>(IF(D135&lt;4172.98,0,MIN(D135*0.3,D135-4172.98)))-E135</f>
        <v>873.21</v>
      </c>
      <c r="H135" s="69"/>
      <c r="I135" s="69"/>
      <c r="J135" s="70"/>
      <c r="K135" s="70" t="s">
        <v>266</v>
      </c>
      <c r="L135" s="143">
        <v>46266</v>
      </c>
    </row>
    <row r="136" spans="1:12">
      <c r="A136" s="30">
        <v>24156542</v>
      </c>
      <c r="C136" s="69" t="s">
        <v>54</v>
      </c>
      <c r="D136" s="70">
        <f>152780.53-127457.79</f>
        <v>25322.740000000005</v>
      </c>
      <c r="E136" s="70"/>
      <c r="F136" s="70">
        <f>D136*0.3</f>
        <v>7596.822000000001</v>
      </c>
      <c r="G136" s="70">
        <f>(IF(D136&lt;4172.98,0,MIN(D136*0.3,D136-4172.98)))-E136</f>
        <v>7596.822000000001</v>
      </c>
      <c r="H136" s="69"/>
      <c r="I136" s="69"/>
      <c r="J136" s="70"/>
      <c r="K136" s="70" t="s">
        <v>55</v>
      </c>
      <c r="L136" s="143">
        <v>46266</v>
      </c>
    </row>
    <row r="137" spans="1:12">
      <c r="A137" s="30">
        <v>24158638</v>
      </c>
      <c r="C137" s="69" t="s">
        <v>38</v>
      </c>
      <c r="D137" s="70">
        <v>31962.39</v>
      </c>
      <c r="E137" s="70">
        <v>8873.1200000000008</v>
      </c>
      <c r="F137" s="70">
        <f>D137*0.3</f>
        <v>9588.7169999999987</v>
      </c>
      <c r="G137" s="70">
        <f>(IF(D137&lt;4172.98,0,MIN(D137*0.3,D137-4172.98)))-E137</f>
        <v>715.59699999999793</v>
      </c>
      <c r="H137" s="71">
        <v>46419</v>
      </c>
      <c r="I137" s="69" t="s">
        <v>59</v>
      </c>
      <c r="J137" s="70">
        <v>8873.1200000000008</v>
      </c>
      <c r="K137" s="70" t="s">
        <v>266</v>
      </c>
      <c r="L137" s="143">
        <v>46266</v>
      </c>
    </row>
    <row r="138" spans="1:12">
      <c r="A138" s="12">
        <v>24159388</v>
      </c>
      <c r="C138" s="69" t="s">
        <v>54</v>
      </c>
      <c r="D138" s="70">
        <v>40832.199999999997</v>
      </c>
      <c r="E138" s="70"/>
      <c r="F138" s="70">
        <f>D138*0.3</f>
        <v>12249.659999999998</v>
      </c>
      <c r="G138" s="70">
        <f>(IF(D138&lt;4172.98,0,MIN(D138*0.3,D138-4172.98)))-E138</f>
        <v>12249.659999999998</v>
      </c>
      <c r="H138" s="69"/>
      <c r="I138" s="69"/>
      <c r="J138" s="70"/>
      <c r="K138" s="70" t="s">
        <v>28</v>
      </c>
      <c r="L138" s="143">
        <v>46266</v>
      </c>
    </row>
    <row r="139" spans="1:12">
      <c r="A139" s="30">
        <v>24161368</v>
      </c>
      <c r="C139" s="69" t="s">
        <v>54</v>
      </c>
      <c r="D139" s="70">
        <v>11029.03</v>
      </c>
      <c r="E139" s="70"/>
      <c r="F139" s="70">
        <f>D139*0.3</f>
        <v>3308.7090000000003</v>
      </c>
      <c r="G139" s="70">
        <f>(IF(D139&lt;4172.98,0,MIN(D139*0.3,D139-4172.98)))-E139</f>
        <v>3308.7090000000003</v>
      </c>
      <c r="H139" s="69"/>
      <c r="I139" s="69"/>
      <c r="J139" s="70"/>
      <c r="K139" s="70" t="s">
        <v>327</v>
      </c>
      <c r="L139" s="143">
        <v>46266</v>
      </c>
    </row>
    <row r="140" spans="1:12">
      <c r="A140" s="30">
        <v>24161588</v>
      </c>
      <c r="C140" s="69" t="s">
        <v>54</v>
      </c>
      <c r="D140" s="70">
        <v>30669.119999999999</v>
      </c>
      <c r="E140" s="70">
        <v>3034.58</v>
      </c>
      <c r="F140" s="70">
        <f>D140*0.3</f>
        <v>9200.735999999999</v>
      </c>
      <c r="G140" s="70">
        <f>(IF(D140&lt;4172.98,0,MIN(D140*0.3,D140-4172.98)))-E140</f>
        <v>6166.155999999999</v>
      </c>
      <c r="H140" s="71">
        <v>46600</v>
      </c>
      <c r="I140" s="69" t="s">
        <v>59</v>
      </c>
      <c r="J140" s="70">
        <v>3034.58</v>
      </c>
      <c r="K140" s="70" t="s">
        <v>327</v>
      </c>
      <c r="L140" s="143">
        <v>46266</v>
      </c>
    </row>
    <row r="141" spans="1:12">
      <c r="A141" s="72">
        <v>24143942</v>
      </c>
      <c r="B141">
        <v>5218332936862</v>
      </c>
      <c r="C141" s="69" t="s">
        <v>27</v>
      </c>
      <c r="D141" s="70">
        <v>18405.73</v>
      </c>
      <c r="E141" s="70">
        <v>5317.06</v>
      </c>
      <c r="F141" s="70">
        <v>5521.7190000000001</v>
      </c>
      <c r="G141" s="70">
        <v>204.65899999999965</v>
      </c>
      <c r="H141" s="69">
        <v>46054</v>
      </c>
      <c r="I141" s="69" t="s">
        <v>75</v>
      </c>
      <c r="J141" s="70">
        <v>4612.8100000000004</v>
      </c>
      <c r="K141" s="70" t="s">
        <v>879</v>
      </c>
      <c r="L141" s="143">
        <v>46266</v>
      </c>
    </row>
    <row r="142" spans="1:12">
      <c r="A142" s="72">
        <v>24155416</v>
      </c>
      <c r="B142">
        <v>7713397243</v>
      </c>
      <c r="C142" s="69" t="s">
        <v>54</v>
      </c>
      <c r="D142" s="70">
        <v>5617.63</v>
      </c>
      <c r="E142" s="70"/>
      <c r="F142" s="70">
        <v>1685.289</v>
      </c>
      <c r="G142" s="70">
        <v>1444.6500000000005</v>
      </c>
      <c r="H142" s="69"/>
      <c r="I142" s="69"/>
      <c r="J142" s="70"/>
      <c r="K142" s="70" t="s">
        <v>886</v>
      </c>
      <c r="L142" s="143">
        <v>46266</v>
      </c>
    </row>
    <row r="143" spans="1:12">
      <c r="A143" s="72">
        <v>24150934</v>
      </c>
      <c r="B143">
        <v>5215512866419</v>
      </c>
      <c r="C143" s="69" t="s">
        <v>38</v>
      </c>
      <c r="D143" s="70">
        <v>5060.93</v>
      </c>
      <c r="E143" s="70"/>
      <c r="F143" s="70">
        <v>1518.279</v>
      </c>
      <c r="G143" s="70">
        <v>887.95000000000073</v>
      </c>
      <c r="H143" s="69"/>
      <c r="I143" s="69"/>
      <c r="J143" s="70"/>
      <c r="K143" s="138" t="s">
        <v>39</v>
      </c>
      <c r="L143" s="143">
        <v>46266</v>
      </c>
    </row>
    <row r="144" spans="1:12">
      <c r="A144" s="72">
        <v>24143988</v>
      </c>
      <c r="B144">
        <v>5216641204200</v>
      </c>
      <c r="C144" s="69" t="s">
        <v>54</v>
      </c>
      <c r="D144" s="70">
        <v>39970.82</v>
      </c>
      <c r="E144" s="70"/>
      <c r="F144" s="70">
        <v>11991.245999999999</v>
      </c>
      <c r="G144" s="70">
        <v>11991.245999999999</v>
      </c>
      <c r="H144" s="69"/>
      <c r="I144" s="69"/>
      <c r="J144" s="70"/>
      <c r="K144" s="70" t="s">
        <v>55</v>
      </c>
      <c r="L144" s="143">
        <v>46266</v>
      </c>
    </row>
    <row r="145" spans="1:12">
      <c r="A145" s="72">
        <v>24153144</v>
      </c>
      <c r="B145">
        <v>5216183290969</v>
      </c>
      <c r="C145" s="69" t="s">
        <v>54</v>
      </c>
      <c r="D145" s="70">
        <v>10636.54</v>
      </c>
      <c r="E145" s="70"/>
      <c r="F145" s="70">
        <v>3190.962</v>
      </c>
      <c r="G145" s="70">
        <v>3190.962</v>
      </c>
      <c r="H145" s="69"/>
      <c r="I145" s="69"/>
      <c r="J145" s="70"/>
      <c r="K145" s="70" t="s">
        <v>879</v>
      </c>
      <c r="L145" s="143">
        <v>46266</v>
      </c>
    </row>
    <row r="146" spans="1:12">
      <c r="A146" s="72">
        <v>24156254</v>
      </c>
      <c r="B146">
        <v>8110393719</v>
      </c>
      <c r="C146" s="69" t="s">
        <v>38</v>
      </c>
      <c r="D146" s="70">
        <v>19103.169999999998</v>
      </c>
      <c r="E146" s="70">
        <v>5303.27</v>
      </c>
      <c r="F146" s="70">
        <v>5730.9509999999991</v>
      </c>
      <c r="G146" s="70">
        <v>427.68099999999868</v>
      </c>
      <c r="H146" s="69">
        <v>46327</v>
      </c>
      <c r="I146" s="69" t="s">
        <v>59</v>
      </c>
      <c r="J146" s="70">
        <v>5303.27</v>
      </c>
      <c r="K146" s="138" t="s">
        <v>39</v>
      </c>
      <c r="L146" s="143">
        <v>46266</v>
      </c>
    </row>
    <row r="147" spans="1:12">
      <c r="A147" s="72">
        <v>24133218</v>
      </c>
      <c r="B147">
        <v>5216122046141</v>
      </c>
      <c r="C147" s="69" t="s">
        <v>54</v>
      </c>
      <c r="D147" s="70">
        <v>9760.320000000007</v>
      </c>
      <c r="E147" s="70"/>
      <c r="F147" s="70">
        <v>2928.0960000000018</v>
      </c>
      <c r="G147" s="70">
        <v>2928.0960000000018</v>
      </c>
      <c r="H147" s="69"/>
      <c r="I147" s="69"/>
      <c r="J147" s="70"/>
      <c r="K147" s="70" t="s">
        <v>1091</v>
      </c>
      <c r="L147" s="143">
        <v>46266</v>
      </c>
    </row>
    <row r="148" spans="1:12">
      <c r="A148" s="72">
        <v>24167800</v>
      </c>
      <c r="B148">
        <v>7551027655</v>
      </c>
      <c r="C148" s="69" t="s">
        <v>54</v>
      </c>
      <c r="D148" s="70">
        <v>22537.38</v>
      </c>
      <c r="E148" s="70"/>
      <c r="F148" s="70">
        <v>6761.2139999999999</v>
      </c>
      <c r="G148" s="70">
        <v>6761.2139999999999</v>
      </c>
      <c r="H148" s="69"/>
      <c r="I148" s="69"/>
      <c r="J148" s="70"/>
      <c r="K148" s="70" t="s">
        <v>348</v>
      </c>
      <c r="L148" s="143">
        <v>46266</v>
      </c>
    </row>
    <row r="149" spans="1:12">
      <c r="A149" s="72">
        <v>24162118</v>
      </c>
      <c r="B149">
        <v>5212431089626</v>
      </c>
      <c r="C149" s="69" t="s">
        <v>54</v>
      </c>
      <c r="D149" s="70">
        <v>10636.54</v>
      </c>
      <c r="E149" s="70"/>
      <c r="F149" s="70">
        <v>3190.962</v>
      </c>
      <c r="G149" s="70">
        <v>3190.962</v>
      </c>
      <c r="H149" s="69"/>
      <c r="I149" s="69"/>
      <c r="J149" s="70"/>
      <c r="K149" s="70" t="s">
        <v>35</v>
      </c>
      <c r="L149" s="143">
        <v>46266</v>
      </c>
    </row>
    <row r="150" spans="1:12">
      <c r="A150" s="30">
        <v>24171110</v>
      </c>
      <c r="C150" s="69" t="s">
        <v>54</v>
      </c>
      <c r="D150" s="70">
        <v>10483.799999999999</v>
      </c>
      <c r="E150" s="70">
        <v>848</v>
      </c>
      <c r="F150" s="70">
        <f>D150*0.3</f>
        <v>3145.14</v>
      </c>
      <c r="G150" s="70">
        <f>(IF(D150&lt;4172.98,0,MIN(D150*0.3,D150-4172.98)))-E150</f>
        <v>2297.14</v>
      </c>
      <c r="H150" s="69"/>
      <c r="I150" s="69"/>
      <c r="J150" s="70"/>
      <c r="K150" s="70" t="s">
        <v>95</v>
      </c>
      <c r="L150" s="143">
        <v>46266</v>
      </c>
    </row>
    <row r="151" spans="1:12">
      <c r="A151" s="72">
        <v>24157472</v>
      </c>
      <c r="B151">
        <v>6462266843</v>
      </c>
      <c r="C151" s="69" t="s">
        <v>38</v>
      </c>
      <c r="D151" s="70">
        <v>42004.43</v>
      </c>
      <c r="E151" s="70">
        <v>12138.33</v>
      </c>
      <c r="F151" s="70">
        <v>12601.329</v>
      </c>
      <c r="G151" s="70">
        <v>462.9989999999998</v>
      </c>
      <c r="H151" s="69">
        <v>46600</v>
      </c>
      <c r="I151" s="69" t="s">
        <v>59</v>
      </c>
      <c r="J151" s="70">
        <v>12138.33</v>
      </c>
      <c r="K151" s="138" t="s">
        <v>39</v>
      </c>
      <c r="L151" s="143">
        <v>46266</v>
      </c>
    </row>
    <row r="152" spans="1:12">
      <c r="A152" s="30">
        <v>24171284</v>
      </c>
      <c r="C152" s="69" t="s">
        <v>38</v>
      </c>
      <c r="D152" s="70">
        <v>9760.32</v>
      </c>
      <c r="E152" s="70">
        <f>1651.54+735.36</f>
        <v>2386.9</v>
      </c>
      <c r="F152" s="70">
        <f>D152*0.3</f>
        <v>2928.096</v>
      </c>
      <c r="G152" s="70">
        <f>(IF(D152&lt;4172.98,0,MIN(D152*0.3,D152-4172.98)))-E152</f>
        <v>541.19599999999991</v>
      </c>
      <c r="H152" s="71">
        <v>46935</v>
      </c>
      <c r="I152" s="69" t="s">
        <v>206</v>
      </c>
      <c r="J152" s="70">
        <v>803.54</v>
      </c>
      <c r="K152" s="138" t="s">
        <v>39</v>
      </c>
      <c r="L152" s="143">
        <v>46266</v>
      </c>
    </row>
    <row r="153" spans="1:12">
      <c r="A153" s="30">
        <v>24172054</v>
      </c>
      <c r="C153" s="69" t="s">
        <v>54</v>
      </c>
      <c r="D153" s="70">
        <f>8881.32+879</f>
        <v>9760.32</v>
      </c>
      <c r="E153" s="70">
        <v>879</v>
      </c>
      <c r="F153" s="70">
        <f t="shared" ref="F153" si="20">D153*0.3</f>
        <v>2928.096</v>
      </c>
      <c r="G153" s="70">
        <f t="shared" ref="G153" si="21">(IF(D153&lt;4172.98,0,MIN(D153*0.3,D153-4172.98)))-E153</f>
        <v>2049.096</v>
      </c>
      <c r="H153" s="69"/>
      <c r="I153" s="69"/>
      <c r="J153" s="70"/>
      <c r="K153" s="70" t="s">
        <v>95</v>
      </c>
      <c r="L153" s="143">
        <v>46266</v>
      </c>
    </row>
    <row r="154" spans="1:12">
      <c r="A154" s="30">
        <v>24172624</v>
      </c>
      <c r="C154" s="69" t="s">
        <v>54</v>
      </c>
      <c r="D154" s="70">
        <v>21040.93</v>
      </c>
      <c r="E154" s="70">
        <v>1639.52</v>
      </c>
      <c r="F154" s="70">
        <f>D154*0.3</f>
        <v>6312.2789999999995</v>
      </c>
      <c r="G154" s="70">
        <f>(IF(D154&lt;4172.98,0,MIN(D154*0.3,D154-4172.98)))-E154</f>
        <v>4672.759</v>
      </c>
      <c r="H154" s="71">
        <v>46935</v>
      </c>
      <c r="I154" s="69" t="s">
        <v>302</v>
      </c>
      <c r="J154" s="70">
        <v>692.75</v>
      </c>
      <c r="K154" s="70" t="s">
        <v>327</v>
      </c>
      <c r="L154" s="143">
        <v>46266</v>
      </c>
    </row>
    <row r="155" spans="1:12">
      <c r="A155" s="30">
        <v>24174022</v>
      </c>
      <c r="C155" s="69" t="s">
        <v>107</v>
      </c>
      <c r="D155" s="70">
        <v>4998.54</v>
      </c>
      <c r="E155" s="70">
        <v>511.34</v>
      </c>
      <c r="F155" s="70">
        <f>D155*0.3</f>
        <v>1499.5619999999999</v>
      </c>
      <c r="G155" s="70">
        <f>(IF(D155&lt;4172.98,0,MIN(D155*0.3,D155-4172.98)))-E155</f>
        <v>314.22000000000043</v>
      </c>
      <c r="H155" s="71">
        <v>45383</v>
      </c>
      <c r="I155" s="69" t="s">
        <v>206</v>
      </c>
      <c r="J155" s="70">
        <v>511.34</v>
      </c>
      <c r="K155" s="70" t="s">
        <v>266</v>
      </c>
      <c r="L155" s="143">
        <v>46266</v>
      </c>
    </row>
    <row r="156" spans="1:12">
      <c r="A156" s="30">
        <v>24174378</v>
      </c>
      <c r="C156" t="s">
        <v>27</v>
      </c>
      <c r="D156" s="3">
        <v>13159.31</v>
      </c>
      <c r="E156" s="3">
        <v>2851.99</v>
      </c>
      <c r="F156" s="3">
        <f>D156*0.3</f>
        <v>3947.7929999999997</v>
      </c>
      <c r="G156" s="3">
        <f>(IF(D156&lt;4172.98,0,MIN(D156*0.3,D156-4172.98)))-E156</f>
        <v>1095.8029999999999</v>
      </c>
      <c r="H156" s="6">
        <v>45717</v>
      </c>
      <c r="I156" t="s">
        <v>47</v>
      </c>
      <c r="J156" s="3">
        <v>2851.99</v>
      </c>
      <c r="K156" s="3" t="s">
        <v>879</v>
      </c>
      <c r="L156" s="47">
        <v>46266</v>
      </c>
    </row>
    <row r="157" spans="1:12">
      <c r="A157" s="12">
        <v>24174234</v>
      </c>
      <c r="C157" t="s">
        <v>54</v>
      </c>
      <c r="D157" s="3">
        <v>50623</v>
      </c>
      <c r="E157" s="3"/>
      <c r="F157" s="3">
        <f t="shared" ref="F157:F159" si="22">D157*0.3</f>
        <v>15186.9</v>
      </c>
      <c r="G157" s="3">
        <f t="shared" ref="G157:G159" si="23">(IF(D157&lt;4172.98,0,MIN(D157*0.3,D157-4172.98)))-E157</f>
        <v>15186.9</v>
      </c>
      <c r="J157" s="3"/>
      <c r="K157" s="3" t="s">
        <v>55</v>
      </c>
      <c r="L157" s="47">
        <v>46266</v>
      </c>
    </row>
    <row r="158" spans="1:12">
      <c r="A158" s="12">
        <v>24175106</v>
      </c>
      <c r="C158" s="69" t="s">
        <v>54</v>
      </c>
      <c r="D158" s="70">
        <v>7073.35</v>
      </c>
      <c r="E158" s="70"/>
      <c r="F158" s="70">
        <f t="shared" si="22"/>
        <v>2122.0050000000001</v>
      </c>
      <c r="G158" s="70">
        <f t="shared" si="23"/>
        <v>2122.0050000000001</v>
      </c>
      <c r="H158" s="69"/>
      <c r="I158" s="69"/>
      <c r="J158" s="70"/>
      <c r="K158" s="70" t="s">
        <v>98</v>
      </c>
      <c r="L158" s="143">
        <v>46266</v>
      </c>
    </row>
    <row r="159" spans="1:12">
      <c r="A159" s="12">
        <v>24175518</v>
      </c>
      <c r="C159" s="69" t="s">
        <v>54</v>
      </c>
      <c r="D159" s="70">
        <v>23364.799999999999</v>
      </c>
      <c r="E159" s="70"/>
      <c r="F159" s="70">
        <f t="shared" si="22"/>
        <v>7009.44</v>
      </c>
      <c r="G159" s="70">
        <f t="shared" si="23"/>
        <v>7009.44</v>
      </c>
      <c r="H159" s="69"/>
      <c r="I159" s="69"/>
      <c r="J159" s="70"/>
      <c r="K159" s="70" t="s">
        <v>28</v>
      </c>
      <c r="L159" s="143">
        <v>46266</v>
      </c>
    </row>
    <row r="160" spans="1:12">
      <c r="A160" s="30">
        <v>24172910</v>
      </c>
      <c r="C160" s="69" t="s">
        <v>54</v>
      </c>
      <c r="D160" s="70">
        <v>10636.54</v>
      </c>
      <c r="E160" s="70"/>
      <c r="F160" s="70">
        <f>D160*0.3</f>
        <v>3190.962</v>
      </c>
      <c r="G160" s="70">
        <f>(IF(D160&lt;4172.98,0,MIN(D160*0.3,D160-4172.98)))-E160</f>
        <v>3190.962</v>
      </c>
      <c r="H160" s="69"/>
      <c r="I160" s="69"/>
      <c r="J160" s="70"/>
      <c r="K160" s="70" t="s">
        <v>35</v>
      </c>
      <c r="L160" s="143">
        <v>46266</v>
      </c>
    </row>
    <row r="161" spans="1:12">
      <c r="A161" s="30">
        <v>24176370</v>
      </c>
      <c r="C161" s="69" t="s">
        <v>54</v>
      </c>
      <c r="D161" s="70">
        <f>7041.51+879</f>
        <v>7920.51</v>
      </c>
      <c r="E161" s="70">
        <v>879</v>
      </c>
      <c r="F161" s="70">
        <f>D161*0.3</f>
        <v>2376.1529999999998</v>
      </c>
      <c r="G161" s="70">
        <f>(IF(D161&lt;4172.98,0,MIN(D161*0.3,D161-4172.98)))-E161</f>
        <v>1497.1529999999998</v>
      </c>
      <c r="H161" s="69"/>
      <c r="I161" s="69"/>
      <c r="J161" s="70"/>
      <c r="K161" s="70" t="s">
        <v>886</v>
      </c>
      <c r="L161" s="143">
        <v>46267</v>
      </c>
    </row>
    <row r="162" spans="1:12">
      <c r="A162" s="12">
        <v>24176428</v>
      </c>
      <c r="C162" t="s">
        <v>54</v>
      </c>
      <c r="D162" s="3">
        <v>50522.01</v>
      </c>
      <c r="E162" s="3"/>
      <c r="F162" s="3">
        <f t="shared" ref="F162:F167" si="24">D162*0.3</f>
        <v>15156.602999999999</v>
      </c>
      <c r="G162" s="3">
        <f t="shared" ref="G162:G167" si="25">(IF(D162&lt;4172.98,0,MIN(D162*0.3,D162-4172.98)))-E162</f>
        <v>15156.602999999999</v>
      </c>
      <c r="J162" s="3"/>
      <c r="K162" s="3" t="s">
        <v>348</v>
      </c>
      <c r="L162" s="47">
        <v>46267</v>
      </c>
    </row>
    <row r="163" spans="1:12">
      <c r="A163" s="12">
        <v>24177220</v>
      </c>
      <c r="C163" s="69" t="s">
        <v>54</v>
      </c>
      <c r="D163" s="70">
        <f>41204.62-31622.15</f>
        <v>9582.4700000000012</v>
      </c>
      <c r="E163" s="70"/>
      <c r="F163" s="70">
        <f t="shared" si="24"/>
        <v>2874.7410000000004</v>
      </c>
      <c r="G163" s="70">
        <f t="shared" si="25"/>
        <v>2874.7410000000004</v>
      </c>
      <c r="H163" s="69"/>
      <c r="I163" s="69"/>
      <c r="J163" s="70"/>
      <c r="K163" s="70" t="s">
        <v>1091</v>
      </c>
      <c r="L163" s="143">
        <v>46267</v>
      </c>
    </row>
    <row r="164" spans="1:12">
      <c r="A164" s="12">
        <v>24176270</v>
      </c>
      <c r="C164" s="69" t="s">
        <v>34</v>
      </c>
      <c r="D164" s="70">
        <v>7920.5810000000001</v>
      </c>
      <c r="E164" s="70">
        <v>2081.7199999999998</v>
      </c>
      <c r="F164" s="70">
        <f t="shared" si="24"/>
        <v>2376.1743000000001</v>
      </c>
      <c r="G164" s="70">
        <f t="shared" si="25"/>
        <v>294.45430000000033</v>
      </c>
      <c r="H164" s="71">
        <v>46023</v>
      </c>
      <c r="I164" s="69" t="s">
        <v>57</v>
      </c>
      <c r="J164" s="70">
        <v>2081.7199999999998</v>
      </c>
      <c r="K164" s="70" t="s">
        <v>35</v>
      </c>
      <c r="L164" s="143">
        <v>46267</v>
      </c>
    </row>
    <row r="165" spans="1:12">
      <c r="A165" s="30">
        <v>24179252</v>
      </c>
      <c r="C165" s="69" t="s">
        <v>34</v>
      </c>
      <c r="D165" s="70">
        <v>6460.14</v>
      </c>
      <c r="E165" s="70">
        <v>786.39</v>
      </c>
      <c r="F165" s="70">
        <f t="shared" si="24"/>
        <v>1938.0419999999999</v>
      </c>
      <c r="G165" s="70">
        <f t="shared" si="25"/>
        <v>1151.652</v>
      </c>
      <c r="H165" s="71">
        <v>45809</v>
      </c>
      <c r="I165" s="69" t="s">
        <v>141</v>
      </c>
      <c r="J165" s="70">
        <v>786.39</v>
      </c>
      <c r="K165" s="70" t="s">
        <v>35</v>
      </c>
      <c r="L165" s="143">
        <v>46267</v>
      </c>
    </row>
    <row r="166" spans="1:12">
      <c r="A166" s="30">
        <v>24186924</v>
      </c>
      <c r="C166" s="69" t="s">
        <v>107</v>
      </c>
      <c r="D166" s="70">
        <v>28001.73</v>
      </c>
      <c r="E166" s="70">
        <v>8397.98</v>
      </c>
      <c r="F166" s="70">
        <f t="shared" si="24"/>
        <v>8400.5190000000002</v>
      </c>
      <c r="G166" s="70">
        <f t="shared" si="25"/>
        <v>2.5390000000006694</v>
      </c>
      <c r="H166" s="71">
        <v>46143</v>
      </c>
      <c r="I166" s="69" t="s">
        <v>80</v>
      </c>
      <c r="J166" s="70">
        <v>360</v>
      </c>
      <c r="K166" s="138" t="s">
        <v>39</v>
      </c>
      <c r="L166" s="143">
        <v>46267</v>
      </c>
    </row>
    <row r="167" spans="1:12">
      <c r="A167" s="12">
        <v>24186106</v>
      </c>
      <c r="C167" s="69" t="s">
        <v>54</v>
      </c>
      <c r="D167" s="70">
        <f>8881.32+879</f>
        <v>9760.32</v>
      </c>
      <c r="E167" s="70">
        <v>879</v>
      </c>
      <c r="F167" s="70">
        <f t="shared" si="24"/>
        <v>2928.096</v>
      </c>
      <c r="G167" s="70">
        <f t="shared" si="25"/>
        <v>2049.096</v>
      </c>
      <c r="H167" s="69"/>
      <c r="I167" s="69"/>
      <c r="J167" s="70"/>
      <c r="K167" s="70" t="s">
        <v>358</v>
      </c>
      <c r="L167" s="143">
        <v>46267</v>
      </c>
    </row>
    <row r="168" spans="1:12">
      <c r="A168" s="72">
        <v>24151366</v>
      </c>
      <c r="B168">
        <v>5214442855532</v>
      </c>
      <c r="C168" s="69" t="s">
        <v>54</v>
      </c>
      <c r="D168" s="70">
        <v>8173.36</v>
      </c>
      <c r="E168" s="70"/>
      <c r="F168" s="70">
        <v>2452.0079999999998</v>
      </c>
      <c r="G168" s="70">
        <v>2452.0079999999998</v>
      </c>
      <c r="H168" s="69"/>
      <c r="I168" s="69"/>
      <c r="J168" s="70"/>
      <c r="K168" s="70" t="s">
        <v>879</v>
      </c>
      <c r="L168" s="143">
        <v>46267</v>
      </c>
    </row>
    <row r="169" spans="1:12">
      <c r="A169" s="72">
        <v>23261044</v>
      </c>
      <c r="B169">
        <v>5219889679408</v>
      </c>
      <c r="C169" s="69" t="s">
        <v>34</v>
      </c>
      <c r="D169" s="70">
        <v>9504.7000000000007</v>
      </c>
      <c r="E169" s="70">
        <v>2622.91</v>
      </c>
      <c r="F169" s="70">
        <v>2851.4100000000003</v>
      </c>
      <c r="G169" s="70">
        <v>228.50000000000045</v>
      </c>
      <c r="H169" s="69">
        <v>46266</v>
      </c>
      <c r="I169" s="69" t="s">
        <v>57</v>
      </c>
      <c r="J169" s="70">
        <v>2622.91</v>
      </c>
      <c r="K169" s="70" t="s">
        <v>35</v>
      </c>
      <c r="L169" s="143">
        <v>46267</v>
      </c>
    </row>
    <row r="170" spans="1:12">
      <c r="A170" s="72">
        <v>24179372</v>
      </c>
      <c r="B170">
        <v>5216643034108</v>
      </c>
      <c r="C170" s="69" t="s">
        <v>107</v>
      </c>
      <c r="D170" s="70">
        <v>5121.62</v>
      </c>
      <c r="E170" s="70">
        <v>761.39</v>
      </c>
      <c r="F170" s="70">
        <v>1536.4859999999999</v>
      </c>
      <c r="G170" s="70">
        <v>187.25000000000034</v>
      </c>
      <c r="H170" s="69">
        <v>45536</v>
      </c>
      <c r="I170" s="69" t="s">
        <v>184</v>
      </c>
      <c r="J170" s="70">
        <v>761.39</v>
      </c>
      <c r="K170" s="70" t="s">
        <v>266</v>
      </c>
      <c r="L170" s="143">
        <v>46267</v>
      </c>
    </row>
    <row r="171" spans="1:12">
      <c r="A171" s="72">
        <v>24174758</v>
      </c>
      <c r="B171">
        <v>5215623571098</v>
      </c>
      <c r="C171" s="69" t="s">
        <v>54</v>
      </c>
      <c r="D171" s="70">
        <v>20668.52</v>
      </c>
      <c r="E171" s="70"/>
      <c r="F171" s="70">
        <v>6200.5559999999996</v>
      </c>
      <c r="G171" s="70">
        <v>6200.5559999999996</v>
      </c>
      <c r="H171" s="69"/>
      <c r="I171" s="69"/>
      <c r="J171" s="70"/>
      <c r="K171" s="70" t="s">
        <v>28</v>
      </c>
      <c r="L171" s="143">
        <v>46267</v>
      </c>
    </row>
    <row r="172" spans="1:12">
      <c r="A172" s="173">
        <v>24135746</v>
      </c>
      <c r="B172">
        <v>3113965877</v>
      </c>
      <c r="C172" t="s">
        <v>54</v>
      </c>
      <c r="D172" s="3">
        <v>6443.71</v>
      </c>
      <c r="E172" s="3"/>
      <c r="F172" s="3">
        <v>1933.1129999999998</v>
      </c>
      <c r="G172" s="3">
        <v>1933.1129999999998</v>
      </c>
      <c r="J172" s="3"/>
      <c r="K172" s="3" t="s">
        <v>62</v>
      </c>
      <c r="L172" s="47">
        <v>46267</v>
      </c>
    </row>
    <row r="173" spans="1:12">
      <c r="A173" s="173">
        <v>24189214</v>
      </c>
      <c r="B173">
        <v>5214443485459</v>
      </c>
      <c r="C173" t="s">
        <v>54</v>
      </c>
      <c r="D173" s="3">
        <v>12234.97</v>
      </c>
      <c r="E173" s="3"/>
      <c r="F173" s="3">
        <v>3670.4909999999995</v>
      </c>
      <c r="G173" s="3">
        <v>3670.4909999999995</v>
      </c>
      <c r="J173" s="3"/>
      <c r="K173" s="3" t="s">
        <v>55</v>
      </c>
      <c r="L173" s="47">
        <v>46267</v>
      </c>
    </row>
    <row r="174" spans="1:12">
      <c r="A174" s="30">
        <v>24179126</v>
      </c>
      <c r="C174" s="69" t="s">
        <v>27</v>
      </c>
      <c r="D174" s="70">
        <v>9081.52</v>
      </c>
      <c r="E174" s="70">
        <v>2518.2800000000002</v>
      </c>
      <c r="F174" s="70">
        <f>D174*0.3</f>
        <v>2724.4560000000001</v>
      </c>
      <c r="G174" s="70">
        <f>(IF(D174&lt;4172.98,0,MIN(D174*0.3,D174-4172.98)))-E174</f>
        <v>206.17599999999993</v>
      </c>
      <c r="H174" s="71">
        <v>46235</v>
      </c>
      <c r="I174" s="69" t="s">
        <v>75</v>
      </c>
      <c r="J174" s="70">
        <v>2518.2800000000002</v>
      </c>
      <c r="K174" s="70" t="s">
        <v>98</v>
      </c>
      <c r="L174" s="143">
        <v>46267</v>
      </c>
    </row>
    <row r="175" spans="1:12">
      <c r="A175" s="72">
        <v>24175378</v>
      </c>
      <c r="B175">
        <v>7294799449</v>
      </c>
      <c r="C175" s="69" t="s">
        <v>38</v>
      </c>
      <c r="D175" s="70">
        <v>24667.47</v>
      </c>
      <c r="E175" s="70">
        <v>6724.99</v>
      </c>
      <c r="F175" s="70">
        <v>7400.241</v>
      </c>
      <c r="G175" s="70">
        <v>675.2510000000002</v>
      </c>
      <c r="H175" s="69">
        <v>46296</v>
      </c>
      <c r="I175" s="69" t="s">
        <v>75</v>
      </c>
      <c r="J175" s="70">
        <v>6223.63</v>
      </c>
      <c r="K175" s="138" t="s">
        <v>39</v>
      </c>
      <c r="L175" s="143">
        <v>46267</v>
      </c>
    </row>
    <row r="176" spans="1:12">
      <c r="A176" s="30">
        <v>24194642</v>
      </c>
      <c r="C176" s="69" t="s">
        <v>54</v>
      </c>
      <c r="D176" s="70">
        <v>7116.73</v>
      </c>
      <c r="E176" s="70"/>
      <c r="F176" s="70">
        <f>D176*0.3</f>
        <v>2135.0189999999998</v>
      </c>
      <c r="G176" s="70">
        <f>(IF(D176&lt;4172.98,0,MIN(D176*0.3,D176-4172.98)))-E176</f>
        <v>2135.0189999999998</v>
      </c>
      <c r="H176" s="69"/>
      <c r="I176" s="69"/>
      <c r="J176" s="70"/>
      <c r="K176" s="70" t="s">
        <v>1091</v>
      </c>
      <c r="L176" s="143">
        <v>46267</v>
      </c>
    </row>
    <row r="177" spans="1:12">
      <c r="A177" s="72">
        <v>24179344</v>
      </c>
      <c r="B177">
        <v>5214778801259</v>
      </c>
      <c r="C177" s="69" t="s">
        <v>54</v>
      </c>
      <c r="D177" s="70">
        <v>9760.32</v>
      </c>
      <c r="E177" s="70">
        <v>879</v>
      </c>
      <c r="F177" s="70">
        <v>2928.096</v>
      </c>
      <c r="G177" s="70">
        <v>2049.096</v>
      </c>
      <c r="H177" s="69"/>
      <c r="I177" s="69"/>
      <c r="J177" s="70"/>
      <c r="K177" s="70" t="s">
        <v>1091</v>
      </c>
      <c r="L177" s="143">
        <v>46267</v>
      </c>
    </row>
    <row r="178" spans="1:12">
      <c r="A178" s="72">
        <v>24187756</v>
      </c>
      <c r="B178">
        <v>6145150396</v>
      </c>
      <c r="C178" s="69" t="s">
        <v>27</v>
      </c>
      <c r="D178" s="70">
        <v>60231.26</v>
      </c>
      <c r="E178" s="70">
        <v>14306.98</v>
      </c>
      <c r="F178" s="70">
        <v>18069.378000000001</v>
      </c>
      <c r="G178" s="70">
        <v>3762.398000000001</v>
      </c>
      <c r="H178" s="69">
        <v>46235</v>
      </c>
      <c r="I178" s="69" t="s">
        <v>59</v>
      </c>
      <c r="J178" s="70">
        <v>14306.98</v>
      </c>
      <c r="K178" s="70" t="s">
        <v>90</v>
      </c>
      <c r="L178" s="143">
        <v>46267</v>
      </c>
    </row>
    <row r="179" spans="1:12">
      <c r="A179" s="72">
        <v>24189738</v>
      </c>
      <c r="B179">
        <v>5213123193951</v>
      </c>
      <c r="C179" s="69" t="s">
        <v>54</v>
      </c>
      <c r="D179" s="70">
        <v>48451.72</v>
      </c>
      <c r="E179" s="70"/>
      <c r="F179" s="70">
        <v>14535.516</v>
      </c>
      <c r="G179" s="70">
        <v>14535.516</v>
      </c>
      <c r="H179" s="69"/>
      <c r="I179" s="69"/>
      <c r="J179" s="70"/>
      <c r="K179" s="70" t="s">
        <v>348</v>
      </c>
      <c r="L179" s="143">
        <v>46267</v>
      </c>
    </row>
    <row r="180" spans="1:12">
      <c r="A180" s="72">
        <v>24195644</v>
      </c>
      <c r="C180" s="69" t="s">
        <v>27</v>
      </c>
      <c r="D180" s="70">
        <v>7116.73</v>
      </c>
      <c r="E180" s="70">
        <v>1887</v>
      </c>
      <c r="F180" s="70">
        <v>2135.0189999999998</v>
      </c>
      <c r="G180" s="70">
        <v>248.01899999999978</v>
      </c>
      <c r="H180" s="69">
        <v>45931</v>
      </c>
      <c r="I180" s="69" t="s">
        <v>833</v>
      </c>
      <c r="J180" s="70">
        <v>1887</v>
      </c>
      <c r="K180" s="70" t="s">
        <v>98</v>
      </c>
      <c r="L180" s="143">
        <v>46267</v>
      </c>
    </row>
    <row r="181" spans="1:12">
      <c r="A181" s="72">
        <v>24177214</v>
      </c>
      <c r="B181">
        <v>5217821062062</v>
      </c>
      <c r="C181" s="69" t="s">
        <v>38</v>
      </c>
      <c r="D181" s="70">
        <v>7116.73</v>
      </c>
      <c r="E181" s="70">
        <v>1637.96</v>
      </c>
      <c r="F181" s="70">
        <v>2135.0189999999998</v>
      </c>
      <c r="G181" s="70">
        <v>497.05899999999974</v>
      </c>
      <c r="H181" s="69">
        <v>46508</v>
      </c>
      <c r="I181" s="69" t="s">
        <v>75</v>
      </c>
      <c r="J181" s="70">
        <v>1637.96</v>
      </c>
      <c r="K181" s="70" t="s">
        <v>266</v>
      </c>
      <c r="L181" s="143">
        <v>46267</v>
      </c>
    </row>
    <row r="182" spans="1:12">
      <c r="A182" s="72">
        <v>24167074</v>
      </c>
      <c r="B182">
        <v>8445917860</v>
      </c>
      <c r="C182" s="69" t="s">
        <v>38</v>
      </c>
      <c r="D182" s="70">
        <v>5803.64</v>
      </c>
      <c r="E182" s="70">
        <v>614.97</v>
      </c>
      <c r="F182" s="70">
        <v>1741.0920000000001</v>
      </c>
      <c r="G182" s="70">
        <v>1015.6900000000007</v>
      </c>
      <c r="H182" s="69">
        <v>45536</v>
      </c>
      <c r="I182" s="69" t="s">
        <v>80</v>
      </c>
      <c r="J182" s="70">
        <v>614.97</v>
      </c>
      <c r="K182" s="138" t="s">
        <v>39</v>
      </c>
      <c r="L182" s="143">
        <v>46267</v>
      </c>
    </row>
    <row r="183" spans="1:12">
      <c r="A183" s="72">
        <v>24174738</v>
      </c>
      <c r="B183">
        <v>5215574797916</v>
      </c>
      <c r="C183" s="69" t="s">
        <v>27</v>
      </c>
      <c r="D183" s="70">
        <v>7920.51</v>
      </c>
      <c r="E183" s="70">
        <v>2196.71</v>
      </c>
      <c r="F183" s="70">
        <v>2376.1529999999998</v>
      </c>
      <c r="G183" s="70">
        <v>179.44299999999976</v>
      </c>
      <c r="H183" s="69">
        <v>46143</v>
      </c>
      <c r="I183" s="69" t="s">
        <v>77</v>
      </c>
      <c r="J183" s="70">
        <v>2196.71</v>
      </c>
      <c r="K183" s="70" t="s">
        <v>90</v>
      </c>
      <c r="L183" s="143">
        <v>46267</v>
      </c>
    </row>
    <row r="184" spans="1:12">
      <c r="A184" s="30">
        <v>24199408</v>
      </c>
      <c r="C184" s="69" t="s">
        <v>107</v>
      </c>
      <c r="D184" s="70">
        <v>6269.7</v>
      </c>
      <c r="E184" s="70">
        <v>1813.01</v>
      </c>
      <c r="F184" s="70">
        <f>D184*0.3</f>
        <v>1880.9099999999999</v>
      </c>
      <c r="G184" s="70">
        <f>(IF(D184&lt;4172.98,0,MIN(D184*0.3,D184-4172.98)))-E184</f>
        <v>67.899999999999864</v>
      </c>
      <c r="H184" s="71">
        <v>45748</v>
      </c>
      <c r="I184" s="69" t="s">
        <v>44</v>
      </c>
      <c r="J184" s="70">
        <v>355.85</v>
      </c>
      <c r="K184" s="70" t="s">
        <v>266</v>
      </c>
      <c r="L184" s="143">
        <v>46267</v>
      </c>
    </row>
    <row r="185" spans="1:12">
      <c r="A185" s="12">
        <v>24199760</v>
      </c>
      <c r="C185" s="69" t="s">
        <v>54</v>
      </c>
      <c r="D185" s="70">
        <v>9612.19</v>
      </c>
      <c r="E185" s="70"/>
      <c r="F185" s="70">
        <f>D185*0.3</f>
        <v>2883.6570000000002</v>
      </c>
      <c r="G185" s="70">
        <f>(IF(D185&lt;4172.98,0,MIN(D185*0.3,D185-4172.98)))-E185</f>
        <v>2883.6570000000002</v>
      </c>
      <c r="H185" s="69"/>
      <c r="I185" s="69"/>
      <c r="J185" s="70"/>
      <c r="K185" s="70" t="s">
        <v>327</v>
      </c>
      <c r="L185" s="143">
        <v>46267</v>
      </c>
    </row>
    <row r="186" spans="1:12">
      <c r="A186" s="30">
        <v>24199870</v>
      </c>
      <c r="C186" t="s">
        <v>34</v>
      </c>
      <c r="D186" s="3">
        <v>10247.51</v>
      </c>
      <c r="E186" s="3">
        <v>2964</v>
      </c>
      <c r="F186" s="3">
        <f>D186*0.3</f>
        <v>3074.2530000000002</v>
      </c>
      <c r="G186" s="3">
        <f>(IF(D186&lt;4172.98,0,MIN(D186*0.3,D186-4172.98)))-E186</f>
        <v>110.25300000000016</v>
      </c>
      <c r="H186" s="6">
        <v>46204</v>
      </c>
      <c r="I186" t="s">
        <v>141</v>
      </c>
      <c r="J186" s="3">
        <v>2232.8000000000002</v>
      </c>
      <c r="K186" s="3" t="s">
        <v>35</v>
      </c>
      <c r="L186" s="47">
        <v>46267</v>
      </c>
    </row>
    <row r="187" spans="1:12">
      <c r="A187" s="12">
        <v>24200274</v>
      </c>
      <c r="C187" t="s">
        <v>34</v>
      </c>
      <c r="D187" s="3">
        <v>7116.73</v>
      </c>
      <c r="E187" s="3">
        <v>516.91999999999996</v>
      </c>
      <c r="F187" s="3">
        <f t="shared" ref="F187" si="26">D187*0.3</f>
        <v>2135.0189999999998</v>
      </c>
      <c r="G187" s="3">
        <f t="shared" ref="G187" si="27">(IF(D187&lt;4172.98,0,MIN(D187*0.3,D187-4172.98)))-E187</f>
        <v>1618.0989999999997</v>
      </c>
      <c r="H187" s="6">
        <v>45748</v>
      </c>
      <c r="I187" t="s">
        <v>141</v>
      </c>
      <c r="J187" s="3">
        <v>516.91999999999996</v>
      </c>
      <c r="K187" s="3" t="s">
        <v>35</v>
      </c>
      <c r="L187" s="47">
        <v>46267</v>
      </c>
    </row>
    <row r="188" spans="1:12">
      <c r="A188" s="30">
        <v>24200472</v>
      </c>
      <c r="C188" s="69" t="s">
        <v>54</v>
      </c>
      <c r="D188" s="70">
        <v>10636.54</v>
      </c>
      <c r="E188" s="70"/>
      <c r="F188" s="70">
        <f>D188*0.3</f>
        <v>3190.962</v>
      </c>
      <c r="G188" s="70">
        <f>(IF(D188&lt;4172.98,0,MIN(D188*0.3,D188-4172.98)))-E188</f>
        <v>3190.962</v>
      </c>
      <c r="H188" s="69"/>
      <c r="I188" s="69"/>
      <c r="J188" s="70"/>
      <c r="K188" s="70" t="s">
        <v>28</v>
      </c>
      <c r="L188" s="143">
        <v>46267</v>
      </c>
    </row>
    <row r="189" spans="1:12">
      <c r="A189" s="72">
        <v>24169488</v>
      </c>
      <c r="B189">
        <v>24169488</v>
      </c>
      <c r="C189" s="69" t="s">
        <v>34</v>
      </c>
      <c r="D189" s="70">
        <v>20147.39</v>
      </c>
      <c r="E189" s="70">
        <v>5585.07</v>
      </c>
      <c r="F189" s="70">
        <v>6044.2169999999996</v>
      </c>
      <c r="G189" s="70">
        <v>459.14699999999993</v>
      </c>
      <c r="H189" s="69">
        <v>46266</v>
      </c>
      <c r="I189" s="69" t="s">
        <v>2818</v>
      </c>
      <c r="J189" s="70">
        <v>5585.07</v>
      </c>
      <c r="K189" s="70" t="s">
        <v>35</v>
      </c>
      <c r="L189" s="143">
        <v>46267</v>
      </c>
    </row>
    <row r="190" spans="1:12">
      <c r="A190" s="72">
        <v>24200638</v>
      </c>
      <c r="C190" s="69" t="s">
        <v>38</v>
      </c>
      <c r="D190" s="70">
        <v>4813.6899999999996</v>
      </c>
      <c r="E190" s="70"/>
      <c r="F190" s="70">
        <v>1444.1069999999997</v>
      </c>
      <c r="G190" s="70">
        <v>640.71</v>
      </c>
      <c r="H190" s="69"/>
      <c r="I190" s="69"/>
      <c r="J190" s="70"/>
      <c r="K190" s="138" t="s">
        <v>39</v>
      </c>
      <c r="L190" s="143">
        <v>46267</v>
      </c>
    </row>
    <row r="191" spans="1:12">
      <c r="A191" s="72">
        <v>24199942</v>
      </c>
      <c r="B191">
        <v>6221226147</v>
      </c>
      <c r="C191" s="69" t="s">
        <v>54</v>
      </c>
      <c r="D191" s="70">
        <v>7920.51</v>
      </c>
      <c r="E191" s="70"/>
      <c r="F191" s="70">
        <v>2376.1529999999998</v>
      </c>
      <c r="G191" s="70">
        <v>2376.1529999999998</v>
      </c>
      <c r="H191" s="69"/>
      <c r="I191" s="69"/>
      <c r="J191" s="70"/>
      <c r="K191" s="70" t="s">
        <v>879</v>
      </c>
      <c r="L191" s="143">
        <v>46267</v>
      </c>
    </row>
    <row r="192" spans="1:12">
      <c r="A192" s="72">
        <v>24197900</v>
      </c>
      <c r="B192">
        <v>5219993342589</v>
      </c>
      <c r="C192" s="69" t="s">
        <v>54</v>
      </c>
      <c r="D192" s="70">
        <v>7920.51</v>
      </c>
      <c r="E192" s="70">
        <v>848</v>
      </c>
      <c r="F192" s="70">
        <v>2376.1529999999998</v>
      </c>
      <c r="G192" s="70">
        <v>1528.1529999999998</v>
      </c>
      <c r="H192" s="69"/>
      <c r="I192" s="69"/>
      <c r="J192" s="70"/>
      <c r="K192" s="70" t="s">
        <v>886</v>
      </c>
      <c r="L192" s="143">
        <v>46267</v>
      </c>
    </row>
    <row r="193" spans="1:12">
      <c r="A193" s="12">
        <v>24201574</v>
      </c>
      <c r="C193" s="69" t="s">
        <v>54</v>
      </c>
      <c r="D193" s="70">
        <f>42546.16-31909.62</f>
        <v>10636.540000000005</v>
      </c>
      <c r="E193" s="70"/>
      <c r="F193" s="70">
        <f t="shared" ref="F193:F194" si="28">D193*0.3</f>
        <v>3190.9620000000014</v>
      </c>
      <c r="G193" s="70">
        <f t="shared" ref="G193:G194" si="29">(IF(D193&lt;4172.98,0,MIN(D193*0.3,D193-4172.98)))-E193</f>
        <v>3190.9620000000014</v>
      </c>
      <c r="H193" s="69"/>
      <c r="I193" s="69"/>
      <c r="J193" s="70"/>
      <c r="K193" s="70" t="s">
        <v>55</v>
      </c>
      <c r="L193" s="143">
        <v>46267</v>
      </c>
    </row>
    <row r="194" spans="1:12">
      <c r="A194" s="30">
        <v>24201552</v>
      </c>
      <c r="C194" t="s">
        <v>27</v>
      </c>
      <c r="D194" s="3">
        <v>13266.31</v>
      </c>
      <c r="E194" s="3">
        <v>3461.12</v>
      </c>
      <c r="F194" s="3">
        <f t="shared" si="28"/>
        <v>3979.8929999999996</v>
      </c>
      <c r="G194" s="3">
        <f t="shared" si="29"/>
        <v>518.77299999999968</v>
      </c>
      <c r="H194" s="6">
        <v>46054</v>
      </c>
      <c r="I194" t="s">
        <v>77</v>
      </c>
      <c r="J194" s="3">
        <v>2353.61</v>
      </c>
      <c r="K194" s="3" t="s">
        <v>62</v>
      </c>
      <c r="L194" s="47">
        <v>46267</v>
      </c>
    </row>
    <row r="195" spans="1:12">
      <c r="A195" s="30">
        <v>24202298</v>
      </c>
      <c r="C195" s="69" t="s">
        <v>54</v>
      </c>
      <c r="D195" s="70">
        <v>23694.92</v>
      </c>
      <c r="E195" s="70">
        <v>2013.3</v>
      </c>
      <c r="F195" s="70">
        <f>D195*0.3</f>
        <v>7108.4759999999997</v>
      </c>
      <c r="G195" s="70">
        <f>(IF(D195&lt;4172.98,0,MIN(D195*0.3,D195-4172.98)))-E195</f>
        <v>5095.1759999999995</v>
      </c>
      <c r="H195" s="71">
        <v>46935</v>
      </c>
      <c r="I195" s="69" t="s">
        <v>75</v>
      </c>
      <c r="J195" s="70">
        <v>2013.83</v>
      </c>
      <c r="K195" s="70" t="s">
        <v>327</v>
      </c>
      <c r="L195" s="143">
        <v>46267</v>
      </c>
    </row>
    <row r="196" spans="1:12">
      <c r="A196" s="30">
        <v>24202672</v>
      </c>
      <c r="C196" s="69" t="s">
        <v>27</v>
      </c>
      <c r="D196" s="70">
        <v>5661.66</v>
      </c>
      <c r="E196" s="70">
        <v>1372.94</v>
      </c>
      <c r="F196" s="70">
        <f>D196*0.3</f>
        <v>1698.4979999999998</v>
      </c>
      <c r="G196" s="70">
        <f>(IF(D196&lt;4172.98,0,MIN(D196*0.3,D196-4172.98)))-E196</f>
        <v>115.74000000000024</v>
      </c>
      <c r="H196" s="71">
        <v>46235</v>
      </c>
      <c r="I196" s="69" t="s">
        <v>1312</v>
      </c>
      <c r="J196" s="70">
        <v>1372.94</v>
      </c>
      <c r="K196" s="70" t="s">
        <v>358</v>
      </c>
      <c r="L196" s="143">
        <v>46267</v>
      </c>
    </row>
    <row r="197" spans="1:12">
      <c r="A197" s="72">
        <v>24201862</v>
      </c>
      <c r="B197">
        <v>5216562000884</v>
      </c>
      <c r="C197" s="69" t="s">
        <v>54</v>
      </c>
      <c r="D197" s="70">
        <v>41608.58</v>
      </c>
      <c r="E197" s="70"/>
      <c r="F197" s="70">
        <v>12482.574000000001</v>
      </c>
      <c r="G197" s="70">
        <v>12482.574000000001</v>
      </c>
      <c r="H197" s="69"/>
      <c r="I197" s="69"/>
      <c r="J197" s="70"/>
      <c r="K197" s="70" t="s">
        <v>348</v>
      </c>
      <c r="L197" s="143">
        <v>46267</v>
      </c>
    </row>
    <row r="198" spans="1:12">
      <c r="A198" s="72">
        <v>24202032</v>
      </c>
      <c r="B198">
        <v>5213511017007</v>
      </c>
      <c r="C198" s="69" t="s">
        <v>54</v>
      </c>
      <c r="D198" s="70">
        <v>32632.39</v>
      </c>
      <c r="E198" s="70"/>
      <c r="F198" s="70">
        <v>9789.7169999999987</v>
      </c>
      <c r="G198" s="70">
        <v>9789.7169999999987</v>
      </c>
      <c r="H198" s="69"/>
      <c r="I198" s="69"/>
      <c r="J198" s="70"/>
      <c r="K198" s="70" t="s">
        <v>28</v>
      </c>
      <c r="L198" s="143">
        <v>46267</v>
      </c>
    </row>
    <row r="199" spans="1:12">
      <c r="A199" s="30">
        <v>24203114</v>
      </c>
      <c r="C199" s="69" t="s">
        <v>54</v>
      </c>
      <c r="D199" s="70">
        <v>9760.32</v>
      </c>
      <c r="E199" s="70">
        <v>879</v>
      </c>
      <c r="F199" s="70">
        <f>D199*0.3</f>
        <v>2928.096</v>
      </c>
      <c r="G199" s="70">
        <f>(IF(D199&lt;4172.98,0,MIN(D199*0.3,D199-4172.98)))-E199</f>
        <v>2049.096</v>
      </c>
      <c r="H199" s="69"/>
      <c r="I199" s="69"/>
      <c r="J199" s="70"/>
      <c r="K199" s="70" t="s">
        <v>886</v>
      </c>
      <c r="L199" s="143">
        <v>46267</v>
      </c>
    </row>
    <row r="200" spans="1:12">
      <c r="A200" s="30">
        <v>24203302</v>
      </c>
      <c r="C200" s="69" t="s">
        <v>54</v>
      </c>
      <c r="D200" s="70">
        <v>9081.52</v>
      </c>
      <c r="E200" s="70"/>
      <c r="F200" s="70">
        <f>D200*0.3</f>
        <v>2724.4560000000001</v>
      </c>
      <c r="G200" s="70">
        <f>(IF(D200&lt;4172.98,0,MIN(D200*0.3,D200-4172.98)))-E200</f>
        <v>2724.4560000000001</v>
      </c>
      <c r="H200" s="69"/>
      <c r="I200" s="69"/>
      <c r="J200" s="70"/>
      <c r="K200" s="70" t="s">
        <v>879</v>
      </c>
      <c r="L200" s="143">
        <v>46267</v>
      </c>
    </row>
    <row r="201" spans="1:12">
      <c r="A201" s="30">
        <v>24203902</v>
      </c>
      <c r="C201" s="69" t="s">
        <v>27</v>
      </c>
      <c r="D201" s="70">
        <v>11813.87</v>
      </c>
      <c r="E201" s="70">
        <v>1955.8</v>
      </c>
      <c r="F201" s="70">
        <f>D201*0.3</f>
        <v>3544.1610000000001</v>
      </c>
      <c r="G201" s="70">
        <f>(IF(D201&lt;4172.98,0,MIN(D201*0.3,D201-4172.98)))-E201</f>
        <v>1588.3610000000001</v>
      </c>
      <c r="H201" s="71">
        <v>46143</v>
      </c>
      <c r="I201" s="69" t="s">
        <v>210</v>
      </c>
      <c r="J201" s="70">
        <v>1955.8</v>
      </c>
      <c r="K201" s="70" t="s">
        <v>358</v>
      </c>
      <c r="L201" s="143">
        <v>46267</v>
      </c>
    </row>
    <row r="202" spans="1:12">
      <c r="A202" s="30">
        <v>24203454</v>
      </c>
      <c r="C202" s="69" t="s">
        <v>54</v>
      </c>
      <c r="D202" s="70">
        <v>41541.58</v>
      </c>
      <c r="E202" s="70">
        <v>1315.26</v>
      </c>
      <c r="F202" s="70">
        <f>D202*0.3</f>
        <v>12462.474</v>
      </c>
      <c r="G202" s="70">
        <f>(IF(D202&lt;4172.98,0,MIN(D202*0.3,D202-4172.98)))-E202</f>
        <v>11147.214</v>
      </c>
      <c r="H202" s="71">
        <v>46204</v>
      </c>
      <c r="I202" s="69" t="s">
        <v>59</v>
      </c>
      <c r="J202" s="70">
        <v>1315.26</v>
      </c>
      <c r="K202" s="70" t="s">
        <v>55</v>
      </c>
      <c r="L202" s="143">
        <v>46267</v>
      </c>
    </row>
    <row r="203" spans="1:12">
      <c r="A203" s="30">
        <v>24203936</v>
      </c>
      <c r="C203" s="69" t="s">
        <v>54</v>
      </c>
      <c r="D203" s="70">
        <v>9081.52</v>
      </c>
      <c r="E203" s="70"/>
      <c r="F203" s="70">
        <f>D203*0.3</f>
        <v>2724.4560000000001</v>
      </c>
      <c r="G203" s="70">
        <f>(IF(D203&lt;4172.98,0,MIN(D203*0.3,D203-4172.98)))-E203</f>
        <v>2724.4560000000001</v>
      </c>
      <c r="H203" s="69"/>
      <c r="I203" s="69"/>
      <c r="J203" s="70"/>
      <c r="K203" s="70" t="s">
        <v>879</v>
      </c>
      <c r="L203" s="143">
        <v>46267</v>
      </c>
    </row>
    <row r="204" spans="1:12">
      <c r="A204" s="12">
        <v>24204370</v>
      </c>
      <c r="C204" s="69" t="s">
        <v>34</v>
      </c>
      <c r="D204" s="70">
        <v>28020.9</v>
      </c>
      <c r="E204" s="70">
        <v>7374.36</v>
      </c>
      <c r="F204" s="70">
        <f t="shared" ref="F204:F209" si="30">D204*0.3</f>
        <v>8406.27</v>
      </c>
      <c r="G204" s="70">
        <f t="shared" ref="G204:G209" si="31">(IF(D204&lt;4172.98,0,MIN(D204*0.3,D204-4172.98)))-E204</f>
        <v>1031.9100000000008</v>
      </c>
      <c r="H204" s="71">
        <v>46054</v>
      </c>
      <c r="I204" s="69" t="s">
        <v>141</v>
      </c>
      <c r="J204" s="70">
        <v>8406.27</v>
      </c>
      <c r="K204" s="70" t="s">
        <v>35</v>
      </c>
      <c r="L204" s="143">
        <v>46268</v>
      </c>
    </row>
    <row r="205" spans="1:12">
      <c r="A205" s="12">
        <v>24205238</v>
      </c>
      <c r="C205" s="69" t="s">
        <v>34</v>
      </c>
      <c r="D205" s="70">
        <v>6390.8</v>
      </c>
      <c r="E205" s="70">
        <v>1917.17</v>
      </c>
      <c r="F205" s="70">
        <f t="shared" si="30"/>
        <v>1917.24</v>
      </c>
      <c r="G205" s="70">
        <f t="shared" si="31"/>
        <v>6.9999999999936335E-2</v>
      </c>
      <c r="H205" s="71">
        <v>45717</v>
      </c>
      <c r="I205" s="69" t="s">
        <v>141</v>
      </c>
      <c r="J205" s="70">
        <v>1408.17</v>
      </c>
      <c r="K205" s="70" t="s">
        <v>271</v>
      </c>
      <c r="L205" s="143">
        <v>46268</v>
      </c>
    </row>
    <row r="206" spans="1:12">
      <c r="A206" s="12">
        <v>24205382</v>
      </c>
      <c r="C206" s="69" t="s">
        <v>54</v>
      </c>
      <c r="D206" s="70">
        <v>11029.03</v>
      </c>
      <c r="E206" s="70"/>
      <c r="F206" s="70">
        <f t="shared" si="30"/>
        <v>3308.7090000000003</v>
      </c>
      <c r="G206" s="70">
        <f t="shared" si="31"/>
        <v>3308.7090000000003</v>
      </c>
      <c r="H206" s="69"/>
      <c r="I206" s="69"/>
      <c r="J206" s="70"/>
      <c r="K206" s="70" t="s">
        <v>55</v>
      </c>
      <c r="L206" s="143">
        <v>46268</v>
      </c>
    </row>
    <row r="207" spans="1:12">
      <c r="A207" s="12">
        <v>24205474</v>
      </c>
      <c r="C207" t="s">
        <v>34</v>
      </c>
      <c r="D207" s="3">
        <v>5629.77</v>
      </c>
      <c r="E207" s="3">
        <v>1348.18</v>
      </c>
      <c r="F207" s="3">
        <f t="shared" si="30"/>
        <v>1688.931</v>
      </c>
      <c r="G207" s="3">
        <f t="shared" si="31"/>
        <v>108.61000000000081</v>
      </c>
      <c r="H207" s="6">
        <v>46235</v>
      </c>
      <c r="I207" t="s">
        <v>57</v>
      </c>
      <c r="J207" s="3">
        <v>1688.93</v>
      </c>
      <c r="K207" s="3" t="s">
        <v>271</v>
      </c>
      <c r="L207" s="47">
        <v>46268</v>
      </c>
    </row>
    <row r="208" spans="1:12">
      <c r="A208" s="12">
        <v>24207464</v>
      </c>
      <c r="C208" s="69" t="s">
        <v>54</v>
      </c>
      <c r="D208" s="70">
        <v>5918.41</v>
      </c>
      <c r="E208" s="70"/>
      <c r="F208" s="70">
        <f t="shared" si="30"/>
        <v>1775.5229999999999</v>
      </c>
      <c r="G208" s="70">
        <f t="shared" si="31"/>
        <v>1745.4300000000003</v>
      </c>
      <c r="H208" s="69"/>
      <c r="I208" s="69"/>
      <c r="J208" s="70"/>
      <c r="K208" s="70" t="s">
        <v>886</v>
      </c>
      <c r="L208" s="143">
        <v>46268</v>
      </c>
    </row>
    <row r="209" spans="1:12">
      <c r="A209" s="12">
        <v>24213502</v>
      </c>
      <c r="C209" s="69" t="s">
        <v>38</v>
      </c>
      <c r="D209" s="70">
        <v>9760.32</v>
      </c>
      <c r="E209" s="70">
        <v>1974.6</v>
      </c>
      <c r="F209" s="70">
        <f t="shared" si="30"/>
        <v>2928.096</v>
      </c>
      <c r="G209" s="70">
        <f t="shared" si="31"/>
        <v>953.49600000000009</v>
      </c>
      <c r="H209" s="71">
        <v>46600</v>
      </c>
      <c r="I209" s="69" t="s">
        <v>75</v>
      </c>
      <c r="J209" s="70">
        <v>1513.78</v>
      </c>
      <c r="K209" s="138" t="s">
        <v>39</v>
      </c>
      <c r="L209" s="143">
        <v>46268</v>
      </c>
    </row>
    <row r="210" spans="1:12">
      <c r="A210" s="30">
        <v>24215910</v>
      </c>
      <c r="C210" s="69" t="s">
        <v>27</v>
      </c>
      <c r="D210" s="70">
        <v>7128.48</v>
      </c>
      <c r="E210" s="70">
        <v>1977.07</v>
      </c>
      <c r="F210" s="70">
        <f>D210*0.3</f>
        <v>2138.5439999999999</v>
      </c>
      <c r="G210" s="70">
        <f>(IF(D210&lt;4172.98,0,MIN(D210*0.3,D210-4172.98)))-E210</f>
        <v>161.47399999999993</v>
      </c>
      <c r="H210" s="71">
        <v>46054</v>
      </c>
      <c r="I210" s="69" t="s">
        <v>47</v>
      </c>
      <c r="J210" s="70">
        <v>1977.07</v>
      </c>
      <c r="K210" s="70" t="s">
        <v>62</v>
      </c>
      <c r="L210" s="143">
        <v>46268</v>
      </c>
    </row>
    <row r="211" spans="1:12">
      <c r="A211" s="12">
        <v>24216578</v>
      </c>
      <c r="C211" s="69" t="s">
        <v>54</v>
      </c>
      <c r="D211" s="70">
        <v>7320.67</v>
      </c>
      <c r="E211" s="70"/>
      <c r="F211" s="70">
        <f t="shared" ref="F211" si="32">D211*0.3</f>
        <v>2196.201</v>
      </c>
      <c r="G211" s="70">
        <f t="shared" ref="G211" si="33">(IF(D211&lt;4172.98,0,MIN(D211*0.3,D211-4172.98)))-E211</f>
        <v>2196.201</v>
      </c>
      <c r="H211" s="69"/>
      <c r="I211" s="69"/>
      <c r="J211" s="70"/>
      <c r="K211" s="70" t="s">
        <v>1091</v>
      </c>
      <c r="L211" s="143">
        <v>46268</v>
      </c>
    </row>
    <row r="212" spans="1:12">
      <c r="A212" s="72">
        <v>24209764</v>
      </c>
      <c r="B212">
        <v>8184707021</v>
      </c>
      <c r="C212" s="69" t="s">
        <v>27</v>
      </c>
      <c r="D212" s="70">
        <v>6116.76</v>
      </c>
      <c r="E212" s="70">
        <v>1696.24</v>
      </c>
      <c r="F212" s="70">
        <v>1835.028</v>
      </c>
      <c r="G212" s="70">
        <v>138.78800000000001</v>
      </c>
      <c r="H212" s="69">
        <v>46266</v>
      </c>
      <c r="I212" s="69" t="s">
        <v>75</v>
      </c>
      <c r="J212" s="70">
        <v>1696.24</v>
      </c>
      <c r="K212" s="70" t="s">
        <v>358</v>
      </c>
      <c r="L212" s="143">
        <v>46268</v>
      </c>
    </row>
    <row r="213" spans="1:12">
      <c r="A213" s="173">
        <v>24215758</v>
      </c>
      <c r="B213">
        <v>5217293087206</v>
      </c>
      <c r="C213" t="s">
        <v>54</v>
      </c>
      <c r="D213" s="3">
        <v>9081.52</v>
      </c>
      <c r="E213" s="3">
        <v>1499.56</v>
      </c>
      <c r="F213" s="3">
        <v>2724.4560000000001</v>
      </c>
      <c r="G213" s="3">
        <v>1224.8960000000002</v>
      </c>
      <c r="H213">
        <v>46631</v>
      </c>
      <c r="I213" t="s">
        <v>77</v>
      </c>
      <c r="J213" s="3">
        <v>1499.56</v>
      </c>
      <c r="K213" s="3" t="s">
        <v>886</v>
      </c>
      <c r="L213" s="47">
        <v>46268</v>
      </c>
    </row>
    <row r="214" spans="1:12">
      <c r="A214" s="30">
        <v>24218364</v>
      </c>
      <c r="C214" s="69" t="s">
        <v>54</v>
      </c>
      <c r="D214" s="70">
        <v>47411.35</v>
      </c>
      <c r="E214" s="70"/>
      <c r="F214" s="70">
        <f>D214*0.3</f>
        <v>14223.404999999999</v>
      </c>
      <c r="G214" s="70">
        <f>(IF(D214&lt;4172.98,0,MIN(D214*0.3,D214-4172.98)))-E214</f>
        <v>14223.404999999999</v>
      </c>
      <c r="H214" s="69"/>
      <c r="I214" s="69"/>
      <c r="J214" s="70"/>
      <c r="K214" s="70" t="s">
        <v>28</v>
      </c>
      <c r="L214" s="143">
        <v>46268</v>
      </c>
    </row>
    <row r="215" spans="1:12">
      <c r="A215" s="12">
        <v>24217770</v>
      </c>
      <c r="C215" s="69" t="s">
        <v>54</v>
      </c>
      <c r="D215" s="70">
        <v>9760.32</v>
      </c>
      <c r="E215" s="70"/>
      <c r="F215" s="70">
        <f>D215*0.3</f>
        <v>2928.096</v>
      </c>
      <c r="G215" s="70">
        <f>(IF(D215&lt;4172.98,0,MIN(D215*0.3,D215-4172.98)))-E215</f>
        <v>2928.096</v>
      </c>
      <c r="H215" s="71"/>
      <c r="I215" s="69"/>
      <c r="J215" s="70"/>
      <c r="K215" s="70" t="s">
        <v>879</v>
      </c>
      <c r="L215" s="143">
        <v>46268</v>
      </c>
    </row>
    <row r="216" spans="1:12">
      <c r="A216" s="72">
        <v>24217048</v>
      </c>
      <c r="B216">
        <v>5215580401192</v>
      </c>
      <c r="C216" s="69" t="s">
        <v>38</v>
      </c>
      <c r="D216" s="70">
        <v>43945.88</v>
      </c>
      <c r="E216" s="70">
        <v>12698.78</v>
      </c>
      <c r="F216" s="70">
        <v>13183.763999999999</v>
      </c>
      <c r="G216" s="70">
        <v>484.98399999999856</v>
      </c>
      <c r="H216" s="69">
        <v>46419</v>
      </c>
      <c r="I216" s="69" t="s">
        <v>75</v>
      </c>
      <c r="J216" s="70">
        <v>12698.78</v>
      </c>
      <c r="K216" s="70" t="s">
        <v>266</v>
      </c>
      <c r="L216" s="143">
        <v>46268</v>
      </c>
    </row>
    <row r="217" spans="1:12">
      <c r="A217" s="12">
        <v>24219458</v>
      </c>
      <c r="C217" s="69" t="s">
        <v>54</v>
      </c>
      <c r="D217" s="70">
        <v>23492.45</v>
      </c>
      <c r="E217" s="70"/>
      <c r="F217" s="70">
        <f t="shared" ref="F217:F219" si="34">D217*0.3</f>
        <v>7047.7349999999997</v>
      </c>
      <c r="G217" s="70">
        <f t="shared" ref="G217:G219" si="35">(IF(D217&lt;4172.98,0,MIN(D217*0.3,D217-4172.98)))-E217</f>
        <v>7047.7349999999997</v>
      </c>
      <c r="H217" s="69"/>
      <c r="I217" s="69"/>
      <c r="J217" s="70"/>
      <c r="K217" s="70" t="s">
        <v>348</v>
      </c>
      <c r="L217" s="143">
        <v>46268</v>
      </c>
    </row>
    <row r="218" spans="1:12">
      <c r="A218" s="30">
        <v>24220162</v>
      </c>
      <c r="C218" s="69" t="s">
        <v>54</v>
      </c>
      <c r="D218" s="70">
        <f>6042.27+848</f>
        <v>6890.27</v>
      </c>
      <c r="E218" s="70">
        <v>848</v>
      </c>
      <c r="F218" s="70">
        <f t="shared" si="34"/>
        <v>2067.0810000000001</v>
      </c>
      <c r="G218" s="70">
        <f t="shared" si="35"/>
        <v>1219.0810000000001</v>
      </c>
      <c r="H218" s="69"/>
      <c r="I218" s="69"/>
      <c r="J218" s="70"/>
      <c r="K218" s="70" t="s">
        <v>327</v>
      </c>
      <c r="L218" s="143">
        <v>46268</v>
      </c>
    </row>
    <row r="219" spans="1:12">
      <c r="A219" s="12">
        <v>24219430</v>
      </c>
      <c r="C219" s="69" t="s">
        <v>54</v>
      </c>
      <c r="D219" s="70">
        <f>9757.54+879</f>
        <v>10636.54</v>
      </c>
      <c r="E219" s="70">
        <v>879</v>
      </c>
      <c r="F219" s="70">
        <f t="shared" si="34"/>
        <v>3190.962</v>
      </c>
      <c r="G219" s="70">
        <f t="shared" si="35"/>
        <v>2311.962</v>
      </c>
      <c r="H219" s="69"/>
      <c r="I219" s="69"/>
      <c r="J219" s="70"/>
      <c r="K219" s="70" t="s">
        <v>1091</v>
      </c>
      <c r="L219" s="143">
        <v>46268</v>
      </c>
    </row>
    <row r="220" spans="1:12">
      <c r="A220" s="72">
        <v>24156074</v>
      </c>
      <c r="B220">
        <v>4439378925</v>
      </c>
      <c r="C220" s="69" t="s">
        <v>54</v>
      </c>
      <c r="D220" s="70">
        <v>7116.73</v>
      </c>
      <c r="E220" s="70"/>
      <c r="F220" s="70">
        <v>2135.0189999999998</v>
      </c>
      <c r="G220" s="70">
        <v>2135.0189999999998</v>
      </c>
      <c r="H220" s="69"/>
      <c r="I220" s="69"/>
      <c r="J220" s="70"/>
      <c r="K220" s="70" t="s">
        <v>1091</v>
      </c>
      <c r="L220" s="143">
        <v>46268</v>
      </c>
    </row>
    <row r="221" spans="1:12">
      <c r="A221" s="30">
        <v>24220278</v>
      </c>
      <c r="C221" s="69" t="s">
        <v>34</v>
      </c>
      <c r="D221" s="70">
        <v>8059.64</v>
      </c>
      <c r="E221" s="70">
        <v>1977.45</v>
      </c>
      <c r="F221" s="70">
        <f>D221*0.3</f>
        <v>2417.8919999999998</v>
      </c>
      <c r="G221" s="70">
        <f>(IF(D221&lt;4172.98,0,MIN(D221*0.3,D221-4172.98)))-E221</f>
        <v>440.44199999999978</v>
      </c>
      <c r="H221" s="71">
        <v>45627</v>
      </c>
      <c r="I221" s="69" t="s">
        <v>141</v>
      </c>
      <c r="J221" s="70">
        <v>1977.45</v>
      </c>
      <c r="K221" s="70" t="s">
        <v>271</v>
      </c>
      <c r="L221" s="143">
        <v>46268</v>
      </c>
    </row>
    <row r="222" spans="1:12">
      <c r="A222" s="30">
        <v>24218744</v>
      </c>
      <c r="C222" s="69" t="s">
        <v>54</v>
      </c>
      <c r="D222" s="70">
        <v>9081.52</v>
      </c>
      <c r="E222" s="70"/>
      <c r="F222" s="70">
        <f>D222*0.3</f>
        <v>2724.4560000000001</v>
      </c>
      <c r="G222" s="70">
        <f>(IF(D222&lt;4172.98,0,MIN(D222*0.3,D222-4172.98)))-E222</f>
        <v>2724.4560000000001</v>
      </c>
      <c r="H222" s="69"/>
      <c r="I222" s="69"/>
      <c r="J222" s="70"/>
      <c r="K222" s="70" t="s">
        <v>348</v>
      </c>
      <c r="L222" s="143">
        <v>46268</v>
      </c>
    </row>
    <row r="223" spans="1:12">
      <c r="A223" s="12">
        <v>24220100</v>
      </c>
      <c r="C223" s="69" t="s">
        <v>54</v>
      </c>
      <c r="D223" s="70">
        <v>11029.03</v>
      </c>
      <c r="E223" s="70"/>
      <c r="F223" s="70">
        <f t="shared" ref="F223:F224" si="36">D223*0.3</f>
        <v>3308.7090000000003</v>
      </c>
      <c r="G223" s="70">
        <f t="shared" ref="G223:G224" si="37">(IF(D223&lt;4172.98,0,MIN(D223*0.3,D223-4172.98)))-E223</f>
        <v>3308.7090000000003</v>
      </c>
      <c r="H223" s="69"/>
      <c r="I223" s="69"/>
      <c r="J223" s="70"/>
      <c r="K223" s="70" t="s">
        <v>55</v>
      </c>
      <c r="L223" s="143">
        <v>46268</v>
      </c>
    </row>
    <row r="224" spans="1:12">
      <c r="A224" s="12">
        <v>24218814</v>
      </c>
      <c r="C224" s="69" t="s">
        <v>107</v>
      </c>
      <c r="D224" s="70">
        <v>5467.47</v>
      </c>
      <c r="E224" s="70">
        <v>1197</v>
      </c>
      <c r="F224" s="70">
        <f t="shared" si="36"/>
        <v>1640.241</v>
      </c>
      <c r="G224" s="70">
        <f t="shared" si="37"/>
        <v>97.490000000000691</v>
      </c>
      <c r="H224" s="71">
        <v>46235</v>
      </c>
      <c r="I224" s="69" t="s">
        <v>1430</v>
      </c>
      <c r="J224" s="70">
        <v>1197</v>
      </c>
      <c r="K224" s="138" t="s">
        <v>39</v>
      </c>
      <c r="L224" s="143">
        <v>46268</v>
      </c>
    </row>
    <row r="225" spans="1:12">
      <c r="A225" s="30">
        <v>24220508</v>
      </c>
      <c r="C225" s="69" t="s">
        <v>54</v>
      </c>
      <c r="D225" s="70">
        <v>14151.18</v>
      </c>
      <c r="E225" s="70"/>
      <c r="F225" s="70">
        <f>D225*0.3</f>
        <v>4245.3540000000003</v>
      </c>
      <c r="G225" s="70">
        <f>(IF(D225&lt;4172.98,0,MIN(D225*0.3,D225-4172.98)))-E225</f>
        <v>4245.3540000000003</v>
      </c>
      <c r="H225" s="69"/>
      <c r="I225" s="69"/>
      <c r="J225" s="70"/>
      <c r="K225" s="70" t="s">
        <v>28</v>
      </c>
      <c r="L225" s="143">
        <v>46268</v>
      </c>
    </row>
    <row r="226" spans="1:12">
      <c r="A226" s="72">
        <v>24156734</v>
      </c>
      <c r="B226">
        <v>4495466909</v>
      </c>
      <c r="C226" s="69" t="s">
        <v>54</v>
      </c>
      <c r="D226" s="70">
        <v>10636.54</v>
      </c>
      <c r="E226" s="70"/>
      <c r="F226" s="70">
        <v>3190.962</v>
      </c>
      <c r="G226" s="70">
        <v>3190.962</v>
      </c>
      <c r="H226" s="69"/>
      <c r="I226" s="69"/>
      <c r="J226" s="70"/>
      <c r="K226" s="70" t="s">
        <v>879</v>
      </c>
      <c r="L226" s="143">
        <v>46268</v>
      </c>
    </row>
    <row r="227" spans="1:12">
      <c r="A227" s="72">
        <v>24194094</v>
      </c>
      <c r="B227">
        <v>5217293488555</v>
      </c>
      <c r="C227" s="69" t="s">
        <v>54</v>
      </c>
      <c r="D227" s="70">
        <v>7144.18</v>
      </c>
      <c r="E227" s="70"/>
      <c r="F227" s="70">
        <v>2143.2539999999999</v>
      </c>
      <c r="G227" s="70">
        <v>2143.2539999999999</v>
      </c>
      <c r="H227" s="69"/>
      <c r="I227" s="69"/>
      <c r="J227" s="70"/>
      <c r="K227" s="70" t="s">
        <v>1091</v>
      </c>
      <c r="L227" s="143">
        <v>46268</v>
      </c>
    </row>
    <row r="228" spans="1:12">
      <c r="A228" s="30">
        <v>24221258</v>
      </c>
      <c r="C228" s="69" t="s">
        <v>27</v>
      </c>
      <c r="D228" s="70">
        <v>9081.52</v>
      </c>
      <c r="E228" s="70">
        <v>2520.37</v>
      </c>
      <c r="F228" s="70">
        <f>D228*0.3</f>
        <v>2724.4560000000001</v>
      </c>
      <c r="G228" s="70">
        <f>(IF(D228&lt;4172.98,0,MIN(D228*0.3,D228-4172.98)))-E228</f>
        <v>204.08600000000024</v>
      </c>
      <c r="H228" s="71">
        <v>46204</v>
      </c>
      <c r="I228" s="69" t="s">
        <v>47</v>
      </c>
      <c r="J228" s="70">
        <v>2520.37</v>
      </c>
      <c r="K228" s="70" t="s">
        <v>879</v>
      </c>
      <c r="L228" s="143">
        <v>46268</v>
      </c>
    </row>
    <row r="229" spans="1:12">
      <c r="A229" s="12">
        <v>24221396</v>
      </c>
      <c r="C229" s="69" t="s">
        <v>38</v>
      </c>
      <c r="D229" s="70">
        <v>8539.89</v>
      </c>
      <c r="E229" s="70">
        <v>1723.89</v>
      </c>
      <c r="F229" s="70">
        <f t="shared" ref="F229:F230" si="38">D229*0.3</f>
        <v>2561.9669999999996</v>
      </c>
      <c r="G229" s="70">
        <f t="shared" ref="G229:G230" si="39">(IF(D229&lt;4172.98,0,MIN(D229*0.3,D229-4172.98)))-E229</f>
        <v>838.07699999999954</v>
      </c>
      <c r="H229" s="71">
        <v>46935</v>
      </c>
      <c r="I229" s="69" t="s">
        <v>141</v>
      </c>
      <c r="J229" s="70">
        <v>1723.89</v>
      </c>
      <c r="K229" s="70" t="s">
        <v>266</v>
      </c>
      <c r="L229" s="143">
        <v>46268</v>
      </c>
    </row>
    <row r="230" spans="1:12">
      <c r="A230" s="30">
        <v>24221740</v>
      </c>
      <c r="C230" s="69" t="s">
        <v>54</v>
      </c>
      <c r="D230" s="70">
        <v>7920.51</v>
      </c>
      <c r="E230" s="70"/>
      <c r="F230" s="70">
        <f t="shared" si="38"/>
        <v>2376.1529999999998</v>
      </c>
      <c r="G230" s="70">
        <f t="shared" si="39"/>
        <v>2376.1529999999998</v>
      </c>
      <c r="H230" s="69"/>
      <c r="I230" s="69"/>
      <c r="J230" s="70"/>
      <c r="K230" s="70" t="s">
        <v>62</v>
      </c>
      <c r="L230" s="143">
        <v>46268</v>
      </c>
    </row>
    <row r="231" spans="1:12">
      <c r="A231" s="30">
        <v>24221968</v>
      </c>
      <c r="C231" s="69" t="s">
        <v>27</v>
      </c>
      <c r="D231" s="70">
        <v>6411.47</v>
      </c>
      <c r="E231" s="70">
        <v>1776.98</v>
      </c>
      <c r="F231" s="70">
        <f>D231*0.3</f>
        <v>1923.441</v>
      </c>
      <c r="G231" s="70">
        <f>(IF(D231&lt;4172.98,0,MIN(D231*0.3,D231-4172.98)))-E231</f>
        <v>146.46100000000001</v>
      </c>
      <c r="H231" s="71">
        <v>46266</v>
      </c>
      <c r="I231" s="69" t="s">
        <v>1312</v>
      </c>
      <c r="J231" s="70">
        <v>1776.98</v>
      </c>
      <c r="K231" s="70" t="s">
        <v>358</v>
      </c>
      <c r="L231" s="143">
        <v>46268</v>
      </c>
    </row>
    <row r="232" spans="1:12">
      <c r="A232" s="72">
        <v>23617548</v>
      </c>
      <c r="B232">
        <v>5214774091654</v>
      </c>
      <c r="C232" s="69" t="s">
        <v>54</v>
      </c>
      <c r="D232" s="70">
        <v>10171.24</v>
      </c>
      <c r="E232" s="70"/>
      <c r="F232" s="70">
        <v>3051.3719999999998</v>
      </c>
      <c r="G232" s="70">
        <v>3051.3719999999998</v>
      </c>
      <c r="H232" s="69"/>
      <c r="I232" s="69"/>
      <c r="J232" s="70"/>
      <c r="K232" s="70" t="s">
        <v>348</v>
      </c>
      <c r="L232" s="143">
        <v>46268</v>
      </c>
    </row>
    <row r="233" spans="1:12">
      <c r="A233" s="72">
        <v>24207466</v>
      </c>
      <c r="B233">
        <v>5217773012399</v>
      </c>
      <c r="C233" s="69" t="s">
        <v>54</v>
      </c>
      <c r="D233" s="70">
        <v>7640.52</v>
      </c>
      <c r="E233" s="70">
        <v>848</v>
      </c>
      <c r="F233" s="70">
        <v>2292.1559999999999</v>
      </c>
      <c r="G233" s="70">
        <v>1444.1559999999999</v>
      </c>
      <c r="H233" s="69"/>
      <c r="I233" s="69"/>
      <c r="J233" s="70"/>
      <c r="K233" s="70" t="s">
        <v>327</v>
      </c>
      <c r="L233" s="143">
        <v>46268</v>
      </c>
    </row>
    <row r="234" spans="1:12">
      <c r="A234" s="30">
        <v>24222262</v>
      </c>
      <c r="C234" s="69" t="s">
        <v>54</v>
      </c>
      <c r="D234" s="70">
        <v>7913.78</v>
      </c>
      <c r="E234" s="70"/>
      <c r="F234" s="70">
        <f>D234*0.3</f>
        <v>2374.134</v>
      </c>
      <c r="G234" s="70">
        <f>(IF(D234&lt;4172.98,0,MIN(D234*0.3,D234-4172.98)))-E234</f>
        <v>2374.134</v>
      </c>
      <c r="H234" s="69"/>
      <c r="I234" s="69"/>
      <c r="J234" s="70"/>
      <c r="K234" s="70" t="s">
        <v>886</v>
      </c>
      <c r="L234" s="143">
        <v>46268</v>
      </c>
    </row>
    <row r="235" spans="1:12">
      <c r="A235" s="30">
        <v>24222542</v>
      </c>
      <c r="C235" s="69" t="s">
        <v>54</v>
      </c>
      <c r="D235" s="70">
        <v>10636.54</v>
      </c>
      <c r="E235" s="70"/>
      <c r="F235" s="70">
        <f>D235*0.3</f>
        <v>3190.962</v>
      </c>
      <c r="G235" s="70">
        <f>(IF(D235&lt;4172.98,0,MIN(D235*0.3,D235-4172.98)))-E235</f>
        <v>3190.962</v>
      </c>
      <c r="H235" s="69"/>
      <c r="I235" s="69"/>
      <c r="J235" s="70"/>
      <c r="K235" s="70" t="s">
        <v>55</v>
      </c>
      <c r="L235" s="143">
        <v>46268</v>
      </c>
    </row>
    <row r="236" spans="1:12">
      <c r="A236" s="72">
        <v>24204480</v>
      </c>
      <c r="B236">
        <v>6672088433</v>
      </c>
      <c r="C236" s="69" t="s">
        <v>54</v>
      </c>
      <c r="D236" s="70">
        <v>10636.54</v>
      </c>
      <c r="E236" s="70"/>
      <c r="F236" s="70">
        <v>3190.962</v>
      </c>
      <c r="G236" s="70">
        <v>3190.962</v>
      </c>
      <c r="H236" s="69"/>
      <c r="I236" s="69"/>
      <c r="J236" s="70"/>
      <c r="K236" s="70" t="s">
        <v>55</v>
      </c>
      <c r="L236" s="143">
        <v>46268</v>
      </c>
    </row>
    <row r="237" spans="1:12">
      <c r="A237" s="12">
        <v>24223596</v>
      </c>
      <c r="C237" s="69" t="s">
        <v>54</v>
      </c>
      <c r="D237" s="70">
        <v>12084.32</v>
      </c>
      <c r="E237" s="70"/>
      <c r="F237" s="70">
        <f>D237*0.3</f>
        <v>3625.2959999999998</v>
      </c>
      <c r="G237" s="70">
        <f>(IF(D237&lt;4172.98,0,MIN(D237*0.3,D237-4172.98)))-E237</f>
        <v>3625.2959999999998</v>
      </c>
      <c r="H237" s="69"/>
      <c r="I237" s="69"/>
      <c r="J237" s="70"/>
      <c r="K237" s="70" t="s">
        <v>28</v>
      </c>
      <c r="L237" s="143">
        <v>46268</v>
      </c>
    </row>
    <row r="238" spans="1:12">
      <c r="A238" s="30">
        <v>24223410</v>
      </c>
      <c r="C238" s="69" t="s">
        <v>38</v>
      </c>
      <c r="D238" s="70">
        <v>5017.5</v>
      </c>
      <c r="E238" s="70">
        <v>439.62</v>
      </c>
      <c r="F238" s="70">
        <f>D238*0.3</f>
        <v>1505.25</v>
      </c>
      <c r="G238" s="70">
        <f>(IF(D238&lt;4172.98,0,MIN(D238*0.3,D238-4172.98)))-E238</f>
        <v>404.90000000000043</v>
      </c>
      <c r="H238" s="71">
        <v>46966</v>
      </c>
      <c r="I238" s="69" t="s">
        <v>184</v>
      </c>
      <c r="J238" s="70">
        <v>439.62</v>
      </c>
      <c r="K238" s="70" t="s">
        <v>266</v>
      </c>
      <c r="L238" s="143">
        <v>46268</v>
      </c>
    </row>
    <row r="239" spans="1:12">
      <c r="A239" s="30">
        <v>24224150</v>
      </c>
      <c r="C239" s="69" t="s">
        <v>38</v>
      </c>
      <c r="D239" s="70">
        <v>28845.23</v>
      </c>
      <c r="E239" s="70">
        <v>8341.84</v>
      </c>
      <c r="F239" s="70">
        <f>D239*0.3</f>
        <v>8653.5689999999995</v>
      </c>
      <c r="G239" s="70">
        <f>(IF(D239&lt;4172.98,0,MIN(D239*0.3,D239-4172.98)))-E239</f>
        <v>311.72899999999936</v>
      </c>
      <c r="H239" s="71">
        <v>46692</v>
      </c>
      <c r="I239" s="69" t="s">
        <v>739</v>
      </c>
      <c r="J239" s="70">
        <v>8341.84</v>
      </c>
      <c r="K239" s="70" t="s">
        <v>266</v>
      </c>
      <c r="L239" s="143">
        <v>46268</v>
      </c>
    </row>
    <row r="240" spans="1:12">
      <c r="A240" s="30">
        <v>24224344</v>
      </c>
      <c r="C240" s="69" t="s">
        <v>34</v>
      </c>
      <c r="D240" s="70">
        <v>12564.26</v>
      </c>
      <c r="E240" s="70">
        <v>3323.97</v>
      </c>
      <c r="F240" s="70">
        <f>D240*0.3</f>
        <v>3769.2779999999998</v>
      </c>
      <c r="G240" s="70">
        <f>(IF(D240&lt;4172.98,0,MIN(D240*0.3,D240-4172.98)))-E240</f>
        <v>445.30799999999999</v>
      </c>
      <c r="H240" s="71">
        <v>45839</v>
      </c>
      <c r="I240" s="69" t="s">
        <v>141</v>
      </c>
      <c r="J240" s="70">
        <v>3323.97</v>
      </c>
      <c r="K240" s="70" t="s">
        <v>271</v>
      </c>
      <c r="L240" s="143">
        <v>46268</v>
      </c>
    </row>
    <row r="241" spans="1:12">
      <c r="A241" s="72">
        <v>24206450</v>
      </c>
      <c r="B241">
        <v>4771327985</v>
      </c>
      <c r="C241" s="69" t="s">
        <v>54</v>
      </c>
      <c r="D241" s="70">
        <v>37113.620000000003</v>
      </c>
      <c r="E241" s="70">
        <v>6190.84</v>
      </c>
      <c r="F241" s="70">
        <v>11134.086000000001</v>
      </c>
      <c r="G241" s="70">
        <v>4943.246000000001</v>
      </c>
      <c r="H241" s="69">
        <v>46935</v>
      </c>
      <c r="I241" s="69" t="s">
        <v>141</v>
      </c>
      <c r="J241" s="70"/>
      <c r="K241" s="70" t="s">
        <v>348</v>
      </c>
      <c r="L241" s="143">
        <v>46268</v>
      </c>
    </row>
    <row r="242" spans="1:12">
      <c r="A242" s="12">
        <v>24226154</v>
      </c>
      <c r="C242" s="69" t="s">
        <v>54</v>
      </c>
      <c r="D242" s="70">
        <v>10636.54</v>
      </c>
      <c r="E242" s="70"/>
      <c r="F242" s="70">
        <f>D242*0.3</f>
        <v>3190.962</v>
      </c>
      <c r="G242" s="70">
        <f>(IF(D242&lt;4172.98,0,MIN(D242*0.3,D242-4172.98)))-E242</f>
        <v>3190.962</v>
      </c>
      <c r="H242" s="69"/>
      <c r="I242" s="69"/>
      <c r="J242" s="70"/>
      <c r="K242" s="70" t="s">
        <v>28</v>
      </c>
      <c r="L242" s="143">
        <v>46268</v>
      </c>
    </row>
    <row r="243" spans="1:12">
      <c r="A243" s="30">
        <v>24226360</v>
      </c>
      <c r="C243" s="69" t="s">
        <v>54</v>
      </c>
      <c r="D243" s="70">
        <v>6947.65</v>
      </c>
      <c r="E243" s="70"/>
      <c r="F243" s="70">
        <f>D243*0.3</f>
        <v>2084.2949999999996</v>
      </c>
      <c r="G243" s="70">
        <f>(IF(D243&lt;4172.98,0,MIN(D243*0.3,D243-4172.98)))-E243</f>
        <v>2084.2949999999996</v>
      </c>
      <c r="H243" s="69"/>
      <c r="I243" s="69"/>
      <c r="J243" s="70"/>
      <c r="K243" s="70" t="s">
        <v>62</v>
      </c>
      <c r="L243" s="143">
        <v>46268</v>
      </c>
    </row>
    <row r="244" spans="1:12">
      <c r="A244" s="30">
        <v>24226318</v>
      </c>
      <c r="C244" s="69" t="s">
        <v>107</v>
      </c>
      <c r="D244" s="70">
        <v>7116.7</v>
      </c>
      <c r="E244" s="70">
        <v>1320.58</v>
      </c>
      <c r="F244" s="70">
        <f>D244*0.3</f>
        <v>2135.0099999999998</v>
      </c>
      <c r="G244" s="70">
        <f>(IF(D244&lt;4172.98,0,MIN(D244*0.3,D244-4172.98)))-E244</f>
        <v>814.42999999999984</v>
      </c>
      <c r="H244" s="71">
        <v>46143</v>
      </c>
      <c r="I244" s="69" t="s">
        <v>80</v>
      </c>
      <c r="J244" s="70">
        <v>880.27</v>
      </c>
      <c r="K244" s="138" t="s">
        <v>39</v>
      </c>
      <c r="L244" s="143">
        <v>46268</v>
      </c>
    </row>
    <row r="245" spans="1:12">
      <c r="A245" s="72">
        <v>24207116</v>
      </c>
      <c r="B245">
        <v>5219626990257</v>
      </c>
      <c r="C245" s="69" t="s">
        <v>54</v>
      </c>
      <c r="D245" s="70">
        <v>11556.65</v>
      </c>
      <c r="E245" s="70"/>
      <c r="F245" s="70">
        <v>3466.9949999999999</v>
      </c>
      <c r="G245" s="70">
        <v>3466.9949999999999</v>
      </c>
      <c r="H245" s="69"/>
      <c r="I245" s="69"/>
      <c r="J245" s="70"/>
      <c r="K245" s="70" t="s">
        <v>879</v>
      </c>
      <c r="L245" s="143">
        <v>46268</v>
      </c>
    </row>
    <row r="246" spans="1:12">
      <c r="A246" s="72">
        <v>24203946</v>
      </c>
      <c r="B246">
        <v>5217441794727</v>
      </c>
      <c r="C246" s="69" t="s">
        <v>54</v>
      </c>
      <c r="D246" s="70">
        <v>20631.71</v>
      </c>
      <c r="E246" s="70"/>
      <c r="F246" s="70">
        <v>6189.5129999999999</v>
      </c>
      <c r="G246" s="70">
        <v>6189.5129999999999</v>
      </c>
      <c r="H246" s="69"/>
      <c r="I246" s="69"/>
      <c r="J246" s="70"/>
      <c r="K246" s="70" t="s">
        <v>55</v>
      </c>
      <c r="L246" s="143">
        <v>46268</v>
      </c>
    </row>
    <row r="247" spans="1:12">
      <c r="A247" s="72">
        <v>24227018</v>
      </c>
      <c r="B247">
        <v>4611268683</v>
      </c>
      <c r="C247" s="69" t="s">
        <v>54</v>
      </c>
      <c r="D247" s="70">
        <v>10611.5</v>
      </c>
      <c r="E247" s="70"/>
      <c r="F247" s="70">
        <v>3183.45</v>
      </c>
      <c r="G247" s="70">
        <v>3183.45</v>
      </c>
      <c r="H247" s="69"/>
      <c r="I247" s="69"/>
      <c r="J247" s="70"/>
      <c r="K247" s="70" t="s">
        <v>28</v>
      </c>
      <c r="L247" s="143">
        <v>46268</v>
      </c>
    </row>
    <row r="248" spans="1:12">
      <c r="A248" s="72">
        <v>24227606</v>
      </c>
      <c r="B248">
        <v>5217821183727</v>
      </c>
      <c r="C248" s="69" t="s">
        <v>38</v>
      </c>
      <c r="D248" s="70">
        <v>4813.6899999999996</v>
      </c>
      <c r="E248" s="70"/>
      <c r="F248" s="70">
        <v>1444.1069999999997</v>
      </c>
      <c r="G248" s="70">
        <v>640.71</v>
      </c>
      <c r="H248" s="69"/>
      <c r="I248" s="69"/>
      <c r="J248" s="70"/>
      <c r="K248" s="138" t="s">
        <v>39</v>
      </c>
      <c r="L248" s="143">
        <v>46268</v>
      </c>
    </row>
    <row r="249" spans="1:12">
      <c r="A249" s="72">
        <v>24226576</v>
      </c>
      <c r="B249">
        <v>5218113875060</v>
      </c>
      <c r="C249" s="69" t="s">
        <v>27</v>
      </c>
      <c r="D249" s="70">
        <v>27772.47</v>
      </c>
      <c r="E249" s="70">
        <v>8032.26</v>
      </c>
      <c r="F249" s="70">
        <v>8331.741</v>
      </c>
      <c r="G249" s="70">
        <v>299.48099999999977</v>
      </c>
      <c r="H249" s="69">
        <v>46266</v>
      </c>
      <c r="I249" s="69" t="s">
        <v>59</v>
      </c>
      <c r="J249" s="70">
        <v>2093.4699999999998</v>
      </c>
      <c r="K249" s="70" t="s">
        <v>358</v>
      </c>
      <c r="L249" s="143">
        <v>46268</v>
      </c>
    </row>
    <row r="250" spans="1:12">
      <c r="A250" s="173">
        <v>24200218</v>
      </c>
      <c r="B250">
        <v>8180918862</v>
      </c>
      <c r="C250" t="s">
        <v>38</v>
      </c>
      <c r="D250" s="3">
        <v>41653.39</v>
      </c>
      <c r="E250" s="3">
        <v>11584.38</v>
      </c>
      <c r="F250" s="3">
        <v>12496.017</v>
      </c>
      <c r="G250" s="3">
        <v>911.63700000000063</v>
      </c>
      <c r="H250">
        <v>46388</v>
      </c>
      <c r="I250" t="s">
        <v>184</v>
      </c>
      <c r="J250" s="3">
        <v>1212.72</v>
      </c>
      <c r="K250" s="3" t="s">
        <v>266</v>
      </c>
      <c r="L250" s="47">
        <v>46268</v>
      </c>
    </row>
    <row r="251" spans="1:12">
      <c r="A251" s="72">
        <v>24220810</v>
      </c>
      <c r="B251">
        <v>5212292683184</v>
      </c>
      <c r="C251" s="69" t="s">
        <v>38</v>
      </c>
      <c r="D251" s="70">
        <v>4655.9799999999996</v>
      </c>
      <c r="E251" s="70"/>
      <c r="F251" s="70">
        <v>1396.7939999999999</v>
      </c>
      <c r="G251" s="70">
        <v>483</v>
      </c>
      <c r="H251" s="69"/>
      <c r="I251" s="69"/>
      <c r="J251" s="70"/>
      <c r="K251" s="138" t="s">
        <v>39</v>
      </c>
      <c r="L251" s="143">
        <v>46268</v>
      </c>
    </row>
    <row r="252" spans="1:12">
      <c r="A252" s="72">
        <v>24158100</v>
      </c>
      <c r="B252">
        <v>5518459927</v>
      </c>
      <c r="C252" s="69" t="s">
        <v>54</v>
      </c>
      <c r="D252" s="70">
        <v>15349.3</v>
      </c>
      <c r="E252" s="70"/>
      <c r="F252" s="70">
        <v>4604.79</v>
      </c>
      <c r="G252" s="70">
        <v>4604.79</v>
      </c>
      <c r="H252" s="69"/>
      <c r="I252" s="69"/>
      <c r="J252" s="70"/>
      <c r="K252" s="70" t="s">
        <v>348</v>
      </c>
      <c r="L252" s="143">
        <v>46268</v>
      </c>
    </row>
    <row r="253" spans="1:12">
      <c r="A253" s="72">
        <v>24228128</v>
      </c>
      <c r="B253">
        <v>5218991198526</v>
      </c>
      <c r="C253" s="69" t="s">
        <v>54</v>
      </c>
      <c r="D253" s="70">
        <v>14761.91</v>
      </c>
      <c r="E253" s="70"/>
      <c r="F253" s="70">
        <v>4428.5729999999994</v>
      </c>
      <c r="G253" s="70">
        <v>4428.5729999999994</v>
      </c>
      <c r="H253" s="69"/>
      <c r="I253" s="69"/>
      <c r="J253" s="70"/>
      <c r="K253" s="70" t="s">
        <v>55</v>
      </c>
      <c r="L253" s="143">
        <v>46268</v>
      </c>
    </row>
    <row r="254" spans="1:12">
      <c r="A254" s="30">
        <v>24229380</v>
      </c>
      <c r="C254" s="69" t="s">
        <v>54</v>
      </c>
      <c r="D254" s="70">
        <v>8539.89</v>
      </c>
      <c r="E254" s="70"/>
      <c r="F254" s="70">
        <f>D254*0.3</f>
        <v>2561.9669999999996</v>
      </c>
      <c r="G254" s="70">
        <f>(IF(D254&lt;4172.98,0,MIN(D254*0.3,D254-4172.98)))-E254</f>
        <v>2561.9669999999996</v>
      </c>
      <c r="H254" s="69"/>
      <c r="I254" s="69"/>
      <c r="J254" s="70"/>
      <c r="K254" s="70" t="s">
        <v>28</v>
      </c>
      <c r="L254" s="143">
        <v>46268</v>
      </c>
    </row>
    <row r="255" spans="1:12">
      <c r="A255" s="72">
        <v>24227570</v>
      </c>
      <c r="B255">
        <v>5217531714304</v>
      </c>
      <c r="C255" s="69" t="s">
        <v>54</v>
      </c>
      <c r="D255" s="70">
        <v>10636.54</v>
      </c>
      <c r="E255" s="70"/>
      <c r="F255" s="70">
        <v>3190.962</v>
      </c>
      <c r="G255" s="70">
        <v>3190.962</v>
      </c>
      <c r="H255" s="69"/>
      <c r="I255" s="69"/>
      <c r="J255" s="70"/>
      <c r="K255" s="70" t="s">
        <v>348</v>
      </c>
      <c r="L255" s="143">
        <v>46268</v>
      </c>
    </row>
    <row r="256" spans="1:12">
      <c r="A256" s="72">
        <v>24223350</v>
      </c>
      <c r="B256">
        <v>5218342451655</v>
      </c>
      <c r="C256" s="69" t="s">
        <v>107</v>
      </c>
      <c r="D256" s="70">
        <v>8867.99</v>
      </c>
      <c r="E256" s="70">
        <v>2565.4299999999998</v>
      </c>
      <c r="F256" s="70">
        <v>2660.3969999999999</v>
      </c>
      <c r="G256" s="70">
        <v>94.967000000000098</v>
      </c>
      <c r="H256" s="69">
        <v>46113</v>
      </c>
      <c r="I256" s="69" t="s">
        <v>1430</v>
      </c>
      <c r="J256" s="70">
        <v>375.35</v>
      </c>
      <c r="K256" s="138" t="s">
        <v>39</v>
      </c>
      <c r="L256" s="143">
        <v>46269</v>
      </c>
    </row>
    <row r="257" spans="1:12">
      <c r="A257" s="12">
        <v>24242012</v>
      </c>
      <c r="C257" s="69" t="s">
        <v>107</v>
      </c>
      <c r="D257" s="70">
        <v>8270.24</v>
      </c>
      <c r="E257" s="70">
        <v>2392.7800000000002</v>
      </c>
      <c r="F257" s="70">
        <f t="shared" ref="F257" si="40">D257*0.3</f>
        <v>2481.0719999999997</v>
      </c>
      <c r="G257" s="70">
        <f t="shared" ref="G257" si="41">(IF(D257&lt;4172.98,0,MIN(D257*0.3,D257-4172.98)))-E257</f>
        <v>88.291999999999462</v>
      </c>
      <c r="H257" s="71">
        <v>45931</v>
      </c>
      <c r="I257" s="69" t="s">
        <v>184</v>
      </c>
      <c r="J257" s="70">
        <v>576.47</v>
      </c>
      <c r="K257" s="70" t="s">
        <v>266</v>
      </c>
      <c r="L257" s="143">
        <v>46269</v>
      </c>
    </row>
    <row r="258" spans="1:12">
      <c r="A258" s="30">
        <v>24243554</v>
      </c>
      <c r="C258" s="69" t="s">
        <v>34</v>
      </c>
      <c r="D258" s="70">
        <v>6262.86</v>
      </c>
      <c r="E258" s="70">
        <v>1651.41</v>
      </c>
      <c r="F258" s="70">
        <f>D258*0.3</f>
        <v>1878.8579999999997</v>
      </c>
      <c r="G258" s="70">
        <f>(IF(D258&lt;4172.98,0,MIN(D258*0.3,D258-4172.98)))-E258</f>
        <v>227.44799999999964</v>
      </c>
      <c r="H258" s="71">
        <v>45778</v>
      </c>
      <c r="I258" s="69" t="s">
        <v>141</v>
      </c>
      <c r="J258" s="70">
        <v>1651.41</v>
      </c>
      <c r="K258" s="70" t="s">
        <v>271</v>
      </c>
      <c r="L258" s="143">
        <v>46269</v>
      </c>
    </row>
    <row r="259" spans="1:12">
      <c r="A259" s="72">
        <v>24214946</v>
      </c>
      <c r="B259">
        <v>2214102702</v>
      </c>
      <c r="C259" s="69" t="s">
        <v>38</v>
      </c>
      <c r="D259" s="70">
        <v>5055.87</v>
      </c>
      <c r="E259" s="70"/>
      <c r="F259" s="70">
        <v>1516.761</v>
      </c>
      <c r="G259" s="70">
        <v>882.89000000000033</v>
      </c>
      <c r="H259" s="69"/>
      <c r="I259" s="69"/>
      <c r="J259" s="70"/>
      <c r="K259" s="138" t="s">
        <v>39</v>
      </c>
      <c r="L259" s="143">
        <v>46269</v>
      </c>
    </row>
    <row r="260" spans="1:12">
      <c r="A260" s="12">
        <v>24241430</v>
      </c>
      <c r="C260" s="69" t="s">
        <v>54</v>
      </c>
      <c r="D260" s="70">
        <v>6262.86</v>
      </c>
      <c r="E260" s="70"/>
      <c r="F260" s="70">
        <f t="shared" ref="F260" si="42">D260*0.3</f>
        <v>1878.8579999999997</v>
      </c>
      <c r="G260" s="70">
        <f t="shared" ref="G260" si="43">(IF(D260&lt;4172.98,0,MIN(D260*0.3,D260-4172.98)))-E260</f>
        <v>1878.8579999999997</v>
      </c>
      <c r="H260" s="69"/>
      <c r="I260" s="69"/>
      <c r="J260" s="70"/>
      <c r="K260" s="70" t="s">
        <v>327</v>
      </c>
      <c r="L260" s="143">
        <v>46269</v>
      </c>
    </row>
    <row r="261" spans="1:12">
      <c r="A261" s="30">
        <v>24243982</v>
      </c>
      <c r="C261" s="69" t="s">
        <v>54</v>
      </c>
      <c r="D261" s="70">
        <v>6270</v>
      </c>
      <c r="E261" s="70"/>
      <c r="F261" s="70">
        <f>D261*0.3</f>
        <v>1881</v>
      </c>
      <c r="G261" s="70">
        <f>(IF(D261&lt;4172.98,0,MIN(D261*0.3,D261-4172.98)))-E261</f>
        <v>1881</v>
      </c>
      <c r="H261" s="69"/>
      <c r="I261" s="69"/>
      <c r="J261" s="70"/>
      <c r="K261" s="70" t="s">
        <v>62</v>
      </c>
      <c r="L261" s="143">
        <v>46269</v>
      </c>
    </row>
    <row r="262" spans="1:12">
      <c r="A262" s="72">
        <v>23125936</v>
      </c>
      <c r="B262">
        <v>5214561276585</v>
      </c>
      <c r="C262" s="69" t="s">
        <v>54</v>
      </c>
      <c r="D262" s="70">
        <v>7920.51</v>
      </c>
      <c r="E262" s="70"/>
      <c r="F262" s="70">
        <v>2376.1529999999998</v>
      </c>
      <c r="G262" s="70">
        <v>2376.1529999999998</v>
      </c>
      <c r="H262" s="69"/>
      <c r="I262" s="69"/>
      <c r="J262" s="70"/>
      <c r="K262" s="70" t="s">
        <v>1091</v>
      </c>
      <c r="L262" s="143">
        <v>46269</v>
      </c>
    </row>
    <row r="263" spans="1:12">
      <c r="A263" s="12">
        <v>24229996</v>
      </c>
      <c r="C263" s="69" t="s">
        <v>54</v>
      </c>
      <c r="D263" s="70">
        <v>38631.31</v>
      </c>
      <c r="E263" s="70"/>
      <c r="F263" s="70">
        <f t="shared" ref="F263" si="44">D263*0.3</f>
        <v>11589.392999999998</v>
      </c>
      <c r="G263" s="70">
        <f t="shared" ref="G263" si="45">(IF(D263&lt;4172.98,0,MIN(D263*0.3,D263-4172.98)))-E263</f>
        <v>11589.392999999998</v>
      </c>
      <c r="H263" s="69"/>
      <c r="I263" s="69"/>
      <c r="J263" s="70"/>
      <c r="K263" s="70" t="s">
        <v>879</v>
      </c>
      <c r="L263" s="143">
        <v>46269</v>
      </c>
    </row>
    <row r="264" spans="1:12">
      <c r="A264" s="72">
        <v>24230346</v>
      </c>
      <c r="B264">
        <v>5218140070510</v>
      </c>
      <c r="C264" s="69" t="s">
        <v>27</v>
      </c>
      <c r="D264" s="70">
        <v>9081.52</v>
      </c>
      <c r="E264" s="70">
        <v>2521.35</v>
      </c>
      <c r="F264" s="70">
        <v>2724.4560000000001</v>
      </c>
      <c r="G264" s="70">
        <v>203.10600000000022</v>
      </c>
      <c r="H264" s="69">
        <v>46204</v>
      </c>
      <c r="I264" s="69" t="s">
        <v>44</v>
      </c>
      <c r="J264" s="70">
        <v>2521.35</v>
      </c>
      <c r="K264" s="70" t="s">
        <v>98</v>
      </c>
      <c r="L264" s="143">
        <v>46269</v>
      </c>
    </row>
    <row r="265" spans="1:12">
      <c r="A265" s="30">
        <v>24245026</v>
      </c>
      <c r="C265" s="69" t="s">
        <v>54</v>
      </c>
      <c r="D265" s="70">
        <v>9081.52</v>
      </c>
      <c r="E265" s="70"/>
      <c r="F265" s="70">
        <f>D265*0.3</f>
        <v>2724.4560000000001</v>
      </c>
      <c r="G265" s="70">
        <f>(IF(D265&lt;4172.98,0,MIN(D265*0.3,D265-4172.98)))-E265</f>
        <v>2724.4560000000001</v>
      </c>
      <c r="H265" s="69"/>
      <c r="I265" s="69"/>
      <c r="J265" s="70"/>
      <c r="K265" s="70" t="s">
        <v>1080</v>
      </c>
      <c r="L265" s="143">
        <v>46269</v>
      </c>
    </row>
    <row r="266" spans="1:12">
      <c r="A266" s="30">
        <v>24245628</v>
      </c>
      <c r="C266" s="69" t="s">
        <v>54</v>
      </c>
      <c r="D266" s="70">
        <v>15275.98</v>
      </c>
      <c r="E266" s="70"/>
      <c r="F266" s="70">
        <f>D266*0.3</f>
        <v>4582.7939999999999</v>
      </c>
      <c r="G266" s="70">
        <f>(IF(D266&lt;4172.98,0,MIN(D266*0.3,D266-4172.98)))-E266</f>
        <v>4582.7939999999999</v>
      </c>
      <c r="H266" s="69"/>
      <c r="I266" s="69"/>
      <c r="J266" s="70"/>
      <c r="K266" s="70" t="s">
        <v>886</v>
      </c>
      <c r="L266" s="143">
        <v>46269</v>
      </c>
    </row>
    <row r="267" spans="1:12">
      <c r="A267" s="72">
        <v>24244176</v>
      </c>
      <c r="B267">
        <v>5218123546867</v>
      </c>
      <c r="C267" s="69" t="s">
        <v>54</v>
      </c>
      <c r="D267" s="70">
        <v>53488.78</v>
      </c>
      <c r="E267" s="70">
        <v>9330.6299999999992</v>
      </c>
      <c r="F267" s="70">
        <v>16046.633999999998</v>
      </c>
      <c r="G267" s="70">
        <v>6716.003999999999</v>
      </c>
      <c r="H267" s="69">
        <v>46266</v>
      </c>
      <c r="I267" s="69" t="s">
        <v>44</v>
      </c>
      <c r="J267" s="70">
        <v>2151.67</v>
      </c>
      <c r="K267" s="70" t="s">
        <v>35</v>
      </c>
      <c r="L267" s="143">
        <v>46269</v>
      </c>
    </row>
    <row r="268" spans="1:12">
      <c r="A268" s="72">
        <v>24244458</v>
      </c>
      <c r="B268">
        <v>5217711597802</v>
      </c>
      <c r="C268" s="69" t="s">
        <v>54</v>
      </c>
      <c r="D268" s="70">
        <v>9081.52</v>
      </c>
      <c r="E268" s="70"/>
      <c r="F268" s="70">
        <v>2724.4560000000001</v>
      </c>
      <c r="G268" s="70">
        <v>2724.4560000000001</v>
      </c>
      <c r="H268" s="69"/>
      <c r="I268" s="69"/>
      <c r="J268" s="70"/>
      <c r="K268" s="70" t="s">
        <v>1091</v>
      </c>
      <c r="L268" s="143">
        <v>46269</v>
      </c>
    </row>
    <row r="269" spans="1:12">
      <c r="A269" s="72">
        <v>24206152</v>
      </c>
      <c r="B269">
        <v>6562784920</v>
      </c>
      <c r="C269" s="69" t="s">
        <v>34</v>
      </c>
      <c r="D269" s="70">
        <v>7130.14</v>
      </c>
      <c r="E269" s="70">
        <v>1889.44</v>
      </c>
      <c r="F269" s="70">
        <v>2139.0419999999999</v>
      </c>
      <c r="G269" s="70">
        <v>249.60199999999986</v>
      </c>
      <c r="H269" s="69">
        <v>45748</v>
      </c>
      <c r="I269" s="69" t="s">
        <v>141</v>
      </c>
      <c r="J269" s="70">
        <v>1889.44</v>
      </c>
      <c r="K269" s="70" t="s">
        <v>271</v>
      </c>
      <c r="L269" s="143">
        <v>46269</v>
      </c>
    </row>
    <row r="270" spans="1:12">
      <c r="A270" s="30">
        <v>24246328</v>
      </c>
      <c r="C270" s="69" t="s">
        <v>54</v>
      </c>
      <c r="D270" s="70">
        <v>10636.54</v>
      </c>
      <c r="E270" s="70"/>
      <c r="F270" s="70">
        <f>D270*0.3</f>
        <v>3190.962</v>
      </c>
      <c r="G270" s="70">
        <f>(IF(D270&lt;4172.98,0,MIN(D270*0.3,D270-4172.98)))-E270</f>
        <v>3190.962</v>
      </c>
      <c r="H270" s="69"/>
      <c r="I270" s="69"/>
      <c r="J270" s="70"/>
      <c r="K270" s="70" t="s">
        <v>886</v>
      </c>
      <c r="L270" s="143">
        <v>46269</v>
      </c>
    </row>
    <row r="271" spans="1:12">
      <c r="A271" s="72">
        <v>24243322</v>
      </c>
      <c r="B271">
        <v>5214921605973</v>
      </c>
      <c r="C271" s="69" t="s">
        <v>54</v>
      </c>
      <c r="D271" s="70">
        <v>9760.32</v>
      </c>
      <c r="E271" s="70">
        <v>848</v>
      </c>
      <c r="F271" s="70">
        <v>2928.096</v>
      </c>
      <c r="G271" s="70">
        <v>2080.096</v>
      </c>
      <c r="H271" s="69"/>
      <c r="I271" s="69"/>
      <c r="J271" s="70"/>
      <c r="K271" s="70" t="s">
        <v>1080</v>
      </c>
      <c r="L271" s="143">
        <v>46269</v>
      </c>
    </row>
    <row r="272" spans="1:12">
      <c r="A272" s="72">
        <v>24245006</v>
      </c>
      <c r="B272">
        <v>5219992633274</v>
      </c>
      <c r="C272" s="69" t="s">
        <v>38</v>
      </c>
      <c r="D272" s="70">
        <v>6597.97</v>
      </c>
      <c r="E272" s="70">
        <v>879</v>
      </c>
      <c r="F272" s="70">
        <v>1979.3910000000001</v>
      </c>
      <c r="G272" s="70">
        <v>1100.3910000000001</v>
      </c>
      <c r="H272" s="69"/>
      <c r="I272" s="69"/>
      <c r="J272" s="70"/>
      <c r="K272" s="70" t="s">
        <v>266</v>
      </c>
      <c r="L272" s="143">
        <v>46269</v>
      </c>
    </row>
    <row r="273" spans="1:12">
      <c r="A273" s="72">
        <v>24226786</v>
      </c>
      <c r="B273">
        <v>2462621079</v>
      </c>
      <c r="C273" s="69" t="s">
        <v>27</v>
      </c>
      <c r="D273" s="70">
        <v>15296.62</v>
      </c>
      <c r="E273" s="70">
        <v>4233.8500000000004</v>
      </c>
      <c r="F273" s="70">
        <v>4588.9859999999999</v>
      </c>
      <c r="G273" s="70">
        <v>355.13599999999951</v>
      </c>
      <c r="H273" s="69">
        <v>46266</v>
      </c>
      <c r="I273" s="69" t="s">
        <v>1312</v>
      </c>
      <c r="J273" s="70">
        <v>3136.92</v>
      </c>
      <c r="K273" s="70" t="s">
        <v>90</v>
      </c>
      <c r="L273" s="143">
        <v>46269</v>
      </c>
    </row>
    <row r="274" spans="1:12">
      <c r="A274" s="30">
        <v>24246764</v>
      </c>
      <c r="C274" s="69" t="s">
        <v>38</v>
      </c>
      <c r="D274" s="70">
        <v>5877.47</v>
      </c>
      <c r="E274" s="70">
        <v>550.1</v>
      </c>
      <c r="F274" s="70">
        <f>D274*0.3</f>
        <v>1763.241</v>
      </c>
      <c r="G274" s="70">
        <f>(IF(D274&lt;4172.98,0,MIN(D274*0.3,D274-4172.98)))-E274</f>
        <v>1154.3900000000008</v>
      </c>
      <c r="H274" s="71">
        <v>46935</v>
      </c>
      <c r="I274" s="69" t="s">
        <v>43</v>
      </c>
      <c r="J274" s="70">
        <v>366.19</v>
      </c>
      <c r="K274" s="138" t="s">
        <v>39</v>
      </c>
      <c r="L274" s="143">
        <v>46269</v>
      </c>
    </row>
    <row r="275" spans="1:12">
      <c r="A275" s="72">
        <v>24176964</v>
      </c>
      <c r="B275">
        <v>5215568856619</v>
      </c>
      <c r="C275" s="69" t="s">
        <v>34</v>
      </c>
      <c r="D275" s="70">
        <v>19894.73</v>
      </c>
      <c r="E275" s="70">
        <v>5587.79</v>
      </c>
      <c r="F275" s="70">
        <v>5968.4189999999999</v>
      </c>
      <c r="G275" s="70">
        <v>380.62899999999991</v>
      </c>
      <c r="H275" s="69">
        <v>45689</v>
      </c>
      <c r="I275" s="69" t="s">
        <v>80</v>
      </c>
      <c r="J275" s="70">
        <v>985</v>
      </c>
      <c r="K275" s="70" t="s">
        <v>271</v>
      </c>
      <c r="L275" s="143">
        <v>46269</v>
      </c>
    </row>
    <row r="276" spans="1:12">
      <c r="A276" s="72">
        <v>24225990</v>
      </c>
      <c r="B276">
        <v>5216141724550</v>
      </c>
      <c r="C276" s="69" t="s">
        <v>54</v>
      </c>
      <c r="D276" s="70">
        <v>10636.54</v>
      </c>
      <c r="E276" s="70"/>
      <c r="F276" s="70">
        <v>3190.962</v>
      </c>
      <c r="G276" s="70">
        <v>3190.962</v>
      </c>
      <c r="H276" s="69"/>
      <c r="I276" s="69"/>
      <c r="J276" s="70"/>
      <c r="K276" s="70" t="s">
        <v>879</v>
      </c>
      <c r="L276" s="143">
        <v>46269</v>
      </c>
    </row>
    <row r="277" spans="1:12">
      <c r="A277" s="30">
        <v>24249094</v>
      </c>
      <c r="C277" s="69" t="s">
        <v>54</v>
      </c>
      <c r="D277" s="70">
        <v>6411.47</v>
      </c>
      <c r="E277" s="70"/>
      <c r="F277" s="70">
        <f>D277*0.3</f>
        <v>1923.441</v>
      </c>
      <c r="G277" s="70">
        <f>(IF(D277&lt;4172.98,0,MIN(D277*0.3,D277-4172.98)))-E277</f>
        <v>1923.441</v>
      </c>
      <c r="H277" s="69"/>
      <c r="I277" s="69"/>
      <c r="J277" s="70"/>
      <c r="K277" s="70" t="s">
        <v>62</v>
      </c>
      <c r="L277" s="143">
        <v>46269</v>
      </c>
    </row>
    <row r="278" spans="1:12">
      <c r="A278" s="30">
        <v>24249652</v>
      </c>
      <c r="C278" s="69" t="s">
        <v>38</v>
      </c>
      <c r="D278" s="70">
        <v>5661.69</v>
      </c>
      <c r="E278" s="70">
        <v>848</v>
      </c>
      <c r="F278" s="70">
        <f>D278*0.3</f>
        <v>1698.5069999999998</v>
      </c>
      <c r="G278" s="70">
        <f>(IF(D278&lt;4172.98,0,MIN(D278*0.3,D278-4172.98)))-E278</f>
        <v>640.71</v>
      </c>
      <c r="H278" s="69"/>
      <c r="I278" s="69"/>
      <c r="J278" s="70"/>
      <c r="K278" s="70" t="s">
        <v>266</v>
      </c>
      <c r="L278" s="143">
        <v>46269</v>
      </c>
    </row>
    <row r="279" spans="1:12">
      <c r="A279" s="72">
        <v>24244374</v>
      </c>
      <c r="B279">
        <v>5214443030485</v>
      </c>
      <c r="C279" s="69" t="s">
        <v>38</v>
      </c>
      <c r="D279" s="70">
        <v>35760.720000000001</v>
      </c>
      <c r="E279" s="70">
        <v>9897.2900000000009</v>
      </c>
      <c r="F279" s="70">
        <v>10728.216</v>
      </c>
      <c r="G279" s="70">
        <v>830.92599999999948</v>
      </c>
      <c r="H279" s="69">
        <v>46388</v>
      </c>
      <c r="I279" s="69" t="s">
        <v>75</v>
      </c>
      <c r="J279" s="70">
        <v>9897.2900000000009</v>
      </c>
      <c r="K279" s="70" t="s">
        <v>266</v>
      </c>
      <c r="L279" s="143">
        <v>46269</v>
      </c>
    </row>
    <row r="280" spans="1:12">
      <c r="A280" s="72">
        <v>24249284</v>
      </c>
      <c r="B280">
        <v>5212223303622</v>
      </c>
      <c r="C280" s="69" t="s">
        <v>34</v>
      </c>
      <c r="D280" s="70">
        <v>48861.279999999999</v>
      </c>
      <c r="E280" s="70">
        <v>14648.88</v>
      </c>
      <c r="F280" s="70">
        <v>14658.384</v>
      </c>
      <c r="G280" s="70">
        <v>9.5040000000008149</v>
      </c>
      <c r="H280" s="69">
        <v>46266</v>
      </c>
      <c r="I280" s="69" t="s">
        <v>43</v>
      </c>
      <c r="J280" s="70">
        <v>11137.34</v>
      </c>
      <c r="K280" s="70" t="s">
        <v>35</v>
      </c>
      <c r="L280" s="143">
        <v>46269</v>
      </c>
    </row>
    <row r="281" spans="1:12">
      <c r="A281" s="72">
        <v>24249576</v>
      </c>
      <c r="B281">
        <v>5214434847427</v>
      </c>
      <c r="C281" s="69" t="s">
        <v>54</v>
      </c>
      <c r="D281" s="70">
        <v>15040.24</v>
      </c>
      <c r="E281" s="70"/>
      <c r="F281" s="70">
        <v>4512.0720000000001</v>
      </c>
      <c r="G281" s="70">
        <v>4512.0720000000001</v>
      </c>
      <c r="H281" s="69"/>
      <c r="I281" s="69"/>
      <c r="J281" s="70"/>
      <c r="K281" s="70" t="s">
        <v>886</v>
      </c>
      <c r="L281" s="143">
        <v>46269</v>
      </c>
    </row>
    <row r="282" spans="1:12">
      <c r="A282" s="72">
        <v>24234396</v>
      </c>
      <c r="B282">
        <v>5215536432694</v>
      </c>
      <c r="C282" s="69" t="s">
        <v>54</v>
      </c>
      <c r="D282" s="70">
        <v>10636.54</v>
      </c>
      <c r="E282" s="70"/>
      <c r="F282" s="70">
        <v>3190.962</v>
      </c>
      <c r="G282" s="70">
        <v>3190.962</v>
      </c>
      <c r="H282" s="69"/>
      <c r="I282" s="69"/>
      <c r="J282" s="70"/>
      <c r="K282" s="70" t="s">
        <v>886</v>
      </c>
      <c r="L282" s="143">
        <v>46269</v>
      </c>
    </row>
    <row r="283" spans="1:12">
      <c r="A283" s="72">
        <v>24244968</v>
      </c>
      <c r="B283">
        <v>5216444611461</v>
      </c>
      <c r="C283" s="69" t="s">
        <v>54</v>
      </c>
      <c r="D283" s="70">
        <v>10636.54</v>
      </c>
      <c r="E283" s="70">
        <v>1838.87</v>
      </c>
      <c r="F283" s="70">
        <v>3190.962</v>
      </c>
      <c r="G283" s="70">
        <v>1352.0920000000001</v>
      </c>
      <c r="H283" s="69">
        <v>46905</v>
      </c>
      <c r="I283" s="69" t="s">
        <v>1312</v>
      </c>
      <c r="J283" s="70">
        <v>1838.87</v>
      </c>
      <c r="K283" s="70" t="s">
        <v>358</v>
      </c>
      <c r="L283" s="143">
        <v>46269</v>
      </c>
    </row>
    <row r="284" spans="1:12">
      <c r="A284" s="72">
        <v>24247884</v>
      </c>
      <c r="B284">
        <v>8715016732</v>
      </c>
      <c r="C284" s="69" t="s">
        <v>54</v>
      </c>
      <c r="D284" s="70">
        <v>9760.32</v>
      </c>
      <c r="E284" s="70"/>
      <c r="F284" s="70">
        <v>2928.096</v>
      </c>
      <c r="G284" s="70">
        <v>2928.096</v>
      </c>
      <c r="H284" s="69"/>
      <c r="I284" s="69"/>
      <c r="J284" s="70"/>
      <c r="K284" s="70" t="s">
        <v>1091</v>
      </c>
      <c r="L284" s="143">
        <v>46269</v>
      </c>
    </row>
    <row r="285" spans="1:12">
      <c r="A285" s="30">
        <v>24252242</v>
      </c>
      <c r="C285" s="69" t="s">
        <v>54</v>
      </c>
      <c r="D285" s="70">
        <v>7135.6</v>
      </c>
      <c r="E285" s="70">
        <v>732.38</v>
      </c>
      <c r="F285" s="70">
        <f>D285*0.3</f>
        <v>2140.6799999999998</v>
      </c>
      <c r="G285" s="70">
        <f>(IF(D285&lt;4172.98,0,MIN(D285*0.3,D285-4172.98)))-E285</f>
        <v>1408.2999999999997</v>
      </c>
      <c r="H285" s="71">
        <v>46935</v>
      </c>
      <c r="I285" s="69" t="s">
        <v>43</v>
      </c>
      <c r="J285" s="70">
        <v>732.38</v>
      </c>
      <c r="K285" s="70" t="s">
        <v>327</v>
      </c>
      <c r="L285" s="143">
        <v>46269</v>
      </c>
    </row>
    <row r="286" spans="1:12">
      <c r="A286" s="30">
        <v>24252674</v>
      </c>
      <c r="C286" s="69" t="s">
        <v>54</v>
      </c>
      <c r="D286" s="70">
        <v>25665.59</v>
      </c>
      <c r="E286" s="70"/>
      <c r="F286" s="70">
        <f>D286*0.3</f>
        <v>7699.6769999999997</v>
      </c>
      <c r="G286" s="70">
        <f>(IF(D286&lt;4172.98,0,MIN(D286*0.3,D286-4172.98)))-E286</f>
        <v>7699.6769999999997</v>
      </c>
      <c r="H286" s="69"/>
      <c r="I286" s="69"/>
      <c r="J286" s="70"/>
      <c r="K286" s="70" t="s">
        <v>35</v>
      </c>
      <c r="L286" s="143">
        <v>46269</v>
      </c>
    </row>
    <row r="287" spans="1:12">
      <c r="A287" s="30">
        <v>24252178</v>
      </c>
      <c r="C287" s="69" t="s">
        <v>54</v>
      </c>
      <c r="D287" s="70">
        <v>5617.63</v>
      </c>
      <c r="E287" s="70"/>
      <c r="F287" s="70">
        <f>D287*0.3</f>
        <v>1685.289</v>
      </c>
      <c r="G287" s="70">
        <f>(IF(D287&lt;4172.98,0,MIN(D287*0.3,D287-4172.98)))-E287</f>
        <v>1444.6500000000005</v>
      </c>
      <c r="H287" s="69"/>
      <c r="I287" s="69"/>
      <c r="J287" s="70"/>
      <c r="K287" s="70" t="s">
        <v>358</v>
      </c>
      <c r="L287" s="143">
        <v>46269</v>
      </c>
    </row>
    <row r="288" spans="1:12">
      <c r="A288" s="72">
        <v>24188300</v>
      </c>
      <c r="B288">
        <v>9994168549</v>
      </c>
      <c r="C288" s="69" t="s">
        <v>38</v>
      </c>
      <c r="D288" s="70">
        <v>57164.22</v>
      </c>
      <c r="E288" s="70">
        <v>16537.990000000002</v>
      </c>
      <c r="F288" s="70">
        <v>17149.266</v>
      </c>
      <c r="G288" s="70">
        <v>611.27599999999802</v>
      </c>
      <c r="H288" s="69">
        <v>46661</v>
      </c>
      <c r="I288" s="69" t="s">
        <v>1312</v>
      </c>
      <c r="J288" s="70">
        <v>16537.990000000002</v>
      </c>
      <c r="K288" s="70" t="s">
        <v>266</v>
      </c>
      <c r="L288" s="143">
        <v>46269</v>
      </c>
    </row>
    <row r="289" spans="1:12">
      <c r="A289" s="72">
        <v>24241280</v>
      </c>
      <c r="B289">
        <v>5217822088561</v>
      </c>
      <c r="C289" s="69" t="s">
        <v>27</v>
      </c>
      <c r="D289" s="70">
        <v>7920.51</v>
      </c>
      <c r="E289" s="70">
        <v>2047.45</v>
      </c>
      <c r="F289" s="70">
        <v>2376.1999999999998</v>
      </c>
      <c r="G289" s="70">
        <v>328.7</v>
      </c>
      <c r="H289" s="143">
        <v>46204</v>
      </c>
      <c r="I289" s="69" t="s">
        <v>75</v>
      </c>
      <c r="J289" s="70">
        <v>2047.45</v>
      </c>
      <c r="K289" s="70" t="s">
        <v>98</v>
      </c>
      <c r="L289" s="143">
        <v>46269</v>
      </c>
    </row>
    <row r="290" spans="1:12">
      <c r="A290" s="72">
        <v>23572932</v>
      </c>
      <c r="B290">
        <v>5213171120099</v>
      </c>
      <c r="C290" s="69" t="s">
        <v>54</v>
      </c>
      <c r="D290" s="70">
        <v>17504.68</v>
      </c>
      <c r="E290" s="70"/>
      <c r="F290" s="70">
        <v>5251.4039999999995</v>
      </c>
      <c r="G290" s="70">
        <v>5251.4039999999995</v>
      </c>
      <c r="H290" s="69"/>
      <c r="I290" s="69"/>
      <c r="J290" s="70"/>
      <c r="K290" s="70" t="s">
        <v>879</v>
      </c>
      <c r="L290" s="143">
        <v>46269</v>
      </c>
    </row>
    <row r="291" spans="1:12">
      <c r="A291" s="72">
        <v>24241450</v>
      </c>
      <c r="B291">
        <v>5213323949104</v>
      </c>
      <c r="C291" s="69" t="s">
        <v>54</v>
      </c>
      <c r="D291" s="70">
        <v>7116.73</v>
      </c>
      <c r="E291" s="70">
        <v>879</v>
      </c>
      <c r="F291" s="70">
        <v>2135.0189999999998</v>
      </c>
      <c r="G291" s="70">
        <v>1256.0189999999998</v>
      </c>
      <c r="H291" s="69"/>
      <c r="I291" s="69"/>
      <c r="J291" s="70"/>
      <c r="K291" s="70" t="s">
        <v>62</v>
      </c>
      <c r="L291" s="143">
        <v>46269</v>
      </c>
    </row>
    <row r="292" spans="1:12">
      <c r="A292" s="72">
        <v>24229610</v>
      </c>
      <c r="B292">
        <v>5215523227383</v>
      </c>
      <c r="C292" s="69" t="s">
        <v>27</v>
      </c>
      <c r="D292" s="70">
        <v>23587.89</v>
      </c>
      <c r="E292" s="70">
        <v>6548.63</v>
      </c>
      <c r="F292" s="70">
        <v>7076.3669999999993</v>
      </c>
      <c r="G292" s="70">
        <v>527.73699999999917</v>
      </c>
      <c r="H292" s="69">
        <v>46174</v>
      </c>
      <c r="I292" s="69" t="s">
        <v>59</v>
      </c>
      <c r="J292" s="70">
        <v>6548.63</v>
      </c>
      <c r="K292" s="70" t="s">
        <v>90</v>
      </c>
      <c r="L292" s="143">
        <v>46269</v>
      </c>
    </row>
    <row r="293" spans="1:12">
      <c r="A293" s="72">
        <v>24233618</v>
      </c>
      <c r="B293">
        <v>5215527702203</v>
      </c>
      <c r="C293" s="69" t="s">
        <v>54</v>
      </c>
      <c r="D293" s="70">
        <v>40117.99</v>
      </c>
      <c r="E293" s="70"/>
      <c r="F293" s="70">
        <v>12035.396999999999</v>
      </c>
      <c r="G293" s="70">
        <v>12035.396999999999</v>
      </c>
      <c r="H293" s="69"/>
      <c r="I293" s="69"/>
      <c r="J293" s="70"/>
      <c r="K293" s="70" t="s">
        <v>35</v>
      </c>
      <c r="L293" s="143">
        <v>46269</v>
      </c>
    </row>
    <row r="294" spans="1:12">
      <c r="A294" s="72">
        <v>24250102</v>
      </c>
      <c r="B294">
        <v>5213421078956</v>
      </c>
      <c r="C294" s="69" t="s">
        <v>54</v>
      </c>
      <c r="D294" s="70">
        <v>10636.54</v>
      </c>
      <c r="E294" s="70"/>
      <c r="F294" s="70">
        <v>3190.962</v>
      </c>
      <c r="G294" s="70">
        <v>3190.962</v>
      </c>
      <c r="H294" s="69"/>
      <c r="I294" s="69"/>
      <c r="J294" s="70"/>
      <c r="K294" s="70" t="s">
        <v>879</v>
      </c>
      <c r="L294" s="143">
        <v>46269</v>
      </c>
    </row>
    <row r="295" spans="1:12">
      <c r="A295" s="30">
        <v>24254140</v>
      </c>
      <c r="C295" s="69" t="s">
        <v>54</v>
      </c>
      <c r="D295" s="70">
        <v>10636.54</v>
      </c>
      <c r="E295" s="70"/>
      <c r="F295" s="70">
        <f>D295*0.3</f>
        <v>3190.962</v>
      </c>
      <c r="G295" s="70">
        <f>(IF(D295&lt;4172.98,0,MIN(D295*0.3,D295-4172.98)))-E295</f>
        <v>3190.962</v>
      </c>
      <c r="H295" s="69"/>
      <c r="I295" s="69"/>
      <c r="J295" s="70"/>
      <c r="K295" s="70" t="s">
        <v>35</v>
      </c>
      <c r="L295" s="143">
        <v>46269</v>
      </c>
    </row>
    <row r="296" spans="1:12">
      <c r="A296" s="72">
        <v>24243294</v>
      </c>
      <c r="B296">
        <v>5217331258213</v>
      </c>
      <c r="C296" s="69" t="s">
        <v>54</v>
      </c>
      <c r="D296" s="70">
        <v>7920.51</v>
      </c>
      <c r="E296" s="70"/>
      <c r="F296" s="70">
        <v>2376.1529999999998</v>
      </c>
      <c r="G296" s="70">
        <v>2376.1529999999998</v>
      </c>
      <c r="H296" s="69"/>
      <c r="I296" s="69"/>
      <c r="J296" s="70"/>
      <c r="K296" s="70" t="s">
        <v>358</v>
      </c>
      <c r="L296" s="143">
        <v>46269</v>
      </c>
    </row>
    <row r="297" spans="1:12">
      <c r="A297" s="12">
        <v>24258116</v>
      </c>
      <c r="C297" s="69" t="s">
        <v>54</v>
      </c>
      <c r="D297" s="70">
        <v>29639.040000000001</v>
      </c>
      <c r="E297" s="70">
        <v>2423.7600000000002</v>
      </c>
      <c r="F297" s="70">
        <f>D297*0.3</f>
        <v>8891.7119999999995</v>
      </c>
      <c r="G297" s="70">
        <f>(IF(D297&lt;4172.98,0,MIN(D297*0.3,D297-4172.98)))-E297</f>
        <v>6467.9519999999993</v>
      </c>
      <c r="H297" s="71">
        <v>46935</v>
      </c>
      <c r="I297" s="69" t="s">
        <v>75</v>
      </c>
      <c r="J297" s="70">
        <v>2423.7600000000002</v>
      </c>
      <c r="K297" s="70" t="s">
        <v>879</v>
      </c>
      <c r="L297" s="143">
        <v>46270</v>
      </c>
    </row>
    <row r="298" spans="1:12">
      <c r="A298" s="30">
        <v>24258262</v>
      </c>
      <c r="C298" s="69" t="s">
        <v>38</v>
      </c>
      <c r="D298" s="70">
        <v>9760.32</v>
      </c>
      <c r="E298" s="70">
        <v>1770.78</v>
      </c>
      <c r="F298" s="70">
        <f>D298*0.3</f>
        <v>2928.096</v>
      </c>
      <c r="G298" s="70">
        <f>(IF(D298&lt;4172.98,0,MIN(D298*0.3,D298-4172.98)))-E298</f>
        <v>1157.316</v>
      </c>
      <c r="H298" s="71">
        <v>46935</v>
      </c>
      <c r="I298" s="69" t="s">
        <v>59</v>
      </c>
      <c r="J298" s="70">
        <v>1770.78</v>
      </c>
      <c r="K298" s="138" t="s">
        <v>39</v>
      </c>
      <c r="L298" s="143">
        <v>46270</v>
      </c>
    </row>
    <row r="299" spans="1:12">
      <c r="A299" s="12">
        <v>24256640</v>
      </c>
      <c r="C299" s="69" t="s">
        <v>54</v>
      </c>
      <c r="D299" s="70">
        <v>6239.68</v>
      </c>
      <c r="E299" s="70"/>
      <c r="F299" s="70">
        <f>D299*0.3</f>
        <v>1871.904</v>
      </c>
      <c r="G299" s="70">
        <f>(IF(D299&lt;4172.98,0,MIN(D299*0.3,D299-4172.98)))-E299</f>
        <v>1871.904</v>
      </c>
      <c r="H299" s="69"/>
      <c r="I299" s="69"/>
      <c r="J299" s="70"/>
      <c r="K299" s="70" t="s">
        <v>358</v>
      </c>
      <c r="L299" s="143">
        <v>46270</v>
      </c>
    </row>
    <row r="300" spans="1:12">
      <c r="A300" s="12">
        <v>24257216</v>
      </c>
      <c r="C300" s="69" t="s">
        <v>54</v>
      </c>
      <c r="D300" s="70">
        <v>5465.89</v>
      </c>
      <c r="E300" s="70"/>
      <c r="F300" s="70">
        <f>D300*0.3</f>
        <v>1639.7670000000001</v>
      </c>
      <c r="G300" s="70">
        <f>(IF(D300&lt;4172.98,0,MIN(D300*0.3,D300-4172.98)))-E300</f>
        <v>1292.9100000000008</v>
      </c>
      <c r="H300" s="69"/>
      <c r="I300" s="69"/>
      <c r="J300" s="70"/>
      <c r="K300" s="70" t="s">
        <v>358</v>
      </c>
      <c r="L300" s="143">
        <v>46270</v>
      </c>
    </row>
    <row r="301" spans="1:12">
      <c r="A301" s="72">
        <v>24254260</v>
      </c>
      <c r="B301">
        <v>5214443320591</v>
      </c>
      <c r="C301" s="69" t="s">
        <v>54</v>
      </c>
      <c r="D301" s="70">
        <v>9760.32</v>
      </c>
      <c r="E301" s="70"/>
      <c r="F301" s="70">
        <v>2928.096</v>
      </c>
      <c r="G301" s="70">
        <v>2928.096</v>
      </c>
      <c r="H301" s="69"/>
      <c r="I301" s="69"/>
      <c r="J301" s="70"/>
      <c r="K301" s="70" t="s">
        <v>1091</v>
      </c>
      <c r="L301" s="143">
        <v>46270</v>
      </c>
    </row>
    <row r="302" spans="1:12">
      <c r="A302" s="12">
        <v>24258602</v>
      </c>
      <c r="C302" s="69" t="s">
        <v>54</v>
      </c>
      <c r="D302" s="70">
        <v>9081.52</v>
      </c>
      <c r="E302" s="70"/>
      <c r="F302" s="70">
        <f>D302*0.3</f>
        <v>2724.4560000000001</v>
      </c>
      <c r="G302" s="70">
        <f>(IF(D302&lt;4172.98,0,MIN(D302*0.3,D302-4172.98)))-E302</f>
        <v>2724.4560000000001</v>
      </c>
      <c r="H302" s="69"/>
      <c r="I302" s="69"/>
      <c r="J302" s="70"/>
      <c r="K302" s="70" t="s">
        <v>1091</v>
      </c>
      <c r="L302" s="143">
        <v>46270</v>
      </c>
    </row>
    <row r="303" spans="1:12">
      <c r="A303" s="12">
        <v>24260666</v>
      </c>
      <c r="C303" s="69" t="s">
        <v>54</v>
      </c>
      <c r="D303" s="70">
        <v>36400.269999999997</v>
      </c>
      <c r="E303" s="70">
        <v>4903.18</v>
      </c>
      <c r="F303" s="70">
        <f>D303*0.3</f>
        <v>10920.080999999998</v>
      </c>
      <c r="G303" s="70">
        <f>(IF(D303&lt;4172.98,0,MIN(D303*0.3,D303-4172.98)))-E303</f>
        <v>6016.900999999998</v>
      </c>
      <c r="H303" s="71">
        <v>46935</v>
      </c>
      <c r="I303" s="69" t="s">
        <v>44</v>
      </c>
      <c r="J303" s="70">
        <v>2196.36</v>
      </c>
      <c r="K303" s="70" t="s">
        <v>35</v>
      </c>
      <c r="L303" s="143">
        <v>46270</v>
      </c>
    </row>
    <row r="304" spans="1:12">
      <c r="A304" s="12">
        <v>24261294</v>
      </c>
      <c r="C304" s="69" t="s">
        <v>54</v>
      </c>
      <c r="D304" s="70">
        <f>53661.84-44079.37</f>
        <v>9582.4699999999939</v>
      </c>
      <c r="E304" s="70"/>
      <c r="F304" s="70">
        <f>D304*0.3</f>
        <v>2874.7409999999982</v>
      </c>
      <c r="G304" s="70">
        <f>(IF(D304&lt;4172.98,0,MIN(D304*0.3,D304-4172.98)))-E304</f>
        <v>2874.7409999999982</v>
      </c>
      <c r="H304" s="69"/>
      <c r="I304" s="69"/>
      <c r="J304" s="70"/>
      <c r="K304" s="70" t="s">
        <v>1091</v>
      </c>
      <c r="L304" s="143">
        <v>46270</v>
      </c>
    </row>
    <row r="305" spans="1:12">
      <c r="A305" s="30">
        <v>24262890</v>
      </c>
      <c r="C305" s="69" t="s">
        <v>38</v>
      </c>
      <c r="D305" s="70">
        <v>8173.37</v>
      </c>
      <c r="E305" s="70">
        <v>1717</v>
      </c>
      <c r="F305" s="70">
        <f>D305*0.3</f>
        <v>2452.011</v>
      </c>
      <c r="G305" s="70">
        <f>(IF(D305&lt;4172.98,0,MIN(D305*0.3,D305-4172.98)))-E305</f>
        <v>735.01099999999997</v>
      </c>
      <c r="H305" s="71">
        <v>46935</v>
      </c>
      <c r="I305" s="69" t="s">
        <v>43</v>
      </c>
      <c r="J305" s="70">
        <v>801.52</v>
      </c>
      <c r="K305" s="138" t="s">
        <v>39</v>
      </c>
      <c r="L305" s="143">
        <v>46270</v>
      </c>
    </row>
    <row r="306" spans="1:12">
      <c r="A306" s="12">
        <v>24254602</v>
      </c>
      <c r="C306" s="69" t="s">
        <v>34</v>
      </c>
      <c r="D306" s="70">
        <v>32952.33</v>
      </c>
      <c r="E306" s="70">
        <v>9884.7000000000007</v>
      </c>
      <c r="F306" s="70">
        <f>D306*0.3</f>
        <v>9885.6990000000005</v>
      </c>
      <c r="G306" s="70">
        <f>(IF(D306&lt;4172.98,0,MIN(D306*0.3,D306-4172.98)))-E306</f>
        <v>0.99899999999979627</v>
      </c>
      <c r="H306" s="71">
        <v>46266</v>
      </c>
      <c r="I306" s="69" t="s">
        <v>43</v>
      </c>
      <c r="J306" s="70">
        <v>9148.7000000000007</v>
      </c>
      <c r="K306" s="70" t="s">
        <v>35</v>
      </c>
      <c r="L306" s="143">
        <v>46270</v>
      </c>
    </row>
    <row r="307" spans="1:12">
      <c r="A307" s="12">
        <v>24259300</v>
      </c>
      <c r="C307" s="69" t="s">
        <v>27</v>
      </c>
      <c r="D307" s="70">
        <v>37148.46</v>
      </c>
      <c r="E307" s="70">
        <v>11142.19</v>
      </c>
      <c r="F307" s="70">
        <f>D307*0.3</f>
        <v>11144.537999999999</v>
      </c>
      <c r="G307" s="70">
        <f>(IF(D307&lt;4172.98,0,MIN(D307*0.3,D307-4172.98)))-E307</f>
        <v>2.3479999999981374</v>
      </c>
      <c r="H307" s="71">
        <v>46113</v>
      </c>
      <c r="I307" s="69" t="s">
        <v>334</v>
      </c>
      <c r="J307" s="70">
        <v>3003.08</v>
      </c>
      <c r="K307" s="70" t="s">
        <v>98</v>
      </c>
      <c r="L307" s="143">
        <v>46270</v>
      </c>
    </row>
    <row r="308" spans="1:12">
      <c r="A308" s="72">
        <v>24255814</v>
      </c>
      <c r="B308">
        <v>5218124236801</v>
      </c>
      <c r="C308" s="69" t="s">
        <v>54</v>
      </c>
      <c r="D308" s="70">
        <v>10636.54</v>
      </c>
      <c r="E308" s="70"/>
      <c r="F308" s="70">
        <v>3190.962</v>
      </c>
      <c r="G308" s="70">
        <v>3190.962</v>
      </c>
      <c r="H308" s="69"/>
      <c r="I308" s="69"/>
      <c r="J308" s="70"/>
      <c r="K308" s="70" t="s">
        <v>35</v>
      </c>
      <c r="L308" s="143">
        <v>46270</v>
      </c>
    </row>
    <row r="309" spans="1:12">
      <c r="A309" s="30">
        <v>24263250</v>
      </c>
      <c r="C309" s="69" t="s">
        <v>54</v>
      </c>
      <c r="D309" s="70">
        <f>7302.55+879</f>
        <v>8181.55</v>
      </c>
      <c r="E309" s="70">
        <v>879</v>
      </c>
      <c r="F309" s="70">
        <f>D309*0.3</f>
        <v>2454.4650000000001</v>
      </c>
      <c r="G309" s="70">
        <f>(IF(D309&lt;4172.98,0,MIN(D309*0.3,D309-4172.98)))-E309</f>
        <v>1575.4650000000001</v>
      </c>
      <c r="H309" s="69"/>
      <c r="I309" s="69"/>
      <c r="J309" s="70"/>
      <c r="K309" s="70" t="s">
        <v>1080</v>
      </c>
      <c r="L309" s="143">
        <v>46270</v>
      </c>
    </row>
    <row r="310" spans="1:12">
      <c r="A310" s="72">
        <v>24230042</v>
      </c>
      <c r="B310">
        <v>5215525390194</v>
      </c>
      <c r="C310" s="69" t="s">
        <v>54</v>
      </c>
      <c r="D310" s="70">
        <v>11029.03</v>
      </c>
      <c r="E310" s="70"/>
      <c r="F310" s="70">
        <v>3308.7090000000003</v>
      </c>
      <c r="G310" s="70">
        <v>3308.7090000000003</v>
      </c>
      <c r="H310" s="69"/>
      <c r="I310" s="69"/>
      <c r="J310" s="70">
        <v>2380.7600000000002</v>
      </c>
      <c r="K310" s="70" t="s">
        <v>879</v>
      </c>
      <c r="L310" s="143">
        <v>46270</v>
      </c>
    </row>
    <row r="311" spans="1:12">
      <c r="A311" s="30">
        <v>24264788</v>
      </c>
      <c r="C311" s="69" t="s">
        <v>54</v>
      </c>
      <c r="D311" s="70">
        <v>9572.89</v>
      </c>
      <c r="E311" s="70"/>
      <c r="F311" s="70">
        <f>D311*0.3</f>
        <v>2871.8669999999997</v>
      </c>
      <c r="G311" s="70">
        <f>(IF(D311&lt;4172.98,0,MIN(D311*0.3,D311-4172.98)))-E311</f>
        <v>2871.8669999999997</v>
      </c>
      <c r="H311" s="69"/>
      <c r="I311" s="69"/>
      <c r="J311" s="70"/>
      <c r="K311" s="70" t="s">
        <v>35</v>
      </c>
      <c r="L311" s="143">
        <v>46270</v>
      </c>
    </row>
    <row r="312" spans="1:12">
      <c r="A312" s="72">
        <v>19289310</v>
      </c>
      <c r="B312">
        <v>5213340952437</v>
      </c>
      <c r="C312" s="69" t="s">
        <v>38</v>
      </c>
      <c r="D312" s="70">
        <v>9081.5300000000007</v>
      </c>
      <c r="E312" s="70">
        <v>2380.7600000000002</v>
      </c>
      <c r="F312" s="70">
        <v>2724.4590000000003</v>
      </c>
      <c r="G312" s="70">
        <v>343.69900000000007</v>
      </c>
      <c r="H312" s="69">
        <v>46784</v>
      </c>
      <c r="I312" s="69" t="s">
        <v>75</v>
      </c>
      <c r="J312" s="70"/>
      <c r="K312" s="138" t="s">
        <v>39</v>
      </c>
      <c r="L312" s="143">
        <v>46270</v>
      </c>
    </row>
    <row r="313" spans="1:12">
      <c r="A313" s="72">
        <v>24259562</v>
      </c>
      <c r="B313">
        <v>5215545064181</v>
      </c>
      <c r="C313" s="69" t="s">
        <v>38</v>
      </c>
      <c r="D313" s="70">
        <v>25970.240000000002</v>
      </c>
      <c r="E313" s="70">
        <v>6950.85</v>
      </c>
      <c r="F313" s="70">
        <v>7791.0720000000001</v>
      </c>
      <c r="G313" s="70">
        <v>840.22199999999975</v>
      </c>
      <c r="H313" s="69">
        <v>46327</v>
      </c>
      <c r="I313" s="69" t="s">
        <v>80</v>
      </c>
      <c r="J313" s="70">
        <v>6950.85</v>
      </c>
      <c r="K313" s="138" t="s">
        <v>39</v>
      </c>
      <c r="L313" s="143">
        <v>46270</v>
      </c>
    </row>
    <row r="314" spans="1:12">
      <c r="A314" s="72">
        <v>24258488</v>
      </c>
      <c r="B314">
        <v>6641842705</v>
      </c>
      <c r="C314" s="69" t="s">
        <v>34</v>
      </c>
      <c r="D314" s="70">
        <v>5608.61</v>
      </c>
      <c r="E314" s="70">
        <v>1379.06</v>
      </c>
      <c r="F314" s="70">
        <v>1682.5829999999999</v>
      </c>
      <c r="G314" s="70">
        <v>56.570000000000164</v>
      </c>
      <c r="H314" s="69">
        <v>45352</v>
      </c>
      <c r="I314" s="69" t="s">
        <v>141</v>
      </c>
      <c r="J314" s="70">
        <v>1379.06</v>
      </c>
      <c r="K314" s="70" t="s">
        <v>35</v>
      </c>
      <c r="L314" s="143">
        <v>46270</v>
      </c>
    </row>
    <row r="315" spans="1:12">
      <c r="A315" s="72">
        <v>24251922</v>
      </c>
      <c r="B315">
        <v>5212222082900</v>
      </c>
      <c r="C315" s="69" t="s">
        <v>34</v>
      </c>
      <c r="D315" s="70">
        <v>41038.49</v>
      </c>
      <c r="E315" s="70"/>
      <c r="F315" s="70">
        <v>12311.546999999999</v>
      </c>
      <c r="G315" s="70">
        <v>12311.546999999999</v>
      </c>
      <c r="H315" s="69"/>
      <c r="I315" s="69"/>
      <c r="J315" s="70"/>
      <c r="K315" s="70" t="s">
        <v>271</v>
      </c>
      <c r="L315" s="143">
        <v>46270</v>
      </c>
    </row>
    <row r="316" spans="1:12">
      <c r="A316" s="30">
        <v>24266146</v>
      </c>
      <c r="C316" s="69" t="s">
        <v>34</v>
      </c>
      <c r="D316" s="70">
        <v>5639.15</v>
      </c>
      <c r="E316" s="70">
        <v>1350.94</v>
      </c>
      <c r="F316" s="70">
        <f>D316*0.3</f>
        <v>1691.7449999999999</v>
      </c>
      <c r="G316" s="70">
        <f>(IF(D316&lt;4172.98,0,MIN(D316*0.3,D316-4172.98)))-E316</f>
        <v>115.23000000000002</v>
      </c>
      <c r="H316" s="71">
        <v>46113</v>
      </c>
      <c r="I316" s="69" t="s">
        <v>141</v>
      </c>
      <c r="J316" s="70">
        <v>1350.94</v>
      </c>
      <c r="K316" s="70" t="s">
        <v>35</v>
      </c>
      <c r="L316" s="143">
        <v>46270</v>
      </c>
    </row>
    <row r="317" spans="1:12">
      <c r="A317" s="30">
        <v>24266054</v>
      </c>
      <c r="C317" s="69" t="s">
        <v>54</v>
      </c>
      <c r="D317" s="70">
        <v>11029.03</v>
      </c>
      <c r="E317" s="70"/>
      <c r="F317" s="70">
        <f>D317*0.3</f>
        <v>3308.7090000000003</v>
      </c>
      <c r="G317" s="70">
        <f>(IF(D317&lt;4172.98,0,MIN(D317*0.3,D317-4172.98)))-E317</f>
        <v>3308.7090000000003</v>
      </c>
      <c r="H317" s="69"/>
      <c r="I317" s="69"/>
      <c r="J317" s="70"/>
      <c r="K317" s="70" t="s">
        <v>879</v>
      </c>
      <c r="L317" s="143">
        <v>46270</v>
      </c>
    </row>
    <row r="318" spans="1:12">
      <c r="A318" s="30">
        <v>24265796</v>
      </c>
      <c r="C318" s="69" t="s">
        <v>27</v>
      </c>
      <c r="D318" s="70">
        <v>7101.73</v>
      </c>
      <c r="E318" s="70">
        <v>1887.32</v>
      </c>
      <c r="F318" s="70">
        <f t="shared" ref="F318" si="46">D318*0.3</f>
        <v>2130.5189999999998</v>
      </c>
      <c r="G318" s="70">
        <f t="shared" ref="G318" si="47">(IF(D318&lt;4172.98,0,MIN(D318*0.3,D318-4172.98)))-E318</f>
        <v>243.19899999999984</v>
      </c>
      <c r="H318" s="71">
        <v>45717</v>
      </c>
      <c r="I318" s="69" t="s">
        <v>818</v>
      </c>
      <c r="J318" s="70">
        <v>1887.32</v>
      </c>
      <c r="K318" s="70" t="s">
        <v>98</v>
      </c>
      <c r="L318" s="143">
        <v>46270</v>
      </c>
    </row>
    <row r="319" spans="1:12">
      <c r="A319" s="72">
        <v>24262416</v>
      </c>
      <c r="B319">
        <v>5213921597416</v>
      </c>
      <c r="C319" s="69" t="s">
        <v>38</v>
      </c>
      <c r="D319" s="70">
        <v>6411.47</v>
      </c>
      <c r="E319" s="70">
        <v>1288.28</v>
      </c>
      <c r="F319" s="70">
        <v>1923.441</v>
      </c>
      <c r="G319" s="70">
        <v>635.16100000000006</v>
      </c>
      <c r="H319" s="69">
        <v>46508</v>
      </c>
      <c r="I319" s="69" t="s">
        <v>75</v>
      </c>
      <c r="J319" s="70">
        <v>1288.28</v>
      </c>
      <c r="K319" s="138" t="s">
        <v>39</v>
      </c>
      <c r="L319" s="143">
        <v>46270</v>
      </c>
    </row>
    <row r="320" spans="1:12">
      <c r="A320" s="72">
        <v>24257186</v>
      </c>
      <c r="B320">
        <v>5212294367273</v>
      </c>
      <c r="C320" s="69" t="s">
        <v>34</v>
      </c>
      <c r="D320" s="70">
        <v>6262.86</v>
      </c>
      <c r="E320" s="70">
        <v>1811.2</v>
      </c>
      <c r="F320" s="70">
        <v>1878.8579999999997</v>
      </c>
      <c r="G320" s="70">
        <v>67.657999999999674</v>
      </c>
      <c r="H320" s="69">
        <v>45261</v>
      </c>
      <c r="I320" s="69" t="s">
        <v>57</v>
      </c>
      <c r="J320" s="70">
        <v>1426.26</v>
      </c>
      <c r="K320" s="70" t="s">
        <v>35</v>
      </c>
      <c r="L320" s="143">
        <v>46272</v>
      </c>
    </row>
    <row r="321" spans="1:12">
      <c r="A321" s="72">
        <v>24267112</v>
      </c>
      <c r="B321">
        <v>4922232774</v>
      </c>
      <c r="C321" s="69" t="s">
        <v>107</v>
      </c>
      <c r="D321" s="70">
        <v>17975.75</v>
      </c>
      <c r="E321" s="70">
        <v>5391.73</v>
      </c>
      <c r="F321" s="70">
        <v>5392.7249999999995</v>
      </c>
      <c r="G321" s="70">
        <v>0.99499999999989086</v>
      </c>
      <c r="H321" s="69">
        <v>46266</v>
      </c>
      <c r="I321" s="69" t="s">
        <v>47</v>
      </c>
      <c r="J321" s="70">
        <v>1181.45</v>
      </c>
      <c r="K321" s="70" t="s">
        <v>266</v>
      </c>
      <c r="L321" s="143">
        <v>46272</v>
      </c>
    </row>
    <row r="322" spans="1:12">
      <c r="A322" s="72">
        <v>24272816</v>
      </c>
      <c r="B322">
        <v>5212291631407</v>
      </c>
      <c r="C322" s="69" t="s">
        <v>38</v>
      </c>
      <c r="D322" s="70">
        <v>4661.47</v>
      </c>
      <c r="E322" s="70"/>
      <c r="F322" s="70">
        <v>1398.441</v>
      </c>
      <c r="G322" s="70">
        <v>488.49000000000069</v>
      </c>
      <c r="H322" s="69"/>
      <c r="I322" s="69"/>
      <c r="J322" s="70"/>
      <c r="K322" s="138" t="s">
        <v>39</v>
      </c>
      <c r="L322" s="143">
        <v>46272</v>
      </c>
    </row>
    <row r="323" spans="1:12">
      <c r="A323" s="72">
        <v>24282484</v>
      </c>
      <c r="B323">
        <v>8331470411</v>
      </c>
      <c r="C323" s="69" t="s">
        <v>38</v>
      </c>
      <c r="D323" s="70">
        <v>6056.98</v>
      </c>
      <c r="E323" s="70">
        <v>879</v>
      </c>
      <c r="F323" s="70">
        <v>1817.0939999999998</v>
      </c>
      <c r="G323" s="70">
        <v>938.09399999999982</v>
      </c>
      <c r="H323" s="69"/>
      <c r="I323" s="69"/>
      <c r="J323" s="70"/>
      <c r="K323" s="70" t="s">
        <v>266</v>
      </c>
      <c r="L323" s="143">
        <v>46272</v>
      </c>
    </row>
    <row r="324" spans="1:12">
      <c r="A324" s="72">
        <v>24248096</v>
      </c>
      <c r="B324">
        <v>5216151141600</v>
      </c>
      <c r="C324" s="69" t="s">
        <v>38</v>
      </c>
      <c r="D324" s="70">
        <v>6664.74</v>
      </c>
      <c r="E324" s="70">
        <v>879</v>
      </c>
      <c r="F324" s="70">
        <v>1999.4219999999998</v>
      </c>
      <c r="G324" s="70">
        <v>1120.4219999999998</v>
      </c>
      <c r="H324" s="69"/>
      <c r="I324" s="69"/>
      <c r="J324" s="70"/>
      <c r="K324" s="70" t="s">
        <v>266</v>
      </c>
      <c r="L324" s="143">
        <v>46272</v>
      </c>
    </row>
    <row r="325" spans="1:12">
      <c r="A325" s="72">
        <v>24264720</v>
      </c>
      <c r="B325">
        <v>5219989328276</v>
      </c>
      <c r="C325" s="69" t="s">
        <v>107</v>
      </c>
      <c r="D325" s="70">
        <v>9081.52</v>
      </c>
      <c r="E325" s="70">
        <v>2504.6999999999998</v>
      </c>
      <c r="F325" s="70">
        <v>2724.4560000000001</v>
      </c>
      <c r="G325" s="70">
        <v>219.75600000000031</v>
      </c>
      <c r="H325" s="69">
        <v>46235</v>
      </c>
      <c r="I325" s="69" t="s">
        <v>44</v>
      </c>
      <c r="J325" s="70">
        <v>742.22</v>
      </c>
      <c r="K325" s="138" t="s">
        <v>39</v>
      </c>
      <c r="L325" s="143">
        <v>46272</v>
      </c>
    </row>
    <row r="326" spans="1:12">
      <c r="A326" s="72">
        <v>24274398</v>
      </c>
      <c r="B326">
        <v>9931010266</v>
      </c>
      <c r="C326" s="69" t="s">
        <v>34</v>
      </c>
      <c r="D326" s="70">
        <v>6262.86</v>
      </c>
      <c r="E326" s="70">
        <v>1810.47</v>
      </c>
      <c r="F326" s="70">
        <v>1878.8579999999997</v>
      </c>
      <c r="G326" s="70">
        <v>68.387999999999693</v>
      </c>
      <c r="H326" s="69">
        <v>45200</v>
      </c>
      <c r="I326" s="69" t="s">
        <v>141</v>
      </c>
      <c r="J326" s="70">
        <v>1414.49</v>
      </c>
      <c r="K326" s="70" t="s">
        <v>35</v>
      </c>
      <c r="L326" s="143">
        <v>46272</v>
      </c>
    </row>
    <row r="327" spans="1:12">
      <c r="A327" s="72">
        <v>24258240</v>
      </c>
      <c r="B327">
        <v>5216444616096</v>
      </c>
      <c r="C327" s="69" t="s">
        <v>54</v>
      </c>
      <c r="D327" s="70">
        <v>60491.66</v>
      </c>
      <c r="E327" s="70"/>
      <c r="F327" s="70">
        <v>18147.498</v>
      </c>
      <c r="G327" s="70">
        <v>18147.498</v>
      </c>
      <c r="H327" s="69"/>
      <c r="I327" s="69"/>
      <c r="J327" s="70"/>
      <c r="K327" s="70" t="s">
        <v>55</v>
      </c>
      <c r="L327" s="143">
        <v>46272</v>
      </c>
    </row>
    <row r="328" spans="1:12">
      <c r="A328" s="72">
        <v>24254170</v>
      </c>
      <c r="B328">
        <v>5219611777400</v>
      </c>
      <c r="C328" s="69" t="s">
        <v>27</v>
      </c>
      <c r="D328" s="70">
        <v>10841.91</v>
      </c>
      <c r="E328" s="70">
        <v>2876</v>
      </c>
      <c r="F328" s="70">
        <v>3252.5729999999999</v>
      </c>
      <c r="G328" s="70">
        <v>376.57299999999987</v>
      </c>
      <c r="H328" s="69">
        <v>45809</v>
      </c>
      <c r="I328" s="69" t="s">
        <v>77</v>
      </c>
      <c r="J328" s="70">
        <v>2876</v>
      </c>
      <c r="K328" s="70" t="s">
        <v>98</v>
      </c>
      <c r="L328" s="143">
        <v>46272</v>
      </c>
    </row>
    <row r="329" spans="1:12">
      <c r="A329" s="72">
        <v>24269314</v>
      </c>
      <c r="B329">
        <v>5218442891043</v>
      </c>
      <c r="C329" s="69" t="s">
        <v>54</v>
      </c>
      <c r="D329" s="70">
        <v>26539.88</v>
      </c>
      <c r="E329" s="70"/>
      <c r="F329" s="70">
        <v>7961.9639999999999</v>
      </c>
      <c r="G329" s="70">
        <v>7961.9639999999999</v>
      </c>
      <c r="H329" s="69"/>
      <c r="I329" s="69"/>
      <c r="J329" s="70"/>
      <c r="K329" s="70" t="s">
        <v>28</v>
      </c>
      <c r="L329" s="143">
        <v>46272</v>
      </c>
    </row>
    <row r="330" spans="1:12">
      <c r="A330" s="72">
        <v>24233252</v>
      </c>
      <c r="B330">
        <v>5639772395</v>
      </c>
      <c r="C330" s="69" t="s">
        <v>27</v>
      </c>
      <c r="D330" s="70">
        <v>8186.09</v>
      </c>
      <c r="E330" s="70">
        <v>1498.74</v>
      </c>
      <c r="F330" s="70">
        <v>2455.8269999999998</v>
      </c>
      <c r="G330" s="70">
        <v>957.08699999999976</v>
      </c>
      <c r="H330" s="69">
        <v>46143</v>
      </c>
      <c r="I330" s="69" t="s">
        <v>75</v>
      </c>
      <c r="J330" s="70">
        <v>1498.74</v>
      </c>
      <c r="K330" s="70" t="s">
        <v>98</v>
      </c>
      <c r="L330" s="143">
        <v>46272</v>
      </c>
    </row>
    <row r="331" spans="1:12">
      <c r="A331" s="72">
        <v>24268034</v>
      </c>
      <c r="B331">
        <v>5213122988767</v>
      </c>
      <c r="C331" s="69" t="s">
        <v>27</v>
      </c>
      <c r="D331" s="70">
        <v>16760.2</v>
      </c>
      <c r="E331" s="70">
        <v>4848.95</v>
      </c>
      <c r="F331" s="70">
        <v>5028.0600000000004</v>
      </c>
      <c r="G331" s="70">
        <v>179.11000000000058</v>
      </c>
      <c r="H331" s="69">
        <v>46235</v>
      </c>
      <c r="I331" s="69" t="s">
        <v>47</v>
      </c>
      <c r="J331" s="70">
        <v>4110.96</v>
      </c>
      <c r="K331" s="70" t="s">
        <v>90</v>
      </c>
      <c r="L331" s="143">
        <v>46272</v>
      </c>
    </row>
    <row r="332" spans="1:12">
      <c r="A332" s="72">
        <v>24265438</v>
      </c>
      <c r="B332">
        <v>5218661641656</v>
      </c>
      <c r="C332" s="69" t="s">
        <v>27</v>
      </c>
      <c r="D332" s="70">
        <v>40834.019999999997</v>
      </c>
      <c r="E332" s="70">
        <v>11814.26</v>
      </c>
      <c r="F332" s="70">
        <v>12250.205999999998</v>
      </c>
      <c r="G332" s="70">
        <v>435.94599999999809</v>
      </c>
      <c r="H332" s="69">
        <v>46174</v>
      </c>
      <c r="I332" s="69" t="s">
        <v>44</v>
      </c>
      <c r="J332" s="70">
        <v>5845.91</v>
      </c>
      <c r="K332" s="70" t="s">
        <v>90</v>
      </c>
      <c r="L332" s="143">
        <v>46272</v>
      </c>
    </row>
    <row r="333" spans="1:12">
      <c r="A333" s="72">
        <v>24266598</v>
      </c>
      <c r="B333">
        <v>5212225933844</v>
      </c>
      <c r="C333" s="69" t="s">
        <v>54</v>
      </c>
      <c r="D333" s="70">
        <v>7920.51</v>
      </c>
      <c r="E333" s="70"/>
      <c r="F333" s="70">
        <v>2376.1529999999998</v>
      </c>
      <c r="G333" s="70">
        <v>2376.1529999999998</v>
      </c>
      <c r="H333" s="69"/>
      <c r="I333" s="69"/>
      <c r="J333" s="70"/>
      <c r="K333" s="70" t="s">
        <v>1091</v>
      </c>
      <c r="L333" s="143">
        <v>46272</v>
      </c>
    </row>
    <row r="334" spans="1:12">
      <c r="A334" s="72">
        <v>24268170</v>
      </c>
      <c r="B334">
        <v>5214622356721</v>
      </c>
      <c r="C334" s="69" t="s">
        <v>54</v>
      </c>
      <c r="D334" s="70">
        <v>9081.52</v>
      </c>
      <c r="E334" s="70">
        <v>706.77</v>
      </c>
      <c r="F334" s="70">
        <v>2724.4560000000001</v>
      </c>
      <c r="G334" s="70">
        <v>2017.6860000000001</v>
      </c>
      <c r="H334" s="69">
        <v>46600</v>
      </c>
      <c r="I334" s="69" t="s">
        <v>57</v>
      </c>
      <c r="J334" s="70">
        <v>706.77</v>
      </c>
      <c r="K334" s="70" t="s">
        <v>886</v>
      </c>
      <c r="L334" s="143">
        <v>46272</v>
      </c>
    </row>
    <row r="335" spans="1:12">
      <c r="A335" s="72">
        <v>24245024</v>
      </c>
      <c r="B335">
        <v>5216623728731</v>
      </c>
      <c r="C335" s="69" t="s">
        <v>54</v>
      </c>
      <c r="D335" s="70">
        <v>7363.4</v>
      </c>
      <c r="E335" s="70"/>
      <c r="F335" s="70">
        <v>2209.02</v>
      </c>
      <c r="G335" s="70">
        <v>2209.02</v>
      </c>
      <c r="H335" s="69"/>
      <c r="I335" s="69"/>
      <c r="J335" s="70"/>
      <c r="K335" s="70" t="s">
        <v>1091</v>
      </c>
      <c r="L335" s="143">
        <v>46272</v>
      </c>
    </row>
    <row r="336" spans="1:12">
      <c r="A336" s="12">
        <v>24268952</v>
      </c>
      <c r="C336" s="69" t="s">
        <v>54</v>
      </c>
      <c r="D336" s="70">
        <v>7597.46</v>
      </c>
      <c r="E336" s="70"/>
      <c r="F336" s="70">
        <f t="shared" ref="F336:F342" si="48">D336*0.3</f>
        <v>2279.2379999999998</v>
      </c>
      <c r="G336" s="70">
        <f t="shared" ref="G336:G342" si="49">(IF(D336&lt;4172.98,0,MIN(D336*0.3,D336-4172.98)))-E336</f>
        <v>2279.2379999999998</v>
      </c>
      <c r="H336" s="69"/>
      <c r="I336" s="69"/>
      <c r="J336" s="70"/>
      <c r="K336" s="70" t="s">
        <v>1080</v>
      </c>
      <c r="L336" s="143">
        <v>46272</v>
      </c>
    </row>
    <row r="337" spans="1:12">
      <c r="A337" s="12">
        <v>24275844</v>
      </c>
      <c r="C337" s="69" t="s">
        <v>54</v>
      </c>
      <c r="D337" s="70">
        <f>21184.54-10548</f>
        <v>10636.54</v>
      </c>
      <c r="E337" s="70">
        <v>879</v>
      </c>
      <c r="F337" s="70">
        <f t="shared" si="48"/>
        <v>3190.962</v>
      </c>
      <c r="G337" s="70">
        <f t="shared" si="49"/>
        <v>2311.962</v>
      </c>
      <c r="H337" s="69"/>
      <c r="I337" s="69"/>
      <c r="J337" s="70"/>
      <c r="K337" s="70" t="s">
        <v>1080</v>
      </c>
      <c r="L337" s="143">
        <v>46272</v>
      </c>
    </row>
    <row r="338" spans="1:12">
      <c r="A338" s="12">
        <v>24280638</v>
      </c>
      <c r="C338" s="69" t="s">
        <v>54</v>
      </c>
      <c r="D338" s="70">
        <v>7920.63</v>
      </c>
      <c r="E338" s="70"/>
      <c r="F338" s="70">
        <f t="shared" si="48"/>
        <v>2376.1889999999999</v>
      </c>
      <c r="G338" s="70">
        <f t="shared" si="49"/>
        <v>2376.1889999999999</v>
      </c>
      <c r="H338" s="69"/>
      <c r="I338" s="69"/>
      <c r="J338" s="70"/>
      <c r="K338" s="70" t="s">
        <v>1080</v>
      </c>
      <c r="L338" s="143">
        <v>46272</v>
      </c>
    </row>
    <row r="339" spans="1:12">
      <c r="A339" s="12">
        <v>24283262</v>
      </c>
      <c r="C339" s="69" t="s">
        <v>54</v>
      </c>
      <c r="D339" s="70">
        <v>25807.16</v>
      </c>
      <c r="E339" s="70"/>
      <c r="F339" s="70">
        <f t="shared" si="48"/>
        <v>7742.1479999999992</v>
      </c>
      <c r="G339" s="70">
        <f t="shared" si="49"/>
        <v>7742.1479999999992</v>
      </c>
      <c r="H339" s="69"/>
      <c r="I339" s="69"/>
      <c r="J339" s="70"/>
      <c r="K339" s="70" t="s">
        <v>348</v>
      </c>
      <c r="L339" s="143">
        <v>46272</v>
      </c>
    </row>
    <row r="340" spans="1:12">
      <c r="A340" s="12">
        <v>24274016</v>
      </c>
      <c r="C340" s="69" t="s">
        <v>54</v>
      </c>
      <c r="D340" s="70">
        <f>8233.52+848</f>
        <v>9081.52</v>
      </c>
      <c r="E340" s="70">
        <v>848</v>
      </c>
      <c r="F340" s="70">
        <f t="shared" si="48"/>
        <v>2724.4560000000001</v>
      </c>
      <c r="G340" s="70">
        <f t="shared" si="49"/>
        <v>1876.4560000000001</v>
      </c>
      <c r="H340" s="69"/>
      <c r="I340" s="69"/>
      <c r="J340" s="70"/>
      <c r="K340" s="70" t="s">
        <v>358</v>
      </c>
      <c r="L340" s="143">
        <v>46272</v>
      </c>
    </row>
    <row r="341" spans="1:12">
      <c r="A341" s="12">
        <v>24282824</v>
      </c>
      <c r="C341" s="69" t="s">
        <v>54</v>
      </c>
      <c r="D341" s="70">
        <v>21019.78</v>
      </c>
      <c r="E341" s="70">
        <v>4643.13</v>
      </c>
      <c r="F341" s="70">
        <f t="shared" si="48"/>
        <v>6305.9339999999993</v>
      </c>
      <c r="G341" s="70">
        <f t="shared" si="49"/>
        <v>1662.8039999999992</v>
      </c>
      <c r="H341" s="71">
        <v>46935</v>
      </c>
      <c r="I341" s="69" t="s">
        <v>141</v>
      </c>
      <c r="J341" s="70">
        <v>4643.13</v>
      </c>
      <c r="K341" s="70" t="s">
        <v>62</v>
      </c>
      <c r="L341" s="143">
        <v>46272</v>
      </c>
    </row>
    <row r="342" spans="1:12">
      <c r="A342" s="12">
        <v>24284172</v>
      </c>
      <c r="C342" s="69" t="s">
        <v>54</v>
      </c>
      <c r="D342" s="70">
        <v>8788.19</v>
      </c>
      <c r="E342" s="70">
        <v>879</v>
      </c>
      <c r="F342" s="70">
        <f t="shared" si="48"/>
        <v>2636.4569999999999</v>
      </c>
      <c r="G342" s="70">
        <f t="shared" si="49"/>
        <v>1757.4569999999999</v>
      </c>
      <c r="H342" s="69"/>
      <c r="I342" s="69"/>
      <c r="J342" s="70"/>
      <c r="K342" s="70" t="s">
        <v>327</v>
      </c>
      <c r="L342" s="143">
        <v>46272</v>
      </c>
    </row>
    <row r="343" spans="1:12">
      <c r="A343" s="72">
        <v>24281378</v>
      </c>
      <c r="B343">
        <v>5219372710570</v>
      </c>
      <c r="C343" s="69" t="s">
        <v>54</v>
      </c>
      <c r="D343" s="70">
        <v>10636.54</v>
      </c>
      <c r="E343" s="70"/>
      <c r="F343" s="70">
        <v>3190.962</v>
      </c>
      <c r="G343" s="70">
        <v>3190.962</v>
      </c>
      <c r="H343" s="69"/>
      <c r="I343" s="69"/>
      <c r="J343" s="70"/>
      <c r="K343" s="70" t="s">
        <v>879</v>
      </c>
      <c r="L343" s="143">
        <v>46272</v>
      </c>
    </row>
    <row r="344" spans="1:12">
      <c r="A344" s="72">
        <v>24272850</v>
      </c>
      <c r="B344">
        <v>3515007659</v>
      </c>
      <c r="C344" s="69" t="s">
        <v>38</v>
      </c>
      <c r="D344" s="70">
        <v>5617.63</v>
      </c>
      <c r="E344" s="70">
        <v>1088.49</v>
      </c>
      <c r="F344" s="70">
        <v>1685.289</v>
      </c>
      <c r="G344" s="70">
        <v>356.16000000000054</v>
      </c>
      <c r="H344" s="69">
        <v>46997</v>
      </c>
      <c r="I344" s="69" t="s">
        <v>57</v>
      </c>
      <c r="J344" s="70">
        <v>827.49</v>
      </c>
      <c r="K344" s="138" t="s">
        <v>39</v>
      </c>
      <c r="L344" s="143">
        <v>46272</v>
      </c>
    </row>
    <row r="345" spans="1:12">
      <c r="A345" s="72">
        <v>24278828</v>
      </c>
      <c r="B345">
        <v>4811443281</v>
      </c>
      <c r="C345" s="69" t="s">
        <v>38</v>
      </c>
      <c r="D345" s="70">
        <v>24266.61</v>
      </c>
      <c r="E345" s="70">
        <v>6455.03</v>
      </c>
      <c r="F345" s="70">
        <v>7279.9830000000002</v>
      </c>
      <c r="G345" s="70">
        <v>824.95300000000043</v>
      </c>
      <c r="H345" s="69">
        <v>46813</v>
      </c>
      <c r="I345" s="69" t="s">
        <v>75</v>
      </c>
      <c r="J345" s="70">
        <v>2154.4499999999998</v>
      </c>
      <c r="K345" s="138" t="s">
        <v>39</v>
      </c>
      <c r="L345" s="143">
        <v>46272</v>
      </c>
    </row>
    <row r="346" spans="1:12">
      <c r="A346" s="72">
        <v>24282944</v>
      </c>
      <c r="B346">
        <v>7298240074</v>
      </c>
      <c r="C346" s="69" t="s">
        <v>54</v>
      </c>
      <c r="D346" s="70">
        <v>11029.03</v>
      </c>
      <c r="E346" s="70"/>
      <c r="F346" s="70">
        <v>3308.7090000000003</v>
      </c>
      <c r="G346" s="70">
        <v>3308.7090000000003</v>
      </c>
      <c r="H346" s="69"/>
      <c r="I346" s="69"/>
      <c r="J346" s="70"/>
      <c r="K346" s="70" t="s">
        <v>879</v>
      </c>
      <c r="L346" s="143">
        <v>46272</v>
      </c>
    </row>
    <row r="347" spans="1:12">
      <c r="A347" s="12">
        <v>24277636</v>
      </c>
      <c r="C347" s="69" t="s">
        <v>54</v>
      </c>
      <c r="D347" s="70">
        <v>22230.63</v>
      </c>
      <c r="E347" s="70"/>
      <c r="F347" s="70">
        <f t="shared" ref="F347:F349" si="50">D347*0.3</f>
        <v>6669.1890000000003</v>
      </c>
      <c r="G347" s="70">
        <f t="shared" ref="G347:G349" si="51">(IF(D347&lt;4172.98,0,MIN(D347*0.3,D347-4172.98)))-E347</f>
        <v>6669.1890000000003</v>
      </c>
      <c r="H347" s="69"/>
      <c r="I347" s="69"/>
      <c r="J347" s="70"/>
      <c r="K347" s="70" t="s">
        <v>55</v>
      </c>
      <c r="L347" s="143">
        <v>46272</v>
      </c>
    </row>
    <row r="348" spans="1:12">
      <c r="A348" s="12">
        <v>24287738</v>
      </c>
      <c r="C348" s="69" t="s">
        <v>54</v>
      </c>
      <c r="D348" s="70">
        <v>47739.26</v>
      </c>
      <c r="E348" s="70">
        <v>2999.97</v>
      </c>
      <c r="F348" s="70">
        <f t="shared" si="50"/>
        <v>14321.778</v>
      </c>
      <c r="G348" s="70">
        <f t="shared" si="51"/>
        <v>11321.808000000001</v>
      </c>
      <c r="H348" s="71">
        <v>46692</v>
      </c>
      <c r="I348" s="69" t="s">
        <v>59</v>
      </c>
      <c r="J348" s="70">
        <v>2999.97</v>
      </c>
      <c r="K348" s="70" t="s">
        <v>348</v>
      </c>
      <c r="L348" s="143">
        <v>46272</v>
      </c>
    </row>
    <row r="349" spans="1:12">
      <c r="A349" s="12">
        <v>24289240</v>
      </c>
      <c r="C349" s="69" t="s">
        <v>54</v>
      </c>
      <c r="D349" s="70">
        <v>58005.68</v>
      </c>
      <c r="E349" s="70"/>
      <c r="F349" s="70">
        <f t="shared" si="50"/>
        <v>17401.703999999998</v>
      </c>
      <c r="G349" s="70">
        <f t="shared" si="51"/>
        <v>17401.703999999998</v>
      </c>
      <c r="H349" s="69"/>
      <c r="I349" s="69"/>
      <c r="J349" s="70"/>
      <c r="K349" s="70" t="s">
        <v>55</v>
      </c>
      <c r="L349" s="143">
        <v>46272</v>
      </c>
    </row>
    <row r="350" spans="1:12">
      <c r="A350" s="72">
        <v>24272720</v>
      </c>
      <c r="B350">
        <v>6221141654</v>
      </c>
      <c r="C350" s="69" t="s">
        <v>27</v>
      </c>
      <c r="D350" s="70">
        <v>9081.52</v>
      </c>
      <c r="E350" s="70">
        <v>2353.61</v>
      </c>
      <c r="F350" s="70">
        <v>2724.4560000000001</v>
      </c>
      <c r="G350" s="70">
        <v>370.846</v>
      </c>
      <c r="H350" s="69">
        <v>46266</v>
      </c>
      <c r="I350" s="69" t="s">
        <v>77</v>
      </c>
      <c r="J350" s="70">
        <v>2353.61</v>
      </c>
      <c r="K350" s="70" t="s">
        <v>98</v>
      </c>
      <c r="L350" s="143">
        <v>46272</v>
      </c>
    </row>
    <row r="351" spans="1:12">
      <c r="A351" s="12">
        <v>24289506</v>
      </c>
      <c r="C351" s="69" t="s">
        <v>54</v>
      </c>
      <c r="D351" s="70">
        <v>36647.69</v>
      </c>
      <c r="E351" s="70"/>
      <c r="F351" s="70">
        <f t="shared" ref="F351" si="52">D351*0.3</f>
        <v>10994.307000000001</v>
      </c>
      <c r="G351" s="70">
        <f t="shared" ref="G351" si="53">(IF(D351&lt;4172.98,0,MIN(D351*0.3,D351-4172.98)))-E351</f>
        <v>10994.307000000001</v>
      </c>
      <c r="H351" s="69"/>
      <c r="I351" s="69"/>
      <c r="J351" s="70"/>
      <c r="K351" s="70" t="s">
        <v>28</v>
      </c>
      <c r="L351" s="143">
        <v>46272</v>
      </c>
    </row>
    <row r="352" spans="1:12">
      <c r="A352" s="72">
        <v>24288538</v>
      </c>
      <c r="B352">
        <v>3111171997</v>
      </c>
      <c r="C352" s="69" t="s">
        <v>27</v>
      </c>
      <c r="D352" s="70">
        <v>39093.629999999997</v>
      </c>
      <c r="E352" s="70">
        <v>11728.09</v>
      </c>
      <c r="F352" s="70">
        <v>11728.088999999998</v>
      </c>
      <c r="G352" s="70">
        <v>-1.0000000020227162E-3</v>
      </c>
      <c r="H352" s="69">
        <v>46204</v>
      </c>
      <c r="I352" s="69" t="s">
        <v>44</v>
      </c>
      <c r="J352" s="70">
        <v>5649.35</v>
      </c>
      <c r="K352" s="70" t="s">
        <v>90</v>
      </c>
      <c r="L352" s="143">
        <v>46272</v>
      </c>
    </row>
    <row r="353" spans="1:12">
      <c r="A353" s="30">
        <v>24267950</v>
      </c>
      <c r="C353" s="69" t="s">
        <v>54</v>
      </c>
      <c r="D353" s="70">
        <v>10636.54</v>
      </c>
      <c r="E353" s="70"/>
      <c r="F353" s="70">
        <f>D353*0.3</f>
        <v>3190.962</v>
      </c>
      <c r="G353" s="70">
        <f>(IF(D353&lt;4172.98,0,MIN(D353*0.3,D353-4172.98)))-E353</f>
        <v>3190.962</v>
      </c>
      <c r="H353" s="69"/>
      <c r="I353" s="69"/>
      <c r="J353" s="70"/>
      <c r="K353" s="70" t="s">
        <v>35</v>
      </c>
      <c r="L353" s="143">
        <v>46272</v>
      </c>
    </row>
    <row r="354" spans="1:12">
      <c r="A354" s="12">
        <v>24269062</v>
      </c>
      <c r="C354" s="69" t="s">
        <v>54</v>
      </c>
      <c r="D354" s="70">
        <f>23742.23+367.77+735.55</f>
        <v>24845.55</v>
      </c>
      <c r="E354" s="70">
        <f>367.77+735.55</f>
        <v>1103.32</v>
      </c>
      <c r="F354" s="70">
        <f t="shared" ref="F354:F359" si="54">D354*0.3</f>
        <v>7453.6649999999991</v>
      </c>
      <c r="G354" s="70">
        <f t="shared" ref="G354:G359" si="55">(IF(D354&lt;4172.98,0,MIN(D354*0.3,D354-4172.98)))-E354</f>
        <v>6350.3449999999993</v>
      </c>
      <c r="H354" s="69"/>
      <c r="I354" s="69"/>
      <c r="J354" s="70"/>
      <c r="K354" s="70" t="s">
        <v>35</v>
      </c>
      <c r="L354" s="143">
        <v>46272</v>
      </c>
    </row>
    <row r="355" spans="1:12">
      <c r="A355" s="12">
        <v>24269246</v>
      </c>
      <c r="C355" s="69" t="s">
        <v>54</v>
      </c>
      <c r="D355" s="70">
        <v>9760.32</v>
      </c>
      <c r="E355" s="70"/>
      <c r="F355" s="70">
        <f t="shared" si="54"/>
        <v>2928.096</v>
      </c>
      <c r="G355" s="70">
        <f t="shared" si="55"/>
        <v>2928.096</v>
      </c>
      <c r="H355" s="69"/>
      <c r="I355" s="69"/>
      <c r="J355" s="70"/>
      <c r="K355" s="70" t="s">
        <v>1091</v>
      </c>
      <c r="L355" s="143">
        <v>46272</v>
      </c>
    </row>
    <row r="356" spans="1:12">
      <c r="A356" s="12">
        <v>24272188</v>
      </c>
      <c r="C356" s="69" t="s">
        <v>54</v>
      </c>
      <c r="D356" s="70">
        <v>16278.07</v>
      </c>
      <c r="E356" s="70"/>
      <c r="F356" s="70">
        <f t="shared" si="54"/>
        <v>4883.4209999999994</v>
      </c>
      <c r="G356" s="70">
        <f t="shared" si="55"/>
        <v>4883.4209999999994</v>
      </c>
      <c r="H356" s="69"/>
      <c r="I356" s="69"/>
      <c r="J356" s="70"/>
      <c r="K356" s="70" t="s">
        <v>879</v>
      </c>
      <c r="L356" s="143">
        <v>46272</v>
      </c>
    </row>
    <row r="357" spans="1:12">
      <c r="A357" s="12">
        <v>24296944</v>
      </c>
      <c r="C357" s="69" t="s">
        <v>54</v>
      </c>
      <c r="D357" s="70">
        <v>35583.480000000003</v>
      </c>
      <c r="E357" s="70"/>
      <c r="F357" s="70">
        <f t="shared" si="54"/>
        <v>10675.044</v>
      </c>
      <c r="G357" s="70">
        <f t="shared" si="55"/>
        <v>10675.044</v>
      </c>
      <c r="H357" s="69"/>
      <c r="I357" s="69"/>
      <c r="J357" s="70"/>
      <c r="K357" s="70" t="s">
        <v>62</v>
      </c>
      <c r="L357" s="143">
        <v>46272</v>
      </c>
    </row>
    <row r="358" spans="1:12">
      <c r="A358" s="12">
        <v>24272950</v>
      </c>
      <c r="C358" s="69" t="s">
        <v>54</v>
      </c>
      <c r="D358" s="70">
        <v>5617.63</v>
      </c>
      <c r="E358" s="70"/>
      <c r="F358" s="70">
        <f t="shared" si="54"/>
        <v>1685.289</v>
      </c>
      <c r="G358" s="70">
        <f t="shared" si="55"/>
        <v>1444.6500000000005</v>
      </c>
      <c r="H358" s="69"/>
      <c r="I358" s="69"/>
      <c r="J358" s="70"/>
      <c r="K358" s="70" t="s">
        <v>358</v>
      </c>
      <c r="L358" s="143">
        <v>46272</v>
      </c>
    </row>
    <row r="359" spans="1:12">
      <c r="A359" s="12">
        <v>24271060</v>
      </c>
      <c r="C359" s="69" t="s">
        <v>34</v>
      </c>
      <c r="D359" s="70">
        <v>42778.79</v>
      </c>
      <c r="E359" s="70">
        <v>12342.89</v>
      </c>
      <c r="F359" s="70">
        <f t="shared" si="54"/>
        <v>12833.637000000001</v>
      </c>
      <c r="G359" s="70">
        <f t="shared" si="55"/>
        <v>490.74700000000121</v>
      </c>
      <c r="H359" s="71">
        <v>46174</v>
      </c>
      <c r="I359" s="69" t="s">
        <v>73</v>
      </c>
      <c r="J359" s="70">
        <v>4631.09</v>
      </c>
      <c r="K359" s="70" t="s">
        <v>271</v>
      </c>
      <c r="L359" s="143">
        <v>46272</v>
      </c>
    </row>
    <row r="360" spans="1:12">
      <c r="A360" s="72">
        <v>24295476</v>
      </c>
      <c r="B360">
        <v>5218781558704</v>
      </c>
      <c r="C360" s="69" t="s">
        <v>34</v>
      </c>
      <c r="D360" s="70">
        <v>8539.89</v>
      </c>
      <c r="E360" s="70">
        <v>2261.88</v>
      </c>
      <c r="F360" s="70">
        <v>2561.9669999999996</v>
      </c>
      <c r="G360" s="70">
        <v>300.08699999999953</v>
      </c>
      <c r="H360" s="69">
        <v>45717</v>
      </c>
      <c r="I360" s="69" t="s">
        <v>57</v>
      </c>
      <c r="J360" s="70">
        <v>1781.49</v>
      </c>
      <c r="K360" s="70" t="s">
        <v>271</v>
      </c>
      <c r="L360" s="143">
        <v>46272</v>
      </c>
    </row>
    <row r="361" spans="1:12">
      <c r="A361" s="12">
        <v>24269122</v>
      </c>
      <c r="C361" s="69" t="s">
        <v>38</v>
      </c>
      <c r="D361" s="70">
        <v>23776.66</v>
      </c>
      <c r="E361" s="70">
        <v>6029.44</v>
      </c>
      <c r="F361" s="70">
        <f t="shared" ref="F361:F364" si="56">D361*0.3</f>
        <v>7132.9979999999996</v>
      </c>
      <c r="G361" s="70">
        <f t="shared" ref="G361:G364" si="57">(IF(D361&lt;4172.98,0,MIN(D361*0.3,D361-4172.98)))-E361</f>
        <v>1103.558</v>
      </c>
      <c r="H361" s="71">
        <v>46539</v>
      </c>
      <c r="I361" s="69" t="s">
        <v>77</v>
      </c>
      <c r="J361" s="70">
        <v>6029.44</v>
      </c>
      <c r="K361" s="70" t="s">
        <v>266</v>
      </c>
      <c r="L361" s="143">
        <v>46272</v>
      </c>
    </row>
    <row r="362" spans="1:12">
      <c r="A362" s="12">
        <v>24272308</v>
      </c>
      <c r="C362" s="69" t="s">
        <v>54</v>
      </c>
      <c r="D362" s="70">
        <v>8173.35</v>
      </c>
      <c r="E362" s="70"/>
      <c r="F362" s="70">
        <f t="shared" si="56"/>
        <v>2452.0050000000001</v>
      </c>
      <c r="G362" s="70">
        <f t="shared" si="57"/>
        <v>2452.0050000000001</v>
      </c>
      <c r="H362" s="69"/>
      <c r="I362" s="69"/>
      <c r="J362" s="70"/>
      <c r="K362" s="70" t="s">
        <v>348</v>
      </c>
      <c r="L362" s="143">
        <v>46272</v>
      </c>
    </row>
    <row r="363" spans="1:12">
      <c r="A363" s="12">
        <v>24278232</v>
      </c>
      <c r="C363" s="69" t="s">
        <v>27</v>
      </c>
      <c r="D363" s="70">
        <v>9081.52</v>
      </c>
      <c r="E363" s="70">
        <v>2626.77</v>
      </c>
      <c r="F363" s="70">
        <f t="shared" si="56"/>
        <v>2724.4560000000001</v>
      </c>
      <c r="G363" s="70">
        <f t="shared" si="57"/>
        <v>97.686000000000149</v>
      </c>
      <c r="H363" s="71">
        <v>46174</v>
      </c>
      <c r="I363" s="69" t="s">
        <v>75</v>
      </c>
      <c r="J363" s="70">
        <v>1993.77</v>
      </c>
      <c r="K363" s="70" t="s">
        <v>98</v>
      </c>
      <c r="L363" s="143">
        <v>46272</v>
      </c>
    </row>
    <row r="364" spans="1:12">
      <c r="A364" s="12">
        <v>24282280</v>
      </c>
      <c r="C364" s="69" t="s">
        <v>54</v>
      </c>
      <c r="D364" s="70">
        <v>10636.54</v>
      </c>
      <c r="E364" s="70"/>
      <c r="F364" s="70">
        <f t="shared" si="56"/>
        <v>3190.962</v>
      </c>
      <c r="G364" s="70">
        <f t="shared" si="57"/>
        <v>3190.962</v>
      </c>
      <c r="H364" s="69"/>
      <c r="I364" s="69"/>
      <c r="J364" s="70"/>
      <c r="K364" s="70" t="s">
        <v>886</v>
      </c>
      <c r="L364" s="143">
        <v>46272</v>
      </c>
    </row>
    <row r="365" spans="1:12">
      <c r="A365" s="72">
        <v>24283124</v>
      </c>
      <c r="B365">
        <v>5213312940712</v>
      </c>
      <c r="C365" s="69" t="s">
        <v>54</v>
      </c>
      <c r="D365" s="70">
        <v>10636.54</v>
      </c>
      <c r="E365" s="70"/>
      <c r="F365" s="70">
        <v>3190.962</v>
      </c>
      <c r="G365" s="70">
        <v>3190.962</v>
      </c>
      <c r="H365" s="69"/>
      <c r="I365" s="69"/>
      <c r="J365" s="70"/>
      <c r="K365" s="70" t="s">
        <v>327</v>
      </c>
      <c r="L365" s="143">
        <v>46272</v>
      </c>
    </row>
    <row r="366" spans="1:12">
      <c r="A366" s="30">
        <v>24297060</v>
      </c>
      <c r="C366" s="69" t="s">
        <v>54</v>
      </c>
      <c r="D366" s="70">
        <v>7128.48</v>
      </c>
      <c r="E366" s="70"/>
      <c r="F366" s="70">
        <f>D366*0.3</f>
        <v>2138.5439999999999</v>
      </c>
      <c r="G366" s="70">
        <f>(IF(D366&lt;4172.98,0,MIN(D366*0.3,D366-4172.98)))-E366</f>
        <v>2138.5439999999999</v>
      </c>
      <c r="H366" s="69"/>
      <c r="I366" s="69"/>
      <c r="J366" s="70"/>
      <c r="K366" s="70" t="s">
        <v>28</v>
      </c>
      <c r="L366" s="143">
        <v>46272</v>
      </c>
    </row>
    <row r="367" spans="1:12">
      <c r="A367" s="72">
        <v>24292442</v>
      </c>
      <c r="B367">
        <v>5217551067335</v>
      </c>
      <c r="C367" s="69" t="s">
        <v>54</v>
      </c>
      <c r="D367" s="70">
        <v>9760.32</v>
      </c>
      <c r="E367" s="70"/>
      <c r="F367" s="70">
        <v>2928.096</v>
      </c>
      <c r="G367" s="70">
        <v>2928.096</v>
      </c>
      <c r="H367" s="69"/>
      <c r="I367" s="69"/>
      <c r="J367" s="70"/>
      <c r="K367" s="70" t="s">
        <v>62</v>
      </c>
      <c r="L367" s="143">
        <v>46272</v>
      </c>
    </row>
    <row r="368" spans="1:12">
      <c r="A368" s="12">
        <v>24282324</v>
      </c>
      <c r="C368" s="69" t="s">
        <v>54</v>
      </c>
      <c r="D368" s="70">
        <v>9760.32</v>
      </c>
      <c r="E368" s="70"/>
      <c r="F368" s="70">
        <f t="shared" ref="F368:F372" si="58">D368*0.3</f>
        <v>2928.096</v>
      </c>
      <c r="G368" s="70">
        <f t="shared" ref="G368:G372" si="59">(IF(D368&lt;4172.98,0,MIN(D368*0.3,D368-4172.98)))-E368</f>
        <v>2928.096</v>
      </c>
      <c r="H368" s="69"/>
      <c r="I368" s="69"/>
      <c r="J368" s="70"/>
      <c r="K368" s="70" t="s">
        <v>886</v>
      </c>
      <c r="L368" s="143">
        <v>46272</v>
      </c>
    </row>
    <row r="369" spans="1:12">
      <c r="A369" s="12">
        <v>24287164</v>
      </c>
      <c r="C369" s="69" t="s">
        <v>54</v>
      </c>
      <c r="D369" s="70">
        <v>9760.32</v>
      </c>
      <c r="E369" s="70"/>
      <c r="F369" s="70">
        <f t="shared" si="58"/>
        <v>2928.096</v>
      </c>
      <c r="G369" s="70">
        <f t="shared" si="59"/>
        <v>2928.096</v>
      </c>
      <c r="H369" s="69"/>
      <c r="I369" s="69"/>
      <c r="J369" s="70"/>
      <c r="K369" s="70" t="s">
        <v>327</v>
      </c>
      <c r="L369" s="143">
        <v>46272</v>
      </c>
    </row>
    <row r="370" spans="1:12">
      <c r="A370" s="30">
        <v>24298230</v>
      </c>
      <c r="C370" s="69" t="s">
        <v>54</v>
      </c>
      <c r="D370" s="70">
        <v>14461.55</v>
      </c>
      <c r="E370" s="70">
        <v>2819.44</v>
      </c>
      <c r="F370" s="70">
        <f t="shared" si="58"/>
        <v>4338.4649999999992</v>
      </c>
      <c r="G370" s="70">
        <f t="shared" si="59"/>
        <v>1519.0249999999992</v>
      </c>
      <c r="H370" s="71">
        <v>46692</v>
      </c>
      <c r="I370" s="69" t="s">
        <v>75</v>
      </c>
      <c r="J370" s="70">
        <v>2819.44</v>
      </c>
      <c r="K370" s="70" t="s">
        <v>358</v>
      </c>
      <c r="L370" s="143">
        <v>46272</v>
      </c>
    </row>
    <row r="371" spans="1:12">
      <c r="A371" s="12">
        <v>24281402</v>
      </c>
      <c r="C371" s="69" t="s">
        <v>27</v>
      </c>
      <c r="D371" s="70">
        <f>6560.19+2521.33</f>
        <v>9081.52</v>
      </c>
      <c r="E371" s="70">
        <v>2521.33</v>
      </c>
      <c r="F371" s="70">
        <f t="shared" si="58"/>
        <v>2724.4560000000001</v>
      </c>
      <c r="G371" s="70">
        <f t="shared" si="59"/>
        <v>203.1260000000002</v>
      </c>
      <c r="H371" s="71">
        <v>46174</v>
      </c>
      <c r="I371" s="69" t="s">
        <v>44</v>
      </c>
      <c r="J371" s="70">
        <v>2521.33</v>
      </c>
      <c r="K371" s="70" t="s">
        <v>90</v>
      </c>
      <c r="L371" s="143">
        <v>46272</v>
      </c>
    </row>
    <row r="372" spans="1:12">
      <c r="A372" s="12">
        <v>24282620</v>
      </c>
      <c r="C372" s="69" t="s">
        <v>34</v>
      </c>
      <c r="D372" s="70">
        <v>6408.47</v>
      </c>
      <c r="E372" s="70">
        <v>1685.94</v>
      </c>
      <c r="F372" s="70">
        <f t="shared" si="58"/>
        <v>1922.5409999999999</v>
      </c>
      <c r="G372" s="70">
        <f t="shared" si="59"/>
        <v>236.60099999999989</v>
      </c>
      <c r="H372" s="71">
        <v>46235</v>
      </c>
      <c r="I372" s="69" t="s">
        <v>57</v>
      </c>
      <c r="J372" s="70">
        <v>1685.94</v>
      </c>
      <c r="K372" s="70" t="s">
        <v>271</v>
      </c>
      <c r="L372" s="143">
        <v>46272</v>
      </c>
    </row>
    <row r="373" spans="1:12">
      <c r="A373" s="72">
        <v>24283404</v>
      </c>
      <c r="B373">
        <v>6678726796</v>
      </c>
      <c r="C373" s="69" t="s">
        <v>107</v>
      </c>
      <c r="D373" s="70">
        <v>6556.41</v>
      </c>
      <c r="E373" s="70">
        <v>2097.29</v>
      </c>
      <c r="F373" s="70">
        <v>1966.9229999999998</v>
      </c>
      <c r="G373" s="70">
        <v>-130.36700000000019</v>
      </c>
      <c r="H373" s="69">
        <v>46266</v>
      </c>
      <c r="I373" s="69" t="s">
        <v>75</v>
      </c>
      <c r="J373" s="70">
        <v>680</v>
      </c>
      <c r="K373" s="70" t="s">
        <v>266</v>
      </c>
      <c r="L373" s="143">
        <v>46272</v>
      </c>
    </row>
    <row r="374" spans="1:12">
      <c r="A374" s="72">
        <v>24277158</v>
      </c>
      <c r="C374" s="69" t="s">
        <v>107</v>
      </c>
      <c r="D374" s="70">
        <f>6350.53+553.74+183.91+112+1652.99+192.16</f>
        <v>9045.33</v>
      </c>
      <c r="E374" s="70">
        <f>553.74+183.91+112+1652.99+192.16</f>
        <v>2694.7999999999997</v>
      </c>
      <c r="F374" s="70">
        <f t="shared" ref="F374:F377" si="60">D374*0.3</f>
        <v>2713.5989999999997</v>
      </c>
      <c r="G374" s="70">
        <f t="shared" ref="G374:G377" si="61">(IF(D374&lt;4172.98,0,MIN(D374*0.3,D374-4172.98)))-E374</f>
        <v>18.798999999999978</v>
      </c>
      <c r="H374" s="71">
        <v>45658</v>
      </c>
      <c r="I374" s="69" t="s">
        <v>184</v>
      </c>
      <c r="J374" s="70">
        <v>553.74</v>
      </c>
      <c r="K374" s="138" t="s">
        <v>39</v>
      </c>
      <c r="L374" s="143">
        <v>46272</v>
      </c>
    </row>
    <row r="375" spans="1:12">
      <c r="A375" s="30">
        <v>24295676</v>
      </c>
      <c r="C375" s="69" t="s">
        <v>54</v>
      </c>
      <c r="D375" s="70">
        <f>8912.32+848</f>
        <v>9760.32</v>
      </c>
      <c r="E375" s="70">
        <v>848</v>
      </c>
      <c r="F375" s="70">
        <f t="shared" si="60"/>
        <v>2928.096</v>
      </c>
      <c r="G375" s="70">
        <f t="shared" si="61"/>
        <v>2080.096</v>
      </c>
      <c r="H375" s="69"/>
      <c r="I375" s="69"/>
      <c r="J375" s="70"/>
      <c r="K375" s="70" t="s">
        <v>35</v>
      </c>
      <c r="L375" s="143">
        <v>46272</v>
      </c>
    </row>
    <row r="376" spans="1:12">
      <c r="A376" s="12">
        <v>24298262</v>
      </c>
      <c r="C376" s="69" t="s">
        <v>54</v>
      </c>
      <c r="D376" s="70">
        <v>11823.68</v>
      </c>
      <c r="E376" s="70">
        <v>1838.41</v>
      </c>
      <c r="F376" s="70">
        <f t="shared" si="60"/>
        <v>3547.1039999999998</v>
      </c>
      <c r="G376" s="70">
        <f t="shared" si="61"/>
        <v>1708.6939999999997</v>
      </c>
      <c r="H376" s="71">
        <v>46874</v>
      </c>
      <c r="I376" s="69" t="s">
        <v>44</v>
      </c>
      <c r="J376" s="70">
        <v>1838.41</v>
      </c>
      <c r="K376" s="70" t="s">
        <v>358</v>
      </c>
      <c r="L376" s="143">
        <v>46272</v>
      </c>
    </row>
    <row r="377" spans="1:12">
      <c r="A377" s="30">
        <v>24298708</v>
      </c>
      <c r="C377" s="69" t="s">
        <v>54</v>
      </c>
      <c r="D377" s="70">
        <v>10774.86</v>
      </c>
      <c r="E377" s="70"/>
      <c r="F377" s="70">
        <f t="shared" si="60"/>
        <v>3232.4580000000001</v>
      </c>
      <c r="G377" s="70">
        <f t="shared" si="61"/>
        <v>3232.4580000000001</v>
      </c>
      <c r="H377" s="69"/>
      <c r="I377" s="69"/>
      <c r="J377" s="70"/>
      <c r="K377" s="70" t="s">
        <v>327</v>
      </c>
      <c r="L377" s="143">
        <v>46272</v>
      </c>
    </row>
    <row r="378" spans="1:12">
      <c r="A378" s="30">
        <v>24297940</v>
      </c>
      <c r="C378" s="69" t="s">
        <v>54</v>
      </c>
      <c r="D378" s="70">
        <v>9760.32</v>
      </c>
      <c r="E378" s="70"/>
      <c r="F378" s="70">
        <f>D378*0.3</f>
        <v>2928.096</v>
      </c>
      <c r="G378" s="70">
        <f>(IF(D378&lt;4172.98,0,MIN(D378*0.3,D378-4172.98)))-E378</f>
        <v>2928.096</v>
      </c>
      <c r="H378" s="69"/>
      <c r="I378" s="69"/>
      <c r="J378" s="70"/>
      <c r="K378" s="70" t="s">
        <v>348</v>
      </c>
      <c r="L378" s="143">
        <v>46272</v>
      </c>
    </row>
    <row r="379" spans="1:12">
      <c r="A379" s="12">
        <v>24278724</v>
      </c>
      <c r="C379" s="69" t="s">
        <v>38</v>
      </c>
      <c r="D379" s="70">
        <v>4890.79</v>
      </c>
      <c r="E379" s="70"/>
      <c r="F379" s="70">
        <f t="shared" ref="F379:F380" si="62">D379*0.3</f>
        <v>1467.2369999999999</v>
      </c>
      <c r="G379" s="70">
        <f t="shared" ref="G379:G380" si="63">(IF(D379&lt;4172.98,0,MIN(D379*0.3,D379-4172.98)))-E379</f>
        <v>717.8100000000004</v>
      </c>
      <c r="H379" s="69"/>
      <c r="I379" s="69"/>
      <c r="J379" s="70"/>
      <c r="K379" s="138" t="s">
        <v>39</v>
      </c>
      <c r="L379" s="143">
        <v>46272</v>
      </c>
    </row>
    <row r="380" spans="1:12">
      <c r="A380" s="12">
        <v>24288566</v>
      </c>
      <c r="C380" s="69" t="s">
        <v>38</v>
      </c>
      <c r="D380" s="70">
        <v>9770.32</v>
      </c>
      <c r="E380" s="70">
        <v>2077.4</v>
      </c>
      <c r="F380" s="70">
        <f t="shared" si="62"/>
        <v>2931.096</v>
      </c>
      <c r="G380" s="70">
        <f t="shared" si="63"/>
        <v>853.69599999999991</v>
      </c>
      <c r="H380" s="71">
        <v>46905</v>
      </c>
      <c r="I380" s="69" t="s">
        <v>44</v>
      </c>
      <c r="J380" s="70">
        <v>2077.4</v>
      </c>
      <c r="K380" s="138" t="s">
        <v>39</v>
      </c>
      <c r="L380" s="143">
        <v>46272</v>
      </c>
    </row>
    <row r="381" spans="1:12">
      <c r="A381" s="72">
        <v>24254398</v>
      </c>
      <c r="B381">
        <v>5215545889699</v>
      </c>
      <c r="C381" s="69" t="s">
        <v>38</v>
      </c>
      <c r="D381" s="70">
        <v>40143.839999999997</v>
      </c>
      <c r="E381" s="70">
        <v>11605.36</v>
      </c>
      <c r="F381" s="70">
        <v>12043.151999999998</v>
      </c>
      <c r="G381" s="70">
        <v>437.79199999999764</v>
      </c>
      <c r="H381" s="69">
        <v>46661</v>
      </c>
      <c r="I381" s="69" t="s">
        <v>73</v>
      </c>
      <c r="J381" s="70">
        <v>11605.36</v>
      </c>
      <c r="K381" s="138" t="s">
        <v>39</v>
      </c>
      <c r="L381" s="143">
        <v>46272</v>
      </c>
    </row>
    <row r="382" spans="1:12">
      <c r="A382" s="72">
        <v>24274632</v>
      </c>
      <c r="B382">
        <v>5215568781978</v>
      </c>
      <c r="C382" s="69" t="s">
        <v>38</v>
      </c>
      <c r="D382" s="70">
        <v>4813.6899999999996</v>
      </c>
      <c r="E382" s="70"/>
      <c r="F382" s="70">
        <v>1444.1069999999997</v>
      </c>
      <c r="G382" s="70">
        <v>640.71</v>
      </c>
      <c r="H382" s="69"/>
      <c r="I382" s="69"/>
      <c r="J382" s="70"/>
      <c r="K382" s="70" t="s">
        <v>266</v>
      </c>
      <c r="L382" s="143">
        <v>46272</v>
      </c>
    </row>
    <row r="383" spans="1:12">
      <c r="A383" s="72">
        <v>24297332</v>
      </c>
      <c r="B383">
        <v>4492907341</v>
      </c>
      <c r="C383" s="69" t="s">
        <v>38</v>
      </c>
      <c r="D383" s="70">
        <v>9760.32</v>
      </c>
      <c r="E383" s="70">
        <v>1794.15</v>
      </c>
      <c r="F383" s="70">
        <v>2928.096</v>
      </c>
      <c r="G383" s="70">
        <v>1133.9459999999999</v>
      </c>
      <c r="H383" s="69">
        <v>46844</v>
      </c>
      <c r="I383" s="69" t="s">
        <v>2819</v>
      </c>
      <c r="J383" s="70">
        <v>1794.15</v>
      </c>
      <c r="K383" s="70" t="s">
        <v>266</v>
      </c>
      <c r="L383" s="143">
        <v>46272</v>
      </c>
    </row>
    <row r="384" spans="1:12">
      <c r="A384" s="12">
        <v>24297932</v>
      </c>
      <c r="C384" s="69" t="s">
        <v>38</v>
      </c>
      <c r="D384" s="70">
        <v>9760.32</v>
      </c>
      <c r="E384" s="70">
        <v>2335.4299999999998</v>
      </c>
      <c r="F384" s="70">
        <f t="shared" ref="F384:F389" si="64">D384*0.3</f>
        <v>2928.096</v>
      </c>
      <c r="G384" s="70">
        <f t="shared" ref="G384:G389" si="65">(IF(D384&lt;4172.98,0,MIN(D384*0.3,D384-4172.98)))-E384</f>
        <v>592.66600000000017</v>
      </c>
      <c r="H384" s="71">
        <v>46661</v>
      </c>
      <c r="I384" s="69" t="s">
        <v>43</v>
      </c>
      <c r="J384" s="70">
        <v>2335.4299999999998</v>
      </c>
      <c r="K384" s="70" t="s">
        <v>266</v>
      </c>
      <c r="L384" s="143">
        <v>46272</v>
      </c>
    </row>
    <row r="385" spans="1:12">
      <c r="A385" s="12">
        <v>24298904</v>
      </c>
      <c r="C385" s="69" t="s">
        <v>54</v>
      </c>
      <c r="D385" s="70">
        <f>44673.47-34036</f>
        <v>10637.470000000001</v>
      </c>
      <c r="E385" s="70"/>
      <c r="F385" s="70">
        <f t="shared" si="64"/>
        <v>3191.2410000000004</v>
      </c>
      <c r="G385" s="70">
        <f t="shared" si="65"/>
        <v>3191.2410000000004</v>
      </c>
      <c r="H385" s="69"/>
      <c r="I385" s="69"/>
      <c r="J385" s="70"/>
      <c r="K385" s="70" t="s">
        <v>886</v>
      </c>
      <c r="L385" s="143">
        <v>46272</v>
      </c>
    </row>
    <row r="386" spans="1:12">
      <c r="A386" s="12">
        <v>24298214</v>
      </c>
      <c r="C386" s="69" t="s">
        <v>54</v>
      </c>
      <c r="D386" s="70">
        <v>9698.31</v>
      </c>
      <c r="E386" s="70"/>
      <c r="F386" s="70">
        <f t="shared" si="64"/>
        <v>2909.4929999999999</v>
      </c>
      <c r="G386" s="70">
        <f t="shared" si="65"/>
        <v>2909.4929999999999</v>
      </c>
      <c r="H386" s="69"/>
      <c r="I386" s="69"/>
      <c r="J386" s="70"/>
      <c r="K386" s="70" t="s">
        <v>35</v>
      </c>
      <c r="L386" s="143">
        <v>46272</v>
      </c>
    </row>
    <row r="387" spans="1:12">
      <c r="A387" s="72">
        <v>24268036</v>
      </c>
      <c r="C387" s="69" t="s">
        <v>27</v>
      </c>
      <c r="D387" s="70">
        <v>12275.37</v>
      </c>
      <c r="E387" s="70">
        <v>3403.6</v>
      </c>
      <c r="F387" s="70">
        <f t="shared" si="64"/>
        <v>3682.6110000000003</v>
      </c>
      <c r="G387" s="70">
        <f t="shared" si="65"/>
        <v>279.01100000000042</v>
      </c>
      <c r="H387" s="71">
        <v>46266</v>
      </c>
      <c r="I387" s="69" t="s">
        <v>80</v>
      </c>
      <c r="J387" s="70">
        <v>3403.6</v>
      </c>
      <c r="K387" s="70" t="s">
        <v>879</v>
      </c>
      <c r="L387" s="143">
        <v>46272</v>
      </c>
    </row>
    <row r="388" spans="1:12">
      <c r="A388" s="12">
        <v>24281532</v>
      </c>
      <c r="C388" s="69" t="s">
        <v>27</v>
      </c>
      <c r="D388" s="70">
        <f>9743.48+3744.82</f>
        <v>13488.3</v>
      </c>
      <c r="E388" s="70">
        <v>3744.82</v>
      </c>
      <c r="F388" s="70">
        <f t="shared" si="64"/>
        <v>4046.49</v>
      </c>
      <c r="G388" s="70">
        <f t="shared" si="65"/>
        <v>301.66999999999962</v>
      </c>
      <c r="H388" s="71">
        <v>46266</v>
      </c>
      <c r="I388" s="69" t="s">
        <v>75</v>
      </c>
      <c r="J388" s="70">
        <v>3744.82</v>
      </c>
      <c r="K388" s="70" t="s">
        <v>90</v>
      </c>
      <c r="L388" s="143">
        <v>46272</v>
      </c>
    </row>
    <row r="389" spans="1:12">
      <c r="A389" s="12">
        <v>24286150</v>
      </c>
      <c r="C389" s="69" t="s">
        <v>27</v>
      </c>
      <c r="D389" s="70">
        <v>27256.22</v>
      </c>
      <c r="E389" s="70">
        <v>8159.53</v>
      </c>
      <c r="F389" s="70">
        <f t="shared" si="64"/>
        <v>8176.866</v>
      </c>
      <c r="G389" s="70">
        <f t="shared" si="65"/>
        <v>17.33600000000024</v>
      </c>
      <c r="H389" s="71">
        <v>46174</v>
      </c>
      <c r="I389" s="69" t="s">
        <v>75</v>
      </c>
      <c r="J389" s="70">
        <v>3735.1</v>
      </c>
      <c r="K389" s="70" t="s">
        <v>98</v>
      </c>
      <c r="L389" s="143">
        <v>46272</v>
      </c>
    </row>
    <row r="390" spans="1:12">
      <c r="A390" s="72">
        <v>24297288</v>
      </c>
      <c r="B390">
        <v>2292258905</v>
      </c>
      <c r="C390" s="69" t="s">
        <v>54</v>
      </c>
      <c r="D390" s="70">
        <v>10636.36</v>
      </c>
      <c r="E390" s="70"/>
      <c r="F390" s="70">
        <v>3190.9079999999999</v>
      </c>
      <c r="G390" s="70">
        <v>3190.9079999999999</v>
      </c>
      <c r="H390" s="69"/>
      <c r="I390" s="69"/>
      <c r="J390" s="70"/>
      <c r="K390" s="70" t="s">
        <v>62</v>
      </c>
      <c r="L390" s="143">
        <v>46272</v>
      </c>
    </row>
    <row r="391" spans="1:12">
      <c r="A391" s="72">
        <v>24287632</v>
      </c>
      <c r="B391">
        <v>5215534164563</v>
      </c>
      <c r="C391" s="69" t="s">
        <v>54</v>
      </c>
      <c r="D391" s="70">
        <v>35969.39</v>
      </c>
      <c r="E391" s="70"/>
      <c r="F391" s="70">
        <v>10790.816999999999</v>
      </c>
      <c r="G391" s="70">
        <v>10790.816999999999</v>
      </c>
      <c r="H391" s="69"/>
      <c r="I391" s="69"/>
      <c r="J391" s="70"/>
      <c r="K391" s="70" t="s">
        <v>1091</v>
      </c>
      <c r="L391" s="143">
        <v>46272</v>
      </c>
    </row>
    <row r="392" spans="1:12">
      <c r="A392" s="72">
        <v>24258382</v>
      </c>
      <c r="B392">
        <v>5582870035</v>
      </c>
      <c r="C392" s="69" t="s">
        <v>54</v>
      </c>
      <c r="D392" s="70">
        <v>6508.25</v>
      </c>
      <c r="E392" s="70"/>
      <c r="F392" s="70">
        <v>1952.4749999999999</v>
      </c>
      <c r="G392" s="70">
        <v>1952.4749999999999</v>
      </c>
      <c r="H392" s="69"/>
      <c r="I392" s="69"/>
      <c r="J392" s="70"/>
      <c r="K392" s="70" t="s">
        <v>28</v>
      </c>
      <c r="L392" s="143">
        <v>46272</v>
      </c>
    </row>
    <row r="393" spans="1:12">
      <c r="A393" s="12">
        <v>24298046</v>
      </c>
      <c r="C393" s="69" t="s">
        <v>27</v>
      </c>
      <c r="D393" s="70">
        <v>17759.02</v>
      </c>
      <c r="E393" s="70">
        <v>3980</v>
      </c>
      <c r="F393" s="70">
        <f t="shared" ref="F393:F394" si="66">D393*0.3</f>
        <v>5327.7060000000001</v>
      </c>
      <c r="G393" s="70">
        <f t="shared" ref="G393:G394" si="67">(IF(D393&lt;4172.98,0,MIN(D393*0.3,D393-4172.98)))-E393</f>
        <v>1347.7060000000001</v>
      </c>
      <c r="H393" s="71">
        <v>45597</v>
      </c>
      <c r="I393" s="69" t="s">
        <v>184</v>
      </c>
      <c r="J393" s="70">
        <v>3980</v>
      </c>
      <c r="K393" s="70" t="s">
        <v>548</v>
      </c>
      <c r="L393" s="143">
        <v>46272</v>
      </c>
    </row>
    <row r="394" spans="1:12">
      <c r="A394" s="12">
        <v>24299076</v>
      </c>
      <c r="C394" s="69" t="s">
        <v>27</v>
      </c>
      <c r="D394" s="70">
        <v>7920.51</v>
      </c>
      <c r="E394" s="70">
        <v>2197.7199999999998</v>
      </c>
      <c r="F394" s="70">
        <f t="shared" si="66"/>
        <v>2376.1529999999998</v>
      </c>
      <c r="G394" s="70">
        <f t="shared" si="67"/>
        <v>178.43299999999999</v>
      </c>
      <c r="H394" s="71">
        <v>46143</v>
      </c>
      <c r="I394" s="69" t="s">
        <v>44</v>
      </c>
      <c r="J394" s="70">
        <v>2197.7199999999998</v>
      </c>
      <c r="K394" s="70" t="s">
        <v>548</v>
      </c>
      <c r="L394" s="143">
        <v>46272</v>
      </c>
    </row>
    <row r="395" spans="1:12">
      <c r="A395" s="72">
        <v>24295750</v>
      </c>
      <c r="B395">
        <v>5218715208206</v>
      </c>
      <c r="C395" s="69" t="s">
        <v>54</v>
      </c>
      <c r="D395" s="70">
        <v>5617.63</v>
      </c>
      <c r="E395" s="70"/>
      <c r="F395" s="70">
        <v>1685.289</v>
      </c>
      <c r="G395" s="70">
        <v>1444.6500000000005</v>
      </c>
      <c r="H395" s="69"/>
      <c r="I395" s="69"/>
      <c r="J395" s="70"/>
      <c r="K395" s="70" t="s">
        <v>358</v>
      </c>
      <c r="L395" s="143">
        <v>46272</v>
      </c>
    </row>
    <row r="396" spans="1:12">
      <c r="A396" s="30">
        <v>24300612</v>
      </c>
      <c r="C396" s="69" t="s">
        <v>54</v>
      </c>
      <c r="D396" s="70">
        <v>23430.43</v>
      </c>
      <c r="E396" s="70">
        <v>5381.35</v>
      </c>
      <c r="F396" s="70">
        <f>D396*0.3</f>
        <v>7029.1289999999999</v>
      </c>
      <c r="G396" s="70">
        <f>(IF(D396&lt;4172.98,0,MIN(D396*0.3,D396-4172.98)))-E396</f>
        <v>1647.7789999999995</v>
      </c>
      <c r="H396" s="71">
        <v>46784</v>
      </c>
      <c r="I396" s="69" t="s">
        <v>75</v>
      </c>
      <c r="J396" s="70">
        <v>3770.29</v>
      </c>
      <c r="K396" s="70" t="s">
        <v>886</v>
      </c>
      <c r="L396" s="143">
        <v>46272</v>
      </c>
    </row>
    <row r="397" spans="1:12">
      <c r="A397" s="72">
        <v>24289344</v>
      </c>
      <c r="B397">
        <v>5215527709409</v>
      </c>
      <c r="C397" s="69" t="s">
        <v>38</v>
      </c>
      <c r="D397" s="70">
        <v>6262.86</v>
      </c>
      <c r="E397" s="70">
        <v>879</v>
      </c>
      <c r="F397" s="70">
        <v>1878.8579999999997</v>
      </c>
      <c r="G397" s="70">
        <v>999.85799999999972</v>
      </c>
      <c r="H397" s="69"/>
      <c r="I397" s="69"/>
      <c r="J397" s="70"/>
      <c r="K397" s="138" t="s">
        <v>39</v>
      </c>
      <c r="L397" s="143">
        <v>46272</v>
      </c>
    </row>
    <row r="398" spans="1:12">
      <c r="A398" s="72">
        <v>24282456</v>
      </c>
      <c r="B398">
        <v>4794138593</v>
      </c>
      <c r="C398" s="69" t="s">
        <v>34</v>
      </c>
      <c r="D398" s="70">
        <v>13124.95</v>
      </c>
      <c r="E398" s="70"/>
      <c r="F398" s="70">
        <v>3937.4850000000001</v>
      </c>
      <c r="G398" s="70">
        <v>3937.4850000000001</v>
      </c>
      <c r="H398" s="69"/>
      <c r="I398" s="69"/>
      <c r="J398" s="70"/>
      <c r="K398" s="70" t="s">
        <v>271</v>
      </c>
      <c r="L398" s="143">
        <v>46272</v>
      </c>
    </row>
    <row r="399" spans="1:12">
      <c r="A399" s="30">
        <v>24301858</v>
      </c>
      <c r="C399" s="69" t="s">
        <v>54</v>
      </c>
      <c r="D399" s="70">
        <v>5983.28</v>
      </c>
      <c r="E399" s="70"/>
      <c r="F399" s="70">
        <f>D399*0.3</f>
        <v>1794.9839999999999</v>
      </c>
      <c r="G399" s="70">
        <f>(IF(D399&lt;4172.98,0,MIN(D399*0.3,D399-4172.98)))-E399</f>
        <v>1794.9839999999999</v>
      </c>
      <c r="H399" s="69"/>
      <c r="I399" s="69"/>
      <c r="J399" s="70"/>
      <c r="K399" s="70" t="s">
        <v>327</v>
      </c>
      <c r="L399" s="143">
        <v>46272</v>
      </c>
    </row>
    <row r="400" spans="1:12">
      <c r="A400" s="12">
        <v>24302290</v>
      </c>
      <c r="C400" s="69" t="s">
        <v>27</v>
      </c>
      <c r="D400" s="70">
        <v>5617.63</v>
      </c>
      <c r="E400" s="70">
        <v>1335.17</v>
      </c>
      <c r="F400" s="70">
        <f t="shared" ref="F400" si="68">D400*0.3</f>
        <v>1685.289</v>
      </c>
      <c r="G400" s="70">
        <f t="shared" ref="G400" si="69">(IF(D400&lt;4172.98,0,MIN(D400*0.3,D400-4172.98)))-E400</f>
        <v>109.48000000000047</v>
      </c>
      <c r="H400" s="71">
        <v>46266</v>
      </c>
      <c r="I400" s="69" t="s">
        <v>1707</v>
      </c>
      <c r="J400" s="70">
        <v>1335.17</v>
      </c>
      <c r="K400" s="70" t="s">
        <v>548</v>
      </c>
      <c r="L400" s="143">
        <v>46272</v>
      </c>
    </row>
    <row r="401" spans="1:12">
      <c r="A401" s="72">
        <v>24288606</v>
      </c>
      <c r="B401">
        <v>5216151599764</v>
      </c>
      <c r="C401" s="69" t="s">
        <v>54</v>
      </c>
      <c r="D401" s="70">
        <v>96277.41</v>
      </c>
      <c r="E401" s="70">
        <v>13700.2</v>
      </c>
      <c r="F401" s="70">
        <v>28883.223000000002</v>
      </c>
      <c r="G401" s="70">
        <v>15183.023000000001</v>
      </c>
      <c r="H401" s="69">
        <v>46023</v>
      </c>
      <c r="I401" s="69" t="s">
        <v>43</v>
      </c>
      <c r="J401" s="70">
        <v>13700.2</v>
      </c>
      <c r="K401" s="70" t="s">
        <v>35</v>
      </c>
      <c r="L401" s="143">
        <v>46272</v>
      </c>
    </row>
    <row r="402" spans="1:12">
      <c r="A402" s="72">
        <v>24299364</v>
      </c>
      <c r="B402">
        <v>5218122055931</v>
      </c>
      <c r="C402" s="69" t="s">
        <v>54</v>
      </c>
      <c r="D402" s="70">
        <v>10636.54</v>
      </c>
      <c r="E402" s="70"/>
      <c r="F402" s="70">
        <v>3190.962</v>
      </c>
      <c r="G402" s="70">
        <v>3190.962</v>
      </c>
      <c r="H402" s="69"/>
      <c r="I402" s="69"/>
      <c r="J402" s="70"/>
      <c r="K402" s="70" t="s">
        <v>28</v>
      </c>
      <c r="L402" s="143">
        <v>46272</v>
      </c>
    </row>
    <row r="403" spans="1:12">
      <c r="A403" s="30">
        <v>24303142</v>
      </c>
      <c r="C403" s="69" t="s">
        <v>54</v>
      </c>
      <c r="D403" s="70">
        <v>18639.330000000002</v>
      </c>
      <c r="E403" s="70">
        <v>3677.75</v>
      </c>
      <c r="F403" s="70">
        <f>D403*0.3</f>
        <v>5591.799</v>
      </c>
      <c r="G403" s="70">
        <f>(IF(D403&lt;4172.98,0,MIN(D403*0.3,D403-4172.98)))-E403</f>
        <v>1914.049</v>
      </c>
      <c r="H403" s="71">
        <v>46966</v>
      </c>
      <c r="I403" s="69" t="s">
        <v>57</v>
      </c>
      <c r="J403" s="70">
        <v>3677.75</v>
      </c>
      <c r="K403" s="70" t="s">
        <v>1091</v>
      </c>
      <c r="L403" s="143">
        <v>46272</v>
      </c>
    </row>
    <row r="404" spans="1:12">
      <c r="A404" s="72">
        <v>24300162</v>
      </c>
      <c r="B404">
        <v>24300162</v>
      </c>
      <c r="C404" s="69" t="s">
        <v>38</v>
      </c>
      <c r="D404" s="70">
        <v>29304.58</v>
      </c>
      <c r="E404" s="70">
        <v>8128.52</v>
      </c>
      <c r="F404" s="70">
        <v>8791.3739999999998</v>
      </c>
      <c r="G404" s="70">
        <v>662.85399999999936</v>
      </c>
      <c r="H404" s="69">
        <v>46296</v>
      </c>
      <c r="I404" s="69" t="s">
        <v>73</v>
      </c>
      <c r="J404" s="70">
        <v>8128.52</v>
      </c>
      <c r="K404" s="70" t="s">
        <v>266</v>
      </c>
      <c r="L404" s="143">
        <v>46272</v>
      </c>
    </row>
    <row r="405" spans="1:12">
      <c r="A405" s="30">
        <v>24303826</v>
      </c>
      <c r="C405" s="69" t="s">
        <v>54</v>
      </c>
      <c r="D405" s="70">
        <v>13749.48</v>
      </c>
      <c r="E405" s="70">
        <v>0</v>
      </c>
      <c r="F405" s="70">
        <f t="shared" ref="F405:F406" si="70">D405*0.3</f>
        <v>4124.8440000000001</v>
      </c>
      <c r="G405" s="70">
        <f t="shared" ref="G405:G406" si="71">(IF(D405&lt;4172.98,0,MIN(D405*0.3,D405-4172.98)))-E405</f>
        <v>4124.8440000000001</v>
      </c>
      <c r="H405" s="69"/>
      <c r="I405" s="69"/>
      <c r="J405" s="70"/>
      <c r="K405" s="70" t="s">
        <v>62</v>
      </c>
      <c r="L405" s="143">
        <v>46272</v>
      </c>
    </row>
    <row r="406" spans="1:12">
      <c r="A406" s="12">
        <v>24303482</v>
      </c>
      <c r="C406" s="69" t="s">
        <v>38</v>
      </c>
      <c r="D406" s="70">
        <v>16939.939999999999</v>
      </c>
      <c r="E406" s="70">
        <v>4683.43</v>
      </c>
      <c r="F406" s="70">
        <f t="shared" si="70"/>
        <v>5081.9819999999991</v>
      </c>
      <c r="G406" s="70">
        <f t="shared" si="71"/>
        <v>398.55199999999877</v>
      </c>
      <c r="H406" s="71">
        <v>45689</v>
      </c>
      <c r="I406" s="69" t="s">
        <v>210</v>
      </c>
      <c r="J406" s="70">
        <v>327.81</v>
      </c>
      <c r="K406" s="138" t="s">
        <v>39</v>
      </c>
      <c r="L406" s="143">
        <v>46272</v>
      </c>
    </row>
    <row r="407" spans="1:12">
      <c r="A407" s="72">
        <v>24293446</v>
      </c>
      <c r="B407">
        <v>5215515049507</v>
      </c>
      <c r="C407" s="69" t="s">
        <v>54</v>
      </c>
      <c r="D407" s="70">
        <v>37107.230000000003</v>
      </c>
      <c r="E407" s="70">
        <v>879</v>
      </c>
      <c r="F407" s="70">
        <v>11132.169</v>
      </c>
      <c r="G407" s="70">
        <v>10253.169</v>
      </c>
      <c r="H407" s="69"/>
      <c r="I407" s="69"/>
      <c r="J407" s="70"/>
      <c r="K407" s="70" t="s">
        <v>548</v>
      </c>
      <c r="L407" s="143">
        <v>46272</v>
      </c>
    </row>
    <row r="408" spans="1:12">
      <c r="A408" s="72">
        <v>24292658</v>
      </c>
      <c r="B408">
        <v>8124006060</v>
      </c>
      <c r="C408" s="69" t="s">
        <v>27</v>
      </c>
      <c r="D408" s="70">
        <v>9081.52</v>
      </c>
      <c r="E408" s="70">
        <v>2516.75</v>
      </c>
      <c r="F408" s="70">
        <v>2724.4560000000001</v>
      </c>
      <c r="G408" s="70">
        <v>207.70600000000013</v>
      </c>
      <c r="H408" s="69">
        <v>46204</v>
      </c>
      <c r="I408" s="69" t="s">
        <v>44</v>
      </c>
      <c r="J408" s="70">
        <v>2516.75</v>
      </c>
      <c r="K408" s="70" t="s">
        <v>548</v>
      </c>
      <c r="L408" s="143">
        <v>46272</v>
      </c>
    </row>
    <row r="409" spans="1:12">
      <c r="A409" s="72">
        <v>24302184</v>
      </c>
      <c r="B409">
        <v>5216871299700</v>
      </c>
      <c r="C409" s="69" t="s">
        <v>54</v>
      </c>
      <c r="D409" s="70">
        <v>7128.48</v>
      </c>
      <c r="E409" s="70"/>
      <c r="F409" s="70">
        <v>2138.5439999999999</v>
      </c>
      <c r="G409" s="70">
        <v>2138.5439999999999</v>
      </c>
      <c r="H409" s="69"/>
      <c r="I409" s="69"/>
      <c r="J409" s="70"/>
      <c r="K409" s="70" t="s">
        <v>548</v>
      </c>
      <c r="L409" s="143">
        <v>46272</v>
      </c>
    </row>
    <row r="410" spans="1:12">
      <c r="A410" s="173">
        <v>24302618</v>
      </c>
      <c r="B410">
        <v>5214271277825</v>
      </c>
      <c r="C410" t="s">
        <v>54</v>
      </c>
      <c r="D410" s="3">
        <v>10636.54</v>
      </c>
      <c r="E410" s="3"/>
      <c r="F410" s="3">
        <v>3190.962</v>
      </c>
      <c r="G410" s="3">
        <v>3190.962</v>
      </c>
      <c r="J410" s="3"/>
      <c r="K410" s="3" t="s">
        <v>548</v>
      </c>
      <c r="L410" s="47">
        <v>46272</v>
      </c>
    </row>
    <row r="411" spans="1:12">
      <c r="A411" s="173">
        <v>24289718</v>
      </c>
      <c r="B411">
        <v>7777877917</v>
      </c>
      <c r="C411" t="s">
        <v>38</v>
      </c>
      <c r="D411" s="3">
        <v>12541.61</v>
      </c>
      <c r="E411" s="3">
        <v>3084.9</v>
      </c>
      <c r="F411" s="3">
        <v>3762.4830000000002</v>
      </c>
      <c r="G411" s="3">
        <v>677.58300000000008</v>
      </c>
      <c r="H411">
        <v>46508</v>
      </c>
      <c r="I411" t="s">
        <v>57</v>
      </c>
      <c r="J411" s="3">
        <v>607.34</v>
      </c>
      <c r="K411" s="3" t="s">
        <v>266</v>
      </c>
      <c r="L411" s="47">
        <v>46272</v>
      </c>
    </row>
    <row r="412" spans="1:12">
      <c r="A412" s="173">
        <v>24284696</v>
      </c>
      <c r="B412">
        <v>3114454831</v>
      </c>
      <c r="C412" t="s">
        <v>38</v>
      </c>
      <c r="D412" s="3">
        <v>11029.03</v>
      </c>
      <c r="E412" s="3">
        <v>2410.62</v>
      </c>
      <c r="F412" s="3">
        <v>3308.7090000000003</v>
      </c>
      <c r="G412" s="3">
        <v>898.0890000000004</v>
      </c>
      <c r="H412">
        <v>46966</v>
      </c>
      <c r="I412" t="s">
        <v>44</v>
      </c>
      <c r="J412" s="3">
        <v>2410.62</v>
      </c>
      <c r="K412" s="3" t="s">
        <v>266</v>
      </c>
      <c r="L412" s="47">
        <v>46272</v>
      </c>
    </row>
    <row r="413" spans="1:12">
      <c r="A413" s="72">
        <v>24314542</v>
      </c>
      <c r="B413">
        <v>5213141658160</v>
      </c>
      <c r="C413" s="69" t="s">
        <v>38</v>
      </c>
      <c r="D413" s="70">
        <v>4820.03</v>
      </c>
      <c r="E413" s="70"/>
      <c r="F413" s="70">
        <v>1446.0089999999998</v>
      </c>
      <c r="G413" s="70">
        <v>647.05000000000018</v>
      </c>
      <c r="H413" s="69"/>
      <c r="I413" s="69"/>
      <c r="J413" s="70"/>
      <c r="K413" s="138" t="s">
        <v>39</v>
      </c>
      <c r="L413" s="143">
        <v>46273</v>
      </c>
    </row>
    <row r="414" spans="1:12">
      <c r="A414" s="72">
        <v>24302978</v>
      </c>
      <c r="B414">
        <v>5216677914857</v>
      </c>
      <c r="C414" s="69" t="s">
        <v>34</v>
      </c>
      <c r="D414" s="70">
        <v>18141.43</v>
      </c>
      <c r="E414" s="70">
        <v>4809.04</v>
      </c>
      <c r="F414" s="70">
        <v>5442.4290000000001</v>
      </c>
      <c r="G414" s="70">
        <v>633.38900000000012</v>
      </c>
      <c r="H414" s="69">
        <v>46054</v>
      </c>
      <c r="I414" s="69" t="s">
        <v>73</v>
      </c>
      <c r="J414" s="70">
        <v>4809.04</v>
      </c>
      <c r="K414" s="70" t="s">
        <v>271</v>
      </c>
      <c r="L414" s="143">
        <v>46273</v>
      </c>
    </row>
    <row r="415" spans="1:12">
      <c r="A415" s="72">
        <v>24302664</v>
      </c>
      <c r="B415">
        <v>8714689811</v>
      </c>
      <c r="C415" s="69" t="s">
        <v>54</v>
      </c>
      <c r="D415" s="70">
        <v>10636.54</v>
      </c>
      <c r="E415" s="70"/>
      <c r="F415" s="70">
        <v>3190.962</v>
      </c>
      <c r="G415" s="70">
        <v>3190.962</v>
      </c>
      <c r="H415" s="69"/>
      <c r="I415" s="69"/>
      <c r="J415" s="70"/>
      <c r="K415" s="70" t="s">
        <v>55</v>
      </c>
      <c r="L415" s="143">
        <v>46273</v>
      </c>
    </row>
    <row r="416" spans="1:12">
      <c r="A416" s="72">
        <v>24303880</v>
      </c>
      <c r="B416">
        <v>5219911337021</v>
      </c>
      <c r="C416" s="69" t="s">
        <v>34</v>
      </c>
      <c r="D416" s="70">
        <v>11128.02</v>
      </c>
      <c r="E416" s="70"/>
      <c r="F416" s="70">
        <v>3338.4059999999999</v>
      </c>
      <c r="G416" s="70">
        <v>3338.4059999999999</v>
      </c>
      <c r="H416" s="69"/>
      <c r="I416" s="69"/>
      <c r="J416" s="70"/>
      <c r="K416" s="70" t="s">
        <v>35</v>
      </c>
      <c r="L416" s="143">
        <v>46273</v>
      </c>
    </row>
    <row r="417" spans="1:12">
      <c r="A417" s="12">
        <v>24305440</v>
      </c>
      <c r="C417" s="69" t="s">
        <v>54</v>
      </c>
      <c r="D417" s="70">
        <f>325633.97-271936.97</f>
        <v>53697</v>
      </c>
      <c r="E417" s="70"/>
      <c r="F417" s="70">
        <f t="shared" ref="F417" si="72">D417*0.3</f>
        <v>16109.099999999999</v>
      </c>
      <c r="G417" s="70">
        <f t="shared" ref="G417" si="73">(IF(D417&lt;4172.98,0,MIN(D417*0.3,D417-4172.98)))-E417</f>
        <v>16109.099999999999</v>
      </c>
      <c r="H417" s="69"/>
      <c r="I417" s="69"/>
      <c r="J417" s="70"/>
      <c r="K417" s="70" t="s">
        <v>879</v>
      </c>
      <c r="L417" s="143">
        <v>46273</v>
      </c>
    </row>
    <row r="418" spans="1:12">
      <c r="A418" s="30">
        <v>24317888</v>
      </c>
      <c r="C418" s="69" t="s">
        <v>54</v>
      </c>
      <c r="D418" s="70">
        <v>9081.52</v>
      </c>
      <c r="E418" s="70"/>
      <c r="F418" s="70">
        <f>D418*0.3</f>
        <v>2724.4560000000001</v>
      </c>
      <c r="G418" s="70">
        <f>(IF(D418&lt;4172.98,0,MIN(D418*0.3,D418-4172.98)))-E418</f>
        <v>2724.4560000000001</v>
      </c>
      <c r="H418" s="69"/>
      <c r="I418" s="69"/>
      <c r="J418" s="70"/>
      <c r="K418" s="70" t="s">
        <v>1080</v>
      </c>
      <c r="L418" s="143">
        <v>46273</v>
      </c>
    </row>
    <row r="419" spans="1:12">
      <c r="A419" s="30">
        <v>24318028</v>
      </c>
      <c r="C419" s="69" t="s">
        <v>107</v>
      </c>
      <c r="D419" s="70">
        <v>7181.69</v>
      </c>
      <c r="E419" s="70">
        <v>1184.0899999999999</v>
      </c>
      <c r="F419" s="70">
        <f>D419*0.3</f>
        <v>2154.5069999999996</v>
      </c>
      <c r="G419" s="70">
        <f>(IF(D419&lt;4172.98,0,MIN(D419*0.3,D419-4172.98)))-E419</f>
        <v>970.41699999999969</v>
      </c>
      <c r="H419" s="71">
        <v>45689</v>
      </c>
      <c r="I419" s="69" t="s">
        <v>44</v>
      </c>
      <c r="J419" s="70">
        <v>1184.0899999999999</v>
      </c>
      <c r="K419" s="70" t="s">
        <v>266</v>
      </c>
      <c r="L419" s="143">
        <v>46273</v>
      </c>
    </row>
    <row r="420" spans="1:12">
      <c r="A420" s="72">
        <v>24306106</v>
      </c>
      <c r="B420">
        <v>5591007340</v>
      </c>
      <c r="C420" s="69" t="s">
        <v>27</v>
      </c>
      <c r="D420" s="70">
        <v>30327.4</v>
      </c>
      <c r="E420" s="70">
        <v>8076.3</v>
      </c>
      <c r="F420" s="70">
        <v>9098.2199999999993</v>
      </c>
      <c r="G420" s="70">
        <v>1021.9199999999992</v>
      </c>
      <c r="H420" s="69">
        <v>45689</v>
      </c>
      <c r="I420" s="69" t="s">
        <v>44</v>
      </c>
      <c r="J420" s="70">
        <v>8076.3</v>
      </c>
      <c r="K420" s="70" t="s">
        <v>90</v>
      </c>
      <c r="L420" s="143">
        <v>46273</v>
      </c>
    </row>
    <row r="421" spans="1:12">
      <c r="A421" s="30">
        <v>24318714</v>
      </c>
      <c r="C421" s="69" t="s">
        <v>54</v>
      </c>
      <c r="D421" s="70">
        <v>23467.57</v>
      </c>
      <c r="E421" s="70">
        <v>5682.2</v>
      </c>
      <c r="F421" s="70">
        <f t="shared" ref="F421" si="74">D421*0.3</f>
        <v>7040.2709999999997</v>
      </c>
      <c r="G421" s="70">
        <f t="shared" ref="G421" si="75">(IF(D421&lt;4172.98,0,MIN(D421*0.3,D421-4172.98)))-E421</f>
        <v>1358.0709999999999</v>
      </c>
      <c r="H421" s="71">
        <v>46569</v>
      </c>
      <c r="I421" s="69" t="s">
        <v>658</v>
      </c>
      <c r="J421" s="70">
        <v>5682.2</v>
      </c>
      <c r="K421" s="70" t="s">
        <v>62</v>
      </c>
      <c r="L421" s="143">
        <v>46273</v>
      </c>
    </row>
    <row r="422" spans="1:12">
      <c r="A422" s="30">
        <v>24319542</v>
      </c>
      <c r="C422" s="69" t="s">
        <v>54</v>
      </c>
      <c r="D422" s="70">
        <v>10636.54</v>
      </c>
      <c r="E422" s="70"/>
      <c r="F422" s="70">
        <f>D422*0.3</f>
        <v>3190.962</v>
      </c>
      <c r="G422" s="70">
        <f>(IF(D422&lt;4172.98,0,MIN(D422*0.3,D422-4172.98)))-E422</f>
        <v>3190.962</v>
      </c>
      <c r="H422" s="69"/>
      <c r="I422" s="69"/>
      <c r="J422" s="70"/>
      <c r="K422" s="70" t="s">
        <v>886</v>
      </c>
      <c r="L422" s="143">
        <v>46273</v>
      </c>
    </row>
    <row r="423" spans="1:12">
      <c r="A423" s="72">
        <v>24282658</v>
      </c>
      <c r="B423">
        <v>8781353824</v>
      </c>
      <c r="C423" s="69" t="s">
        <v>54</v>
      </c>
      <c r="D423" s="70">
        <v>11029.03</v>
      </c>
      <c r="E423" s="70">
        <v>879</v>
      </c>
      <c r="F423" s="70">
        <v>3308.7090000000003</v>
      </c>
      <c r="G423" s="70">
        <v>2429.7090000000003</v>
      </c>
      <c r="H423" s="69"/>
      <c r="I423" s="69"/>
      <c r="J423" s="70"/>
      <c r="K423" s="70" t="s">
        <v>327</v>
      </c>
      <c r="L423" s="143">
        <v>46273</v>
      </c>
    </row>
    <row r="424" spans="1:12">
      <c r="A424" s="30">
        <v>24319842</v>
      </c>
      <c r="C424" s="69" t="s">
        <v>54</v>
      </c>
      <c r="D424" s="70">
        <v>10636.54</v>
      </c>
      <c r="E424" s="70"/>
      <c r="F424" s="70">
        <f>D424*0.3</f>
        <v>3190.962</v>
      </c>
      <c r="G424" s="70">
        <f>(IF(D424&lt;4172.98,0,MIN(D424*0.3,D424-4172.98)))-E424</f>
        <v>3190.962</v>
      </c>
      <c r="H424" s="69"/>
      <c r="I424" s="69"/>
      <c r="J424" s="70"/>
      <c r="K424" s="70" t="s">
        <v>1091</v>
      </c>
      <c r="L424" s="143">
        <v>46273</v>
      </c>
    </row>
    <row r="425" spans="1:12">
      <c r="A425" s="72">
        <v>24285520</v>
      </c>
      <c r="B425">
        <v>5219513046786</v>
      </c>
      <c r="C425" s="69" t="s">
        <v>107</v>
      </c>
      <c r="D425" s="70">
        <v>5055.87</v>
      </c>
      <c r="E425" s="70">
        <v>1063.3499999999999</v>
      </c>
      <c r="F425" s="70">
        <v>1516.761</v>
      </c>
      <c r="G425" s="70">
        <v>-180.45999999999958</v>
      </c>
      <c r="H425" s="69">
        <v>45474</v>
      </c>
      <c r="I425" s="69" t="s">
        <v>2820</v>
      </c>
      <c r="J425" s="70">
        <v>1063.3499999999999</v>
      </c>
      <c r="K425" s="138" t="s">
        <v>39</v>
      </c>
      <c r="L425" s="143">
        <v>46273</v>
      </c>
    </row>
    <row r="426" spans="1:12">
      <c r="A426" s="72">
        <v>24306348</v>
      </c>
      <c r="B426">
        <v>5217771352346</v>
      </c>
      <c r="C426" s="69" t="s">
        <v>38</v>
      </c>
      <c r="D426" s="70">
        <v>58238.879999999997</v>
      </c>
      <c r="E426" s="70">
        <v>16831.599999999999</v>
      </c>
      <c r="F426" s="70">
        <v>17471.663999999997</v>
      </c>
      <c r="G426" s="70">
        <v>640.06399999999849</v>
      </c>
      <c r="H426" s="69">
        <v>46447</v>
      </c>
      <c r="I426" s="69" t="s">
        <v>43</v>
      </c>
      <c r="J426" s="70">
        <v>678.73</v>
      </c>
      <c r="K426" s="70" t="s">
        <v>266</v>
      </c>
      <c r="L426" s="143">
        <v>46273</v>
      </c>
    </row>
    <row r="427" spans="1:12">
      <c r="A427" s="72">
        <v>24305176</v>
      </c>
      <c r="B427">
        <v>5215654791021</v>
      </c>
      <c r="C427" s="69" t="s">
        <v>54</v>
      </c>
      <c r="D427" s="70">
        <v>10636.54</v>
      </c>
      <c r="E427" s="70"/>
      <c r="F427" s="70">
        <v>3190.962</v>
      </c>
      <c r="G427" s="70">
        <v>3190.962</v>
      </c>
      <c r="H427" s="69"/>
      <c r="I427" s="69"/>
      <c r="J427" s="70"/>
      <c r="K427" s="70" t="s">
        <v>348</v>
      </c>
      <c r="L427" s="143">
        <v>46273</v>
      </c>
    </row>
    <row r="428" spans="1:12">
      <c r="A428" s="72">
        <v>24307352</v>
      </c>
      <c r="B428">
        <v>5215613021491</v>
      </c>
      <c r="C428" s="69" t="s">
        <v>54</v>
      </c>
      <c r="D428" s="70">
        <v>9098.57</v>
      </c>
      <c r="E428" s="70"/>
      <c r="F428" s="70">
        <v>2729.5709999999999</v>
      </c>
      <c r="G428" s="70">
        <v>2729.5709999999999</v>
      </c>
      <c r="H428" s="69"/>
      <c r="I428" s="69"/>
      <c r="J428" s="70"/>
      <c r="K428" s="70" t="s">
        <v>28</v>
      </c>
      <c r="L428" s="143">
        <v>46273</v>
      </c>
    </row>
    <row r="429" spans="1:12">
      <c r="A429" s="30">
        <v>24320502</v>
      </c>
      <c r="C429" s="69" t="s">
        <v>27</v>
      </c>
      <c r="D429" s="70">
        <v>7116.73</v>
      </c>
      <c r="E429" s="70">
        <v>1975.86</v>
      </c>
      <c r="F429" s="70">
        <f>D429*0.3</f>
        <v>2135.0189999999998</v>
      </c>
      <c r="G429" s="70">
        <f>(IF(D429&lt;4172.98,0,MIN(D429*0.3,D429-4172.98)))-E429</f>
        <v>159.15899999999988</v>
      </c>
      <c r="H429" s="71">
        <v>46266</v>
      </c>
      <c r="I429" s="69" t="s">
        <v>47</v>
      </c>
      <c r="J429" s="70">
        <v>1975.86</v>
      </c>
      <c r="K429" s="70" t="s">
        <v>90</v>
      </c>
      <c r="L429" s="143">
        <v>46273</v>
      </c>
    </row>
    <row r="430" spans="1:12">
      <c r="A430" s="72">
        <v>24298956</v>
      </c>
      <c r="B430">
        <v>5212292417134</v>
      </c>
      <c r="C430" s="69" t="s">
        <v>54</v>
      </c>
      <c r="D430" s="70">
        <v>10636.54</v>
      </c>
      <c r="E430" s="70"/>
      <c r="F430" s="70">
        <v>3190.962</v>
      </c>
      <c r="G430" s="70">
        <v>3190.962</v>
      </c>
      <c r="H430" s="69"/>
      <c r="I430" s="69"/>
      <c r="J430" s="70"/>
      <c r="K430" s="70" t="s">
        <v>55</v>
      </c>
      <c r="L430" s="143">
        <v>46273</v>
      </c>
    </row>
    <row r="431" spans="1:12">
      <c r="A431" s="30">
        <v>24321750</v>
      </c>
      <c r="C431" s="69" t="s">
        <v>34</v>
      </c>
      <c r="D431" s="70">
        <v>9760.32</v>
      </c>
      <c r="E431" s="70"/>
      <c r="F431" s="70">
        <f>D431*0.3</f>
        <v>2928.096</v>
      </c>
      <c r="G431" s="70">
        <f>(IF(D431&lt;4172.98,0,MIN(D431*0.3,D431-4172.98)))-E431</f>
        <v>2928.096</v>
      </c>
      <c r="H431" s="69"/>
      <c r="I431" s="69"/>
      <c r="J431" s="70"/>
      <c r="K431" s="70" t="s">
        <v>271</v>
      </c>
      <c r="L431" s="143">
        <v>46273</v>
      </c>
    </row>
    <row r="432" spans="1:12">
      <c r="A432" s="30">
        <v>24322298</v>
      </c>
      <c r="C432" s="69" t="s">
        <v>54</v>
      </c>
      <c r="D432" s="70">
        <v>29868.55</v>
      </c>
      <c r="E432" s="70"/>
      <c r="F432" s="70">
        <f>D432*0.3</f>
        <v>8960.5649999999987</v>
      </c>
      <c r="G432" s="70">
        <f>(IF(D432&lt;4172.98,0,MIN(D432*0.3,D432-4172.98)))-E432</f>
        <v>8960.5649999999987</v>
      </c>
      <c r="H432" s="69"/>
      <c r="I432" s="69"/>
      <c r="J432" s="70"/>
      <c r="K432" s="70" t="s">
        <v>1080</v>
      </c>
      <c r="L432" s="143">
        <v>46273</v>
      </c>
    </row>
    <row r="433" spans="1:12">
      <c r="A433" s="72">
        <v>24286836</v>
      </c>
      <c r="B433">
        <v>5216121573006</v>
      </c>
      <c r="C433" s="69" t="s">
        <v>54</v>
      </c>
      <c r="D433" s="70">
        <v>9738.67</v>
      </c>
      <c r="E433" s="70"/>
      <c r="F433" s="70">
        <v>2921.6010000000001</v>
      </c>
      <c r="G433" s="70">
        <v>2921.6010000000001</v>
      </c>
      <c r="H433" s="69"/>
      <c r="I433" s="69"/>
      <c r="J433" s="70"/>
      <c r="K433" s="70" t="s">
        <v>879</v>
      </c>
      <c r="L433" s="143">
        <v>46273</v>
      </c>
    </row>
    <row r="434" spans="1:12">
      <c r="A434" s="30">
        <v>24322936</v>
      </c>
      <c r="C434" s="69" t="s">
        <v>54</v>
      </c>
      <c r="D434" s="70">
        <v>7081.07</v>
      </c>
      <c r="E434" s="70"/>
      <c r="F434" s="70">
        <f>D434*0.3</f>
        <v>2124.3209999999999</v>
      </c>
      <c r="G434" s="70">
        <f>(IF(D434&lt;4172.98,0,MIN(D434*0.3,D434-4172.98)))-E434</f>
        <v>2124.3209999999999</v>
      </c>
      <c r="H434" s="69"/>
      <c r="I434" s="69"/>
      <c r="J434" s="70"/>
      <c r="K434" s="70" t="s">
        <v>348</v>
      </c>
      <c r="L434" s="143">
        <v>46273</v>
      </c>
    </row>
    <row r="435" spans="1:12">
      <c r="A435" s="30">
        <v>24323500</v>
      </c>
      <c r="C435" s="69" t="s">
        <v>54</v>
      </c>
      <c r="D435" s="70">
        <v>9081.52</v>
      </c>
      <c r="E435" s="70"/>
      <c r="F435" s="70">
        <f>D435*0.3</f>
        <v>2724.4560000000001</v>
      </c>
      <c r="G435" s="70">
        <f>(IF(D435&lt;4172.98,0,MIN(D435*0.3,D435-4172.98)))-E435</f>
        <v>2724.4560000000001</v>
      </c>
      <c r="H435" s="69"/>
      <c r="I435" s="69"/>
      <c r="J435" s="70"/>
      <c r="K435" s="70" t="s">
        <v>55</v>
      </c>
      <c r="L435" s="143">
        <v>46273</v>
      </c>
    </row>
    <row r="436" spans="1:12">
      <c r="A436" s="30">
        <v>24324112</v>
      </c>
      <c r="C436" s="69" t="s">
        <v>38</v>
      </c>
      <c r="D436" s="70">
        <v>52695.35</v>
      </c>
      <c r="E436" s="70">
        <v>15225.05</v>
      </c>
      <c r="F436" s="70">
        <f>D436*0.3</f>
        <v>15808.605</v>
      </c>
      <c r="G436" s="70">
        <f>(IF(D436&lt;4172.98,0,MIN(D436*0.3,D436-4172.98)))-E436</f>
        <v>583.55500000000029</v>
      </c>
      <c r="H436" s="71">
        <v>46296</v>
      </c>
      <c r="I436" s="69" t="s">
        <v>75</v>
      </c>
      <c r="J436" s="70">
        <v>2263.69</v>
      </c>
      <c r="K436" s="70" t="s">
        <v>266</v>
      </c>
      <c r="L436" s="143">
        <v>46273</v>
      </c>
    </row>
    <row r="437" spans="1:12">
      <c r="A437" s="30">
        <v>24324444</v>
      </c>
      <c r="C437" s="69" t="s">
        <v>54</v>
      </c>
      <c r="D437" s="70">
        <v>10636.54</v>
      </c>
      <c r="E437" s="70"/>
      <c r="F437" s="70">
        <f>D437*0.3</f>
        <v>3190.962</v>
      </c>
      <c r="G437" s="70">
        <f>(IF(D437&lt;4172.98,0,MIN(D437*0.3,D437-4172.98)))-E437</f>
        <v>3190.962</v>
      </c>
      <c r="H437" s="69"/>
      <c r="I437" s="69"/>
      <c r="J437" s="70"/>
      <c r="K437" s="70" t="s">
        <v>28</v>
      </c>
      <c r="L437" s="143">
        <v>46273</v>
      </c>
    </row>
    <row r="438" spans="1:12">
      <c r="A438" s="30">
        <v>24324782</v>
      </c>
      <c r="C438" s="69" t="s">
        <v>38</v>
      </c>
      <c r="D438" s="70">
        <v>40840.44</v>
      </c>
      <c r="E438" s="70">
        <v>11816.12</v>
      </c>
      <c r="F438" s="70">
        <f>D438*0.3</f>
        <v>12252.132</v>
      </c>
      <c r="G438" s="70">
        <f>(IF(D438&lt;4172.98,0,MIN(D438*0.3,D438-4172.98)))-E438</f>
        <v>436.01199999999881</v>
      </c>
      <c r="H438" s="71">
        <v>46539</v>
      </c>
      <c r="I438" s="69" t="s">
        <v>1756</v>
      </c>
      <c r="J438" s="70">
        <v>11816.12</v>
      </c>
      <c r="K438" s="138" t="s">
        <v>39</v>
      </c>
      <c r="L438" s="143">
        <v>46273</v>
      </c>
    </row>
    <row r="439" spans="1:12">
      <c r="A439" s="30">
        <v>24324806</v>
      </c>
      <c r="C439" s="69" t="s">
        <v>54</v>
      </c>
      <c r="D439" s="70">
        <v>10608.32</v>
      </c>
      <c r="E439" s="70">
        <v>848</v>
      </c>
      <c r="F439" s="70">
        <f>D439*0.3</f>
        <v>3182.4959999999996</v>
      </c>
      <c r="G439" s="70">
        <f>(IF(D439&lt;4172.98,0,MIN(D439*0.3,D439-4172.98)))-E439</f>
        <v>2334.4959999999996</v>
      </c>
      <c r="H439" s="69"/>
      <c r="I439" s="69"/>
      <c r="J439" s="70"/>
      <c r="K439" s="70" t="s">
        <v>1091</v>
      </c>
      <c r="L439" s="143">
        <v>46273</v>
      </c>
    </row>
    <row r="440" spans="1:12">
      <c r="A440" s="12">
        <v>24325462</v>
      </c>
      <c r="C440" s="69" t="s">
        <v>54</v>
      </c>
      <c r="D440" s="70">
        <v>10636.54</v>
      </c>
      <c r="E440" s="70"/>
      <c r="F440" s="70">
        <f>D440*0.3</f>
        <v>3190.962</v>
      </c>
      <c r="G440" s="70">
        <f>(IF(D440&lt;4172.98,0,MIN(D440*0.3,D440-4172.98)))-E440</f>
        <v>3190.962</v>
      </c>
      <c r="H440" s="69"/>
      <c r="I440" s="69"/>
      <c r="J440" s="70"/>
      <c r="K440" s="70" t="s">
        <v>348</v>
      </c>
      <c r="L440" s="143">
        <v>46273</v>
      </c>
    </row>
    <row r="441" spans="1:12">
      <c r="A441" s="30">
        <v>24325720</v>
      </c>
      <c r="C441" s="69" t="s">
        <v>27</v>
      </c>
      <c r="D441" s="70">
        <v>7116.73</v>
      </c>
      <c r="E441" s="70">
        <v>1975.23</v>
      </c>
      <c r="F441" s="70">
        <f>D441*0.3</f>
        <v>2135.0189999999998</v>
      </c>
      <c r="G441" s="70">
        <f>(IF(D441&lt;4172.98,0,MIN(D441*0.3,D441-4172.98)))-E441</f>
        <v>159.78899999999976</v>
      </c>
      <c r="H441" s="71">
        <v>46266</v>
      </c>
      <c r="I441" s="69" t="s">
        <v>1760</v>
      </c>
      <c r="J441" s="70">
        <v>1975.23</v>
      </c>
      <c r="K441" s="70" t="s">
        <v>90</v>
      </c>
      <c r="L441" s="143">
        <v>46273</v>
      </c>
    </row>
    <row r="442" spans="1:12">
      <c r="A442" s="72">
        <v>24323240</v>
      </c>
      <c r="B442">
        <v>5218115567613</v>
      </c>
      <c r="C442" s="69" t="s">
        <v>38</v>
      </c>
      <c r="D442" s="70">
        <v>9081.52</v>
      </c>
      <c r="E442" s="70">
        <v>2053.5700000000002</v>
      </c>
      <c r="F442" s="70">
        <v>2724.4560000000001</v>
      </c>
      <c r="G442" s="70">
        <v>670.88599999999997</v>
      </c>
      <c r="H442" s="69">
        <v>46388</v>
      </c>
      <c r="I442" s="69" t="s">
        <v>59</v>
      </c>
      <c r="J442" s="70">
        <v>980</v>
      </c>
      <c r="K442" s="70" t="s">
        <v>39</v>
      </c>
      <c r="L442" s="143">
        <v>46273</v>
      </c>
    </row>
    <row r="443" spans="1:12">
      <c r="A443" s="72">
        <v>24324380</v>
      </c>
      <c r="B443">
        <v>5562321757</v>
      </c>
      <c r="C443" s="69" t="s">
        <v>27</v>
      </c>
      <c r="D443" s="70">
        <v>9081.52</v>
      </c>
      <c r="E443" s="70">
        <v>2510.52</v>
      </c>
      <c r="F443" s="70">
        <v>2724.4560000000001</v>
      </c>
      <c r="G443" s="70">
        <v>213.93600000000015</v>
      </c>
      <c r="H443" s="69">
        <v>46174</v>
      </c>
      <c r="I443" s="69" t="s">
        <v>77</v>
      </c>
      <c r="J443" s="70">
        <v>2510.52</v>
      </c>
      <c r="K443" s="70" t="s">
        <v>266</v>
      </c>
      <c r="L443" s="143">
        <v>46273</v>
      </c>
    </row>
    <row r="444" spans="1:12">
      <c r="A444" s="12">
        <v>24326352</v>
      </c>
      <c r="C444" s="69" t="s">
        <v>27</v>
      </c>
      <c r="D444" s="70">
        <v>9081.52</v>
      </c>
      <c r="E444" s="70">
        <v>2521.3200000000002</v>
      </c>
      <c r="F444" s="70">
        <f t="shared" ref="F444:F446" si="76">D444*0.3</f>
        <v>2724.4560000000001</v>
      </c>
      <c r="G444" s="70">
        <f t="shared" ref="G444:G446" si="77">(IF(D444&lt;4172.98,0,MIN(D444*0.3,D444-4172.98)))-E444</f>
        <v>203.13599999999997</v>
      </c>
      <c r="H444" s="71">
        <v>46266</v>
      </c>
      <c r="I444" s="69" t="s">
        <v>75</v>
      </c>
      <c r="J444" s="70">
        <v>2521.3200000000002</v>
      </c>
      <c r="K444" s="70" t="s">
        <v>266</v>
      </c>
      <c r="L444" s="143">
        <v>46273</v>
      </c>
    </row>
    <row r="445" spans="1:12">
      <c r="A445" s="12">
        <v>24326798</v>
      </c>
      <c r="C445" s="69" t="s">
        <v>54</v>
      </c>
      <c r="D445" s="70">
        <v>10538.93</v>
      </c>
      <c r="E445" s="70"/>
      <c r="F445" s="70">
        <f t="shared" si="76"/>
        <v>3161.6790000000001</v>
      </c>
      <c r="G445" s="70">
        <f t="shared" si="77"/>
        <v>3161.6790000000001</v>
      </c>
      <c r="H445" s="69"/>
      <c r="I445" s="69"/>
      <c r="J445" s="70"/>
      <c r="K445" s="70" t="s">
        <v>62</v>
      </c>
      <c r="L445" s="143">
        <v>46273</v>
      </c>
    </row>
    <row r="446" spans="1:12">
      <c r="A446" s="30">
        <v>24326804</v>
      </c>
      <c r="C446" s="69" t="s">
        <v>54</v>
      </c>
      <c r="D446" s="70">
        <v>28738.55</v>
      </c>
      <c r="E446" s="70"/>
      <c r="F446" s="70">
        <f t="shared" si="76"/>
        <v>8621.5649999999987</v>
      </c>
      <c r="G446" s="70">
        <f t="shared" si="77"/>
        <v>8621.5649999999987</v>
      </c>
      <c r="H446" s="69"/>
      <c r="I446" s="69"/>
      <c r="J446" s="70"/>
      <c r="K446" s="70" t="s">
        <v>327</v>
      </c>
      <c r="L446" s="143">
        <v>46273</v>
      </c>
    </row>
    <row r="447" spans="1:12">
      <c r="A447" s="72">
        <v>24326482</v>
      </c>
      <c r="B447">
        <v>7773635757</v>
      </c>
      <c r="C447" s="69" t="s">
        <v>54</v>
      </c>
      <c r="D447" s="70">
        <v>13022.67</v>
      </c>
      <c r="E447" s="70">
        <v>848</v>
      </c>
      <c r="F447" s="70">
        <v>3906.8009999999999</v>
      </c>
      <c r="G447" s="70">
        <v>3058.8009999999999</v>
      </c>
      <c r="H447" s="69"/>
      <c r="I447" s="69"/>
      <c r="J447" s="70"/>
      <c r="K447" s="70" t="s">
        <v>886</v>
      </c>
      <c r="L447" s="143">
        <v>46273</v>
      </c>
    </row>
    <row r="448" spans="1:12">
      <c r="A448" s="30">
        <v>24327638</v>
      </c>
      <c r="C448" s="69" t="s">
        <v>107</v>
      </c>
      <c r="D448" s="70">
        <v>27719.35</v>
      </c>
      <c r="E448" s="70">
        <v>8306.81</v>
      </c>
      <c r="F448" s="70">
        <f>D448*0.3</f>
        <v>8315.8049999999985</v>
      </c>
      <c r="G448" s="70">
        <f>(IF(D448&lt;4172.98,0,MIN(D448*0.3,D448-4172.98)))-E448</f>
        <v>8.9949999999989814</v>
      </c>
      <c r="H448" s="71">
        <v>46204</v>
      </c>
      <c r="I448" s="69" t="s">
        <v>80</v>
      </c>
      <c r="J448" s="70">
        <f>349.31+275</f>
        <v>624.30999999999995</v>
      </c>
      <c r="K448" s="70" t="s">
        <v>39</v>
      </c>
      <c r="L448" s="143">
        <v>46273</v>
      </c>
    </row>
    <row r="449" spans="1:12">
      <c r="A449" s="72">
        <v>24327170</v>
      </c>
      <c r="B449">
        <v>6731183381</v>
      </c>
      <c r="C449" s="69" t="s">
        <v>54</v>
      </c>
      <c r="D449" s="70">
        <v>34118.07</v>
      </c>
      <c r="E449" s="70">
        <v>8819.91</v>
      </c>
      <c r="F449" s="70">
        <v>10235.421</v>
      </c>
      <c r="G449" s="70">
        <v>1415.5110000000004</v>
      </c>
      <c r="H449" s="69">
        <v>46235</v>
      </c>
      <c r="I449" s="69" t="s">
        <v>59</v>
      </c>
      <c r="J449" s="70">
        <v>8819.91</v>
      </c>
      <c r="K449" s="70" t="s">
        <v>886</v>
      </c>
      <c r="L449" s="143">
        <v>46273</v>
      </c>
    </row>
    <row r="450" spans="1:12">
      <c r="A450" s="72">
        <v>24314556</v>
      </c>
      <c r="B450">
        <v>5212227875193</v>
      </c>
      <c r="C450" s="69" t="s">
        <v>27</v>
      </c>
      <c r="D450" s="70">
        <v>5617.63</v>
      </c>
      <c r="E450" s="70">
        <v>1336</v>
      </c>
      <c r="F450" s="70">
        <v>1685.289</v>
      </c>
      <c r="G450" s="70">
        <v>108.65000000000055</v>
      </c>
      <c r="H450" s="69">
        <v>46235</v>
      </c>
      <c r="I450" s="69" t="s">
        <v>59</v>
      </c>
      <c r="J450" s="70">
        <v>1336</v>
      </c>
      <c r="K450" s="70" t="s">
        <v>348</v>
      </c>
      <c r="L450" s="143">
        <v>46273</v>
      </c>
    </row>
    <row r="451" spans="1:12">
      <c r="A451" s="30">
        <v>24328132</v>
      </c>
      <c r="C451" s="69" t="s">
        <v>27</v>
      </c>
      <c r="D451" s="70">
        <v>7920.51</v>
      </c>
      <c r="E451" s="70">
        <v>1384.71</v>
      </c>
      <c r="F451" s="70">
        <f>D451*0.3</f>
        <v>2376.1529999999998</v>
      </c>
      <c r="G451" s="70">
        <f>(IF(D451&lt;4172.98,0,MIN(D451*0.3,D451-4172.98)))-E451</f>
        <v>991.44299999999976</v>
      </c>
      <c r="H451" s="71">
        <v>46174</v>
      </c>
      <c r="I451" s="69" t="s">
        <v>77</v>
      </c>
      <c r="J451" s="70">
        <v>1384.71</v>
      </c>
      <c r="K451" s="70" t="s">
        <v>348</v>
      </c>
      <c r="L451" s="143">
        <v>46273</v>
      </c>
    </row>
    <row r="452" spans="1:12">
      <c r="A452" s="72">
        <v>24325512</v>
      </c>
      <c r="B452">
        <v>5218121553212</v>
      </c>
      <c r="C452" s="69" t="s">
        <v>54</v>
      </c>
      <c r="D452" s="70">
        <v>10636.54</v>
      </c>
      <c r="E452" s="70">
        <v>0</v>
      </c>
      <c r="F452" s="70">
        <v>3190.962</v>
      </c>
      <c r="G452" s="70">
        <v>3190.962</v>
      </c>
      <c r="H452" s="69"/>
      <c r="I452" s="69"/>
      <c r="J452" s="70"/>
      <c r="K452" s="70" t="s">
        <v>879</v>
      </c>
      <c r="L452" s="143">
        <v>46273</v>
      </c>
    </row>
    <row r="453" spans="1:12">
      <c r="A453" s="30">
        <v>24328094</v>
      </c>
      <c r="C453" s="69" t="s">
        <v>54</v>
      </c>
      <c r="D453" s="70">
        <v>9760.32</v>
      </c>
      <c r="E453" s="70"/>
      <c r="F453" s="70">
        <f>D453*0.3</f>
        <v>2928.096</v>
      </c>
      <c r="G453" s="70">
        <f>(IF(D453&lt;4172.98,0,MIN(D453*0.3,D453-4172.98)))-E453</f>
        <v>2928.096</v>
      </c>
      <c r="H453" s="69"/>
      <c r="I453" s="69"/>
      <c r="J453" s="70"/>
      <c r="K453" s="70" t="s">
        <v>886</v>
      </c>
      <c r="L453" s="143">
        <v>46273</v>
      </c>
    </row>
    <row r="454" spans="1:12">
      <c r="A454" s="72">
        <v>24328262</v>
      </c>
      <c r="B454">
        <v>5219992334759</v>
      </c>
      <c r="C454" s="69" t="s">
        <v>54</v>
      </c>
      <c r="D454" s="70">
        <v>40466.639999999999</v>
      </c>
      <c r="E454" s="70"/>
      <c r="F454" s="70">
        <v>12139.992</v>
      </c>
      <c r="G454" s="70">
        <v>12139.992</v>
      </c>
      <c r="H454" s="69"/>
      <c r="I454" s="69"/>
      <c r="J454" s="70"/>
      <c r="K454" s="70" t="s">
        <v>1080</v>
      </c>
      <c r="L454" s="143">
        <v>46274</v>
      </c>
    </row>
    <row r="455" spans="1:12">
      <c r="A455" s="72">
        <v>24332524</v>
      </c>
      <c r="B455">
        <v>3321896844</v>
      </c>
      <c r="C455" s="69" t="s">
        <v>54</v>
      </c>
      <c r="D455" s="70">
        <v>12344</v>
      </c>
      <c r="E455" s="70"/>
      <c r="F455" s="70">
        <v>3703.2</v>
      </c>
      <c r="G455" s="70">
        <v>3703.2</v>
      </c>
      <c r="H455" s="69"/>
      <c r="I455" s="69"/>
      <c r="J455" s="70"/>
      <c r="K455" s="70" t="s">
        <v>62</v>
      </c>
      <c r="L455" s="143">
        <v>46274</v>
      </c>
    </row>
    <row r="456" spans="1:12">
      <c r="A456" s="12">
        <v>24330038</v>
      </c>
      <c r="C456" s="69" t="s">
        <v>54</v>
      </c>
      <c r="D456" s="70">
        <v>22893.17</v>
      </c>
      <c r="E456" s="70"/>
      <c r="F456" s="70">
        <f t="shared" ref="F456:F460" si="78">D456*0.3</f>
        <v>6867.9509999999991</v>
      </c>
      <c r="G456" s="70">
        <f t="shared" ref="G456:G460" si="79">(IF(D456&lt;4172.98,0,MIN(D456*0.3,D456-4172.98)))-E456</f>
        <v>6867.9509999999991</v>
      </c>
      <c r="H456" s="69"/>
      <c r="I456" s="69"/>
      <c r="J456" s="70"/>
      <c r="K456" s="70" t="s">
        <v>266</v>
      </c>
      <c r="L456" s="143">
        <v>46274</v>
      </c>
    </row>
    <row r="457" spans="1:12">
      <c r="A457" s="12">
        <v>24328186</v>
      </c>
      <c r="C457" s="69" t="s">
        <v>54</v>
      </c>
      <c r="D457" s="70">
        <v>12236.11</v>
      </c>
      <c r="E457" s="70">
        <v>2368.58</v>
      </c>
      <c r="F457" s="70">
        <f t="shared" si="78"/>
        <v>3670.8330000000001</v>
      </c>
      <c r="G457" s="70">
        <f t="shared" si="79"/>
        <v>1302.2530000000002</v>
      </c>
      <c r="H457" s="71">
        <v>46539</v>
      </c>
      <c r="I457" s="69" t="s">
        <v>44</v>
      </c>
      <c r="J457" s="70">
        <v>2368.58</v>
      </c>
      <c r="K457" s="70" t="s">
        <v>358</v>
      </c>
      <c r="L457" s="143">
        <v>46274</v>
      </c>
    </row>
    <row r="458" spans="1:12">
      <c r="A458" s="12">
        <v>24330890</v>
      </c>
      <c r="C458" s="69" t="s">
        <v>38</v>
      </c>
      <c r="D458" s="70">
        <v>7977.44</v>
      </c>
      <c r="E458" s="70">
        <v>2047.45</v>
      </c>
      <c r="F458" s="70">
        <f t="shared" si="78"/>
        <v>2393.232</v>
      </c>
      <c r="G458" s="70">
        <f t="shared" si="79"/>
        <v>345.78199999999993</v>
      </c>
      <c r="H458" s="71">
        <v>46419</v>
      </c>
      <c r="I458" s="69" t="s">
        <v>75</v>
      </c>
      <c r="J458" s="70">
        <v>2047</v>
      </c>
      <c r="K458" s="70" t="s">
        <v>39</v>
      </c>
      <c r="L458" s="143">
        <v>46274</v>
      </c>
    </row>
    <row r="459" spans="1:12">
      <c r="A459" s="12">
        <v>24332054</v>
      </c>
      <c r="C459" s="69" t="s">
        <v>38</v>
      </c>
      <c r="D459" s="70">
        <v>4813.6899999999996</v>
      </c>
      <c r="E459" s="70"/>
      <c r="F459" s="70">
        <f t="shared" si="78"/>
        <v>1444.1069999999997</v>
      </c>
      <c r="G459" s="70">
        <f t="shared" si="79"/>
        <v>640.71</v>
      </c>
      <c r="H459" s="69"/>
      <c r="I459" s="69"/>
      <c r="J459" s="70"/>
      <c r="K459" s="70" t="s">
        <v>39</v>
      </c>
      <c r="L459" s="143">
        <v>46274</v>
      </c>
    </row>
    <row r="460" spans="1:12">
      <c r="A460" s="12">
        <v>24338160</v>
      </c>
      <c r="C460" s="69" t="s">
        <v>54</v>
      </c>
      <c r="D460" s="70">
        <v>8398.3799999999992</v>
      </c>
      <c r="E460" s="70"/>
      <c r="F460" s="70">
        <f t="shared" si="78"/>
        <v>2519.5139999999997</v>
      </c>
      <c r="G460" s="70">
        <f t="shared" si="79"/>
        <v>2519.5139999999997</v>
      </c>
      <c r="H460" s="69"/>
      <c r="I460" s="69"/>
      <c r="J460" s="70"/>
      <c r="K460" s="70" t="s">
        <v>1080</v>
      </c>
      <c r="L460" s="143">
        <v>46274</v>
      </c>
    </row>
    <row r="461" spans="1:12">
      <c r="A461" s="12">
        <v>24329204</v>
      </c>
      <c r="C461" s="69" t="s">
        <v>38</v>
      </c>
      <c r="D461" s="70">
        <v>28883.18</v>
      </c>
      <c r="E461" s="70">
        <v>8356.6</v>
      </c>
      <c r="F461" s="70">
        <f>D461*0.3</f>
        <v>8664.9539999999997</v>
      </c>
      <c r="G461" s="70">
        <f>(IF(D461&lt;4172.98,0,MIN(D461*0.3,D461-4172.98)))-E461</f>
        <v>308.35399999999936</v>
      </c>
      <c r="H461" s="71">
        <v>46661</v>
      </c>
      <c r="I461" s="69" t="s">
        <v>57</v>
      </c>
      <c r="J461" s="70">
        <v>8356.6</v>
      </c>
      <c r="K461" s="70" t="s">
        <v>39</v>
      </c>
      <c r="L461" s="143">
        <v>46274</v>
      </c>
    </row>
    <row r="462" spans="1:12">
      <c r="A462" s="72">
        <v>24324502</v>
      </c>
      <c r="B462">
        <v>5218123491198</v>
      </c>
      <c r="C462" s="69" t="s">
        <v>54</v>
      </c>
      <c r="D462" s="70">
        <v>33780.519999999997</v>
      </c>
      <c r="E462" s="70">
        <v>4668.6899999999996</v>
      </c>
      <c r="F462" s="70">
        <v>10134.155999999999</v>
      </c>
      <c r="G462" s="70">
        <v>5465.4659999999994</v>
      </c>
      <c r="H462" s="69">
        <v>46905</v>
      </c>
      <c r="I462" s="69" t="s">
        <v>75</v>
      </c>
      <c r="J462" s="70">
        <v>3820.69</v>
      </c>
      <c r="K462" s="70" t="s">
        <v>95</v>
      </c>
      <c r="L462" s="143">
        <v>46274</v>
      </c>
    </row>
    <row r="463" spans="1:12">
      <c r="A463" s="72">
        <v>24346560</v>
      </c>
      <c r="B463">
        <v>5214421240922</v>
      </c>
      <c r="C463" s="69" t="s">
        <v>54</v>
      </c>
      <c r="D463" s="70">
        <v>10636.54</v>
      </c>
      <c r="E463" s="70"/>
      <c r="F463" s="70">
        <v>3190.962</v>
      </c>
      <c r="G463" s="70">
        <v>3190.962</v>
      </c>
      <c r="H463" s="69"/>
      <c r="I463" s="69"/>
      <c r="J463" s="70"/>
      <c r="K463" s="70" t="s">
        <v>62</v>
      </c>
      <c r="L463" s="143">
        <v>46274</v>
      </c>
    </row>
    <row r="464" spans="1:12">
      <c r="A464" s="72">
        <v>24341216</v>
      </c>
      <c r="B464">
        <v>5215636915522</v>
      </c>
      <c r="C464" s="69" t="s">
        <v>54</v>
      </c>
      <c r="D464" s="70">
        <v>25169.454000000002</v>
      </c>
      <c r="E464" s="70"/>
      <c r="F464" s="70">
        <v>7550.8361999999997</v>
      </c>
      <c r="G464" s="70">
        <v>7550.8361999999997</v>
      </c>
      <c r="H464" s="69"/>
      <c r="I464" s="69"/>
      <c r="J464" s="70"/>
      <c r="K464" s="70" t="s">
        <v>95</v>
      </c>
      <c r="L464" s="143">
        <v>46274</v>
      </c>
    </row>
    <row r="465" spans="1:12">
      <c r="A465" s="72">
        <v>24342088</v>
      </c>
      <c r="B465">
        <v>5212214044150</v>
      </c>
      <c r="C465" s="69" t="s">
        <v>54</v>
      </c>
      <c r="D465" s="70">
        <v>10636.54</v>
      </c>
      <c r="E465" s="70"/>
      <c r="F465" s="70">
        <v>3190.962</v>
      </c>
      <c r="G465" s="70">
        <v>3190.962</v>
      </c>
      <c r="H465" s="69"/>
      <c r="I465" s="69"/>
      <c r="J465" s="70"/>
      <c r="K465" s="70" t="s">
        <v>266</v>
      </c>
      <c r="L465" s="143">
        <v>46274</v>
      </c>
    </row>
    <row r="466" spans="1:12">
      <c r="A466" s="72">
        <v>24346820</v>
      </c>
      <c r="B466">
        <v>5216642032811</v>
      </c>
      <c r="C466" s="69" t="s">
        <v>54</v>
      </c>
      <c r="D466" s="70">
        <v>9760.32</v>
      </c>
      <c r="E466" s="70"/>
      <c r="F466" s="70">
        <v>2928.096</v>
      </c>
      <c r="G466" s="70">
        <v>2928.096</v>
      </c>
      <c r="H466" s="69"/>
      <c r="I466" s="69"/>
      <c r="J466" s="70"/>
      <c r="K466" s="70" t="s">
        <v>1080</v>
      </c>
      <c r="L466" s="143">
        <v>46274</v>
      </c>
    </row>
    <row r="467" spans="1:12">
      <c r="A467" s="72">
        <v>24344264</v>
      </c>
      <c r="B467">
        <v>5218334436801</v>
      </c>
      <c r="C467" s="69" t="s">
        <v>54</v>
      </c>
      <c r="D467" s="70">
        <v>10636.54</v>
      </c>
      <c r="E467" s="70"/>
      <c r="F467" s="70">
        <v>3190.962</v>
      </c>
      <c r="G467" s="70">
        <v>3190.962</v>
      </c>
      <c r="H467" s="69"/>
      <c r="I467" s="69"/>
      <c r="J467" s="70"/>
      <c r="K467" s="70" t="s">
        <v>62</v>
      </c>
      <c r="L467" s="143">
        <v>46274</v>
      </c>
    </row>
    <row r="468" spans="1:12">
      <c r="A468" s="72">
        <v>24334756</v>
      </c>
      <c r="B468">
        <v>5216463830788</v>
      </c>
      <c r="C468" s="69" t="s">
        <v>27</v>
      </c>
      <c r="D468" s="70">
        <v>17722.169999999998</v>
      </c>
      <c r="E468" s="70">
        <v>4359</v>
      </c>
      <c r="F468" s="70">
        <v>5316.6509999999989</v>
      </c>
      <c r="G468" s="70">
        <v>957.65099999999893</v>
      </c>
      <c r="H468" s="69">
        <v>45444</v>
      </c>
      <c r="I468" s="69" t="s">
        <v>44</v>
      </c>
      <c r="J468" s="70">
        <v>4359</v>
      </c>
      <c r="K468" s="70" t="s">
        <v>90</v>
      </c>
      <c r="L468" s="143">
        <v>46274</v>
      </c>
    </row>
    <row r="469" spans="1:12">
      <c r="A469" s="72">
        <v>24347364</v>
      </c>
      <c r="B469">
        <v>5212211911443</v>
      </c>
      <c r="C469" s="69" t="s">
        <v>54</v>
      </c>
      <c r="D469" s="70">
        <v>5617.63</v>
      </c>
      <c r="E469" s="70"/>
      <c r="F469" s="70">
        <v>1685.289</v>
      </c>
      <c r="G469" s="70">
        <v>1444.6500000000005</v>
      </c>
      <c r="H469" s="69"/>
      <c r="I469" s="69"/>
      <c r="J469" s="70"/>
      <c r="K469" s="70" t="s">
        <v>358</v>
      </c>
      <c r="L469" s="143">
        <v>46274</v>
      </c>
    </row>
    <row r="470" spans="1:12">
      <c r="A470" s="72">
        <v>24341518</v>
      </c>
      <c r="B470">
        <v>5212211928770</v>
      </c>
      <c r="C470" s="69" t="s">
        <v>54</v>
      </c>
      <c r="D470" s="70">
        <v>6797.51</v>
      </c>
      <c r="E470" s="70"/>
      <c r="F470" s="70">
        <v>2039.2529999999999</v>
      </c>
      <c r="G470" s="70">
        <v>2039.2529999999999</v>
      </c>
      <c r="H470" s="69"/>
      <c r="I470" s="69"/>
      <c r="J470" s="70"/>
      <c r="K470" s="70" t="s">
        <v>1808</v>
      </c>
      <c r="L470" s="143">
        <v>46274</v>
      </c>
    </row>
    <row r="471" spans="1:12">
      <c r="A471" s="72">
        <v>24348382</v>
      </c>
      <c r="B471">
        <v>8715063035</v>
      </c>
      <c r="C471" s="69" t="s">
        <v>54</v>
      </c>
      <c r="D471" s="70">
        <v>10636.54</v>
      </c>
      <c r="E471" s="70">
        <v>0</v>
      </c>
      <c r="F471" s="70">
        <v>3190.962</v>
      </c>
      <c r="G471" s="70">
        <v>3190.962</v>
      </c>
      <c r="H471" s="69"/>
      <c r="I471" s="69"/>
      <c r="J471" s="70"/>
      <c r="K471" s="70" t="s">
        <v>886</v>
      </c>
      <c r="L471" s="143">
        <v>46274</v>
      </c>
    </row>
    <row r="472" spans="1:12">
      <c r="A472" s="72">
        <v>24330892</v>
      </c>
      <c r="B472">
        <v>5212221356482</v>
      </c>
      <c r="C472" s="69" t="s">
        <v>54</v>
      </c>
      <c r="D472" s="70">
        <v>11886.95</v>
      </c>
      <c r="E472" s="70"/>
      <c r="F472" s="70">
        <v>3566.085</v>
      </c>
      <c r="G472" s="70">
        <v>3566.085</v>
      </c>
      <c r="H472" s="69"/>
      <c r="I472" s="69"/>
      <c r="J472" s="70"/>
      <c r="K472" s="70" t="s">
        <v>1091</v>
      </c>
      <c r="L472" s="143">
        <v>46274</v>
      </c>
    </row>
    <row r="473" spans="1:12">
      <c r="A473" s="72">
        <v>24347928</v>
      </c>
      <c r="B473">
        <v>5218777931979</v>
      </c>
      <c r="C473" s="69" t="s">
        <v>27</v>
      </c>
      <c r="D473" s="70">
        <v>7116.73</v>
      </c>
      <c r="E473" s="70">
        <v>1936.88</v>
      </c>
      <c r="F473" s="70">
        <v>2135.0189999999998</v>
      </c>
      <c r="G473" s="70">
        <v>198.13899999999967</v>
      </c>
      <c r="H473" s="69">
        <v>46082</v>
      </c>
      <c r="I473" s="69" t="s">
        <v>44</v>
      </c>
      <c r="J473" s="70">
        <v>1936.88</v>
      </c>
      <c r="K473" s="70" t="s">
        <v>90</v>
      </c>
      <c r="L473" s="143">
        <v>46274</v>
      </c>
    </row>
    <row r="474" spans="1:12">
      <c r="A474" s="30">
        <v>24350520</v>
      </c>
      <c r="C474" s="69" t="s">
        <v>38</v>
      </c>
      <c r="D474" s="70">
        <v>37310.620000000003</v>
      </c>
      <c r="E474" s="70">
        <v>10794.86</v>
      </c>
      <c r="F474" s="70">
        <f>D474*0.3</f>
        <v>11193.186</v>
      </c>
      <c r="G474" s="70">
        <f>(IF(D474&lt;4172.98,0,MIN(D474*0.3,D474-4172.98)))-E474</f>
        <v>398.32599999999911</v>
      </c>
      <c r="H474" s="71">
        <v>46722</v>
      </c>
      <c r="I474" s="69" t="s">
        <v>75</v>
      </c>
      <c r="J474" s="70">
        <v>10794.86</v>
      </c>
      <c r="K474" s="70" t="s">
        <v>39</v>
      </c>
      <c r="L474" s="143">
        <v>46274</v>
      </c>
    </row>
    <row r="475" spans="1:12">
      <c r="A475" s="72">
        <v>24292442</v>
      </c>
      <c r="B475">
        <v>5217551067335</v>
      </c>
      <c r="C475" s="69" t="s">
        <v>34</v>
      </c>
      <c r="D475" s="70">
        <v>9760.32</v>
      </c>
      <c r="E475" s="70"/>
      <c r="F475" s="70">
        <v>2928.096</v>
      </c>
      <c r="G475" s="70">
        <v>2928.096</v>
      </c>
      <c r="H475" s="69"/>
      <c r="I475" s="69"/>
      <c r="J475" s="70"/>
      <c r="K475" s="70" t="s">
        <v>271</v>
      </c>
      <c r="L475" s="143">
        <v>46274</v>
      </c>
    </row>
    <row r="476" spans="1:12">
      <c r="A476" s="30">
        <v>24351058</v>
      </c>
      <c r="C476" s="69" t="s">
        <v>54</v>
      </c>
      <c r="D476" s="70">
        <v>10636.54</v>
      </c>
      <c r="E476" s="70"/>
      <c r="F476" s="70">
        <f>D476*0.3</f>
        <v>3190.962</v>
      </c>
      <c r="G476" s="70">
        <f>(IF(D476&lt;4172.98,0,MIN(D476*0.3,D476-4172.98)))-E476</f>
        <v>3190.962</v>
      </c>
      <c r="H476" s="69"/>
      <c r="I476" s="69"/>
      <c r="J476" s="70"/>
      <c r="K476" s="70" t="s">
        <v>1808</v>
      </c>
      <c r="L476" s="143">
        <v>46274</v>
      </c>
    </row>
    <row r="477" spans="1:12">
      <c r="A477" s="72">
        <v>24333672</v>
      </c>
      <c r="B477">
        <v>5213171320056</v>
      </c>
      <c r="C477" s="69" t="s">
        <v>54</v>
      </c>
      <c r="D477" s="70">
        <v>32173.540000000008</v>
      </c>
      <c r="E477" s="70"/>
      <c r="F477" s="70">
        <v>9652.0620000000017</v>
      </c>
      <c r="G477" s="70">
        <v>9652.0620000000017</v>
      </c>
      <c r="H477" s="69"/>
      <c r="I477" s="69"/>
      <c r="J477" s="70"/>
      <c r="K477" s="70" t="s">
        <v>886</v>
      </c>
      <c r="L477" s="143">
        <v>46274</v>
      </c>
    </row>
    <row r="478" spans="1:12">
      <c r="A478" s="72">
        <v>24350400</v>
      </c>
      <c r="B478">
        <v>5215574098165</v>
      </c>
      <c r="C478" s="69" t="s">
        <v>27</v>
      </c>
      <c r="D478" s="70">
        <v>8497.74</v>
      </c>
      <c r="E478" s="70">
        <v>2346.96</v>
      </c>
      <c r="F478" s="70">
        <v>2549.3219999999997</v>
      </c>
      <c r="G478" s="70">
        <v>202.36199999999963</v>
      </c>
      <c r="H478" s="69">
        <v>46113</v>
      </c>
      <c r="I478" s="69" t="s">
        <v>210</v>
      </c>
      <c r="J478" s="70">
        <v>2346.96</v>
      </c>
      <c r="K478" s="70" t="s">
        <v>90</v>
      </c>
      <c r="L478" s="143">
        <v>46274</v>
      </c>
    </row>
    <row r="479" spans="1:12">
      <c r="A479" s="72">
        <v>24328762</v>
      </c>
      <c r="B479">
        <v>6313045530</v>
      </c>
      <c r="C479" s="69" t="s">
        <v>27</v>
      </c>
      <c r="D479" s="70">
        <v>8734.23</v>
      </c>
      <c r="E479" s="70">
        <v>2316.9299999999998</v>
      </c>
      <c r="F479" s="70">
        <v>2620.2689999999998</v>
      </c>
      <c r="G479" s="70">
        <v>303.33899999999994</v>
      </c>
      <c r="H479" s="69">
        <v>45870</v>
      </c>
      <c r="I479" s="69" t="s">
        <v>2821</v>
      </c>
      <c r="J479" s="70">
        <v>2316.9299999999998</v>
      </c>
      <c r="K479" s="70" t="s">
        <v>90</v>
      </c>
      <c r="L479" s="143">
        <v>46274</v>
      </c>
    </row>
    <row r="480" spans="1:12">
      <c r="A480" s="30">
        <v>24352970</v>
      </c>
      <c r="C480" s="69" t="s">
        <v>54</v>
      </c>
      <c r="D480" s="70">
        <f>47676.55+879</f>
        <v>48555.55</v>
      </c>
      <c r="E480" s="70">
        <v>879</v>
      </c>
      <c r="F480" s="70">
        <f>D480*0.3</f>
        <v>14566.665000000001</v>
      </c>
      <c r="G480" s="70">
        <f>(IF(D480&lt;4172.98,0,MIN(D480*0.3,D480-4172.98)))-E480</f>
        <v>13687.665000000001</v>
      </c>
      <c r="H480" s="69"/>
      <c r="I480" s="69"/>
      <c r="J480" s="70"/>
      <c r="K480" s="70" t="s">
        <v>1091</v>
      </c>
      <c r="L480" s="143">
        <v>46274</v>
      </c>
    </row>
    <row r="481" spans="1:12">
      <c r="A481" s="72">
        <v>24330288</v>
      </c>
      <c r="B481">
        <v>5216645465341</v>
      </c>
      <c r="C481" s="69" t="s">
        <v>54</v>
      </c>
      <c r="D481" s="70">
        <v>11554.81</v>
      </c>
      <c r="E481" s="70">
        <v>848</v>
      </c>
      <c r="F481" s="70">
        <v>3466.4429999999998</v>
      </c>
      <c r="G481" s="70">
        <v>2618.4429999999998</v>
      </c>
      <c r="H481" s="69"/>
      <c r="I481" s="69"/>
      <c r="J481" s="70"/>
      <c r="K481" s="70" t="s">
        <v>1091</v>
      </c>
      <c r="L481" s="143">
        <v>46274</v>
      </c>
    </row>
    <row r="482" spans="1:12">
      <c r="A482" s="30">
        <v>24354104</v>
      </c>
      <c r="C482" s="69" t="s">
        <v>54</v>
      </c>
      <c r="D482" s="70">
        <v>10819.28</v>
      </c>
      <c r="E482" s="70"/>
      <c r="F482" s="70">
        <f>D482*0.3</f>
        <v>3245.7840000000001</v>
      </c>
      <c r="G482" s="70">
        <f>(IF(D482&lt;4172.98,0,MIN(D482*0.3,D482-4172.98)))-E482</f>
        <v>3245.7840000000001</v>
      </c>
      <c r="H482" s="69"/>
      <c r="I482" s="69"/>
      <c r="J482" s="70"/>
      <c r="K482" s="70" t="s">
        <v>886</v>
      </c>
      <c r="L482" s="143">
        <v>46274</v>
      </c>
    </row>
    <row r="483" spans="1:12">
      <c r="A483" s="72">
        <v>24265608</v>
      </c>
      <c r="B483">
        <v>5218711997426</v>
      </c>
      <c r="C483" s="69" t="s">
        <v>38</v>
      </c>
      <c r="D483" s="70">
        <v>58681.03</v>
      </c>
      <c r="E483" s="70">
        <v>16650</v>
      </c>
      <c r="F483" s="70">
        <v>17604.308999999997</v>
      </c>
      <c r="G483" s="70">
        <v>954.30899999999747</v>
      </c>
      <c r="H483" s="69">
        <v>46966</v>
      </c>
      <c r="I483" s="69" t="s">
        <v>141</v>
      </c>
      <c r="J483" s="70">
        <v>16650</v>
      </c>
      <c r="K483" s="70" t="s">
        <v>39</v>
      </c>
      <c r="L483" s="143">
        <v>46274</v>
      </c>
    </row>
    <row r="484" spans="1:12">
      <c r="A484" s="12">
        <v>24354612</v>
      </c>
      <c r="C484" s="69" t="s">
        <v>54</v>
      </c>
      <c r="D484" s="70">
        <v>9582.4699999999993</v>
      </c>
      <c r="E484" s="70">
        <v>0</v>
      </c>
      <c r="F484" s="70">
        <f t="shared" ref="F484:F485" si="80">D484*0.3</f>
        <v>2874.7409999999995</v>
      </c>
      <c r="G484" s="70">
        <f t="shared" ref="G484:G485" si="81">(IF(D484&lt;4172.98,0,MIN(D484*0.3,D484-4172.98)))-E484</f>
        <v>2874.7409999999995</v>
      </c>
      <c r="H484" s="69"/>
      <c r="I484" s="69"/>
      <c r="J484" s="70"/>
      <c r="K484" s="70" t="s">
        <v>1808</v>
      </c>
      <c r="L484" s="143">
        <v>46274</v>
      </c>
    </row>
    <row r="485" spans="1:12">
      <c r="A485" s="30">
        <v>24354680</v>
      </c>
      <c r="C485" s="69" t="s">
        <v>54</v>
      </c>
      <c r="D485" s="70">
        <v>14613.46</v>
      </c>
      <c r="E485" s="70">
        <v>330.55</v>
      </c>
      <c r="F485" s="70">
        <f t="shared" si="80"/>
        <v>4384.0379999999996</v>
      </c>
      <c r="G485" s="70">
        <f t="shared" si="81"/>
        <v>4053.4879999999994</v>
      </c>
      <c r="H485" s="71">
        <v>46054</v>
      </c>
      <c r="I485" s="69" t="s">
        <v>47</v>
      </c>
      <c r="J485" s="70">
        <v>330.55</v>
      </c>
      <c r="K485" s="70" t="s">
        <v>886</v>
      </c>
      <c r="L485" s="143">
        <v>46274</v>
      </c>
    </row>
    <row r="486" spans="1:12">
      <c r="A486" s="72">
        <v>24354070</v>
      </c>
      <c r="B486">
        <v>5212714101417</v>
      </c>
      <c r="C486" s="69" t="s">
        <v>38</v>
      </c>
      <c r="D486" s="70">
        <v>15190.53</v>
      </c>
      <c r="E486" s="70">
        <v>4065.51</v>
      </c>
      <c r="F486" s="70">
        <v>4557.1589999999997</v>
      </c>
      <c r="G486" s="70">
        <v>491.64899999999943</v>
      </c>
      <c r="H486" s="69">
        <v>46327</v>
      </c>
      <c r="I486" s="69" t="s">
        <v>59</v>
      </c>
      <c r="J486" s="70">
        <v>4065.51</v>
      </c>
      <c r="K486" s="70" t="s">
        <v>39</v>
      </c>
      <c r="L486" s="143">
        <v>46274</v>
      </c>
    </row>
    <row r="487" spans="1:12">
      <c r="A487" s="30">
        <v>24355756</v>
      </c>
      <c r="C487" s="69" t="s">
        <v>54</v>
      </c>
      <c r="D487" s="70">
        <v>10171.24</v>
      </c>
      <c r="E487" s="70"/>
      <c r="F487" s="70">
        <f t="shared" ref="F487:F488" si="82">D487*0.3</f>
        <v>3051.3719999999998</v>
      </c>
      <c r="G487" s="70">
        <f t="shared" ref="G487:G488" si="83">(IF(D487&lt;4172.98,0,MIN(D487*0.3,D487-4172.98)))-E487</f>
        <v>3051.3719999999998</v>
      </c>
      <c r="H487" s="69"/>
      <c r="I487" s="69"/>
      <c r="J487" s="70"/>
      <c r="K487" s="70" t="s">
        <v>1091</v>
      </c>
      <c r="L487" s="143">
        <v>46274</v>
      </c>
    </row>
    <row r="488" spans="1:12">
      <c r="A488" s="12">
        <v>24355698</v>
      </c>
      <c r="C488" s="69" t="s">
        <v>38</v>
      </c>
      <c r="D488" s="70">
        <v>5166.74</v>
      </c>
      <c r="E488" s="70"/>
      <c r="F488" s="70">
        <f t="shared" si="82"/>
        <v>1550.0219999999999</v>
      </c>
      <c r="G488" s="70">
        <f t="shared" si="83"/>
        <v>993.76000000000022</v>
      </c>
      <c r="H488" s="69"/>
      <c r="I488" s="69"/>
      <c r="J488" s="70"/>
      <c r="K488" s="70" t="s">
        <v>39</v>
      </c>
      <c r="L488" s="143">
        <v>46274</v>
      </c>
    </row>
    <row r="489" spans="1:12">
      <c r="A489" s="72">
        <v>24354690</v>
      </c>
      <c r="B489">
        <v>5218125717335</v>
      </c>
      <c r="C489" s="69" t="s">
        <v>38</v>
      </c>
      <c r="D489" s="70">
        <v>22622.9</v>
      </c>
      <c r="E489" s="70">
        <v>5757.7</v>
      </c>
      <c r="F489" s="70">
        <v>6786.87</v>
      </c>
      <c r="G489" s="70">
        <v>1029.17</v>
      </c>
      <c r="H489" s="69">
        <v>46935</v>
      </c>
      <c r="I489" s="69" t="s">
        <v>73</v>
      </c>
      <c r="J489" s="70">
        <v>5757.7</v>
      </c>
      <c r="K489" s="70" t="s">
        <v>39</v>
      </c>
      <c r="L489" s="143">
        <v>46274</v>
      </c>
    </row>
    <row r="490" spans="1:12">
      <c r="A490" s="72">
        <v>24326098</v>
      </c>
      <c r="B490">
        <v>5214445033341</v>
      </c>
      <c r="C490" s="69" t="s">
        <v>107</v>
      </c>
      <c r="D490" s="70">
        <v>4664.38</v>
      </c>
      <c r="E490" s="70">
        <v>392.1</v>
      </c>
      <c r="F490" s="70">
        <v>1399.3140000000001</v>
      </c>
      <c r="G490" s="70">
        <v>99.300000000000523</v>
      </c>
      <c r="H490" s="69">
        <v>45658</v>
      </c>
      <c r="I490" s="69" t="s">
        <v>332</v>
      </c>
      <c r="J490" s="70">
        <v>392.1</v>
      </c>
      <c r="K490" s="70" t="s">
        <v>39</v>
      </c>
      <c r="L490" s="143">
        <v>46274</v>
      </c>
    </row>
    <row r="491" spans="1:12">
      <c r="A491" s="72">
        <v>24351256</v>
      </c>
      <c r="B491">
        <v>5216121396071</v>
      </c>
      <c r="C491" s="69" t="s">
        <v>54</v>
      </c>
      <c r="D491" s="70">
        <v>10636.54</v>
      </c>
      <c r="E491" s="70"/>
      <c r="F491" s="70">
        <v>3190.962</v>
      </c>
      <c r="G491" s="70">
        <v>3190.962</v>
      </c>
      <c r="H491" s="69"/>
      <c r="I491" s="69"/>
      <c r="J491" s="70"/>
      <c r="K491" s="70" t="s">
        <v>1808</v>
      </c>
      <c r="L491" s="143">
        <v>46274</v>
      </c>
    </row>
    <row r="492" spans="1:12">
      <c r="A492" s="72">
        <v>24352634</v>
      </c>
      <c r="B492">
        <v>5217291085374</v>
      </c>
      <c r="C492" s="69" t="s">
        <v>38</v>
      </c>
      <c r="D492" s="70">
        <v>4813.6899999999996</v>
      </c>
      <c r="E492" s="70"/>
      <c r="F492" s="70">
        <v>1444.1069999999997</v>
      </c>
      <c r="G492" s="70">
        <v>640.71</v>
      </c>
      <c r="H492" s="69"/>
      <c r="I492" s="69"/>
      <c r="J492" s="70"/>
      <c r="K492" s="70" t="s">
        <v>39</v>
      </c>
      <c r="L492" s="143">
        <v>46274</v>
      </c>
    </row>
    <row r="493" spans="1:12">
      <c r="A493" s="72">
        <v>24352398</v>
      </c>
      <c r="B493">
        <v>5214641590653</v>
      </c>
      <c r="C493" s="69" t="s">
        <v>27</v>
      </c>
      <c r="D493" s="70">
        <v>7391.72</v>
      </c>
      <c r="E493" s="70">
        <v>1957.2</v>
      </c>
      <c r="F493" s="70">
        <v>2217.5160000000001</v>
      </c>
      <c r="G493" s="70">
        <v>260.31600000000003</v>
      </c>
      <c r="H493" s="69">
        <v>45748</v>
      </c>
      <c r="I493" s="69" t="s">
        <v>1982</v>
      </c>
      <c r="J493" s="70">
        <v>1957.2</v>
      </c>
      <c r="K493" s="70" t="s">
        <v>62</v>
      </c>
      <c r="L493" s="143">
        <v>46274</v>
      </c>
    </row>
    <row r="494" spans="1:12">
      <c r="A494" s="72">
        <v>24143988</v>
      </c>
      <c r="B494">
        <v>5216641204200</v>
      </c>
      <c r="C494" s="69" t="s">
        <v>34</v>
      </c>
      <c r="D494" s="70">
        <v>39970.82</v>
      </c>
      <c r="E494" s="70"/>
      <c r="F494" s="70">
        <v>11991.245999999999</v>
      </c>
      <c r="G494" s="70">
        <v>11991.245999999999</v>
      </c>
      <c r="H494" s="69"/>
      <c r="I494" s="69"/>
      <c r="J494" s="70"/>
      <c r="K494" s="70" t="s">
        <v>271</v>
      </c>
      <c r="L494" s="143">
        <v>46274</v>
      </c>
    </row>
    <row r="495" spans="1:12">
      <c r="A495" s="30">
        <v>24356166</v>
      </c>
      <c r="C495" s="69" t="s">
        <v>54</v>
      </c>
      <c r="D495" s="70">
        <v>9760.32</v>
      </c>
      <c r="E495" s="70"/>
      <c r="F495" s="70">
        <f>D495*0.3</f>
        <v>2928.096</v>
      </c>
      <c r="G495" s="70">
        <f>(IF(D495&lt;4172.98,0,MIN(D495*0.3,D495-4172.98)))-E495</f>
        <v>2928.096</v>
      </c>
      <c r="H495" s="69"/>
      <c r="I495" s="69"/>
      <c r="J495" s="70"/>
      <c r="K495" s="70" t="s">
        <v>548</v>
      </c>
      <c r="L495" s="143">
        <v>46274</v>
      </c>
    </row>
    <row r="496" spans="1:12">
      <c r="A496" s="12">
        <v>24356490</v>
      </c>
      <c r="C496" s="69" t="s">
        <v>54</v>
      </c>
      <c r="D496" s="70">
        <v>9760.32</v>
      </c>
      <c r="E496" s="70"/>
      <c r="F496" s="70">
        <f t="shared" ref="F496:F498" si="84">D496*0.3</f>
        <v>2928.096</v>
      </c>
      <c r="G496" s="70">
        <f t="shared" ref="G496:G498" si="85">(IF(D496&lt;4172.98,0,MIN(D496*0.3,D496-4172.98)))-E496</f>
        <v>2928.096</v>
      </c>
      <c r="H496" s="69"/>
      <c r="I496" s="69"/>
      <c r="J496" s="70"/>
      <c r="K496" s="70" t="s">
        <v>548</v>
      </c>
      <c r="L496" s="143">
        <v>46274</v>
      </c>
    </row>
    <row r="497" spans="1:12">
      <c r="A497" s="30">
        <v>24356470</v>
      </c>
      <c r="C497" s="69" t="s">
        <v>107</v>
      </c>
      <c r="D497" s="70">
        <v>8204.65</v>
      </c>
      <c r="E497" s="70">
        <v>2373.8000000000002</v>
      </c>
      <c r="F497" s="70">
        <f t="shared" si="84"/>
        <v>2461.395</v>
      </c>
      <c r="G497" s="70">
        <f t="shared" si="85"/>
        <v>87.5949999999998</v>
      </c>
      <c r="H497" s="71">
        <v>45992</v>
      </c>
      <c r="I497" s="69" t="s">
        <v>44</v>
      </c>
      <c r="J497" s="70">
        <v>460</v>
      </c>
      <c r="K497" s="70" t="s">
        <v>39</v>
      </c>
      <c r="L497" s="143">
        <v>46274</v>
      </c>
    </row>
    <row r="498" spans="1:12">
      <c r="A498" s="12">
        <v>24356700</v>
      </c>
      <c r="C498" s="69" t="s">
        <v>38</v>
      </c>
      <c r="D498" s="70">
        <v>57339.45</v>
      </c>
      <c r="E498" s="70">
        <v>16583.849999999999</v>
      </c>
      <c r="F498" s="70">
        <f t="shared" si="84"/>
        <v>17201.834999999999</v>
      </c>
      <c r="G498" s="70">
        <f t="shared" si="85"/>
        <v>617.98500000000058</v>
      </c>
      <c r="H498" s="71">
        <v>46447</v>
      </c>
      <c r="I498" s="69" t="s">
        <v>141</v>
      </c>
      <c r="J498" s="70">
        <v>16583.849999999999</v>
      </c>
      <c r="K498" s="70" t="s">
        <v>39</v>
      </c>
      <c r="L498" s="143">
        <v>46274</v>
      </c>
    </row>
    <row r="499" spans="1:12">
      <c r="A499" s="30">
        <v>24357238</v>
      </c>
      <c r="C499" s="69" t="s">
        <v>54</v>
      </c>
      <c r="D499" s="70">
        <v>7116.73</v>
      </c>
      <c r="E499" s="70">
        <v>848</v>
      </c>
      <c r="F499" s="70">
        <f>D499*0.3</f>
        <v>2135.0189999999998</v>
      </c>
      <c r="G499" s="70">
        <f>(IF(D499&lt;4172.98,0,MIN(D499*0.3,D499-4172.98)))-E499</f>
        <v>1287.0189999999998</v>
      </c>
      <c r="H499" s="69"/>
      <c r="I499" s="69"/>
      <c r="J499" s="70"/>
      <c r="K499" s="70" t="s">
        <v>548</v>
      </c>
      <c r="L499" s="143">
        <v>46274</v>
      </c>
    </row>
    <row r="500" spans="1:12">
      <c r="A500" s="30">
        <v>24357494</v>
      </c>
      <c r="C500" s="69" t="s">
        <v>54</v>
      </c>
      <c r="D500" s="70">
        <v>10636.54</v>
      </c>
      <c r="E500" s="70"/>
      <c r="F500" s="70">
        <f>D500*0.3</f>
        <v>3190.962</v>
      </c>
      <c r="G500" s="70">
        <f>(IF(D500&lt;4172.98,0,MIN(D500*0.3,D500-4172.98)))-E500</f>
        <v>3190.962</v>
      </c>
      <c r="H500" s="69"/>
      <c r="I500" s="69"/>
      <c r="J500" s="70"/>
      <c r="K500" s="70" t="s">
        <v>548</v>
      </c>
      <c r="L500" s="143">
        <v>46274</v>
      </c>
    </row>
    <row r="501" spans="1:12">
      <c r="A501" s="72">
        <v>24330248</v>
      </c>
      <c r="B501">
        <v>5213318452357</v>
      </c>
      <c r="C501" s="69" t="s">
        <v>54</v>
      </c>
      <c r="D501" s="70">
        <v>9760.32</v>
      </c>
      <c r="E501" s="70"/>
      <c r="F501" s="70">
        <v>2928.096</v>
      </c>
      <c r="G501" s="70">
        <v>2928.096</v>
      </c>
      <c r="H501" s="69"/>
      <c r="I501" s="69"/>
      <c r="J501" s="70"/>
      <c r="K501" s="70" t="s">
        <v>548</v>
      </c>
      <c r="L501" s="143">
        <v>46274</v>
      </c>
    </row>
    <row r="502" spans="1:12">
      <c r="A502" s="72">
        <v>24263358</v>
      </c>
      <c r="B502">
        <v>5215582945144</v>
      </c>
      <c r="C502" s="69" t="s">
        <v>54</v>
      </c>
      <c r="D502" s="70">
        <v>6262.86</v>
      </c>
      <c r="E502" s="70"/>
      <c r="F502" s="70">
        <v>1878.8579999999997</v>
      </c>
      <c r="G502" s="70">
        <v>1878.8579999999997</v>
      </c>
      <c r="H502" s="69"/>
      <c r="I502" s="69"/>
      <c r="J502" s="70"/>
      <c r="K502" s="70" t="s">
        <v>548</v>
      </c>
      <c r="L502" s="143">
        <v>46274</v>
      </c>
    </row>
    <row r="503" spans="1:12">
      <c r="A503" s="72">
        <v>24356560</v>
      </c>
      <c r="B503">
        <v>5215560251836</v>
      </c>
      <c r="C503" s="69" t="s">
        <v>54</v>
      </c>
      <c r="D503" s="70">
        <v>9081.52</v>
      </c>
      <c r="E503" s="70">
        <v>848</v>
      </c>
      <c r="F503" s="70">
        <v>2724.4560000000001</v>
      </c>
      <c r="G503" s="70">
        <v>1876.4560000000001</v>
      </c>
      <c r="H503" s="69"/>
      <c r="I503" s="69"/>
      <c r="J503" s="70"/>
      <c r="K503" s="70" t="s">
        <v>548</v>
      </c>
      <c r="L503" s="143">
        <v>46274</v>
      </c>
    </row>
    <row r="504" spans="1:12">
      <c r="A504" s="72">
        <v>24351770</v>
      </c>
      <c r="B504">
        <v>8131218568</v>
      </c>
      <c r="C504" s="69" t="s">
        <v>38</v>
      </c>
      <c r="D504" s="70">
        <v>12329.54</v>
      </c>
      <c r="E504" s="70">
        <v>2975.95</v>
      </c>
      <c r="F504" s="70">
        <v>3698.8620000000001</v>
      </c>
      <c r="G504" s="70">
        <v>722.91200000000026</v>
      </c>
      <c r="H504" s="69">
        <v>46966</v>
      </c>
      <c r="I504" s="69" t="s">
        <v>43</v>
      </c>
      <c r="J504" s="70">
        <v>2975.95</v>
      </c>
      <c r="K504" s="70" t="s">
        <v>39</v>
      </c>
      <c r="L504" s="143">
        <v>46274</v>
      </c>
    </row>
    <row r="505" spans="1:12">
      <c r="A505" s="30">
        <v>24359692</v>
      </c>
      <c r="C505" s="69" t="s">
        <v>38</v>
      </c>
      <c r="D505" s="70">
        <v>14883.2</v>
      </c>
      <c r="E505" s="70">
        <v>3436.63</v>
      </c>
      <c r="F505" s="70">
        <f t="shared" ref="F505:F508" si="86">D505*0.3</f>
        <v>4464.96</v>
      </c>
      <c r="G505" s="70">
        <f t="shared" ref="G505:G508" si="87">(IF(D505&lt;4172.98,0,MIN(D505*0.3,D505-4172.98)))-E505</f>
        <v>1028.33</v>
      </c>
      <c r="H505" s="71">
        <v>46905</v>
      </c>
      <c r="I505" s="69" t="s">
        <v>73</v>
      </c>
      <c r="J505" s="70">
        <v>3436.63</v>
      </c>
      <c r="K505" s="70" t="s">
        <v>39</v>
      </c>
      <c r="L505" s="143">
        <v>46275</v>
      </c>
    </row>
    <row r="506" spans="1:12">
      <c r="A506" s="12">
        <v>24366842</v>
      </c>
      <c r="C506" s="69" t="s">
        <v>54</v>
      </c>
      <c r="D506" s="70">
        <v>10636.54</v>
      </c>
      <c r="E506" s="70"/>
      <c r="F506" s="70">
        <f t="shared" si="86"/>
        <v>3190.962</v>
      </c>
      <c r="G506" s="70">
        <f t="shared" si="87"/>
        <v>3190.962</v>
      </c>
      <c r="H506" s="69"/>
      <c r="I506" s="69"/>
      <c r="J506" s="70"/>
      <c r="K506" s="70" t="s">
        <v>1808</v>
      </c>
      <c r="L506" s="143">
        <v>46275</v>
      </c>
    </row>
    <row r="507" spans="1:12">
      <c r="A507" s="12">
        <v>24361852</v>
      </c>
      <c r="C507" s="69" t="s">
        <v>34</v>
      </c>
      <c r="D507" s="70">
        <v>25741.59</v>
      </c>
      <c r="E507" s="70">
        <v>5968.93</v>
      </c>
      <c r="F507" s="70">
        <f t="shared" si="86"/>
        <v>7722.4769999999999</v>
      </c>
      <c r="G507" s="70">
        <f t="shared" si="87"/>
        <v>1753.5469999999996</v>
      </c>
      <c r="H507" s="71">
        <v>46631</v>
      </c>
      <c r="I507" s="69" t="s">
        <v>80</v>
      </c>
      <c r="J507" s="70">
        <v>2829.24</v>
      </c>
      <c r="K507" s="70" t="s">
        <v>271</v>
      </c>
      <c r="L507" s="143">
        <v>46275</v>
      </c>
    </row>
    <row r="508" spans="1:12">
      <c r="A508" s="12">
        <v>24369632</v>
      </c>
      <c r="C508" s="69" t="s">
        <v>54</v>
      </c>
      <c r="D508" s="70">
        <v>24178.05</v>
      </c>
      <c r="E508" s="70">
        <v>600.37</v>
      </c>
      <c r="F508" s="70">
        <f t="shared" si="86"/>
        <v>7253.415</v>
      </c>
      <c r="G508" s="70">
        <f t="shared" si="87"/>
        <v>6653.0450000000001</v>
      </c>
      <c r="H508" s="71">
        <v>46692</v>
      </c>
      <c r="I508" s="69" t="s">
        <v>57</v>
      </c>
      <c r="J508" s="70">
        <v>600.37</v>
      </c>
      <c r="K508" s="70" t="s">
        <v>95</v>
      </c>
      <c r="L508" s="143">
        <v>46275</v>
      </c>
    </row>
    <row r="509" spans="1:12">
      <c r="A509" s="30">
        <v>24373924</v>
      </c>
      <c r="C509" s="69" t="s">
        <v>54</v>
      </c>
      <c r="D509" s="70">
        <v>10636.54</v>
      </c>
      <c r="E509" s="70"/>
      <c r="F509" s="70">
        <f>D509*0.3</f>
        <v>3190.962</v>
      </c>
      <c r="G509" s="70">
        <f>(IF(D509&lt;4172.98,0,MIN(D509*0.3,D509-4172.98)))-E509</f>
        <v>3190.962</v>
      </c>
      <c r="H509" s="69"/>
      <c r="I509" s="69"/>
      <c r="J509" s="70"/>
      <c r="K509" s="70" t="s">
        <v>62</v>
      </c>
      <c r="L509" s="143">
        <v>46275</v>
      </c>
    </row>
    <row r="510" spans="1:12">
      <c r="A510" s="72">
        <v>24372336</v>
      </c>
      <c r="B510">
        <v>5215527391861</v>
      </c>
      <c r="C510" s="69" t="s">
        <v>27</v>
      </c>
      <c r="D510" s="70">
        <v>7920.51</v>
      </c>
      <c r="E510" s="70">
        <v>2198.9899999999998</v>
      </c>
      <c r="F510" s="70">
        <v>2376.1529999999998</v>
      </c>
      <c r="G510" s="70">
        <v>177.16300000000001</v>
      </c>
      <c r="H510" s="69">
        <v>46266</v>
      </c>
      <c r="I510" s="69" t="s">
        <v>77</v>
      </c>
      <c r="J510" s="70">
        <v>2198.9899999999998</v>
      </c>
      <c r="K510" s="70" t="s">
        <v>90</v>
      </c>
      <c r="L510" s="143">
        <v>46275</v>
      </c>
    </row>
    <row r="511" spans="1:12">
      <c r="A511" s="72">
        <v>24359330</v>
      </c>
      <c r="B511">
        <v>5218334424088</v>
      </c>
      <c r="C511" s="69" t="s">
        <v>54</v>
      </c>
      <c r="D511" s="70">
        <v>10636.54</v>
      </c>
      <c r="E511" s="70"/>
      <c r="F511" s="70">
        <v>3190.962</v>
      </c>
      <c r="G511" s="70">
        <v>3190.962</v>
      </c>
      <c r="H511" s="69"/>
      <c r="I511" s="69"/>
      <c r="J511" s="70"/>
      <c r="K511" s="70" t="s">
        <v>266</v>
      </c>
      <c r="L511" s="143">
        <v>46275</v>
      </c>
    </row>
    <row r="512" spans="1:12">
      <c r="A512" s="72">
        <v>24315204</v>
      </c>
      <c r="B512">
        <v>5217822553921</v>
      </c>
      <c r="C512" s="69" t="s">
        <v>54</v>
      </c>
      <c r="D512" s="70">
        <v>9760.32</v>
      </c>
      <c r="E512" s="70"/>
      <c r="F512" s="70">
        <v>2928.096</v>
      </c>
      <c r="G512" s="70">
        <v>2928.096</v>
      </c>
      <c r="H512" s="69"/>
      <c r="I512" s="69"/>
      <c r="J512" s="70"/>
      <c r="K512" s="70" t="s">
        <v>1946</v>
      </c>
      <c r="L512" s="143">
        <v>46275</v>
      </c>
    </row>
    <row r="513" spans="1:12">
      <c r="A513" s="30">
        <v>24375050</v>
      </c>
      <c r="C513" s="69" t="s">
        <v>34</v>
      </c>
      <c r="D513" s="70">
        <v>37204.559999999998</v>
      </c>
      <c r="E513" s="70">
        <v>10291.42</v>
      </c>
      <c r="F513" s="70">
        <f>D513*0.3</f>
        <v>11161.367999999999</v>
      </c>
      <c r="G513" s="70">
        <f>(IF(D513&lt;4172.98,0,MIN(D513*0.3,D513-4172.98)))-E513</f>
        <v>869.9479999999985</v>
      </c>
      <c r="H513" s="71">
        <v>45839</v>
      </c>
      <c r="I513" s="69" t="s">
        <v>43</v>
      </c>
      <c r="J513" s="70">
        <v>7909.8</v>
      </c>
      <c r="K513" s="70" t="s">
        <v>271</v>
      </c>
      <c r="L513" s="143">
        <v>46275</v>
      </c>
    </row>
    <row r="514" spans="1:12">
      <c r="A514" s="30">
        <v>24376922</v>
      </c>
      <c r="C514" s="69" t="s">
        <v>38</v>
      </c>
      <c r="D514" s="70">
        <v>8242.3700000000008</v>
      </c>
      <c r="E514" s="70">
        <f>1046+349</f>
        <v>1395</v>
      </c>
      <c r="F514" s="70">
        <f>D514*0.3</f>
        <v>2472.7110000000002</v>
      </c>
      <c r="G514" s="70">
        <f>(IF(D514&lt;4172.98,0,MIN(D514*0.3,D514-4172.98)))-E514</f>
        <v>1077.7110000000002</v>
      </c>
      <c r="H514" s="71">
        <v>46631</v>
      </c>
      <c r="I514" s="69" t="s">
        <v>77</v>
      </c>
      <c r="J514" s="70">
        <v>1046</v>
      </c>
      <c r="K514" s="70" t="s">
        <v>39</v>
      </c>
      <c r="L514" s="143">
        <v>46275</v>
      </c>
    </row>
    <row r="515" spans="1:12">
      <c r="A515" s="72">
        <v>24376924</v>
      </c>
      <c r="C515" s="69" t="s">
        <v>54</v>
      </c>
      <c r="D515" s="70">
        <v>18499.66</v>
      </c>
      <c r="E515" s="70">
        <v>879</v>
      </c>
      <c r="F515" s="70">
        <f>D515*0.3</f>
        <v>5549.8980000000001</v>
      </c>
      <c r="G515" s="70">
        <f>(IF(D515&lt;4172.98,0,MIN(D515*0.3,D515-4172.98)))-E515</f>
        <v>4670.8980000000001</v>
      </c>
      <c r="H515" s="69"/>
      <c r="I515" s="69"/>
      <c r="J515" s="70"/>
      <c r="K515" s="70" t="s">
        <v>1808</v>
      </c>
      <c r="L515" s="143">
        <v>46275</v>
      </c>
    </row>
    <row r="516" spans="1:12">
      <c r="A516" s="72">
        <v>24369920</v>
      </c>
      <c r="B516">
        <v>24369920</v>
      </c>
      <c r="C516" s="69" t="s">
        <v>54</v>
      </c>
      <c r="D516" s="70">
        <v>10636.54</v>
      </c>
      <c r="E516" s="70"/>
      <c r="F516" s="70">
        <v>3190.962</v>
      </c>
      <c r="G516" s="70">
        <v>3190.962</v>
      </c>
      <c r="H516" s="69"/>
      <c r="I516" s="69"/>
      <c r="J516" s="70"/>
      <c r="K516" s="70" t="s">
        <v>62</v>
      </c>
      <c r="L516" s="143">
        <v>46275</v>
      </c>
    </row>
    <row r="517" spans="1:12">
      <c r="A517" s="72">
        <v>24361422</v>
      </c>
      <c r="B517">
        <v>5216121400209</v>
      </c>
      <c r="C517" s="69" t="s">
        <v>54</v>
      </c>
      <c r="D517" s="70">
        <v>10636.54</v>
      </c>
      <c r="E517" s="70"/>
      <c r="F517" s="70">
        <v>3190.962</v>
      </c>
      <c r="G517" s="70">
        <v>3190.962</v>
      </c>
      <c r="H517" s="69"/>
      <c r="I517" s="69"/>
      <c r="J517" s="70"/>
      <c r="K517" s="70" t="s">
        <v>266</v>
      </c>
      <c r="L517" s="143">
        <v>46275</v>
      </c>
    </row>
    <row r="518" spans="1:12">
      <c r="A518" s="72">
        <v>24375688</v>
      </c>
      <c r="B518">
        <v>2414101871</v>
      </c>
      <c r="C518" s="69" t="s">
        <v>54</v>
      </c>
      <c r="D518" s="70">
        <v>9081.51</v>
      </c>
      <c r="E518" s="70"/>
      <c r="F518" s="70">
        <v>2724.453</v>
      </c>
      <c r="G518" s="70">
        <v>2724.453</v>
      </c>
      <c r="H518" s="69"/>
      <c r="I518" s="69"/>
      <c r="J518" s="70"/>
      <c r="K518" s="70" t="s">
        <v>95</v>
      </c>
      <c r="L518" s="143">
        <v>46275</v>
      </c>
    </row>
    <row r="519" spans="1:12">
      <c r="A519" s="72">
        <v>24376962</v>
      </c>
      <c r="B519">
        <v>5217226561796</v>
      </c>
      <c r="C519" s="69" t="s">
        <v>34</v>
      </c>
      <c r="D519" s="70">
        <v>5617.63</v>
      </c>
      <c r="E519" s="70">
        <v>1265.56</v>
      </c>
      <c r="F519" s="70">
        <v>1685.289</v>
      </c>
      <c r="G519" s="70">
        <v>179.0900000000006</v>
      </c>
      <c r="H519" s="69">
        <v>45839</v>
      </c>
      <c r="I519" s="69" t="s">
        <v>141</v>
      </c>
      <c r="J519" s="70">
        <v>1265.56</v>
      </c>
      <c r="K519" s="70" t="s">
        <v>271</v>
      </c>
      <c r="L519" s="143">
        <v>46275</v>
      </c>
    </row>
    <row r="520" spans="1:12">
      <c r="A520" s="173">
        <v>24378904</v>
      </c>
      <c r="B520">
        <v>5212721803334</v>
      </c>
      <c r="C520" t="s">
        <v>54</v>
      </c>
      <c r="D520" s="3">
        <v>9760.32</v>
      </c>
      <c r="E520" s="3">
        <v>1694.35</v>
      </c>
      <c r="F520" s="3">
        <v>2928.096</v>
      </c>
      <c r="G520" s="3">
        <v>1233.7460000000001</v>
      </c>
      <c r="H520">
        <v>46661</v>
      </c>
      <c r="I520" t="s">
        <v>77</v>
      </c>
      <c r="J520" s="3">
        <v>1694.35</v>
      </c>
      <c r="K520" s="3" t="s">
        <v>62</v>
      </c>
      <c r="L520" s="47">
        <v>46275</v>
      </c>
    </row>
    <row r="521" spans="1:12">
      <c r="A521" s="72">
        <v>24379392</v>
      </c>
      <c r="B521">
        <v>5213321123815</v>
      </c>
      <c r="C521" s="69" t="s">
        <v>38</v>
      </c>
      <c r="D521" s="70">
        <v>5617.63</v>
      </c>
      <c r="E521" s="70">
        <v>848</v>
      </c>
      <c r="F521" s="70">
        <v>1685.289</v>
      </c>
      <c r="G521" s="70">
        <v>596.65000000000055</v>
      </c>
      <c r="H521" s="69"/>
      <c r="I521" s="69"/>
      <c r="J521" s="70"/>
      <c r="K521" s="70" t="s">
        <v>39</v>
      </c>
      <c r="L521" s="143">
        <v>46275</v>
      </c>
    </row>
    <row r="522" spans="1:12">
      <c r="A522" s="72">
        <v>24375538</v>
      </c>
      <c r="B522">
        <v>5212741411936</v>
      </c>
      <c r="C522" s="69" t="s">
        <v>54</v>
      </c>
      <c r="D522" s="70">
        <v>6262.86</v>
      </c>
      <c r="E522" s="70"/>
      <c r="F522" s="70">
        <v>1878.8579999999997</v>
      </c>
      <c r="G522" s="70">
        <v>1878.8579999999997</v>
      </c>
      <c r="H522" s="69"/>
      <c r="I522" s="69"/>
      <c r="J522" s="70"/>
      <c r="K522" s="70" t="s">
        <v>1910</v>
      </c>
      <c r="L522" s="143">
        <v>46275</v>
      </c>
    </row>
    <row r="523" spans="1:12">
      <c r="A523" s="72">
        <v>24307394</v>
      </c>
      <c r="B523">
        <v>5214494575601</v>
      </c>
      <c r="C523" s="69" t="s">
        <v>34</v>
      </c>
      <c r="D523" s="70">
        <v>7116.73</v>
      </c>
      <c r="E523" s="70">
        <v>1894.2</v>
      </c>
      <c r="F523" s="70">
        <v>2135.0189999999998</v>
      </c>
      <c r="G523" s="70">
        <v>240.81899999999973</v>
      </c>
      <c r="H523" s="69">
        <v>46113</v>
      </c>
      <c r="I523" s="69" t="s">
        <v>141</v>
      </c>
      <c r="J523" s="70">
        <v>1894.2</v>
      </c>
      <c r="K523" s="70" t="s">
        <v>271</v>
      </c>
      <c r="L523" s="143">
        <v>46275</v>
      </c>
    </row>
    <row r="524" spans="1:12">
      <c r="A524" s="30">
        <v>24381168</v>
      </c>
      <c r="C524" s="69" t="s">
        <v>38</v>
      </c>
      <c r="D524" s="70">
        <v>9581.0499999999993</v>
      </c>
      <c r="E524" s="70">
        <v>1924.04</v>
      </c>
      <c r="F524" s="70">
        <f>D524*0.3</f>
        <v>2874.3149999999996</v>
      </c>
      <c r="G524" s="70">
        <f>(IF(D524&lt;4172.98,0,MIN(D524*0.3,D524-4172.98)))-E524</f>
        <v>950.27499999999964</v>
      </c>
      <c r="H524" s="71">
        <v>46722</v>
      </c>
      <c r="I524" s="69" t="s">
        <v>57</v>
      </c>
      <c r="J524" s="70">
        <v>1924.04</v>
      </c>
      <c r="K524" s="70" t="s">
        <v>39</v>
      </c>
      <c r="L524" s="143">
        <v>46275</v>
      </c>
    </row>
    <row r="525" spans="1:12">
      <c r="A525" s="72">
        <v>24368196</v>
      </c>
      <c r="B525">
        <v>5213320414861</v>
      </c>
      <c r="C525" s="69" t="s">
        <v>54</v>
      </c>
      <c r="D525" s="70">
        <v>8690.2800000000007</v>
      </c>
      <c r="E525" s="70"/>
      <c r="F525" s="70">
        <v>2607.0840000000003</v>
      </c>
      <c r="G525" s="70">
        <v>2607.0840000000003</v>
      </c>
      <c r="H525" s="69"/>
      <c r="I525" s="69"/>
      <c r="J525" s="70"/>
      <c r="K525" s="70" t="s">
        <v>348</v>
      </c>
      <c r="L525" s="143">
        <v>46275</v>
      </c>
    </row>
    <row r="526" spans="1:12">
      <c r="A526" s="30">
        <v>24381402</v>
      </c>
      <c r="C526" s="69" t="s">
        <v>54</v>
      </c>
      <c r="D526" s="70">
        <v>10636.54</v>
      </c>
      <c r="E526" s="70"/>
      <c r="F526" s="70">
        <f>D526*0.3</f>
        <v>3190.962</v>
      </c>
      <c r="G526" s="70">
        <f>(IF(D526&lt;4172.98,0,MIN(D526*0.3,D526-4172.98)))-E526</f>
        <v>3190.962</v>
      </c>
      <c r="H526" s="69"/>
      <c r="I526" s="69"/>
      <c r="J526" s="70"/>
      <c r="K526" s="70" t="s">
        <v>1808</v>
      </c>
      <c r="L526" s="143">
        <v>46275</v>
      </c>
    </row>
    <row r="527" spans="1:12">
      <c r="A527" s="72">
        <v>24374234</v>
      </c>
      <c r="B527">
        <v>9612465948</v>
      </c>
      <c r="C527" s="69" t="s">
        <v>54</v>
      </c>
      <c r="D527" s="70">
        <v>10171.24</v>
      </c>
      <c r="E527" s="70"/>
      <c r="F527" s="70">
        <v>3051.3719999999998</v>
      </c>
      <c r="G527" s="70">
        <v>3051.3719999999998</v>
      </c>
      <c r="H527" s="69"/>
      <c r="I527" s="69"/>
      <c r="J527" s="70"/>
      <c r="K527" s="70" t="s">
        <v>95</v>
      </c>
      <c r="L527" s="143">
        <v>46275</v>
      </c>
    </row>
    <row r="528" spans="1:12">
      <c r="A528" s="72">
        <v>24361520</v>
      </c>
      <c r="B528">
        <v>5213312633746</v>
      </c>
      <c r="C528" s="69" t="s">
        <v>38</v>
      </c>
      <c r="D528" s="70">
        <v>48251.94</v>
      </c>
      <c r="E528" s="70">
        <v>13956.28</v>
      </c>
      <c r="F528" s="70">
        <v>14475.582</v>
      </c>
      <c r="G528" s="70">
        <v>519.30199999999968</v>
      </c>
      <c r="H528" s="69">
        <v>46569</v>
      </c>
      <c r="I528" s="69" t="s">
        <v>80</v>
      </c>
      <c r="J528" s="70">
        <v>3339</v>
      </c>
      <c r="K528" s="70" t="s">
        <v>39</v>
      </c>
      <c r="L528" s="143">
        <v>46275</v>
      </c>
    </row>
    <row r="529" spans="1:12">
      <c r="A529" s="72">
        <v>24328874</v>
      </c>
      <c r="B529">
        <v>5215587282445</v>
      </c>
      <c r="C529" s="69" t="s">
        <v>54</v>
      </c>
      <c r="D529" s="70">
        <v>15576.26</v>
      </c>
      <c r="E529" s="70">
        <v>848</v>
      </c>
      <c r="F529" s="70">
        <v>4672.8779999999997</v>
      </c>
      <c r="G529" s="70">
        <v>3824.8779999999997</v>
      </c>
      <c r="H529" s="69"/>
      <c r="I529" s="69"/>
      <c r="J529" s="70"/>
      <c r="K529" s="70" t="s">
        <v>348</v>
      </c>
      <c r="L529" s="143">
        <v>46275</v>
      </c>
    </row>
    <row r="530" spans="1:12">
      <c r="A530" s="72">
        <v>24368158</v>
      </c>
      <c r="B530">
        <v>5215546708582</v>
      </c>
      <c r="C530" s="69" t="s">
        <v>54</v>
      </c>
      <c r="D530" s="70">
        <v>9760.32</v>
      </c>
      <c r="E530" s="70"/>
      <c r="F530" s="70">
        <v>2928.096</v>
      </c>
      <c r="G530" s="70">
        <v>2928.096</v>
      </c>
      <c r="H530" s="69"/>
      <c r="I530" s="69"/>
      <c r="J530" s="70"/>
      <c r="K530" s="70" t="s">
        <v>266</v>
      </c>
      <c r="L530" s="143">
        <v>46275</v>
      </c>
    </row>
    <row r="531" spans="1:12">
      <c r="A531" s="30">
        <v>24383030</v>
      </c>
      <c r="C531" s="69" t="s">
        <v>27</v>
      </c>
      <c r="D531" s="70">
        <v>28184.67</v>
      </c>
      <c r="E531" s="70">
        <v>8453.9599999999991</v>
      </c>
      <c r="F531" s="70">
        <f>D531*0.3</f>
        <v>8455.4009999999998</v>
      </c>
      <c r="G531" s="70">
        <f>(IF(D531&lt;4172.98,0,MIN(D531*0.3,D531-4172.98)))-E531</f>
        <v>1.441000000000713</v>
      </c>
      <c r="H531" s="71">
        <v>46266</v>
      </c>
      <c r="I531" s="69" t="s">
        <v>47</v>
      </c>
      <c r="J531" s="70">
        <v>5886.11</v>
      </c>
      <c r="K531" s="70" t="s">
        <v>90</v>
      </c>
      <c r="L531" s="143">
        <v>46275</v>
      </c>
    </row>
    <row r="532" spans="1:12">
      <c r="A532" s="30">
        <v>24383244</v>
      </c>
      <c r="C532" s="69" t="s">
        <v>27</v>
      </c>
      <c r="D532" s="70">
        <v>26452.11</v>
      </c>
      <c r="E532" s="70">
        <v>5546.55</v>
      </c>
      <c r="F532" s="70">
        <f>D532*0.3</f>
        <v>7935.6329999999998</v>
      </c>
      <c r="G532" s="70">
        <f>(IF(D532&lt;4172.98,0,MIN(D532*0.3,D532-4172.98)))-E532</f>
        <v>2389.0829999999996</v>
      </c>
      <c r="H532" s="71">
        <v>45597</v>
      </c>
      <c r="I532" s="69" t="s">
        <v>44</v>
      </c>
      <c r="J532" s="70">
        <v>5546.55</v>
      </c>
      <c r="K532" s="70" t="s">
        <v>90</v>
      </c>
      <c r="L532" s="143">
        <v>46275</v>
      </c>
    </row>
    <row r="533" spans="1:12">
      <c r="A533" s="72">
        <v>24382562</v>
      </c>
      <c r="B533">
        <v>8120029265</v>
      </c>
      <c r="C533" s="69" t="s">
        <v>54</v>
      </c>
      <c r="D533" s="70">
        <v>52003.97</v>
      </c>
      <c r="E533" s="70"/>
      <c r="F533" s="70">
        <v>15601.190999999999</v>
      </c>
      <c r="G533" s="70">
        <v>15601.190999999999</v>
      </c>
      <c r="H533" s="69"/>
      <c r="I533" s="69"/>
      <c r="J533" s="70"/>
      <c r="K533" s="70" t="s">
        <v>548</v>
      </c>
      <c r="L533" s="143">
        <v>46275</v>
      </c>
    </row>
    <row r="534" spans="1:12">
      <c r="A534" s="12">
        <v>24384428</v>
      </c>
      <c r="C534" s="69" t="s">
        <v>54</v>
      </c>
      <c r="D534" s="70">
        <v>52978.84</v>
      </c>
      <c r="E534" s="70"/>
      <c r="F534" s="70">
        <f t="shared" ref="F534:F537" si="88">D534*0.3</f>
        <v>15893.651999999998</v>
      </c>
      <c r="G534" s="70">
        <f t="shared" ref="G534:G537" si="89">(IF(D534&lt;4172.98,0,MIN(D534*0.3,D534-4172.98)))-E534</f>
        <v>15893.651999999998</v>
      </c>
      <c r="H534" s="69"/>
      <c r="I534" s="69"/>
      <c r="J534" s="70"/>
      <c r="K534" s="70" t="s">
        <v>1808</v>
      </c>
      <c r="L534" s="143">
        <v>46276</v>
      </c>
    </row>
    <row r="535" spans="1:12">
      <c r="A535" s="12">
        <v>24384604</v>
      </c>
      <c r="C535" t="s">
        <v>54</v>
      </c>
      <c r="D535" s="3">
        <v>9129.5</v>
      </c>
      <c r="E535" s="3"/>
      <c r="F535" s="3">
        <f t="shared" si="88"/>
        <v>2738.85</v>
      </c>
      <c r="G535" s="3">
        <f t="shared" si="89"/>
        <v>2738.85</v>
      </c>
      <c r="J535" s="3"/>
      <c r="K535" s="3" t="s">
        <v>266</v>
      </c>
      <c r="L535" s="47">
        <v>46276</v>
      </c>
    </row>
    <row r="536" spans="1:12">
      <c r="A536" s="12">
        <v>24385330</v>
      </c>
      <c r="C536" s="69" t="s">
        <v>54</v>
      </c>
      <c r="D536" s="70">
        <v>10636.54</v>
      </c>
      <c r="E536" s="70"/>
      <c r="F536" s="70">
        <f t="shared" si="88"/>
        <v>3190.962</v>
      </c>
      <c r="G536" s="70">
        <f t="shared" si="89"/>
        <v>3190.962</v>
      </c>
      <c r="H536" s="69"/>
      <c r="I536" s="69"/>
      <c r="J536" s="70"/>
      <c r="K536" s="70" t="s">
        <v>62</v>
      </c>
      <c r="L536" s="143">
        <v>46276</v>
      </c>
    </row>
    <row r="537" spans="1:12">
      <c r="A537" s="12">
        <v>24386148</v>
      </c>
      <c r="C537" s="69" t="s">
        <v>27</v>
      </c>
      <c r="D537" s="70">
        <v>12598.42</v>
      </c>
      <c r="E537" s="70">
        <v>3410.24</v>
      </c>
      <c r="F537" s="70">
        <f t="shared" si="88"/>
        <v>3779.5259999999998</v>
      </c>
      <c r="G537" s="70">
        <f t="shared" si="89"/>
        <v>369.28600000000006</v>
      </c>
      <c r="H537" s="71">
        <v>46266</v>
      </c>
      <c r="I537" s="69" t="s">
        <v>59</v>
      </c>
      <c r="J537" s="70">
        <v>3410.24</v>
      </c>
      <c r="K537" s="70" t="s">
        <v>55</v>
      </c>
      <c r="L537" s="143">
        <v>46276</v>
      </c>
    </row>
    <row r="538" spans="1:12">
      <c r="A538" s="30">
        <v>24395512</v>
      </c>
      <c r="C538" s="69" t="s">
        <v>54</v>
      </c>
      <c r="D538" s="70">
        <f>21577.02-10548</f>
        <v>11029.02</v>
      </c>
      <c r="E538" s="70">
        <v>848</v>
      </c>
      <c r="F538" s="70">
        <f>D538*0.3</f>
        <v>3308.7060000000001</v>
      </c>
      <c r="G538" s="70">
        <f>(IF(D538&lt;4172.98,0,MIN(D538*0.3,D538-4172.98)))-E538</f>
        <v>2460.7060000000001</v>
      </c>
      <c r="H538" s="69"/>
      <c r="I538" s="69"/>
      <c r="J538" s="70"/>
      <c r="K538" s="70" t="s">
        <v>95</v>
      </c>
      <c r="L538" s="143">
        <v>46276</v>
      </c>
    </row>
    <row r="539" spans="1:12">
      <c r="A539" s="72">
        <v>24383414</v>
      </c>
      <c r="B539">
        <v>5212831116647</v>
      </c>
      <c r="C539" s="69" t="s">
        <v>54</v>
      </c>
      <c r="D539" s="70">
        <v>10636.55</v>
      </c>
      <c r="E539" s="70">
        <v>0</v>
      </c>
      <c r="F539" s="70">
        <v>3190.9649999999997</v>
      </c>
      <c r="G539" s="70">
        <v>3190.9649999999997</v>
      </c>
      <c r="H539" s="69"/>
      <c r="I539" s="69"/>
      <c r="J539" s="70"/>
      <c r="K539" s="70" t="s">
        <v>266</v>
      </c>
      <c r="L539" s="143">
        <v>46276</v>
      </c>
    </row>
    <row r="540" spans="1:12">
      <c r="A540" s="72">
        <v>24395670</v>
      </c>
      <c r="B540">
        <v>7716848154</v>
      </c>
      <c r="C540" s="69" t="s">
        <v>34</v>
      </c>
      <c r="D540" s="70">
        <v>26478.23</v>
      </c>
      <c r="E540" s="70">
        <v>7940.63</v>
      </c>
      <c r="F540" s="70">
        <v>7943.4689999999991</v>
      </c>
      <c r="G540" s="70">
        <v>2.8389999999990323</v>
      </c>
      <c r="H540" s="69">
        <v>46235</v>
      </c>
      <c r="I540" s="69" t="s">
        <v>73</v>
      </c>
      <c r="J540" s="70">
        <v>2864.68</v>
      </c>
      <c r="K540" s="70" t="s">
        <v>271</v>
      </c>
      <c r="L540" s="143">
        <v>46276</v>
      </c>
    </row>
    <row r="541" spans="1:12">
      <c r="A541" s="12">
        <v>24397300</v>
      </c>
      <c r="C541" s="69" t="s">
        <v>54</v>
      </c>
      <c r="D541" s="70">
        <v>11029.03</v>
      </c>
      <c r="E541" s="70">
        <f>367.68+367.99</f>
        <v>735.67000000000007</v>
      </c>
      <c r="F541" s="70">
        <f t="shared" ref="F541:F542" si="90">D541*0.3</f>
        <v>3308.7090000000003</v>
      </c>
      <c r="G541" s="70">
        <f t="shared" ref="G541:G542" si="91">(IF(D541&lt;4172.98,0,MIN(D541*0.3,D541-4172.98)))-E541</f>
        <v>2573.0390000000002</v>
      </c>
      <c r="H541" s="71">
        <v>46966</v>
      </c>
      <c r="I541" s="69" t="s">
        <v>44</v>
      </c>
      <c r="J541" s="70">
        <v>367.68</v>
      </c>
      <c r="K541" s="70" t="s">
        <v>95</v>
      </c>
      <c r="L541" s="143">
        <v>46276</v>
      </c>
    </row>
    <row r="542" spans="1:12">
      <c r="A542" s="30">
        <v>24397116</v>
      </c>
      <c r="C542" s="69" t="s">
        <v>54</v>
      </c>
      <c r="D542" s="70">
        <v>37876.07</v>
      </c>
      <c r="E542" s="70"/>
      <c r="F542" s="70">
        <f t="shared" si="90"/>
        <v>11362.821</v>
      </c>
      <c r="G542" s="70">
        <f t="shared" si="91"/>
        <v>11362.821</v>
      </c>
      <c r="H542" s="69"/>
      <c r="I542" s="69"/>
      <c r="J542" s="70"/>
      <c r="K542" s="70" t="s">
        <v>1808</v>
      </c>
      <c r="L542" s="143">
        <v>46276</v>
      </c>
    </row>
    <row r="543" spans="1:12">
      <c r="A543" s="72">
        <v>24392654</v>
      </c>
      <c r="B543">
        <v>5217775646107</v>
      </c>
      <c r="C543" s="69" t="s">
        <v>54</v>
      </c>
      <c r="D543" s="70">
        <v>37463.39</v>
      </c>
      <c r="E543" s="70"/>
      <c r="F543" s="70">
        <v>11239.017</v>
      </c>
      <c r="G543" s="70">
        <v>11239.017</v>
      </c>
      <c r="H543" s="69"/>
      <c r="I543" s="69"/>
      <c r="J543" s="70"/>
      <c r="K543" s="70" t="s">
        <v>62</v>
      </c>
      <c r="L543" s="143">
        <v>46276</v>
      </c>
    </row>
    <row r="544" spans="1:12">
      <c r="A544" s="72">
        <v>24386144</v>
      </c>
      <c r="B544">
        <v>6623596230</v>
      </c>
      <c r="C544" s="69" t="s">
        <v>34</v>
      </c>
      <c r="D544" s="70">
        <v>6411.47</v>
      </c>
      <c r="E544" s="70">
        <v>1843.68</v>
      </c>
      <c r="F544" s="70">
        <v>1923.441</v>
      </c>
      <c r="G544" s="70">
        <v>79.760999999999967</v>
      </c>
      <c r="H544" s="69">
        <v>45870</v>
      </c>
      <c r="I544" s="69" t="s">
        <v>141</v>
      </c>
      <c r="J544" s="70">
        <v>412.85</v>
      </c>
      <c r="K544" s="70" t="s">
        <v>271</v>
      </c>
      <c r="L544" s="143">
        <v>46276</v>
      </c>
    </row>
    <row r="545" spans="1:12">
      <c r="A545" s="72">
        <v>24386248</v>
      </c>
      <c r="B545">
        <v>5216271491671</v>
      </c>
      <c r="C545" s="69" t="s">
        <v>27</v>
      </c>
      <c r="D545" s="70">
        <v>6248.08</v>
      </c>
      <c r="E545" s="70">
        <v>1497.29</v>
      </c>
      <c r="F545" s="70">
        <v>1874.424</v>
      </c>
      <c r="G545" s="70">
        <v>377.13400000000001</v>
      </c>
      <c r="H545" s="69">
        <v>45383</v>
      </c>
      <c r="I545" s="69" t="s">
        <v>47</v>
      </c>
      <c r="J545" s="70">
        <v>1497.29</v>
      </c>
      <c r="K545" s="70" t="s">
        <v>1080</v>
      </c>
      <c r="L545" s="143">
        <v>46276</v>
      </c>
    </row>
    <row r="546" spans="1:12">
      <c r="A546" s="72">
        <v>24397608</v>
      </c>
      <c r="B546">
        <v>8123497411</v>
      </c>
      <c r="C546" s="69" t="s">
        <v>38</v>
      </c>
      <c r="D546" s="70">
        <v>7920.51</v>
      </c>
      <c r="E546" s="70">
        <v>1794.15</v>
      </c>
      <c r="F546" s="70">
        <v>2376.1529999999998</v>
      </c>
      <c r="G546" s="70">
        <v>582.0029999999997</v>
      </c>
      <c r="H546" s="69">
        <v>46813</v>
      </c>
      <c r="I546" s="69" t="s">
        <v>44</v>
      </c>
      <c r="J546" s="70">
        <v>1794.15</v>
      </c>
      <c r="K546" s="70" t="s">
        <v>39</v>
      </c>
      <c r="L546" s="143">
        <v>46276</v>
      </c>
    </row>
    <row r="547" spans="1:12">
      <c r="A547" s="72">
        <v>24397820</v>
      </c>
      <c r="B547">
        <v>6691008482</v>
      </c>
      <c r="C547" s="69" t="s">
        <v>54</v>
      </c>
      <c r="D547" s="70">
        <v>11029.03</v>
      </c>
      <c r="E547" s="70"/>
      <c r="F547" s="70">
        <v>3308.7090000000003</v>
      </c>
      <c r="G547" s="70">
        <v>3308.7090000000003</v>
      </c>
      <c r="H547" s="69"/>
      <c r="I547" s="69"/>
      <c r="J547" s="70"/>
      <c r="K547" s="70" t="s">
        <v>95</v>
      </c>
      <c r="L547" s="143">
        <v>46276</v>
      </c>
    </row>
    <row r="548" spans="1:12">
      <c r="A548" s="72">
        <v>22591716</v>
      </c>
      <c r="B548">
        <v>7445061746</v>
      </c>
      <c r="C548" s="69" t="s">
        <v>27</v>
      </c>
      <c r="D548" s="70">
        <v>11832.27</v>
      </c>
      <c r="E548" s="70">
        <v>3421.76</v>
      </c>
      <c r="F548" s="70">
        <v>3549.681</v>
      </c>
      <c r="G548" s="70">
        <v>127.92099999999982</v>
      </c>
      <c r="H548" s="69">
        <v>45748</v>
      </c>
      <c r="I548" s="69" t="s">
        <v>44</v>
      </c>
      <c r="J548" s="70">
        <v>1301.3699999999999</v>
      </c>
      <c r="K548" s="70" t="s">
        <v>271</v>
      </c>
      <c r="L548" s="143">
        <v>46276</v>
      </c>
    </row>
    <row r="549" spans="1:12">
      <c r="A549" s="72">
        <v>24204694</v>
      </c>
      <c r="B549">
        <v>5219991079496</v>
      </c>
      <c r="C549" s="69" t="s">
        <v>54</v>
      </c>
      <c r="D549" s="70">
        <v>9081.52</v>
      </c>
      <c r="E549" s="70">
        <v>1510.61</v>
      </c>
      <c r="F549" s="70">
        <v>2724.4560000000001</v>
      </c>
      <c r="G549" s="70">
        <v>1213.8460000000002</v>
      </c>
      <c r="H549" s="69">
        <v>46539</v>
      </c>
      <c r="I549" s="69" t="s">
        <v>57</v>
      </c>
      <c r="J549" s="70">
        <v>758.14</v>
      </c>
      <c r="K549" s="70" t="s">
        <v>1946</v>
      </c>
      <c r="L549" s="143">
        <v>46276</v>
      </c>
    </row>
    <row r="550" spans="1:12">
      <c r="A550" s="30">
        <v>24399386</v>
      </c>
      <c r="C550" s="69" t="s">
        <v>54</v>
      </c>
      <c r="D550" s="70">
        <v>10636.54</v>
      </c>
      <c r="E550" s="70"/>
      <c r="F550" s="70">
        <f>D550*0.3</f>
        <v>3190.962</v>
      </c>
      <c r="G550" s="70">
        <f>(IF(D550&lt;4172.98,0,MIN(D550*0.3,D550-4172.98)))-E550</f>
        <v>3190.962</v>
      </c>
      <c r="H550" s="69"/>
      <c r="I550" s="69"/>
      <c r="J550" s="70"/>
      <c r="K550" s="70" t="s">
        <v>266</v>
      </c>
      <c r="L550" s="143">
        <v>46276</v>
      </c>
    </row>
    <row r="551" spans="1:12">
      <c r="A551" s="30">
        <v>24399642</v>
      </c>
      <c r="C551" s="69" t="s">
        <v>54</v>
      </c>
      <c r="D551" s="70">
        <f>12326.97+879</f>
        <v>13205.97</v>
      </c>
      <c r="E551" s="70">
        <v>879</v>
      </c>
      <c r="F551" s="70">
        <f>D551*0.3</f>
        <v>3961.7909999999997</v>
      </c>
      <c r="G551" s="70">
        <f>(IF(D551&lt;4172.98,0,MIN(D551*0.3,D551-4172.98)))-E551</f>
        <v>3082.7909999999997</v>
      </c>
      <c r="H551" s="69"/>
      <c r="I551" s="69"/>
      <c r="J551" s="70"/>
      <c r="K551" s="70" t="s">
        <v>1910</v>
      </c>
      <c r="L551" s="143">
        <v>46276</v>
      </c>
    </row>
    <row r="552" spans="1:12">
      <c r="A552" s="30">
        <v>24399864</v>
      </c>
      <c r="C552" s="69" t="s">
        <v>38</v>
      </c>
      <c r="D552" s="70">
        <v>4603.22</v>
      </c>
      <c r="E552" s="70"/>
      <c r="F552" s="70">
        <f>D552*0.3</f>
        <v>1380.9660000000001</v>
      </c>
      <c r="G552" s="70">
        <f>(IF(D552&lt;4172.98,0,MIN(D552*0.3,D552-4172.98)))-E552</f>
        <v>430.24000000000069</v>
      </c>
      <c r="H552" s="69"/>
      <c r="I552" s="69"/>
      <c r="J552" s="70"/>
      <c r="K552" s="70" t="s">
        <v>39</v>
      </c>
      <c r="L552" s="143">
        <v>46276</v>
      </c>
    </row>
    <row r="553" spans="1:12">
      <c r="A553" s="72">
        <v>24383926</v>
      </c>
      <c r="B553">
        <v>5216647483912</v>
      </c>
      <c r="C553" s="69" t="s">
        <v>34</v>
      </c>
      <c r="D553" s="70">
        <v>7007.26</v>
      </c>
      <c r="E553" s="70">
        <v>940.64</v>
      </c>
      <c r="F553" s="70">
        <v>2102.1779999999999</v>
      </c>
      <c r="G553" s="70">
        <v>1161.538</v>
      </c>
      <c r="H553" s="69">
        <v>46054</v>
      </c>
      <c r="I553" s="69" t="s">
        <v>141</v>
      </c>
      <c r="J553" s="70">
        <v>940.64</v>
      </c>
      <c r="K553" s="70" t="s">
        <v>271</v>
      </c>
      <c r="L553" s="143">
        <v>46276</v>
      </c>
    </row>
    <row r="554" spans="1:12">
      <c r="A554" s="72">
        <v>24395944</v>
      </c>
      <c r="B554">
        <v>8713507509</v>
      </c>
      <c r="C554" s="69" t="s">
        <v>34</v>
      </c>
      <c r="D554" s="70">
        <v>25364.48</v>
      </c>
      <c r="E554" s="70">
        <v>7492.06</v>
      </c>
      <c r="F554" s="70">
        <v>7609.3439999999991</v>
      </c>
      <c r="G554" s="70">
        <v>117.28399999999874</v>
      </c>
      <c r="H554" s="69">
        <v>45627</v>
      </c>
      <c r="I554" s="69" t="s">
        <v>141</v>
      </c>
      <c r="J554" s="70">
        <v>5127.4799999999996</v>
      </c>
      <c r="K554" s="70" t="s">
        <v>271</v>
      </c>
      <c r="L554" s="143">
        <v>46276</v>
      </c>
    </row>
    <row r="555" spans="1:12">
      <c r="A555" s="30">
        <v>24402748</v>
      </c>
      <c r="C555" s="69" t="s">
        <v>38</v>
      </c>
      <c r="D555" s="70">
        <v>9081.52</v>
      </c>
      <c r="E555" s="70">
        <v>2417.86</v>
      </c>
      <c r="F555" s="70">
        <f>D555*0.3</f>
        <v>2724.4560000000001</v>
      </c>
      <c r="G555" s="70">
        <f>(IF(D555&lt;4172.98,0,MIN(D555*0.3,D555-4172.98)))-E555</f>
        <v>306.596</v>
      </c>
      <c r="H555" s="71">
        <v>46296</v>
      </c>
      <c r="I555" s="69" t="s">
        <v>44</v>
      </c>
      <c r="J555" s="70">
        <v>2417.86</v>
      </c>
      <c r="K555" s="70" t="s">
        <v>1921</v>
      </c>
      <c r="L555" s="143">
        <v>46276</v>
      </c>
    </row>
    <row r="556" spans="1:12">
      <c r="A556" s="30">
        <v>24401380</v>
      </c>
      <c r="C556" s="69" t="s">
        <v>54</v>
      </c>
      <c r="D556" s="70">
        <v>9081.52</v>
      </c>
      <c r="E556" s="70"/>
      <c r="F556" s="70">
        <f>D556*0.3</f>
        <v>2724.4560000000001</v>
      </c>
      <c r="G556" s="70">
        <f>(IF(D556&lt;4172.98,0,MIN(D556*0.3,D556-4172.98)))-E556</f>
        <v>2724.4560000000001</v>
      </c>
      <c r="H556" s="69"/>
      <c r="I556" s="69"/>
      <c r="J556" s="70"/>
      <c r="K556" s="70" t="s">
        <v>348</v>
      </c>
      <c r="L556" s="143">
        <v>46276</v>
      </c>
    </row>
    <row r="557" spans="1:12">
      <c r="A557" s="72">
        <v>24383666</v>
      </c>
      <c r="B557">
        <v>4771551490</v>
      </c>
      <c r="C557" s="69" t="s">
        <v>54</v>
      </c>
      <c r="D557" s="70">
        <v>31443.91</v>
      </c>
      <c r="E557" s="70">
        <v>7500</v>
      </c>
      <c r="F557" s="70">
        <v>9433.1729999999989</v>
      </c>
      <c r="G557" s="70">
        <v>1933.1729999999989</v>
      </c>
      <c r="H557" s="69">
        <v>46966</v>
      </c>
      <c r="I557" s="69" t="s">
        <v>80</v>
      </c>
      <c r="J557" s="70">
        <v>7500</v>
      </c>
      <c r="K557" s="70" t="s">
        <v>62</v>
      </c>
      <c r="L557" s="143">
        <v>46276</v>
      </c>
    </row>
    <row r="558" spans="1:12">
      <c r="A558" s="72">
        <v>24397974</v>
      </c>
      <c r="B558">
        <v>7551415589</v>
      </c>
      <c r="C558" s="69" t="s">
        <v>54</v>
      </c>
      <c r="D558" s="70">
        <v>9760.32</v>
      </c>
      <c r="E558" s="70"/>
      <c r="F558" s="70">
        <v>2928.096</v>
      </c>
      <c r="G558" s="70">
        <v>2928.096</v>
      </c>
      <c r="H558" s="69"/>
      <c r="I558" s="69"/>
      <c r="J558" s="70"/>
      <c r="K558" s="70" t="s">
        <v>1091</v>
      </c>
      <c r="L558" s="143">
        <v>46276</v>
      </c>
    </row>
    <row r="559" spans="1:12">
      <c r="A559" s="72">
        <v>24358246</v>
      </c>
      <c r="B559">
        <v>5216391239442</v>
      </c>
      <c r="C559" s="69" t="s">
        <v>54</v>
      </c>
      <c r="D559" s="70">
        <v>6494.38</v>
      </c>
      <c r="E559" s="70"/>
      <c r="F559" s="70">
        <v>1948.3139999999999</v>
      </c>
      <c r="G559" s="70">
        <v>1948.3139999999999</v>
      </c>
      <c r="H559" s="69"/>
      <c r="I559" s="69"/>
      <c r="J559" s="70"/>
      <c r="K559" s="70" t="s">
        <v>327</v>
      </c>
      <c r="L559" s="143">
        <v>46276</v>
      </c>
    </row>
    <row r="560" spans="1:12">
      <c r="A560" s="30">
        <v>24403692</v>
      </c>
      <c r="C560" s="69" t="s">
        <v>54</v>
      </c>
      <c r="D560" s="70">
        <v>10636.54</v>
      </c>
      <c r="E560" s="70"/>
      <c r="F560" s="70">
        <f>D560*0.3</f>
        <v>3190.962</v>
      </c>
      <c r="G560" s="70">
        <f>(IF(D560&lt;4172.98,0,MIN(D560*0.3,D560-4172.98)))-E560</f>
        <v>3190.962</v>
      </c>
      <c r="H560" s="69"/>
      <c r="I560" s="69"/>
      <c r="J560" s="70"/>
      <c r="K560" s="70" t="s">
        <v>348</v>
      </c>
      <c r="L560" s="143">
        <v>46276</v>
      </c>
    </row>
    <row r="561" spans="1:12">
      <c r="A561" s="72">
        <v>24394700</v>
      </c>
      <c r="B561">
        <v>5218991242033</v>
      </c>
      <c r="C561" s="69" t="s">
        <v>27</v>
      </c>
      <c r="D561" s="70">
        <v>9081.52</v>
      </c>
      <c r="E561" s="70">
        <v>2723.63</v>
      </c>
      <c r="F561" s="70">
        <v>2724.4560000000001</v>
      </c>
      <c r="G561" s="70">
        <v>0.82600000000002183</v>
      </c>
      <c r="H561" s="69">
        <v>46143</v>
      </c>
      <c r="I561" s="69" t="s">
        <v>334</v>
      </c>
      <c r="J561" s="70">
        <v>1922.57</v>
      </c>
      <c r="K561" s="70" t="s">
        <v>1946</v>
      </c>
      <c r="L561" s="143">
        <v>46276</v>
      </c>
    </row>
    <row r="562" spans="1:12">
      <c r="A562" s="72">
        <v>24401682</v>
      </c>
      <c r="B562">
        <v>9211722085</v>
      </c>
      <c r="C562" s="69" t="s">
        <v>54</v>
      </c>
      <c r="D562" s="70">
        <v>22892.720000000001</v>
      </c>
      <c r="E562" s="70"/>
      <c r="F562" s="70">
        <v>6867.8159999999998</v>
      </c>
      <c r="G562" s="70">
        <v>6867.8159999999998</v>
      </c>
      <c r="H562" s="69"/>
      <c r="I562" s="69"/>
      <c r="J562" s="70"/>
      <c r="K562" s="70" t="s">
        <v>1091</v>
      </c>
      <c r="L562" s="143">
        <v>46276</v>
      </c>
    </row>
    <row r="563" spans="1:12">
      <c r="A563" s="72">
        <v>24403058</v>
      </c>
      <c r="B563">
        <v>2294638928</v>
      </c>
      <c r="C563" s="69" t="s">
        <v>54</v>
      </c>
      <c r="D563" s="70">
        <v>10636.54</v>
      </c>
      <c r="E563" s="70"/>
      <c r="F563" s="70">
        <v>3190.962</v>
      </c>
      <c r="G563" s="70">
        <v>3190.962</v>
      </c>
      <c r="H563" s="69"/>
      <c r="I563" s="69"/>
      <c r="J563" s="70"/>
      <c r="K563" s="70" t="s">
        <v>327</v>
      </c>
      <c r="L563" s="143">
        <v>46276</v>
      </c>
    </row>
    <row r="564" spans="1:12">
      <c r="A564" s="30">
        <v>24404874</v>
      </c>
      <c r="C564" s="69" t="s">
        <v>27</v>
      </c>
      <c r="D564" s="70">
        <v>6262.86</v>
      </c>
      <c r="E564" s="70">
        <v>1810.99</v>
      </c>
      <c r="F564" s="70">
        <f>D564*0.3</f>
        <v>1878.8579999999997</v>
      </c>
      <c r="G564" s="70">
        <f>(IF(D564&lt;4172.98,0,MIN(D564*0.3,D564-4172.98)))-E564</f>
        <v>67.867999999999711</v>
      </c>
      <c r="H564" s="71">
        <v>46266</v>
      </c>
      <c r="I564" s="69" t="s">
        <v>1930</v>
      </c>
      <c r="J564" s="70">
        <v>1359.7</v>
      </c>
      <c r="K564" s="70" t="s">
        <v>1910</v>
      </c>
      <c r="L564" s="143">
        <v>46276</v>
      </c>
    </row>
    <row r="565" spans="1:12">
      <c r="A565" s="72">
        <v>24405060</v>
      </c>
      <c r="C565" s="69" t="s">
        <v>54</v>
      </c>
      <c r="D565" s="70">
        <v>46457.15</v>
      </c>
      <c r="E565" s="70"/>
      <c r="F565" s="70">
        <f>D565*0.3</f>
        <v>13937.145</v>
      </c>
      <c r="G565" s="70">
        <f>(IF(D565&lt;4172.98,0,MIN(D565*0.3,D565-4172.98)))-E565</f>
        <v>13937.145</v>
      </c>
      <c r="H565" s="69"/>
      <c r="I565" s="69"/>
      <c r="J565" s="70"/>
      <c r="K565" s="70" t="s">
        <v>327</v>
      </c>
      <c r="L565" s="143">
        <v>46276</v>
      </c>
    </row>
    <row r="566" spans="1:12">
      <c r="A566" s="72">
        <v>24401792</v>
      </c>
      <c r="B566">
        <v>5215534454925</v>
      </c>
      <c r="C566" s="69" t="s">
        <v>54</v>
      </c>
      <c r="D566" s="70">
        <v>29672.1</v>
      </c>
      <c r="E566" s="70"/>
      <c r="F566" s="70">
        <v>8901.6299999999992</v>
      </c>
      <c r="G566" s="70">
        <v>8901.6299999999992</v>
      </c>
      <c r="H566" s="69"/>
      <c r="I566" s="69"/>
      <c r="J566" s="70"/>
      <c r="K566" s="70" t="s">
        <v>1091</v>
      </c>
      <c r="L566" s="143">
        <v>46276</v>
      </c>
    </row>
    <row r="567" spans="1:12">
      <c r="A567" s="72">
        <v>24391084</v>
      </c>
      <c r="B567">
        <v>5215549982200</v>
      </c>
      <c r="C567" s="69" t="s">
        <v>54</v>
      </c>
      <c r="D567" s="70">
        <v>9760.32</v>
      </c>
      <c r="E567" s="70"/>
      <c r="F567" s="70">
        <v>2928.096</v>
      </c>
      <c r="G567" s="70">
        <v>2928.096</v>
      </c>
      <c r="H567" s="69"/>
      <c r="I567" s="69"/>
      <c r="J567" s="70"/>
      <c r="K567" s="70" t="s">
        <v>348</v>
      </c>
      <c r="L567" s="143">
        <v>46276</v>
      </c>
    </row>
    <row r="568" spans="1:12">
      <c r="A568" s="72">
        <v>24402274</v>
      </c>
      <c r="B568">
        <v>5216564122604</v>
      </c>
      <c r="C568" s="69" t="s">
        <v>27</v>
      </c>
      <c r="D568" s="70">
        <v>7920.51</v>
      </c>
      <c r="E568" s="70">
        <v>2099.5500000000002</v>
      </c>
      <c r="F568" s="70">
        <v>2376.1529999999998</v>
      </c>
      <c r="G568" s="70">
        <v>276.60299999999961</v>
      </c>
      <c r="H568" s="69">
        <v>45809</v>
      </c>
      <c r="I568" s="69" t="s">
        <v>2822</v>
      </c>
      <c r="J568" s="70">
        <v>2099.5500000000002</v>
      </c>
      <c r="K568" s="70" t="s">
        <v>1946</v>
      </c>
      <c r="L568" s="143">
        <v>46276</v>
      </c>
    </row>
    <row r="569" spans="1:12">
      <c r="A569" s="72">
        <v>24385800</v>
      </c>
      <c r="B569">
        <v>5215624170186</v>
      </c>
      <c r="C569" s="69" t="s">
        <v>38</v>
      </c>
      <c r="D569" s="70">
        <v>6496.63</v>
      </c>
      <c r="E569" s="70">
        <v>879</v>
      </c>
      <c r="F569" s="70">
        <v>1948.989</v>
      </c>
      <c r="G569" s="70">
        <v>1069.989</v>
      </c>
      <c r="H569" s="69"/>
      <c r="I569" s="69"/>
      <c r="J569" s="70"/>
      <c r="K569" s="70" t="s">
        <v>39</v>
      </c>
      <c r="L569" s="143">
        <v>46276</v>
      </c>
    </row>
    <row r="570" spans="1:12">
      <c r="A570" s="72">
        <v>24401808</v>
      </c>
      <c r="B570">
        <v>5216691231303</v>
      </c>
      <c r="C570" s="69" t="s">
        <v>107</v>
      </c>
      <c r="D570" s="70">
        <v>65409.37</v>
      </c>
      <c r="E570" s="70">
        <v>19621.07</v>
      </c>
      <c r="F570" s="70">
        <v>19622.811000000002</v>
      </c>
      <c r="G570" s="70">
        <v>1.7410000000018044</v>
      </c>
      <c r="H570" s="69">
        <v>46082</v>
      </c>
      <c r="I570" s="69" t="s">
        <v>47</v>
      </c>
      <c r="J570" s="70">
        <v>374.89</v>
      </c>
      <c r="K570" s="70" t="s">
        <v>39</v>
      </c>
      <c r="L570" s="143">
        <v>46276</v>
      </c>
    </row>
    <row r="571" spans="1:12">
      <c r="A571" s="30">
        <v>24405264</v>
      </c>
      <c r="C571" s="69" t="s">
        <v>38</v>
      </c>
      <c r="D571" s="70">
        <v>7202.28</v>
      </c>
      <c r="E571" s="70">
        <v>1687.52</v>
      </c>
      <c r="F571" s="70">
        <f>D571*0.3</f>
        <v>2160.6839999999997</v>
      </c>
      <c r="G571" s="70">
        <f>(IF(D571&lt;4172.98,0,MIN(D571*0.3,D571-4172.98)))-E571</f>
        <v>473.16399999999976</v>
      </c>
      <c r="H571" s="71">
        <v>46600</v>
      </c>
      <c r="I571" s="69" t="s">
        <v>59</v>
      </c>
      <c r="J571" s="70">
        <v>1687.52</v>
      </c>
      <c r="K571" s="70" t="s">
        <v>39</v>
      </c>
      <c r="L571" s="143">
        <v>46276</v>
      </c>
    </row>
    <row r="572" spans="1:12">
      <c r="A572" s="72">
        <v>24399870</v>
      </c>
      <c r="B572">
        <v>5219611944342</v>
      </c>
      <c r="C572" s="69" t="s">
        <v>54</v>
      </c>
      <c r="D572" s="70">
        <v>10636.54</v>
      </c>
      <c r="E572" s="70"/>
      <c r="F572" s="70">
        <v>3190.962</v>
      </c>
      <c r="G572" s="70">
        <v>3190.962</v>
      </c>
      <c r="H572" s="69"/>
      <c r="I572" s="69"/>
      <c r="J572" s="70"/>
      <c r="K572" s="70" t="s">
        <v>1910</v>
      </c>
      <c r="L572" s="143">
        <v>46276</v>
      </c>
    </row>
    <row r="573" spans="1:12">
      <c r="A573" s="72">
        <v>24322594</v>
      </c>
      <c r="B573">
        <v>5215513299212</v>
      </c>
      <c r="C573" s="69" t="s">
        <v>27</v>
      </c>
      <c r="D573" s="70">
        <v>29697.16</v>
      </c>
      <c r="E573" s="70">
        <v>8909.15</v>
      </c>
      <c r="F573" s="70">
        <v>8909.1479999999992</v>
      </c>
      <c r="G573" s="70">
        <v>-2.0000000004074536E-3</v>
      </c>
      <c r="H573" s="69">
        <v>46235</v>
      </c>
      <c r="I573" s="69" t="s">
        <v>59</v>
      </c>
      <c r="J573" s="70">
        <v>7000</v>
      </c>
      <c r="K573" s="70" t="s">
        <v>1946</v>
      </c>
      <c r="L573" s="143">
        <v>46276</v>
      </c>
    </row>
    <row r="574" spans="1:12">
      <c r="A574" s="173">
        <v>24405160</v>
      </c>
      <c r="B574">
        <v>5216123788851</v>
      </c>
      <c r="C574" t="s">
        <v>54</v>
      </c>
      <c r="D574" s="3">
        <v>7283.61</v>
      </c>
      <c r="E574" s="3"/>
      <c r="F574" s="3">
        <v>2185.0829999999996</v>
      </c>
      <c r="G574" s="3">
        <v>2185.0829999999996</v>
      </c>
      <c r="J574" s="3"/>
      <c r="K574" s="3" t="s">
        <v>1808</v>
      </c>
      <c r="L574" s="143">
        <v>46276</v>
      </c>
    </row>
    <row r="575" spans="1:12">
      <c r="A575" s="72">
        <v>24266570</v>
      </c>
      <c r="B575">
        <v>5216391287576</v>
      </c>
      <c r="C575" s="69" t="s">
        <v>27</v>
      </c>
      <c r="D575" s="70">
        <v>17083.41</v>
      </c>
      <c r="E575" s="70">
        <v>5124.43</v>
      </c>
      <c r="F575" s="70">
        <v>5125.0230000000001</v>
      </c>
      <c r="G575" s="70">
        <v>0.5929999999998472</v>
      </c>
      <c r="H575" s="69">
        <v>46266</v>
      </c>
      <c r="I575" s="69" t="s">
        <v>184</v>
      </c>
      <c r="J575" s="70">
        <v>3578.78</v>
      </c>
      <c r="K575" s="70" t="s">
        <v>1910</v>
      </c>
      <c r="L575" s="143">
        <v>46276</v>
      </c>
    </row>
    <row r="576" spans="1:12">
      <c r="A576" s="72">
        <v>24384450</v>
      </c>
      <c r="B576">
        <v>5214781051522</v>
      </c>
      <c r="C576" s="69" t="s">
        <v>27</v>
      </c>
      <c r="D576" s="70">
        <v>5617.63</v>
      </c>
      <c r="E576" s="70">
        <v>1334.29</v>
      </c>
      <c r="F576" s="70">
        <v>1685.289</v>
      </c>
      <c r="G576" s="70">
        <v>110.36000000000058</v>
      </c>
      <c r="H576" s="69">
        <v>46204</v>
      </c>
      <c r="I576" s="69" t="s">
        <v>75</v>
      </c>
      <c r="J576" s="70">
        <v>1334.29</v>
      </c>
      <c r="K576" s="70" t="s">
        <v>90</v>
      </c>
      <c r="L576" s="143">
        <v>46276</v>
      </c>
    </row>
    <row r="577" spans="1:12">
      <c r="A577" s="30">
        <v>24405918</v>
      </c>
      <c r="C577" s="69" t="s">
        <v>54</v>
      </c>
      <c r="D577" s="70">
        <v>10636.54</v>
      </c>
      <c r="E577" s="70"/>
      <c r="F577" s="70">
        <f>D577*0.3</f>
        <v>3190.962</v>
      </c>
      <c r="G577" s="70">
        <f>(IF(D577&lt;4172.98,0,MIN(D577*0.3,D577-4172.98)))-E577</f>
        <v>3190.962</v>
      </c>
      <c r="H577" s="69"/>
      <c r="I577" s="69"/>
      <c r="J577" s="70"/>
      <c r="K577" s="70" t="s">
        <v>548</v>
      </c>
      <c r="L577" s="143">
        <v>46276</v>
      </c>
    </row>
    <row r="578" spans="1:12">
      <c r="A578" s="72">
        <v>24365640</v>
      </c>
      <c r="B578">
        <v>5631304679</v>
      </c>
      <c r="C578" s="69" t="s">
        <v>54</v>
      </c>
      <c r="D578" s="70">
        <v>9760.320000000007</v>
      </c>
      <c r="E578" s="70"/>
      <c r="F578" s="70">
        <v>2928.0960000000018</v>
      </c>
      <c r="G578" s="70">
        <v>2928.0960000000018</v>
      </c>
      <c r="H578" s="69"/>
      <c r="I578" s="69"/>
      <c r="J578" s="70"/>
      <c r="K578" s="70" t="s">
        <v>548</v>
      </c>
      <c r="L578" s="143">
        <v>46276</v>
      </c>
    </row>
    <row r="579" spans="1:12">
      <c r="A579" s="72">
        <v>24365640</v>
      </c>
      <c r="B579">
        <v>5219371091299</v>
      </c>
      <c r="C579" s="69" t="s">
        <v>54</v>
      </c>
      <c r="D579" s="70"/>
      <c r="E579" s="70"/>
      <c r="F579" s="70"/>
      <c r="G579" s="70"/>
      <c r="H579" s="69"/>
      <c r="I579" s="69"/>
      <c r="J579" s="70"/>
      <c r="K579" s="70" t="s">
        <v>548</v>
      </c>
      <c r="L579" s="143">
        <v>46276</v>
      </c>
    </row>
    <row r="580" spans="1:12">
      <c r="A580" s="72">
        <v>24393582</v>
      </c>
      <c r="B580">
        <v>5214111540583</v>
      </c>
      <c r="C580" s="69" t="s">
        <v>54</v>
      </c>
      <c r="D580" s="70">
        <v>7715.83</v>
      </c>
      <c r="E580" s="70">
        <v>879</v>
      </c>
      <c r="F580" s="70">
        <v>2314.7489999999998</v>
      </c>
      <c r="G580" s="70">
        <v>1435.7489999999998</v>
      </c>
      <c r="H580" s="69"/>
      <c r="I580" s="69"/>
      <c r="J580" s="70"/>
      <c r="K580" s="70" t="s">
        <v>358</v>
      </c>
      <c r="L580" s="143">
        <v>46277</v>
      </c>
    </row>
    <row r="581" spans="1:12">
      <c r="A581" s="30">
        <v>24407724</v>
      </c>
      <c r="C581" s="69" t="s">
        <v>54</v>
      </c>
      <c r="D581" s="70">
        <v>11029.03</v>
      </c>
      <c r="E581" s="70"/>
      <c r="F581" s="70">
        <f t="shared" ref="F581:F585" si="92">D581*0.3</f>
        <v>3308.7090000000003</v>
      </c>
      <c r="G581" s="70">
        <f t="shared" ref="G581:G585" si="93">(IF(D581&lt;4172.98,0,MIN(D581*0.3,D581-4172.98)))-E581</f>
        <v>3308.7090000000003</v>
      </c>
      <c r="H581" s="69"/>
      <c r="I581" s="69"/>
      <c r="J581" s="70"/>
      <c r="K581" s="70" t="s">
        <v>1808</v>
      </c>
      <c r="L581" s="143">
        <v>46277</v>
      </c>
    </row>
    <row r="582" spans="1:12">
      <c r="A582" s="12">
        <v>24407912</v>
      </c>
      <c r="C582" s="69" t="s">
        <v>54</v>
      </c>
      <c r="D582" s="70">
        <v>32869.06</v>
      </c>
      <c r="E582" s="70"/>
      <c r="F582" s="70">
        <f t="shared" si="92"/>
        <v>9860.7179999999989</v>
      </c>
      <c r="G582" s="70">
        <f t="shared" si="93"/>
        <v>9860.7179999999989</v>
      </c>
      <c r="H582" s="69"/>
      <c r="I582" s="69"/>
      <c r="J582" s="70"/>
      <c r="K582" s="70" t="s">
        <v>28</v>
      </c>
      <c r="L582" s="143">
        <v>46277</v>
      </c>
    </row>
    <row r="583" spans="1:12">
      <c r="A583" s="12">
        <v>24409570</v>
      </c>
      <c r="C583" s="69" t="s">
        <v>54</v>
      </c>
      <c r="D583" s="70">
        <v>10636.54</v>
      </c>
      <c r="E583" s="70"/>
      <c r="F583" s="70">
        <f t="shared" si="92"/>
        <v>3190.962</v>
      </c>
      <c r="G583" s="70">
        <f t="shared" si="93"/>
        <v>3190.962</v>
      </c>
      <c r="H583" s="69"/>
      <c r="I583" s="69"/>
      <c r="J583" s="70"/>
      <c r="K583" s="70" t="s">
        <v>1946</v>
      </c>
      <c r="L583" s="143">
        <v>46277</v>
      </c>
    </row>
    <row r="584" spans="1:12">
      <c r="A584" s="12">
        <v>24406940</v>
      </c>
      <c r="C584" s="69" t="s">
        <v>107</v>
      </c>
      <c r="D584" s="70">
        <v>25090.23</v>
      </c>
      <c r="E584" s="70">
        <v>7509.52</v>
      </c>
      <c r="F584" s="70">
        <f t="shared" si="92"/>
        <v>7527.0689999999995</v>
      </c>
      <c r="G584" s="70">
        <f t="shared" si="93"/>
        <v>17.548999999999069</v>
      </c>
      <c r="H584" s="71">
        <v>46082</v>
      </c>
      <c r="I584" s="69" t="s">
        <v>334</v>
      </c>
      <c r="J584" s="70">
        <v>317.10000000000002</v>
      </c>
      <c r="K584" s="70" t="s">
        <v>1921</v>
      </c>
      <c r="L584" s="143">
        <v>46277</v>
      </c>
    </row>
    <row r="585" spans="1:12">
      <c r="A585" s="12">
        <v>24407458</v>
      </c>
      <c r="C585" s="69" t="s">
        <v>107</v>
      </c>
      <c r="D585" s="70">
        <v>6988.79</v>
      </c>
      <c r="E585" s="70">
        <v>2020.98</v>
      </c>
      <c r="F585" s="70">
        <f t="shared" si="92"/>
        <v>2096.6369999999997</v>
      </c>
      <c r="G585" s="70">
        <f t="shared" si="93"/>
        <v>75.656999999999698</v>
      </c>
      <c r="H585" s="71">
        <v>46082</v>
      </c>
      <c r="I585" s="69" t="s">
        <v>47</v>
      </c>
      <c r="J585" s="70">
        <v>870.98</v>
      </c>
      <c r="K585" s="70" t="s">
        <v>1921</v>
      </c>
      <c r="L585" s="143">
        <v>46277</v>
      </c>
    </row>
    <row r="586" spans="1:12">
      <c r="A586" s="30">
        <v>24406010</v>
      </c>
      <c r="C586" s="69" t="s">
        <v>54</v>
      </c>
      <c r="D586" s="70">
        <v>9760.32</v>
      </c>
      <c r="E586" s="70"/>
      <c r="F586" s="70">
        <f>D586*0.3</f>
        <v>2928.096</v>
      </c>
      <c r="G586" s="70">
        <f>(IF(D586&lt;4172.98,0,MIN(D586*0.3,D586-4172.98)))-E586</f>
        <v>2928.096</v>
      </c>
      <c r="H586" s="69"/>
      <c r="I586" s="69"/>
      <c r="J586" s="70"/>
      <c r="K586" s="70" t="s">
        <v>28</v>
      </c>
      <c r="L586" s="143">
        <v>46277</v>
      </c>
    </row>
    <row r="587" spans="1:12">
      <c r="A587" s="30">
        <v>24415840</v>
      </c>
      <c r="C587" s="69" t="s">
        <v>54</v>
      </c>
      <c r="D587" s="70">
        <v>9572.89</v>
      </c>
      <c r="E587" s="70"/>
      <c r="F587" s="70">
        <f>D587*0.3</f>
        <v>2871.8669999999997</v>
      </c>
      <c r="G587" s="70">
        <f>(IF(D587&lt;4172.98,0,MIN(D587*0.3,D587-4172.98)))-E587</f>
        <v>2871.8669999999997</v>
      </c>
      <c r="H587" s="69"/>
      <c r="I587" s="69"/>
      <c r="J587" s="70"/>
      <c r="K587" s="70" t="s">
        <v>1808</v>
      </c>
      <c r="L587" s="143">
        <v>46277</v>
      </c>
    </row>
    <row r="588" spans="1:12">
      <c r="A588" s="72">
        <v>24409818</v>
      </c>
      <c r="B588">
        <v>5216634834532</v>
      </c>
      <c r="C588" s="69" t="s">
        <v>54</v>
      </c>
      <c r="D588" s="70">
        <v>6576.05</v>
      </c>
      <c r="E588" s="70"/>
      <c r="F588" s="70">
        <v>1972.8150000000001</v>
      </c>
      <c r="G588" s="70">
        <v>1972.8150000000001</v>
      </c>
      <c r="H588" s="69"/>
      <c r="I588" s="69"/>
      <c r="J588" s="70"/>
      <c r="K588" s="70" t="s">
        <v>358</v>
      </c>
      <c r="L588" s="143">
        <v>46277</v>
      </c>
    </row>
    <row r="589" spans="1:12">
      <c r="A589" s="72">
        <v>24408688</v>
      </c>
      <c r="B589">
        <v>5213522436313</v>
      </c>
      <c r="C589" s="69" t="s">
        <v>54</v>
      </c>
      <c r="D589" s="70">
        <v>10011.879999999999</v>
      </c>
      <c r="E589" s="70"/>
      <c r="F589" s="70">
        <v>3003.5639999999999</v>
      </c>
      <c r="G589" s="70">
        <v>3003.5639999999999</v>
      </c>
      <c r="H589" s="69"/>
      <c r="I589" s="69"/>
      <c r="J589" s="70"/>
      <c r="K589" s="70" t="s">
        <v>1946</v>
      </c>
      <c r="L589" s="143">
        <v>46277</v>
      </c>
    </row>
    <row r="590" spans="1:12">
      <c r="A590" s="30">
        <v>24416444</v>
      </c>
      <c r="C590" s="69" t="s">
        <v>54</v>
      </c>
      <c r="D590" s="70">
        <v>23392.23</v>
      </c>
      <c r="E590" s="70"/>
      <c r="F590" s="70">
        <f>D590*0.3</f>
        <v>7017.6689999999999</v>
      </c>
      <c r="G590" s="70">
        <f>(IF(D590&lt;4172.98,0,MIN(D590*0.3,D590-4172.98)))-E590</f>
        <v>7017.6689999999999</v>
      </c>
      <c r="H590" s="69"/>
      <c r="I590" s="69"/>
      <c r="J590" s="70"/>
      <c r="K590" s="70" t="s">
        <v>28</v>
      </c>
      <c r="L590" s="143">
        <v>46277</v>
      </c>
    </row>
    <row r="591" spans="1:12">
      <c r="A591" s="30">
        <v>24416696</v>
      </c>
      <c r="C591" s="69" t="s">
        <v>38</v>
      </c>
      <c r="D591" s="70">
        <v>30215.45</v>
      </c>
      <c r="E591" s="70">
        <v>8742.0499999999993</v>
      </c>
      <c r="F591" s="70">
        <f>D591*0.3</f>
        <v>9064.6350000000002</v>
      </c>
      <c r="G591" s="70">
        <f>(IF(D591&lt;4172.98,0,MIN(D591*0.3,D591-4172.98)))-E591</f>
        <v>322.58500000000095</v>
      </c>
      <c r="H591" s="71">
        <v>46753</v>
      </c>
      <c r="I591" s="69" t="s">
        <v>141</v>
      </c>
      <c r="J591" s="70">
        <v>8742.0499999999993</v>
      </c>
      <c r="K591" s="70" t="s">
        <v>1921</v>
      </c>
      <c r="L591" s="143">
        <v>46277</v>
      </c>
    </row>
    <row r="592" spans="1:12">
      <c r="A592" s="72">
        <v>24406980</v>
      </c>
      <c r="B592">
        <v>5216128687004</v>
      </c>
      <c r="C592" s="69" t="s">
        <v>54</v>
      </c>
      <c r="D592" s="70">
        <v>6262.86</v>
      </c>
      <c r="E592" s="70"/>
      <c r="F592" s="70">
        <v>1878.8579999999997</v>
      </c>
      <c r="G592" s="70">
        <v>1878.8579999999997</v>
      </c>
      <c r="H592" s="69"/>
      <c r="I592" s="69"/>
      <c r="J592" s="70"/>
      <c r="K592" s="70" t="s">
        <v>358</v>
      </c>
      <c r="L592" s="143">
        <v>46277</v>
      </c>
    </row>
    <row r="593" spans="1:12">
      <c r="A593" s="72">
        <v>24403818</v>
      </c>
      <c r="B593">
        <v>5218662569600</v>
      </c>
      <c r="C593" s="69" t="s">
        <v>38</v>
      </c>
      <c r="D593" s="70">
        <v>11995.34</v>
      </c>
      <c r="E593" s="70">
        <v>2769.32</v>
      </c>
      <c r="F593" s="70">
        <v>3598.6019999999999</v>
      </c>
      <c r="G593" s="70">
        <v>829.2819999999997</v>
      </c>
      <c r="H593" s="69">
        <v>46447</v>
      </c>
      <c r="I593" s="69" t="s">
        <v>75</v>
      </c>
      <c r="J593" s="70">
        <v>2297.3200000000002</v>
      </c>
      <c r="K593" s="70" t="s">
        <v>1921</v>
      </c>
      <c r="L593" s="143">
        <v>46277</v>
      </c>
    </row>
    <row r="594" spans="1:12">
      <c r="A594" s="30">
        <v>24417490</v>
      </c>
      <c r="C594" s="69" t="s">
        <v>54</v>
      </c>
      <c r="D594" s="70">
        <f>8223.52+848</f>
        <v>9071.52</v>
      </c>
      <c r="E594" s="70">
        <v>848</v>
      </c>
      <c r="F594" s="70">
        <f>D594*0.3</f>
        <v>2721.4560000000001</v>
      </c>
      <c r="G594" s="70">
        <f>(IF(D594&lt;4172.98,0,MIN(D594*0.3,D594-4172.98)))-E594</f>
        <v>1873.4560000000001</v>
      </c>
      <c r="H594" s="69"/>
      <c r="I594" s="69"/>
      <c r="J594" s="70"/>
      <c r="K594" s="70" t="s">
        <v>1808</v>
      </c>
      <c r="L594" s="143">
        <v>46277</v>
      </c>
    </row>
    <row r="595" spans="1:12">
      <c r="A595" s="12">
        <v>24417622</v>
      </c>
      <c r="C595" s="69" t="s">
        <v>54</v>
      </c>
      <c r="D595" s="70">
        <v>6411.47</v>
      </c>
      <c r="E595" s="70"/>
      <c r="F595" s="70">
        <f t="shared" ref="F595" si="94">D595*0.3</f>
        <v>1923.441</v>
      </c>
      <c r="G595" s="70">
        <f t="shared" ref="G595" si="95">(IF(D595&lt;4172.98,0,MIN(D595*0.3,D595-4172.98)))-E595</f>
        <v>1923.441</v>
      </c>
      <c r="H595" s="69"/>
      <c r="I595" s="69"/>
      <c r="J595" s="70"/>
      <c r="K595" s="70" t="s">
        <v>1946</v>
      </c>
      <c r="L595" s="143">
        <v>46277</v>
      </c>
    </row>
    <row r="596" spans="1:12">
      <c r="A596" s="72">
        <v>23808686</v>
      </c>
      <c r="B596">
        <v>5215652802887</v>
      </c>
      <c r="C596" s="69" t="s">
        <v>54</v>
      </c>
      <c r="D596" s="70">
        <v>10663.02</v>
      </c>
      <c r="E596" s="70"/>
      <c r="F596" s="70">
        <v>3198.9059999999999</v>
      </c>
      <c r="G596" s="70">
        <v>3198.9059999999999</v>
      </c>
      <c r="H596" s="69"/>
      <c r="I596" s="69"/>
      <c r="J596" s="70"/>
      <c r="K596" s="70" t="s">
        <v>1946</v>
      </c>
      <c r="L596" s="143">
        <v>46277</v>
      </c>
    </row>
    <row r="597" spans="1:12">
      <c r="A597" s="12">
        <v>24417710</v>
      </c>
      <c r="C597" s="69" t="s">
        <v>54</v>
      </c>
      <c r="D597" s="70">
        <v>6262.86</v>
      </c>
      <c r="E597" s="70"/>
      <c r="F597" s="70">
        <f t="shared" ref="F597" si="96">D597*0.3</f>
        <v>1878.8579999999997</v>
      </c>
      <c r="G597" s="70">
        <f t="shared" ref="G597" si="97">(IF(D597&lt;4172.98,0,MIN(D597*0.3,D597-4172.98)))-E597</f>
        <v>1878.8579999999997</v>
      </c>
      <c r="H597" s="69"/>
      <c r="I597" s="69"/>
      <c r="J597" s="70"/>
      <c r="K597" s="70" t="s">
        <v>62</v>
      </c>
      <c r="L597" s="143">
        <v>46277</v>
      </c>
    </row>
    <row r="598" spans="1:12">
      <c r="A598" s="30">
        <v>24418172</v>
      </c>
      <c r="C598" s="69" t="s">
        <v>27</v>
      </c>
      <c r="D598" s="70">
        <v>6883.36</v>
      </c>
      <c r="E598" s="70">
        <v>1815.3</v>
      </c>
      <c r="F598" s="70">
        <f>D598*0.3</f>
        <v>2065.0079999999998</v>
      </c>
      <c r="G598" s="70">
        <f>(IF(D598&lt;4172.98,0,MIN(D598*0.3,D598-4172.98)))-E598</f>
        <v>249.70799999999986</v>
      </c>
      <c r="H598" s="71">
        <v>46143</v>
      </c>
      <c r="I598" s="69" t="s">
        <v>332</v>
      </c>
      <c r="J598" s="70">
        <v>1815.3</v>
      </c>
      <c r="K598" s="70" t="s">
        <v>1080</v>
      </c>
      <c r="L598" s="143">
        <v>46277</v>
      </c>
    </row>
    <row r="599" spans="1:12">
      <c r="A599" s="72">
        <v>24418314</v>
      </c>
      <c r="B599" s="16">
        <v>5216624153339</v>
      </c>
      <c r="C599" t="s">
        <v>38</v>
      </c>
      <c r="D599" s="111">
        <v>11768.24</v>
      </c>
      <c r="E599" s="111">
        <v>2687.84</v>
      </c>
      <c r="F599" s="3">
        <f t="shared" ref="F599:F609" si="98">D599*0.3</f>
        <v>3530.4719999999998</v>
      </c>
      <c r="G599" s="3">
        <f t="shared" ref="G599:G609" si="99">(IF(D599&lt;4172.98,0,MIN(D599*0.3,D599-4172.98)))-E599</f>
        <v>842.63199999999961</v>
      </c>
      <c r="H599" s="6">
        <v>46661</v>
      </c>
      <c r="I599" t="s">
        <v>77</v>
      </c>
      <c r="J599" s="111">
        <v>2687.84</v>
      </c>
      <c r="K599" s="3" t="s">
        <v>39</v>
      </c>
      <c r="L599" s="48">
        <v>46278</v>
      </c>
    </row>
    <row r="600" spans="1:12">
      <c r="A600" s="72">
        <v>24419064</v>
      </c>
      <c r="B600" s="16">
        <v>3115121977</v>
      </c>
      <c r="C600" t="s">
        <v>107</v>
      </c>
      <c r="D600" s="111">
        <v>5971.2</v>
      </c>
      <c r="E600" s="111">
        <v>741.2</v>
      </c>
      <c r="F600" s="3">
        <f t="shared" si="98"/>
        <v>1791.36</v>
      </c>
      <c r="G600" s="3">
        <f t="shared" si="99"/>
        <v>1050.1599999999999</v>
      </c>
      <c r="H600" s="6">
        <v>45383</v>
      </c>
      <c r="I600" t="s">
        <v>1970</v>
      </c>
      <c r="J600" s="111">
        <v>741.2</v>
      </c>
      <c r="K600" s="3" t="s">
        <v>39</v>
      </c>
      <c r="L600" s="48">
        <v>46278</v>
      </c>
    </row>
    <row r="601" spans="1:12">
      <c r="A601" s="68">
        <v>24419216</v>
      </c>
      <c r="B601" s="16">
        <v>5216647660045</v>
      </c>
      <c r="C601" t="s">
        <v>54</v>
      </c>
      <c r="D601" s="3">
        <f>214876.11-196768.6</f>
        <v>18107.50999999998</v>
      </c>
      <c r="E601" s="3"/>
      <c r="F601" s="3">
        <f t="shared" si="98"/>
        <v>5432.2529999999942</v>
      </c>
      <c r="G601" s="3">
        <f t="shared" si="99"/>
        <v>5432.2529999999942</v>
      </c>
      <c r="J601" s="3"/>
      <c r="K601" s="3" t="s">
        <v>95</v>
      </c>
      <c r="L601" s="48">
        <v>46278</v>
      </c>
    </row>
    <row r="602" spans="1:12">
      <c r="A602" s="72">
        <v>24419506</v>
      </c>
      <c r="B602" s="16">
        <v>5216699298432</v>
      </c>
      <c r="C602" t="s">
        <v>54</v>
      </c>
      <c r="D602" s="111">
        <v>13393.44</v>
      </c>
      <c r="E602" s="111">
        <v>2063.14</v>
      </c>
      <c r="F602" s="3">
        <f t="shared" si="98"/>
        <v>4018.0320000000002</v>
      </c>
      <c r="G602" s="3">
        <f t="shared" si="99"/>
        <v>1954.8920000000003</v>
      </c>
      <c r="H602" s="6">
        <v>46874</v>
      </c>
      <c r="I602" t="s">
        <v>59</v>
      </c>
      <c r="J602" s="3">
        <v>1587.03</v>
      </c>
      <c r="K602" s="3" t="s">
        <v>1910</v>
      </c>
      <c r="L602" s="48">
        <v>46278</v>
      </c>
    </row>
    <row r="603" spans="1:12">
      <c r="A603" s="72">
        <v>24419538</v>
      </c>
      <c r="B603" s="16">
        <v>5218182506455</v>
      </c>
      <c r="C603" t="s">
        <v>54</v>
      </c>
      <c r="D603" s="111">
        <v>12862.44</v>
      </c>
      <c r="E603" s="111">
        <v>1712.6</v>
      </c>
      <c r="F603" s="3">
        <f t="shared" si="98"/>
        <v>3858.732</v>
      </c>
      <c r="G603" s="3">
        <f t="shared" si="99"/>
        <v>2146.1320000000001</v>
      </c>
      <c r="H603" s="6">
        <v>46266</v>
      </c>
      <c r="I603" t="s">
        <v>421</v>
      </c>
      <c r="J603" s="111">
        <v>765.08</v>
      </c>
      <c r="K603" s="3" t="s">
        <v>95</v>
      </c>
      <c r="L603" s="48">
        <v>46278</v>
      </c>
    </row>
    <row r="604" spans="1:12">
      <c r="A604" s="68">
        <v>24419792</v>
      </c>
      <c r="B604" s="16">
        <v>5218121599310</v>
      </c>
      <c r="C604" t="s">
        <v>54</v>
      </c>
      <c r="D604" s="111">
        <v>32068.38</v>
      </c>
      <c r="E604" s="111">
        <v>6796.2</v>
      </c>
      <c r="F604" s="3">
        <f t="shared" si="98"/>
        <v>9620.5139999999992</v>
      </c>
      <c r="G604" s="3">
        <f t="shared" si="99"/>
        <v>2824.3139999999994</v>
      </c>
      <c r="H604" s="6">
        <v>46600</v>
      </c>
      <c r="I604" t="s">
        <v>75</v>
      </c>
      <c r="J604" s="111">
        <v>6796.2</v>
      </c>
      <c r="K604" s="3" t="s">
        <v>95</v>
      </c>
      <c r="L604" s="48">
        <v>46278</v>
      </c>
    </row>
    <row r="605" spans="1:12">
      <c r="A605" s="72">
        <v>24420904</v>
      </c>
      <c r="B605" s="16">
        <v>5216621732543</v>
      </c>
      <c r="C605" t="s">
        <v>54</v>
      </c>
      <c r="D605" s="3">
        <v>11029.03</v>
      </c>
      <c r="E605" s="3"/>
      <c r="F605" s="3">
        <f t="shared" si="98"/>
        <v>3308.7090000000003</v>
      </c>
      <c r="G605" s="3">
        <f t="shared" si="99"/>
        <v>3308.7090000000003</v>
      </c>
      <c r="J605" s="3"/>
      <c r="K605" s="3" t="s">
        <v>879</v>
      </c>
      <c r="L605" s="48">
        <v>46278</v>
      </c>
    </row>
    <row r="606" spans="1:12">
      <c r="A606" s="72">
        <v>24421730</v>
      </c>
      <c r="B606" s="16">
        <v>5215591031012</v>
      </c>
      <c r="C606" t="s">
        <v>27</v>
      </c>
      <c r="D606" s="111">
        <v>10875.92</v>
      </c>
      <c r="E606" s="111">
        <v>3145.88</v>
      </c>
      <c r="F606" s="3">
        <f t="shared" si="98"/>
        <v>3262.7759999999998</v>
      </c>
      <c r="G606" s="3">
        <f t="shared" si="99"/>
        <v>116.89599999999973</v>
      </c>
      <c r="H606" s="6">
        <v>46204</v>
      </c>
      <c r="I606" t="s">
        <v>1982</v>
      </c>
      <c r="J606" s="111">
        <v>3018.88</v>
      </c>
      <c r="K606" s="3" t="s">
        <v>1080</v>
      </c>
      <c r="L606" s="48">
        <v>46278</v>
      </c>
    </row>
    <row r="607" spans="1:12">
      <c r="A607" s="72">
        <v>24422500</v>
      </c>
      <c r="B607" s="16">
        <v>5218110734416</v>
      </c>
      <c r="C607" t="s">
        <v>54</v>
      </c>
      <c r="D607" s="3">
        <v>10758.97</v>
      </c>
      <c r="E607" s="3"/>
      <c r="F607" s="3">
        <f t="shared" si="98"/>
        <v>3227.6909999999998</v>
      </c>
      <c r="G607" s="3">
        <f t="shared" si="99"/>
        <v>3227.6909999999998</v>
      </c>
      <c r="J607" s="3"/>
      <c r="K607" s="3" t="s">
        <v>886</v>
      </c>
      <c r="L607" s="48">
        <v>46278</v>
      </c>
    </row>
    <row r="608" spans="1:12">
      <c r="A608" s="68">
        <v>24424020</v>
      </c>
      <c r="B608" s="16">
        <v>5212297819008</v>
      </c>
      <c r="C608" t="s">
        <v>27</v>
      </c>
      <c r="D608" s="111">
        <v>13648.64</v>
      </c>
      <c r="E608" s="111">
        <v>4094.59</v>
      </c>
      <c r="F608" s="3">
        <f t="shared" si="98"/>
        <v>4094.5919999999996</v>
      </c>
      <c r="G608" s="3">
        <f t="shared" si="99"/>
        <v>1.9999999994979589E-3</v>
      </c>
      <c r="H608" s="6">
        <v>46266</v>
      </c>
      <c r="I608" t="s">
        <v>75</v>
      </c>
      <c r="J608" s="111">
        <v>3524.37</v>
      </c>
      <c r="K608" s="3" t="s">
        <v>1080</v>
      </c>
      <c r="L608" s="48">
        <v>46278</v>
      </c>
    </row>
    <row r="609" spans="1:12">
      <c r="A609" s="72">
        <v>24424798</v>
      </c>
      <c r="B609" s="16">
        <v>5217298751421</v>
      </c>
      <c r="C609" t="s">
        <v>54</v>
      </c>
      <c r="D609" s="3">
        <v>8784.2900000000009</v>
      </c>
      <c r="E609" s="3"/>
      <c r="F609" s="3">
        <f t="shared" si="98"/>
        <v>2635.2870000000003</v>
      </c>
      <c r="G609" s="3">
        <f t="shared" si="99"/>
        <v>2635.2870000000003</v>
      </c>
      <c r="J609" s="3"/>
      <c r="K609" s="3" t="s">
        <v>879</v>
      </c>
      <c r="L609" s="48">
        <v>46278</v>
      </c>
    </row>
    <row r="610" spans="1:12">
      <c r="A610" s="72">
        <v>24416270</v>
      </c>
      <c r="B610">
        <v>5213121007483</v>
      </c>
      <c r="C610" s="69" t="s">
        <v>54</v>
      </c>
      <c r="D610" s="70">
        <v>7920.5099999999984</v>
      </c>
      <c r="E610" s="70">
        <v>879</v>
      </c>
      <c r="F610" s="70">
        <v>2376.1529999999993</v>
      </c>
      <c r="G610" s="70">
        <v>1497.1529999999993</v>
      </c>
      <c r="H610" s="69"/>
      <c r="I610" s="69"/>
      <c r="J610" s="70"/>
      <c r="K610" s="70" t="s">
        <v>1910</v>
      </c>
      <c r="L610" s="143">
        <v>46278</v>
      </c>
    </row>
    <row r="611" spans="1:12">
      <c r="A611" s="173">
        <v>24416608</v>
      </c>
      <c r="B611">
        <v>5219844681272</v>
      </c>
      <c r="C611" t="s">
        <v>54</v>
      </c>
      <c r="D611" s="3">
        <v>10636.54</v>
      </c>
      <c r="E611" s="3"/>
      <c r="F611" s="3">
        <v>3190.962</v>
      </c>
      <c r="G611" s="3">
        <v>3190.962</v>
      </c>
      <c r="J611" s="3"/>
      <c r="K611" s="3" t="s">
        <v>1080</v>
      </c>
      <c r="L611" s="47">
        <v>46278</v>
      </c>
    </row>
    <row r="612" spans="1:12">
      <c r="A612" s="173">
        <v>24409114</v>
      </c>
      <c r="B612">
        <v>5216121685371</v>
      </c>
      <c r="C612" t="s">
        <v>54</v>
      </c>
      <c r="D612" s="3">
        <v>9760.32</v>
      </c>
      <c r="E612" s="3"/>
      <c r="F612" s="3">
        <v>2928.096</v>
      </c>
      <c r="G612" s="3">
        <v>2928.096</v>
      </c>
      <c r="J612" s="3"/>
      <c r="K612" s="3" t="s">
        <v>1910</v>
      </c>
      <c r="L612" s="47">
        <v>46278</v>
      </c>
    </row>
    <row r="613" spans="1:12">
      <c r="A613" s="173">
        <v>24417200</v>
      </c>
      <c r="B613">
        <v>5214271491785</v>
      </c>
      <c r="C613" t="s">
        <v>54</v>
      </c>
      <c r="D613" s="3">
        <v>29453.33</v>
      </c>
      <c r="E613" s="3"/>
      <c r="F613" s="3">
        <v>8835.9989999999998</v>
      </c>
      <c r="G613" s="3">
        <v>8835.9989999999998</v>
      </c>
      <c r="J613" s="3"/>
      <c r="K613" s="3" t="s">
        <v>879</v>
      </c>
      <c r="L613" s="47">
        <v>46278</v>
      </c>
    </row>
    <row r="614" spans="1:12">
      <c r="A614" s="173">
        <v>24416912</v>
      </c>
      <c r="B614">
        <v>5215530587908</v>
      </c>
      <c r="C614" t="s">
        <v>54</v>
      </c>
      <c r="D614" s="3">
        <v>15274.2</v>
      </c>
      <c r="E614" s="3"/>
      <c r="F614" s="3">
        <v>4582.26</v>
      </c>
      <c r="G614" s="3">
        <v>4582.26</v>
      </c>
      <c r="J614" s="3"/>
      <c r="K614" s="3" t="s">
        <v>886</v>
      </c>
      <c r="L614" s="47">
        <v>46278</v>
      </c>
    </row>
    <row r="615" spans="1:12">
      <c r="A615" s="173">
        <v>24415868</v>
      </c>
      <c r="B615">
        <v>5213222179157</v>
      </c>
      <c r="C615" t="s">
        <v>27</v>
      </c>
      <c r="D615" s="3">
        <v>24261.17</v>
      </c>
      <c r="E615" s="3">
        <v>5337.68</v>
      </c>
      <c r="F615" s="3">
        <v>7278.3509999999997</v>
      </c>
      <c r="G615" s="3">
        <v>1940.6709999999994</v>
      </c>
      <c r="H615">
        <v>45839</v>
      </c>
      <c r="I615" t="s">
        <v>44</v>
      </c>
      <c r="J615" s="3">
        <v>5337.68</v>
      </c>
      <c r="K615" s="3" t="s">
        <v>879</v>
      </c>
      <c r="L615" s="47">
        <v>46278</v>
      </c>
    </row>
    <row r="616" spans="1:12">
      <c r="A616" s="173">
        <v>24417396</v>
      </c>
      <c r="B616">
        <v>5215646779474</v>
      </c>
      <c r="C616" t="s">
        <v>54</v>
      </c>
      <c r="D616" s="3">
        <v>12579.91</v>
      </c>
      <c r="E616" s="3"/>
      <c r="F616" s="3">
        <v>3773.973</v>
      </c>
      <c r="G616" s="3">
        <v>3773.973</v>
      </c>
      <c r="J616" s="3"/>
      <c r="K616" s="3" t="s">
        <v>28</v>
      </c>
      <c r="L616" s="47">
        <v>46278</v>
      </c>
    </row>
    <row r="617" spans="1:12">
      <c r="A617" s="173">
        <v>24419368</v>
      </c>
      <c r="B617">
        <v>5216624166808</v>
      </c>
      <c r="C617" t="s">
        <v>54</v>
      </c>
      <c r="D617" s="3">
        <v>10636.54</v>
      </c>
      <c r="E617" s="3"/>
      <c r="F617" s="3">
        <v>3190.962</v>
      </c>
      <c r="G617" s="3">
        <v>3190.962</v>
      </c>
      <c r="J617" s="3"/>
      <c r="K617" s="3" t="s">
        <v>35</v>
      </c>
      <c r="L617" s="47">
        <v>46278</v>
      </c>
    </row>
    <row r="618" spans="1:12">
      <c r="A618" s="173">
        <v>24417880</v>
      </c>
      <c r="B618">
        <v>5216145326145</v>
      </c>
      <c r="C618" t="s">
        <v>54</v>
      </c>
      <c r="D618" s="3">
        <v>5617.63</v>
      </c>
      <c r="E618" s="3"/>
      <c r="F618" s="3">
        <v>1685.289</v>
      </c>
      <c r="G618" s="3">
        <v>1444.6500000000005</v>
      </c>
      <c r="J618" s="3"/>
      <c r="K618" s="3" t="s">
        <v>886</v>
      </c>
      <c r="L618" s="47">
        <v>46278</v>
      </c>
    </row>
    <row r="619" spans="1:12">
      <c r="A619" s="173">
        <v>24419370</v>
      </c>
      <c r="B619">
        <v>5216629347930</v>
      </c>
      <c r="C619" t="s">
        <v>38</v>
      </c>
      <c r="D619" s="3">
        <v>61828.47</v>
      </c>
      <c r="E619" s="3">
        <v>17813</v>
      </c>
      <c r="F619" s="3">
        <v>18548.541000000001</v>
      </c>
      <c r="G619" s="3">
        <v>735.54100000000108</v>
      </c>
      <c r="H619">
        <v>46661</v>
      </c>
      <c r="I619" t="s">
        <v>59</v>
      </c>
      <c r="J619" s="3">
        <v>17813</v>
      </c>
      <c r="K619" s="3" t="s">
        <v>39</v>
      </c>
      <c r="L619" s="47">
        <v>46278</v>
      </c>
    </row>
    <row r="620" spans="1:12">
      <c r="A620" s="173">
        <v>24414092</v>
      </c>
      <c r="B620">
        <v>5216444629186</v>
      </c>
      <c r="C620" t="s">
        <v>38</v>
      </c>
      <c r="D620" s="3">
        <v>6277.93</v>
      </c>
      <c r="E620" s="3">
        <v>1035.3</v>
      </c>
      <c r="F620" s="3">
        <v>1883.3789999999999</v>
      </c>
      <c r="G620" s="3">
        <v>848.07899999999995</v>
      </c>
      <c r="H620">
        <v>46813</v>
      </c>
      <c r="I620" t="s">
        <v>44</v>
      </c>
      <c r="J620" s="3">
        <v>1035.3</v>
      </c>
      <c r="K620" s="3" t="s">
        <v>39</v>
      </c>
      <c r="L620" s="47">
        <v>46278</v>
      </c>
    </row>
    <row r="621" spans="1:12">
      <c r="A621" s="173">
        <v>24422146</v>
      </c>
      <c r="B621">
        <v>2215350615</v>
      </c>
      <c r="C621" t="s">
        <v>54</v>
      </c>
      <c r="D621" s="3">
        <v>62108.17</v>
      </c>
      <c r="E621" s="3"/>
      <c r="F621" s="3">
        <v>18632.450999999997</v>
      </c>
      <c r="G621" s="3">
        <v>18632.450999999997</v>
      </c>
      <c r="J621" s="3"/>
      <c r="K621" s="3" t="s">
        <v>548</v>
      </c>
      <c r="L621" s="47">
        <v>46278</v>
      </c>
    </row>
    <row r="622" spans="1:12">
      <c r="A622" s="173">
        <v>24274678</v>
      </c>
      <c r="B622">
        <v>7702095111</v>
      </c>
      <c r="C622" t="s">
        <v>54</v>
      </c>
      <c r="D622" s="3">
        <v>5617.63</v>
      </c>
      <c r="E622" s="3"/>
      <c r="F622" s="3">
        <v>1685.289</v>
      </c>
      <c r="G622" s="3">
        <v>1444.6500000000005</v>
      </c>
      <c r="J622" s="3"/>
      <c r="K622" s="3" t="s">
        <v>886</v>
      </c>
      <c r="L622" s="47">
        <v>46278</v>
      </c>
    </row>
    <row r="623" spans="1:12">
      <c r="A623" s="173">
        <v>24422408</v>
      </c>
      <c r="B623">
        <v>4422304825</v>
      </c>
      <c r="C623" t="s">
        <v>54</v>
      </c>
      <c r="D623" s="3">
        <v>26510.63</v>
      </c>
      <c r="E623" s="3">
        <v>6329.93</v>
      </c>
      <c r="F623" s="3">
        <v>7953.1890000000003</v>
      </c>
      <c r="G623" s="3">
        <v>1623.259</v>
      </c>
      <c r="H623">
        <v>46753</v>
      </c>
      <c r="I623" t="s">
        <v>59</v>
      </c>
      <c r="J623" s="3">
        <v>3029.97</v>
      </c>
      <c r="K623" s="3" t="s">
        <v>1910</v>
      </c>
      <c r="L623" s="47">
        <v>46278</v>
      </c>
    </row>
    <row r="624" spans="1:12">
      <c r="A624" s="72">
        <v>24424018</v>
      </c>
      <c r="B624">
        <v>9211235157</v>
      </c>
      <c r="C624" s="69" t="s">
        <v>54</v>
      </c>
      <c r="D624" s="70">
        <v>19664.919999999998</v>
      </c>
      <c r="E624" s="70"/>
      <c r="F624" s="70">
        <v>5899.4759999999997</v>
      </c>
      <c r="G624" s="70">
        <v>5899.4759999999997</v>
      </c>
      <c r="H624" s="69"/>
      <c r="I624" s="69"/>
      <c r="J624" s="70"/>
      <c r="K624" s="70" t="s">
        <v>1808</v>
      </c>
      <c r="L624" s="143">
        <v>46279</v>
      </c>
    </row>
    <row r="625" spans="1:12">
      <c r="A625" s="173">
        <v>24428180</v>
      </c>
      <c r="B625">
        <v>4252048615</v>
      </c>
      <c r="C625" t="s">
        <v>54</v>
      </c>
      <c r="D625" s="3">
        <v>9760.32</v>
      </c>
      <c r="E625" s="3"/>
      <c r="F625" s="3">
        <v>2928.096</v>
      </c>
      <c r="G625" s="3">
        <v>2928.096</v>
      </c>
      <c r="J625" s="3"/>
      <c r="K625" s="3" t="s">
        <v>1910</v>
      </c>
      <c r="L625" s="47">
        <v>46279</v>
      </c>
    </row>
    <row r="626" spans="1:12">
      <c r="A626" s="12">
        <v>24429104</v>
      </c>
      <c r="C626" s="69" t="s">
        <v>54</v>
      </c>
      <c r="D626" s="70">
        <v>19479</v>
      </c>
      <c r="E626" s="70"/>
      <c r="F626" s="70">
        <f>D626*0.3</f>
        <v>5843.7</v>
      </c>
      <c r="G626" s="70">
        <f>(IF(D626&lt;4172.98,0,MIN(D626*0.3,D626-4172.98)))-E626</f>
        <v>5843.7</v>
      </c>
      <c r="H626" s="69"/>
      <c r="I626" s="69"/>
      <c r="J626" s="70"/>
      <c r="K626" s="70" t="s">
        <v>1808</v>
      </c>
      <c r="L626" s="143">
        <v>46279</v>
      </c>
    </row>
    <row r="627" spans="1:12">
      <c r="A627" s="12">
        <v>24429576</v>
      </c>
      <c r="C627" s="69" t="s">
        <v>107</v>
      </c>
      <c r="D627" s="70">
        <v>10523.34</v>
      </c>
      <c r="E627" s="70">
        <v>3044.07</v>
      </c>
      <c r="F627" s="70">
        <f>D627*0.3</f>
        <v>3157.002</v>
      </c>
      <c r="G627" s="70">
        <f>(IF(D627&lt;4172.98,0,MIN(D627*0.3,D627-4172.98)))-E627</f>
        <v>112.93199999999979</v>
      </c>
      <c r="H627" s="71">
        <v>46143</v>
      </c>
      <c r="I627" s="69" t="s">
        <v>334</v>
      </c>
      <c r="J627" s="70">
        <v>580.49</v>
      </c>
      <c r="K627" s="70" t="s">
        <v>39</v>
      </c>
      <c r="L627" s="143">
        <v>46279</v>
      </c>
    </row>
    <row r="628" spans="1:12">
      <c r="A628" s="12">
        <v>24429448</v>
      </c>
      <c r="C628" t="s">
        <v>54</v>
      </c>
      <c r="D628" s="3">
        <v>25379.86</v>
      </c>
      <c r="E628" s="3">
        <v>4092.75</v>
      </c>
      <c r="F628" s="3">
        <f>D628*0.3</f>
        <v>7613.9579999999996</v>
      </c>
      <c r="G628" s="3">
        <f>(IF(D628&lt;4172.98,0,MIN(D628*0.3,D628-4172.98)))-E628</f>
        <v>3521.2079999999996</v>
      </c>
      <c r="H628" s="6">
        <v>46054</v>
      </c>
      <c r="I628" t="s">
        <v>1997</v>
      </c>
      <c r="J628" s="3">
        <v>789.87</v>
      </c>
      <c r="K628" s="3" t="s">
        <v>1808</v>
      </c>
      <c r="L628" s="47">
        <v>46279</v>
      </c>
    </row>
    <row r="629" spans="1:12">
      <c r="A629" s="12">
        <v>24430662</v>
      </c>
      <c r="C629" s="69" t="s">
        <v>54</v>
      </c>
      <c r="D629" s="70">
        <v>11029.03</v>
      </c>
      <c r="E629" s="70"/>
      <c r="F629" s="70">
        <f>D629*0.3</f>
        <v>3308.7090000000003</v>
      </c>
      <c r="G629" s="70">
        <f>(IF(D629&lt;4172.98,0,MIN(D629*0.3,D629-4172.98)))-E629</f>
        <v>3308.7090000000003</v>
      </c>
      <c r="H629" s="69"/>
      <c r="I629" s="69"/>
      <c r="J629" s="70"/>
      <c r="K629" s="70" t="s">
        <v>1910</v>
      </c>
      <c r="L629" s="143">
        <v>46279</v>
      </c>
    </row>
    <row r="630" spans="1:12">
      <c r="A630" s="12">
        <v>24432582</v>
      </c>
      <c r="C630" s="69" t="s">
        <v>107</v>
      </c>
      <c r="D630" s="70">
        <v>4813.6899999999996</v>
      </c>
      <c r="E630" s="70">
        <v>368.49</v>
      </c>
      <c r="F630" s="70">
        <f>D630*0.3</f>
        <v>1444.1069999999997</v>
      </c>
      <c r="G630" s="70">
        <f>(IF(D630&lt;4172.98,0,MIN(D630*0.3,D630-4172.98)))-E630</f>
        <v>272.22000000000003</v>
      </c>
      <c r="H630" s="71">
        <v>45323</v>
      </c>
      <c r="I630" s="69" t="s">
        <v>493</v>
      </c>
      <c r="J630" s="70">
        <v>368.49</v>
      </c>
      <c r="K630" s="70" t="s">
        <v>39</v>
      </c>
      <c r="L630" s="143">
        <v>46279</v>
      </c>
    </row>
    <row r="631" spans="1:12">
      <c r="A631" s="12">
        <v>24432588</v>
      </c>
      <c r="C631" t="s">
        <v>54</v>
      </c>
      <c r="D631" s="3">
        <v>7116.73</v>
      </c>
      <c r="E631" s="3"/>
      <c r="F631" s="3">
        <f>D631*0.3</f>
        <v>2135.0189999999998</v>
      </c>
      <c r="G631" s="3">
        <f>(IF(D631&lt;4172.98,0,MIN(D631*0.3,D631-4172.98)))-E631</f>
        <v>2135.0189999999998</v>
      </c>
      <c r="J631" s="3"/>
      <c r="K631" s="3" t="s">
        <v>1910</v>
      </c>
      <c r="L631" s="47">
        <v>46279</v>
      </c>
    </row>
    <row r="632" spans="1:12">
      <c r="A632" s="12">
        <v>24443470</v>
      </c>
      <c r="C632" s="69" t="s">
        <v>54</v>
      </c>
      <c r="D632" s="70">
        <v>10824.73</v>
      </c>
      <c r="E632" s="70"/>
      <c r="F632" s="70">
        <f>D632*0.3</f>
        <v>3247.4189999999999</v>
      </c>
      <c r="G632" s="70">
        <f>(IF(D632&lt;4172.98,0,MIN(D632*0.3,D632-4172.98)))-E632</f>
        <v>3247.4189999999999</v>
      </c>
      <c r="H632" s="69"/>
      <c r="I632" s="69"/>
      <c r="J632" s="70"/>
      <c r="K632" s="70" t="s">
        <v>35</v>
      </c>
      <c r="L632" s="143">
        <v>46279</v>
      </c>
    </row>
    <row r="633" spans="1:12">
      <c r="A633" s="72">
        <v>24418318</v>
      </c>
      <c r="B633">
        <v>5219513405776</v>
      </c>
      <c r="C633" s="69" t="s">
        <v>34</v>
      </c>
      <c r="D633" s="70">
        <v>11722.7</v>
      </c>
      <c r="E633" s="70">
        <v>3388.95</v>
      </c>
      <c r="F633" s="70">
        <v>3516.81</v>
      </c>
      <c r="G633" s="70">
        <v>127.86000000000013</v>
      </c>
      <c r="H633" s="69">
        <v>46082</v>
      </c>
      <c r="I633" s="69" t="s">
        <v>141</v>
      </c>
      <c r="J633" s="70">
        <v>3103.03</v>
      </c>
      <c r="K633" s="70" t="s">
        <v>271</v>
      </c>
      <c r="L633" s="143">
        <v>46279</v>
      </c>
    </row>
    <row r="634" spans="1:12">
      <c r="A634" s="30">
        <v>24445634</v>
      </c>
      <c r="C634" s="69" t="s">
        <v>54</v>
      </c>
      <c r="D634" s="70">
        <v>10636.54</v>
      </c>
      <c r="E634" s="70"/>
      <c r="F634" s="70">
        <f>D634*0.3</f>
        <v>3190.962</v>
      </c>
      <c r="G634" s="70">
        <f>(IF(D634&lt;4172.98,0,MIN(D634*0.3,D634-4172.98)))-E634</f>
        <v>3190.962</v>
      </c>
      <c r="H634" s="69"/>
      <c r="I634" s="69"/>
      <c r="J634" s="70"/>
      <c r="K634" s="70" t="s">
        <v>1946</v>
      </c>
      <c r="L634" s="143">
        <v>46279</v>
      </c>
    </row>
    <row r="635" spans="1:12">
      <c r="A635" s="72">
        <v>24444508</v>
      </c>
      <c r="B635">
        <v>5212221883452</v>
      </c>
      <c r="C635" s="69" t="s">
        <v>34</v>
      </c>
      <c r="D635" s="70">
        <v>7116.73</v>
      </c>
      <c r="E635" s="70">
        <v>1885.86</v>
      </c>
      <c r="F635" s="70">
        <v>2135.0189999999998</v>
      </c>
      <c r="G635" s="70">
        <v>249.15899999999988</v>
      </c>
      <c r="H635" s="69">
        <v>45870</v>
      </c>
      <c r="I635" s="69" t="s">
        <v>141</v>
      </c>
      <c r="J635" s="70">
        <v>1885.86</v>
      </c>
      <c r="K635" s="70" t="s">
        <v>35</v>
      </c>
      <c r="L635" s="143">
        <v>46279</v>
      </c>
    </row>
    <row r="636" spans="1:12">
      <c r="A636" s="72">
        <v>24436594</v>
      </c>
      <c r="B636">
        <v>5216645749097</v>
      </c>
      <c r="C636" s="69" t="s">
        <v>27</v>
      </c>
      <c r="D636" s="70">
        <v>8108.29</v>
      </c>
      <c r="E636" s="70">
        <v>2247.1999999999998</v>
      </c>
      <c r="F636" s="70">
        <v>2432.4870000000001</v>
      </c>
      <c r="G636" s="70">
        <v>185.28700000000026</v>
      </c>
      <c r="H636" s="69">
        <v>46235</v>
      </c>
      <c r="I636" s="69" t="s">
        <v>421</v>
      </c>
      <c r="J636" s="70">
        <v>2247.1999999999998</v>
      </c>
      <c r="K636" s="70" t="s">
        <v>90</v>
      </c>
      <c r="L636" s="143">
        <v>46279</v>
      </c>
    </row>
    <row r="637" spans="1:12">
      <c r="A637" s="12">
        <v>24446296</v>
      </c>
      <c r="C637" s="69" t="s">
        <v>54</v>
      </c>
      <c r="D637" s="70">
        <v>9760.32</v>
      </c>
      <c r="E637" s="70">
        <v>879</v>
      </c>
      <c r="F637" s="70">
        <f>D637*0.3</f>
        <v>2928.096</v>
      </c>
      <c r="G637" s="70">
        <f>(IF(D637&lt;4172.98,0,MIN(D637*0.3,D637-4172.98)))-E637</f>
        <v>2049.096</v>
      </c>
      <c r="H637" s="69"/>
      <c r="I637" s="69"/>
      <c r="J637" s="70"/>
      <c r="K637" s="70" t="s">
        <v>55</v>
      </c>
      <c r="L637" s="143">
        <v>46279</v>
      </c>
    </row>
    <row r="638" spans="1:12">
      <c r="A638" s="30">
        <v>24446686</v>
      </c>
      <c r="C638" s="69" t="s">
        <v>54</v>
      </c>
      <c r="D638" s="70">
        <v>39077.03</v>
      </c>
      <c r="E638" s="70"/>
      <c r="F638" s="70">
        <f>D638*0.3</f>
        <v>11723.108999999999</v>
      </c>
      <c r="G638" s="70">
        <f>(IF(D638&lt;4172.98,0,MIN(D638*0.3,D638-4172.98)))-E638</f>
        <v>11723.108999999999</v>
      </c>
      <c r="H638" s="69"/>
      <c r="I638" s="69"/>
      <c r="J638" s="70"/>
      <c r="K638" s="70" t="s">
        <v>327</v>
      </c>
      <c r="L638" s="143">
        <v>46279</v>
      </c>
    </row>
    <row r="639" spans="1:12">
      <c r="A639" s="72">
        <v>24436100</v>
      </c>
      <c r="B639">
        <v>5217752581148</v>
      </c>
      <c r="C639" s="69" t="s">
        <v>54</v>
      </c>
      <c r="D639" s="70">
        <v>23442.54</v>
      </c>
      <c r="E639" s="70"/>
      <c r="F639" s="70">
        <v>7032.7619999999997</v>
      </c>
      <c r="G639" s="70">
        <v>7032.7619999999997</v>
      </c>
      <c r="H639" s="69"/>
      <c r="I639" s="69"/>
      <c r="J639" s="70"/>
      <c r="K639" s="70" t="s">
        <v>62</v>
      </c>
      <c r="L639" s="143">
        <v>46279</v>
      </c>
    </row>
    <row r="640" spans="1:12">
      <c r="A640" s="72">
        <v>24436222</v>
      </c>
      <c r="B640">
        <v>5214774133233</v>
      </c>
      <c r="C640" s="69" t="s">
        <v>54</v>
      </c>
      <c r="D640" s="70">
        <v>9760.32</v>
      </c>
      <c r="E640" s="70"/>
      <c r="F640" s="70">
        <v>2928.096</v>
      </c>
      <c r="G640" s="70">
        <v>2928.096</v>
      </c>
      <c r="H640" s="69"/>
      <c r="I640" s="69"/>
      <c r="J640" s="70"/>
      <c r="K640" s="70" t="s">
        <v>28</v>
      </c>
      <c r="L640" s="143">
        <v>46279</v>
      </c>
    </row>
    <row r="641" spans="1:12">
      <c r="A641" s="72">
        <v>24174154</v>
      </c>
      <c r="B641">
        <v>5215543635717</v>
      </c>
      <c r="C641" s="69" t="s">
        <v>54</v>
      </c>
      <c r="D641" s="70">
        <v>8539.91</v>
      </c>
      <c r="E641" s="70"/>
      <c r="F641" s="70">
        <v>2561.973</v>
      </c>
      <c r="G641" s="70">
        <v>2561.973</v>
      </c>
      <c r="H641" s="69"/>
      <c r="I641" s="69"/>
      <c r="J641" s="70"/>
      <c r="K641" s="70" t="s">
        <v>879</v>
      </c>
      <c r="L641" s="143">
        <v>46279</v>
      </c>
    </row>
    <row r="642" spans="1:12">
      <c r="A642" s="12">
        <v>24447340</v>
      </c>
      <c r="C642" s="69" t="s">
        <v>54</v>
      </c>
      <c r="D642" s="70">
        <v>7125.15</v>
      </c>
      <c r="E642" s="70"/>
      <c r="F642" s="70">
        <f>D642*0.3</f>
        <v>2137.5449999999996</v>
      </c>
      <c r="G642" s="70">
        <f>(IF(D642&lt;4172.98,0,MIN(D642*0.3,D642-4172.98)))-E642</f>
        <v>2137.5449999999996</v>
      </c>
      <c r="H642" s="69"/>
      <c r="I642" s="69"/>
      <c r="J642" s="70"/>
      <c r="K642" s="70" t="s">
        <v>1091</v>
      </c>
      <c r="L642" s="143">
        <v>46279</v>
      </c>
    </row>
    <row r="643" spans="1:12">
      <c r="A643" s="72">
        <v>24431628</v>
      </c>
      <c r="B643">
        <v>5219999554448</v>
      </c>
      <c r="C643" s="69" t="s">
        <v>27</v>
      </c>
      <c r="D643" s="70">
        <v>42073.32</v>
      </c>
      <c r="E643" s="70">
        <v>12172.41</v>
      </c>
      <c r="F643" s="70">
        <v>12621.995999999999</v>
      </c>
      <c r="G643" s="70">
        <v>449.58599999999933</v>
      </c>
      <c r="H643" s="69">
        <v>46266</v>
      </c>
      <c r="I643" s="69" t="s">
        <v>47</v>
      </c>
      <c r="J643" s="70">
        <v>3024.41</v>
      </c>
      <c r="K643" s="70" t="s">
        <v>98</v>
      </c>
      <c r="L643" s="143">
        <v>46279</v>
      </c>
    </row>
    <row r="644" spans="1:12">
      <c r="A644" s="72">
        <v>24400734</v>
      </c>
      <c r="B644">
        <v>5216141006292</v>
      </c>
      <c r="C644" s="69" t="s">
        <v>54</v>
      </c>
      <c r="D644" s="70">
        <v>8173.36</v>
      </c>
      <c r="E644" s="70"/>
      <c r="F644" s="70">
        <v>2452.0079999999998</v>
      </c>
      <c r="G644" s="70">
        <v>2452.0079999999998</v>
      </c>
      <c r="H644" s="69"/>
      <c r="I644" s="69"/>
      <c r="J644" s="70"/>
      <c r="K644" s="70" t="s">
        <v>266</v>
      </c>
      <c r="L644" s="143">
        <v>46279</v>
      </c>
    </row>
    <row r="645" spans="1:12">
      <c r="A645" s="30">
        <v>24448318</v>
      </c>
      <c r="C645" s="69" t="s">
        <v>27</v>
      </c>
      <c r="D645" s="70">
        <v>7116.73</v>
      </c>
      <c r="E645" s="70">
        <v>1887.3</v>
      </c>
      <c r="F645" s="70">
        <f>D645*0.3</f>
        <v>2135.0189999999998</v>
      </c>
      <c r="G645" s="70">
        <f>(IF(D645&lt;4172.98,0,MIN(D645*0.3,D645-4172.98)))-E645</f>
        <v>247.71899999999982</v>
      </c>
      <c r="H645" s="71">
        <v>46054</v>
      </c>
      <c r="I645" s="69" t="s">
        <v>2029</v>
      </c>
      <c r="J645" s="70">
        <v>1887.3</v>
      </c>
      <c r="K645" s="70" t="s">
        <v>90</v>
      </c>
      <c r="L645" s="143">
        <v>46279</v>
      </c>
    </row>
    <row r="646" spans="1:12">
      <c r="A646" s="30">
        <v>24448734</v>
      </c>
      <c r="C646" s="69" t="s">
        <v>54</v>
      </c>
      <c r="D646" s="70">
        <v>9760.32</v>
      </c>
      <c r="E646" s="70">
        <v>879</v>
      </c>
      <c r="F646" s="70">
        <f>D646*0.3</f>
        <v>2928.096</v>
      </c>
      <c r="G646" s="70">
        <f>(IF(D646&lt;4172.98,0,MIN(D646*0.3,D646-4172.98)))-E646</f>
        <v>2049.096</v>
      </c>
      <c r="H646" s="69"/>
      <c r="I646" s="69"/>
      <c r="J646" s="70"/>
      <c r="K646" s="70" t="s">
        <v>348</v>
      </c>
      <c r="L646" s="143">
        <v>46279</v>
      </c>
    </row>
    <row r="647" spans="1:12">
      <c r="A647" s="30">
        <v>24449412</v>
      </c>
      <c r="C647" s="69" t="s">
        <v>34</v>
      </c>
      <c r="D647" s="70">
        <v>25646.53</v>
      </c>
      <c r="E647" s="70">
        <v>5567.25</v>
      </c>
      <c r="F647" s="70">
        <f>D647*0.3</f>
        <v>7693.9589999999989</v>
      </c>
      <c r="G647" s="70">
        <f>(IF(D647&lt;4172.98,0,MIN(D647*0.3,D647-4172.98)))-E647</f>
        <v>2126.7089999999989</v>
      </c>
      <c r="H647" s="71">
        <v>45689</v>
      </c>
      <c r="I647" s="69" t="s">
        <v>2034</v>
      </c>
      <c r="J647" s="70">
        <v>5567.25</v>
      </c>
      <c r="K647" s="70" t="s">
        <v>271</v>
      </c>
      <c r="L647" s="143">
        <v>46279</v>
      </c>
    </row>
    <row r="648" spans="1:12">
      <c r="A648" s="30">
        <v>24449076</v>
      </c>
      <c r="C648" s="69" t="s">
        <v>107</v>
      </c>
      <c r="D648" s="70">
        <v>21624.76</v>
      </c>
      <c r="E648" s="70">
        <f>6413.63+80</f>
        <v>6493.63</v>
      </c>
      <c r="F648" s="70">
        <f>D648*0.3</f>
        <v>6487.427999999999</v>
      </c>
      <c r="G648" s="70">
        <f>(IF(D648&lt;4172.98,0,MIN(D648*0.3,D648-4172.98)))-E648</f>
        <v>-6.202000000001135</v>
      </c>
      <c r="H648" s="71">
        <v>46266</v>
      </c>
      <c r="I648" s="69" t="s">
        <v>2033</v>
      </c>
      <c r="J648" s="70">
        <v>633.92999999999995</v>
      </c>
      <c r="K648" s="70" t="s">
        <v>39</v>
      </c>
      <c r="L648" s="143">
        <v>46279</v>
      </c>
    </row>
    <row r="649" spans="1:12">
      <c r="A649" s="72">
        <v>24435678</v>
      </c>
      <c r="B649">
        <v>5216681358393</v>
      </c>
      <c r="C649" s="69" t="s">
        <v>54</v>
      </c>
      <c r="D649" s="70">
        <v>8912.7900000000009</v>
      </c>
      <c r="E649" s="70"/>
      <c r="F649" s="70">
        <v>2673.837</v>
      </c>
      <c r="G649" s="70">
        <v>2673.837</v>
      </c>
      <c r="H649" s="69"/>
      <c r="I649" s="69"/>
      <c r="J649" s="70"/>
      <c r="K649" s="70" t="s">
        <v>95</v>
      </c>
      <c r="L649" s="143">
        <v>46279</v>
      </c>
    </row>
    <row r="650" spans="1:12">
      <c r="A650" s="72">
        <v>24442956</v>
      </c>
      <c r="B650">
        <v>5219321118626</v>
      </c>
      <c r="C650" s="69" t="s">
        <v>54</v>
      </c>
      <c r="D650" s="70">
        <v>25862.51</v>
      </c>
      <c r="E650" s="70"/>
      <c r="F650" s="70">
        <v>7758.7529999999988</v>
      </c>
      <c r="G650" s="70">
        <v>7758.7529999999988</v>
      </c>
      <c r="H650" s="69"/>
      <c r="I650" s="69"/>
      <c r="J650" s="70"/>
      <c r="K650" s="70" t="s">
        <v>327</v>
      </c>
      <c r="L650" s="143">
        <v>46279</v>
      </c>
    </row>
    <row r="651" spans="1:12">
      <c r="A651" s="173">
        <v>24443860</v>
      </c>
      <c r="B651">
        <v>5216143444178</v>
      </c>
      <c r="C651" t="s">
        <v>54</v>
      </c>
      <c r="D651" s="3">
        <v>9170.91</v>
      </c>
      <c r="E651" s="3"/>
      <c r="F651" s="3">
        <v>2751.2729999999997</v>
      </c>
      <c r="G651" s="3">
        <v>2751.2729999999997</v>
      </c>
      <c r="J651" s="3"/>
      <c r="K651" s="3" t="s">
        <v>35</v>
      </c>
      <c r="L651" s="47">
        <v>46279</v>
      </c>
    </row>
    <row r="652" spans="1:12">
      <c r="A652" s="30">
        <v>24450946</v>
      </c>
      <c r="C652" s="69" t="s">
        <v>54</v>
      </c>
      <c r="D652" s="70">
        <v>15439.89</v>
      </c>
      <c r="E652" s="70"/>
      <c r="F652" s="70">
        <f>D652*0.3</f>
        <v>4631.9669999999996</v>
      </c>
      <c r="G652" s="70">
        <f>(IF(D652&lt;4172.98,0,MIN(D652*0.3,D652-4172.98)))-E652</f>
        <v>4631.9669999999996</v>
      </c>
      <c r="H652" s="69"/>
      <c r="I652" s="69"/>
      <c r="J652" s="70"/>
      <c r="K652" s="70" t="s">
        <v>1946</v>
      </c>
      <c r="L652" s="143">
        <v>46279</v>
      </c>
    </row>
    <row r="653" spans="1:12">
      <c r="A653" s="72">
        <v>24450184</v>
      </c>
      <c r="B653">
        <v>5214494023776</v>
      </c>
      <c r="C653" s="69" t="s">
        <v>27</v>
      </c>
      <c r="D653" s="70">
        <v>23722.58</v>
      </c>
      <c r="E653" s="70">
        <v>6862.67</v>
      </c>
      <c r="F653" s="70">
        <v>7116.7740000000003</v>
      </c>
      <c r="G653" s="70">
        <v>254.10400000000027</v>
      </c>
      <c r="H653" s="69">
        <v>45870</v>
      </c>
      <c r="I653" s="69" t="s">
        <v>59</v>
      </c>
      <c r="J653" s="70">
        <v>2569.92</v>
      </c>
      <c r="K653" s="70" t="s">
        <v>90</v>
      </c>
      <c r="L653" s="143">
        <v>46279</v>
      </c>
    </row>
    <row r="654" spans="1:12">
      <c r="A654" s="30">
        <v>24452056</v>
      </c>
      <c r="C654" s="69" t="s">
        <v>54</v>
      </c>
      <c r="D654" s="70">
        <f>7691.89+848</f>
        <v>8539.89</v>
      </c>
      <c r="E654" s="70">
        <v>848</v>
      </c>
      <c r="F654" s="70">
        <f t="shared" ref="F654:F655" si="100">D654*0.3</f>
        <v>2561.9669999999996</v>
      </c>
      <c r="G654" s="70">
        <f t="shared" ref="G654:G655" si="101">(IF(D654&lt;4172.98,0,MIN(D654*0.3,D654-4172.98)))-E654</f>
        <v>1713.9669999999996</v>
      </c>
      <c r="H654" s="69"/>
      <c r="I654" s="69"/>
      <c r="J654" s="70"/>
      <c r="K654" s="70" t="s">
        <v>358</v>
      </c>
      <c r="L654" s="143">
        <v>46279</v>
      </c>
    </row>
    <row r="655" spans="1:12">
      <c r="A655" s="12">
        <v>24451954</v>
      </c>
      <c r="C655" s="69" t="s">
        <v>54</v>
      </c>
      <c r="D655" s="70">
        <v>7116.73</v>
      </c>
      <c r="E655" s="70"/>
      <c r="F655" s="70">
        <f t="shared" si="100"/>
        <v>2135.0189999999998</v>
      </c>
      <c r="G655" s="70">
        <f t="shared" si="101"/>
        <v>2135.0189999999998</v>
      </c>
      <c r="H655" s="69"/>
      <c r="I655" s="69"/>
      <c r="J655" s="70"/>
      <c r="K655" s="70" t="s">
        <v>55</v>
      </c>
      <c r="L655" s="143">
        <v>46279</v>
      </c>
    </row>
    <row r="656" spans="1:12">
      <c r="A656" s="72">
        <v>24450614</v>
      </c>
      <c r="B656">
        <v>5212227149293</v>
      </c>
      <c r="C656" s="69" t="s">
        <v>54</v>
      </c>
      <c r="D656" s="70">
        <v>29032.15</v>
      </c>
      <c r="E656" s="70"/>
      <c r="F656" s="70">
        <v>8709.6450000000004</v>
      </c>
      <c r="G656" s="70">
        <v>8709.6450000000004</v>
      </c>
      <c r="H656" s="69"/>
      <c r="I656" s="69"/>
      <c r="J656" s="70"/>
      <c r="K656" s="70" t="s">
        <v>886</v>
      </c>
      <c r="L656" s="143">
        <v>46279</v>
      </c>
    </row>
    <row r="657" spans="1:12">
      <c r="A657" s="30">
        <v>24452028</v>
      </c>
      <c r="C657" s="69" t="s">
        <v>38</v>
      </c>
      <c r="D657" s="70">
        <v>4494.1000000000004</v>
      </c>
      <c r="E657" s="70"/>
      <c r="F657" s="70">
        <f>D657*0.3</f>
        <v>1348.23</v>
      </c>
      <c r="G657" s="70">
        <f>(IF(D657&lt;4172.98,0,MIN(D657*0.3,D657-4172.98)))-E657</f>
        <v>321.1200000000008</v>
      </c>
      <c r="H657" s="69"/>
      <c r="I657" s="69"/>
      <c r="J657" s="70"/>
      <c r="K657" s="70" t="s">
        <v>39</v>
      </c>
      <c r="L657" s="143">
        <v>46279</v>
      </c>
    </row>
    <row r="658" spans="1:12">
      <c r="A658" s="30">
        <v>24452484</v>
      </c>
      <c r="C658" s="69" t="s">
        <v>54</v>
      </c>
      <c r="D658" s="70">
        <f>6653.86+985.81</f>
        <v>7639.67</v>
      </c>
      <c r="E658" s="70">
        <v>985.71</v>
      </c>
      <c r="F658" s="70">
        <f>D658*0.3</f>
        <v>2291.9009999999998</v>
      </c>
      <c r="G658" s="70">
        <f>(IF(D658&lt;4172.98,0,MIN(D658*0.3,D658-4172.98)))-E658</f>
        <v>1306.1909999999998</v>
      </c>
      <c r="H658" s="71">
        <v>46600</v>
      </c>
      <c r="I658" s="69" t="s">
        <v>75</v>
      </c>
      <c r="J658" s="70">
        <v>985.71</v>
      </c>
      <c r="K658" s="70" t="s">
        <v>358</v>
      </c>
      <c r="L658" s="143">
        <v>46279</v>
      </c>
    </row>
    <row r="659" spans="1:12">
      <c r="A659" s="72">
        <v>24436210</v>
      </c>
      <c r="B659">
        <v>5216143636659</v>
      </c>
      <c r="C659" s="69" t="s">
        <v>54</v>
      </c>
      <c r="D659" s="70">
        <v>40172.75</v>
      </c>
      <c r="E659" s="70"/>
      <c r="F659" s="70">
        <v>12051.824999999999</v>
      </c>
      <c r="G659" s="70">
        <v>12051.824999999999</v>
      </c>
      <c r="H659" s="69"/>
      <c r="I659" s="69"/>
      <c r="J659" s="70"/>
      <c r="K659" s="70" t="s">
        <v>879</v>
      </c>
      <c r="L659" s="143">
        <v>46279</v>
      </c>
    </row>
    <row r="660" spans="1:12">
      <c r="A660" s="72">
        <v>24398088</v>
      </c>
      <c r="B660">
        <v>6681141616</v>
      </c>
      <c r="C660" s="69" t="s">
        <v>107</v>
      </c>
      <c r="D660" s="70">
        <v>36621.78</v>
      </c>
      <c r="E660" s="70">
        <v>10595.5</v>
      </c>
      <c r="F660" s="70">
        <v>10986.534</v>
      </c>
      <c r="G660" s="70">
        <v>391.03399999999965</v>
      </c>
      <c r="H660" s="69">
        <v>46054</v>
      </c>
      <c r="I660" s="69" t="s">
        <v>906</v>
      </c>
      <c r="J660" s="70">
        <v>454.3</v>
      </c>
      <c r="K660" s="70" t="s">
        <v>39</v>
      </c>
      <c r="L660" s="143">
        <v>46279</v>
      </c>
    </row>
    <row r="661" spans="1:12">
      <c r="A661" s="72">
        <v>24433052</v>
      </c>
      <c r="B661">
        <v>5219373787986</v>
      </c>
      <c r="C661" s="69" t="s">
        <v>54</v>
      </c>
      <c r="D661" s="70">
        <v>9760.32</v>
      </c>
      <c r="E661" s="70"/>
      <c r="F661" s="70">
        <v>2928.096</v>
      </c>
      <c r="G661" s="70">
        <v>2928.096</v>
      </c>
      <c r="H661" s="69"/>
      <c r="I661" s="69"/>
      <c r="J661" s="70"/>
      <c r="K661" s="70" t="s">
        <v>62</v>
      </c>
      <c r="L661" s="143">
        <v>46279</v>
      </c>
    </row>
    <row r="662" spans="1:12">
      <c r="A662" s="72">
        <v>24362654</v>
      </c>
      <c r="B662">
        <v>5215524059451</v>
      </c>
      <c r="C662" s="69" t="s">
        <v>54</v>
      </c>
      <c r="D662" s="70">
        <v>10636.54</v>
      </c>
      <c r="E662" s="70"/>
      <c r="F662" s="70">
        <v>3190.962</v>
      </c>
      <c r="G662" s="70">
        <v>3190.962</v>
      </c>
      <c r="H662" s="69"/>
      <c r="I662" s="69"/>
      <c r="J662" s="70"/>
      <c r="K662" s="70" t="s">
        <v>95</v>
      </c>
      <c r="L662" s="143">
        <v>46279</v>
      </c>
    </row>
    <row r="663" spans="1:12">
      <c r="A663" s="30">
        <v>24442632</v>
      </c>
      <c r="C663" s="69" t="s">
        <v>54</v>
      </c>
      <c r="D663" s="70">
        <v>11029.03</v>
      </c>
      <c r="E663" s="70"/>
      <c r="F663" s="70">
        <f>D663*0.3</f>
        <v>3308.7090000000003</v>
      </c>
      <c r="G663" s="70">
        <f>(IF(D663&lt;4172.98,0,MIN(D663*0.3,D663-4172.98)))-E663</f>
        <v>3308.7090000000003</v>
      </c>
      <c r="H663" s="69"/>
      <c r="I663" s="69"/>
      <c r="J663" s="70"/>
      <c r="K663" s="70" t="s">
        <v>28</v>
      </c>
      <c r="L663" s="143">
        <v>46279</v>
      </c>
    </row>
    <row r="664" spans="1:12">
      <c r="A664" s="30">
        <v>24455152</v>
      </c>
      <c r="C664" s="69" t="s">
        <v>107</v>
      </c>
      <c r="D664" s="70">
        <v>6660.74</v>
      </c>
      <c r="E664" s="70">
        <v>1042.33</v>
      </c>
      <c r="F664" s="70">
        <f>D664*0.3</f>
        <v>1998.2219999999998</v>
      </c>
      <c r="G664" s="70">
        <f>(IF(D664&lt;4172.98,0,MIN(D664*0.3,D664-4172.98)))-E664</f>
        <v>955.89199999999983</v>
      </c>
      <c r="H664" s="71">
        <v>45778</v>
      </c>
      <c r="I664" s="69" t="s">
        <v>421</v>
      </c>
      <c r="J664" s="70">
        <v>1042.33</v>
      </c>
      <c r="K664" s="70" t="s">
        <v>39</v>
      </c>
      <c r="L664" s="143">
        <v>46279</v>
      </c>
    </row>
    <row r="665" spans="1:12">
      <c r="A665" s="30">
        <v>24433562</v>
      </c>
      <c r="C665" s="69" t="s">
        <v>107</v>
      </c>
      <c r="D665" s="70">
        <v>6982.64</v>
      </c>
      <c r="E665" s="70">
        <v>1891.08</v>
      </c>
      <c r="F665" s="70">
        <f>D665*0.3</f>
        <v>2094.7919999999999</v>
      </c>
      <c r="G665" s="70">
        <f>(IF(D665&lt;4172.98,0,MIN(D665*0.3,D665-4172.98)))-E665</f>
        <v>203.71199999999999</v>
      </c>
      <c r="H665" s="71">
        <v>45870</v>
      </c>
      <c r="I665" s="69" t="s">
        <v>47</v>
      </c>
      <c r="J665" s="70">
        <v>678.76</v>
      </c>
      <c r="K665" s="70" t="s">
        <v>39</v>
      </c>
      <c r="L665" s="143">
        <v>46279</v>
      </c>
    </row>
    <row r="666" spans="1:12">
      <c r="A666" s="30">
        <v>24455384</v>
      </c>
      <c r="C666" s="69" t="s">
        <v>27</v>
      </c>
      <c r="D666" s="70">
        <v>6262.86</v>
      </c>
      <c r="E666" s="70">
        <v>1738.79</v>
      </c>
      <c r="F666" s="70">
        <f t="shared" ref="F666" si="102">D666*0.3</f>
        <v>1878.8579999999997</v>
      </c>
      <c r="G666" s="70">
        <f t="shared" ref="G666" si="103">(IF(D666&lt;4172.98,0,MIN(D666*0.3,D666-4172.98)))-E666</f>
        <v>140.06799999999976</v>
      </c>
      <c r="H666" s="71">
        <v>46204</v>
      </c>
      <c r="I666" s="69" t="s">
        <v>75</v>
      </c>
      <c r="J666" s="70">
        <v>1738.79</v>
      </c>
      <c r="K666" s="70" t="s">
        <v>98</v>
      </c>
      <c r="L666" s="143">
        <v>46279</v>
      </c>
    </row>
    <row r="667" spans="1:12">
      <c r="A667" s="30">
        <v>24456472</v>
      </c>
      <c r="C667" s="69" t="s">
        <v>54</v>
      </c>
      <c r="D667" s="70">
        <v>9760.32</v>
      </c>
      <c r="E667" s="70"/>
      <c r="F667" s="70">
        <f>D667*0.3</f>
        <v>2928.096</v>
      </c>
      <c r="G667" s="70">
        <f>(IF(D667&lt;4172.98,0,MIN(D667*0.3,D667-4172.98)))-E667</f>
        <v>2928.096</v>
      </c>
      <c r="H667" s="69"/>
      <c r="I667" s="69"/>
      <c r="J667" s="70"/>
      <c r="K667" s="70" t="s">
        <v>1091</v>
      </c>
      <c r="L667" s="143">
        <v>46279</v>
      </c>
    </row>
    <row r="668" spans="1:12">
      <c r="A668" s="72">
        <v>24453148</v>
      </c>
      <c r="B668">
        <v>5216672355141</v>
      </c>
      <c r="C668" s="69" t="s">
        <v>54</v>
      </c>
      <c r="D668" s="70">
        <v>10636.54</v>
      </c>
      <c r="E668" s="70"/>
      <c r="F668" s="70">
        <v>3190.962</v>
      </c>
      <c r="G668" s="70">
        <v>3190.962</v>
      </c>
      <c r="H668" s="69"/>
      <c r="I668" s="69"/>
      <c r="J668" s="70"/>
      <c r="K668" s="70" t="s">
        <v>348</v>
      </c>
      <c r="L668" s="143">
        <v>46279</v>
      </c>
    </row>
    <row r="669" spans="1:12">
      <c r="A669" s="30">
        <v>24457256</v>
      </c>
      <c r="C669" s="69" t="s">
        <v>54</v>
      </c>
      <c r="D669" s="70">
        <v>8624.2199999999993</v>
      </c>
      <c r="E669" s="70"/>
      <c r="F669" s="70">
        <f>D669*0.3</f>
        <v>2587.2659999999996</v>
      </c>
      <c r="G669" s="70">
        <f>(IF(D669&lt;4172.98,0,MIN(D669*0.3,D669-4172.98)))-E669</f>
        <v>2587.2659999999996</v>
      </c>
      <c r="H669" s="69"/>
      <c r="I669" s="69"/>
      <c r="J669" s="70"/>
      <c r="K669" s="70" t="s">
        <v>95</v>
      </c>
      <c r="L669" s="143">
        <v>46279</v>
      </c>
    </row>
    <row r="670" spans="1:12">
      <c r="A670" s="72">
        <v>24456524</v>
      </c>
      <c r="B670">
        <v>24456524</v>
      </c>
      <c r="C670" s="69" t="s">
        <v>54</v>
      </c>
      <c r="D670" s="70">
        <v>10636.54</v>
      </c>
      <c r="E670" s="70"/>
      <c r="F670" s="70">
        <v>3190.962</v>
      </c>
      <c r="G670" s="70">
        <v>3190.962</v>
      </c>
      <c r="H670" s="69"/>
      <c r="I670" s="69"/>
      <c r="J670" s="70"/>
      <c r="K670" s="70" t="s">
        <v>1946</v>
      </c>
      <c r="L670" s="143">
        <v>46279</v>
      </c>
    </row>
    <row r="671" spans="1:12">
      <c r="A671" s="72">
        <v>24423322</v>
      </c>
      <c r="B671">
        <v>5518126696</v>
      </c>
      <c r="C671" s="69" t="s">
        <v>38</v>
      </c>
      <c r="D671" s="70">
        <v>41132.89</v>
      </c>
      <c r="E671" s="70">
        <v>11898.98</v>
      </c>
      <c r="F671" s="70">
        <v>12339.867</v>
      </c>
      <c r="G671" s="70">
        <v>440.88700000000063</v>
      </c>
      <c r="H671" s="69">
        <v>46661</v>
      </c>
      <c r="I671" s="69" t="s">
        <v>77</v>
      </c>
      <c r="J671" s="70">
        <v>11898.98</v>
      </c>
      <c r="K671" s="70" t="s">
        <v>95</v>
      </c>
      <c r="L671" s="143">
        <v>46279</v>
      </c>
    </row>
    <row r="672" spans="1:12">
      <c r="A672" s="12">
        <v>24458290</v>
      </c>
      <c r="C672" s="69" t="s">
        <v>34</v>
      </c>
      <c r="D672" s="70">
        <v>33497.56</v>
      </c>
      <c r="E672" s="70">
        <v>10049.27</v>
      </c>
      <c r="F672" s="70">
        <f t="shared" ref="F672:F675" si="104">D672*0.3</f>
        <v>10049.267999999998</v>
      </c>
      <c r="G672" s="70">
        <f t="shared" ref="G672:G675" si="105">(IF(D672&lt;4172.98,0,MIN(D672*0.3,D672-4172.98)))-E672</f>
        <v>-2.000000002226443E-3</v>
      </c>
      <c r="H672" s="71">
        <v>46082</v>
      </c>
      <c r="I672" s="69" t="s">
        <v>141</v>
      </c>
      <c r="J672" s="70">
        <v>412.79</v>
      </c>
      <c r="K672" s="70" t="s">
        <v>35</v>
      </c>
      <c r="L672" s="143">
        <v>46280</v>
      </c>
    </row>
    <row r="673" spans="1:12">
      <c r="A673" s="12">
        <v>24462272</v>
      </c>
      <c r="C673" s="69" t="s">
        <v>54</v>
      </c>
      <c r="D673" s="70">
        <v>11072.1</v>
      </c>
      <c r="E673" s="70"/>
      <c r="F673" s="70">
        <f t="shared" si="104"/>
        <v>3321.63</v>
      </c>
      <c r="G673" s="70">
        <f t="shared" si="105"/>
        <v>3321.63</v>
      </c>
      <c r="H673" s="69"/>
      <c r="I673" s="69"/>
      <c r="J673" s="70"/>
      <c r="K673" s="70" t="s">
        <v>1808</v>
      </c>
      <c r="L673" s="143">
        <v>46280</v>
      </c>
    </row>
    <row r="674" spans="1:12">
      <c r="A674" s="12">
        <v>24462476</v>
      </c>
      <c r="C674" s="69" t="s">
        <v>107</v>
      </c>
      <c r="D674" s="70">
        <v>65123.91</v>
      </c>
      <c r="E674" s="70">
        <v>19536.72</v>
      </c>
      <c r="F674" s="70">
        <f t="shared" si="104"/>
        <v>19537.172999999999</v>
      </c>
      <c r="G674" s="70">
        <f t="shared" si="105"/>
        <v>0.4529999999977008</v>
      </c>
      <c r="H674" s="71">
        <v>46235</v>
      </c>
      <c r="I674" s="69" t="s">
        <v>75</v>
      </c>
      <c r="J674" s="70">
        <v>1030</v>
      </c>
      <c r="K674" s="70" t="s">
        <v>39</v>
      </c>
      <c r="L674" s="143">
        <v>46280</v>
      </c>
    </row>
    <row r="675" spans="1:12">
      <c r="A675" s="12">
        <v>24470210</v>
      </c>
      <c r="C675" s="69" t="s">
        <v>27</v>
      </c>
      <c r="D675" s="70">
        <v>9800.73</v>
      </c>
      <c r="E675" s="70">
        <v>2936.7</v>
      </c>
      <c r="F675" s="70">
        <f t="shared" si="104"/>
        <v>2940.2189999999996</v>
      </c>
      <c r="G675" s="70">
        <f t="shared" si="105"/>
        <v>3.5189999999997781</v>
      </c>
      <c r="H675" s="71">
        <v>46113</v>
      </c>
      <c r="I675" s="69" t="s">
        <v>1312</v>
      </c>
      <c r="J675" s="70">
        <v>1702.31</v>
      </c>
      <c r="K675" s="70" t="s">
        <v>2059</v>
      </c>
      <c r="L675" s="143">
        <v>46280</v>
      </c>
    </row>
    <row r="676" spans="1:12">
      <c r="A676" s="30">
        <v>24473934</v>
      </c>
      <c r="C676" s="69" t="s">
        <v>54</v>
      </c>
      <c r="D676" s="70">
        <v>8599.2999999999993</v>
      </c>
      <c r="E676" s="70"/>
      <c r="F676" s="70">
        <f>D676*0.3</f>
        <v>2579.7899999999995</v>
      </c>
      <c r="G676" s="70">
        <f>(IF(D676&lt;4172.98,0,MIN(D676*0.3,D676-4172.98)))-E676</f>
        <v>2579.7899999999995</v>
      </c>
      <c r="H676" s="69"/>
      <c r="I676" s="69"/>
      <c r="J676" s="70"/>
      <c r="K676" s="70" t="s">
        <v>1910</v>
      </c>
      <c r="L676" s="143">
        <v>46280</v>
      </c>
    </row>
    <row r="677" spans="1:12">
      <c r="A677" s="72">
        <v>24433794</v>
      </c>
      <c r="B677">
        <v>5212282284613</v>
      </c>
      <c r="C677" s="69" t="s">
        <v>27</v>
      </c>
      <c r="D677" s="70">
        <v>18588.330000000002</v>
      </c>
      <c r="E677" s="70">
        <v>5373.54</v>
      </c>
      <c r="F677" s="70">
        <v>5576.4990000000007</v>
      </c>
      <c r="G677" s="70">
        <v>202.95900000000074</v>
      </c>
      <c r="H677" s="69">
        <v>46266</v>
      </c>
      <c r="I677" s="69" t="s">
        <v>80</v>
      </c>
      <c r="J677" s="70">
        <v>3060.26</v>
      </c>
      <c r="K677" s="70" t="s">
        <v>2059</v>
      </c>
      <c r="L677" s="143">
        <v>46280</v>
      </c>
    </row>
    <row r="678" spans="1:12">
      <c r="A678" s="72">
        <v>24371460</v>
      </c>
      <c r="B678">
        <v>5657851969</v>
      </c>
      <c r="C678" s="69" t="s">
        <v>107</v>
      </c>
      <c r="D678" s="70">
        <v>5617.64</v>
      </c>
      <c r="E678" s="70">
        <v>1387.65</v>
      </c>
      <c r="F678" s="70">
        <v>1685.2920000000001</v>
      </c>
      <c r="G678" s="70">
        <v>57.010000000000673</v>
      </c>
      <c r="H678" s="69">
        <v>45444</v>
      </c>
      <c r="I678" s="69" t="s">
        <v>1970</v>
      </c>
      <c r="J678" s="70">
        <v>444.72</v>
      </c>
      <c r="K678" s="70" t="s">
        <v>39</v>
      </c>
      <c r="L678" s="143">
        <v>46280</v>
      </c>
    </row>
    <row r="679" spans="1:12">
      <c r="A679" s="30">
        <v>24432148</v>
      </c>
      <c r="C679" s="69" t="s">
        <v>27</v>
      </c>
      <c r="D679" s="70">
        <v>26737.72</v>
      </c>
      <c r="E679" s="70">
        <v>7090.74</v>
      </c>
      <c r="F679" s="70">
        <f>D679*0.3</f>
        <v>8021.3159999999998</v>
      </c>
      <c r="G679" s="70">
        <f>(IF(D679&lt;4172.98,0,MIN(D679*0.3,D679-4172.98)))-E679</f>
        <v>930.57600000000002</v>
      </c>
      <c r="H679" s="71">
        <v>45962</v>
      </c>
      <c r="I679" s="69" t="s">
        <v>47</v>
      </c>
      <c r="J679" s="70">
        <v>7090.74</v>
      </c>
      <c r="K679" s="70" t="s">
        <v>2059</v>
      </c>
      <c r="L679" s="143">
        <v>46280</v>
      </c>
    </row>
    <row r="680" spans="1:12">
      <c r="A680" s="12">
        <v>24217770</v>
      </c>
      <c r="C680" s="69" t="s">
        <v>34</v>
      </c>
      <c r="D680" s="70">
        <v>9760.32</v>
      </c>
      <c r="E680" s="70"/>
      <c r="F680" s="70">
        <f>D680*0.3</f>
        <v>2928.096</v>
      </c>
      <c r="G680" s="70">
        <f>(IF(D680&lt;4172.98,0,MIN(D680*0.3,D680-4172.98)))-E680</f>
        <v>2928.096</v>
      </c>
      <c r="H680" s="71"/>
      <c r="I680" s="69"/>
      <c r="J680" s="70"/>
      <c r="K680" s="70" t="s">
        <v>35</v>
      </c>
      <c r="L680" s="143">
        <v>46280</v>
      </c>
    </row>
    <row r="681" spans="1:12">
      <c r="A681" s="72">
        <v>24471826</v>
      </c>
      <c r="B681">
        <v>5215579470898</v>
      </c>
      <c r="C681" s="69" t="s">
        <v>38</v>
      </c>
      <c r="D681" s="70">
        <v>24862.55</v>
      </c>
      <c r="E681" s="70">
        <v>6595</v>
      </c>
      <c r="F681" s="70">
        <v>7458.7649999999994</v>
      </c>
      <c r="G681" s="70">
        <v>863.76499999999942</v>
      </c>
      <c r="H681" s="69">
        <v>46569</v>
      </c>
      <c r="I681" s="69" t="s">
        <v>44</v>
      </c>
      <c r="J681" s="70">
        <v>6595</v>
      </c>
      <c r="K681" s="70" t="s">
        <v>39</v>
      </c>
      <c r="L681" s="143">
        <v>46280</v>
      </c>
    </row>
    <row r="682" spans="1:12">
      <c r="A682" s="72">
        <v>24456608</v>
      </c>
      <c r="B682">
        <v>5218113206966</v>
      </c>
      <c r="C682" s="69" t="s">
        <v>27</v>
      </c>
      <c r="D682" s="70">
        <v>9418.66</v>
      </c>
      <c r="E682" s="70">
        <v>2317.29</v>
      </c>
      <c r="F682" s="70">
        <v>2825.598</v>
      </c>
      <c r="G682" s="70">
        <v>508.30799999999999</v>
      </c>
      <c r="H682" s="69">
        <v>45627</v>
      </c>
      <c r="I682" s="69" t="s">
        <v>75</v>
      </c>
      <c r="J682" s="70">
        <v>2317.29</v>
      </c>
      <c r="K682" s="70" t="s">
        <v>2059</v>
      </c>
      <c r="L682" s="143">
        <v>46280</v>
      </c>
    </row>
    <row r="683" spans="1:12">
      <c r="A683" s="72">
        <v>24140424</v>
      </c>
      <c r="B683">
        <v>5214811441557</v>
      </c>
      <c r="C683" s="69" t="s">
        <v>54</v>
      </c>
      <c r="D683" s="70">
        <v>10636.54</v>
      </c>
      <c r="E683" s="70"/>
      <c r="F683" s="70">
        <v>3190.962</v>
      </c>
      <c r="G683" s="70">
        <v>3190.962</v>
      </c>
      <c r="H683" s="69"/>
      <c r="I683" s="69"/>
      <c r="J683" s="70"/>
      <c r="K683" s="70" t="s">
        <v>1946</v>
      </c>
      <c r="L683" s="143">
        <v>46280</v>
      </c>
    </row>
    <row r="684" spans="1:12">
      <c r="A684" s="72">
        <v>24194850</v>
      </c>
      <c r="B684">
        <v>5213322147621</v>
      </c>
      <c r="C684" s="69" t="s">
        <v>54</v>
      </c>
      <c r="D684" s="70">
        <v>10636.539999999997</v>
      </c>
      <c r="E684" s="70"/>
      <c r="F684" s="70">
        <v>3190.9619999999991</v>
      </c>
      <c r="G684" s="70">
        <v>3190.9619999999991</v>
      </c>
      <c r="H684" s="69"/>
      <c r="I684" s="69"/>
      <c r="J684" s="70"/>
      <c r="K684" s="70" t="s">
        <v>35</v>
      </c>
      <c r="L684" s="143">
        <v>46280</v>
      </c>
    </row>
    <row r="685" spans="1:12">
      <c r="A685" s="72">
        <v>24377376</v>
      </c>
      <c r="B685">
        <v>5214531377821</v>
      </c>
      <c r="C685" s="69" t="s">
        <v>54</v>
      </c>
      <c r="D685" s="70">
        <v>10636.54</v>
      </c>
      <c r="E685" s="70"/>
      <c r="F685" s="70">
        <v>3190.962</v>
      </c>
      <c r="G685" s="70">
        <v>3190.962</v>
      </c>
      <c r="H685" s="69"/>
      <c r="I685" s="69"/>
      <c r="J685" s="70"/>
      <c r="K685" s="70" t="s">
        <v>1091</v>
      </c>
      <c r="L685" s="143">
        <v>46280</v>
      </c>
    </row>
    <row r="686" spans="1:12">
      <c r="A686" s="72">
        <v>24140380</v>
      </c>
      <c r="B686">
        <v>5214434006657</v>
      </c>
      <c r="C686" s="69" t="s">
        <v>54</v>
      </c>
      <c r="D686" s="70">
        <v>10636.539999999997</v>
      </c>
      <c r="E686" s="70"/>
      <c r="F686" s="70">
        <v>3190.9619999999991</v>
      </c>
      <c r="G686" s="70">
        <v>3190.9619999999991</v>
      </c>
      <c r="H686" s="69"/>
      <c r="I686" s="69"/>
      <c r="J686" s="70"/>
      <c r="K686" s="70" t="s">
        <v>28</v>
      </c>
      <c r="L686" s="143">
        <v>46280</v>
      </c>
    </row>
    <row r="687" spans="1:12">
      <c r="A687" s="30">
        <v>24484342</v>
      </c>
      <c r="C687" s="69" t="s">
        <v>54</v>
      </c>
      <c r="D687" s="70">
        <f>26236.79-15600</f>
        <v>10636.79</v>
      </c>
      <c r="E687" s="70"/>
      <c r="F687" s="70">
        <f>D687*0.3</f>
        <v>3191.0370000000003</v>
      </c>
      <c r="G687" s="70">
        <f>(IF(D687&lt;4172.98,0,MIN(D687*0.3,D687-4172.98)))-E687</f>
        <v>3191.0370000000003</v>
      </c>
      <c r="H687" s="69"/>
      <c r="I687" s="69"/>
      <c r="J687" s="70"/>
      <c r="K687" s="70" t="s">
        <v>28</v>
      </c>
      <c r="L687" s="143">
        <v>46280</v>
      </c>
    </row>
    <row r="688" spans="1:12">
      <c r="A688" s="30">
        <v>24485694</v>
      </c>
      <c r="C688" s="69" t="s">
        <v>54</v>
      </c>
      <c r="D688" s="70">
        <v>10636.54</v>
      </c>
      <c r="E688" s="70"/>
      <c r="F688" s="70">
        <f>D688*0.3</f>
        <v>3190.962</v>
      </c>
      <c r="G688" s="70">
        <f>(IF(D688&lt;4172.98,0,MIN(D688*0.3,D688-4172.98)))-E688</f>
        <v>3190.962</v>
      </c>
      <c r="H688" s="69"/>
      <c r="I688" s="69"/>
      <c r="J688" s="70"/>
      <c r="K688" s="70" t="s">
        <v>327</v>
      </c>
      <c r="L688" s="143">
        <v>46280</v>
      </c>
    </row>
    <row r="689" spans="1:12">
      <c r="A689" s="72">
        <v>24363678</v>
      </c>
      <c r="B689">
        <v>5216692643582</v>
      </c>
      <c r="C689" s="69" t="s">
        <v>38</v>
      </c>
      <c r="D689" s="70">
        <v>4813.6899999999996</v>
      </c>
      <c r="E689" s="70"/>
      <c r="F689" s="70">
        <v>1444.1069999999997</v>
      </c>
      <c r="G689" s="70">
        <v>640.71</v>
      </c>
      <c r="H689" s="69"/>
      <c r="I689" s="69"/>
      <c r="J689" s="70"/>
      <c r="K689" s="70" t="s">
        <v>1946</v>
      </c>
      <c r="L689" s="143">
        <v>46280</v>
      </c>
    </row>
    <row r="690" spans="1:12">
      <c r="A690" s="12">
        <v>24489418</v>
      </c>
      <c r="C690" s="69" t="s">
        <v>54</v>
      </c>
      <c r="D690" s="70">
        <f>8881.32+879</f>
        <v>9760.32</v>
      </c>
      <c r="E690" s="70">
        <v>879</v>
      </c>
      <c r="F690" s="70">
        <f t="shared" ref="F690:F691" si="106">D690*0.3</f>
        <v>2928.096</v>
      </c>
      <c r="G690" s="70">
        <f t="shared" ref="G690:G691" si="107">(IF(D690&lt;4172.98,0,MIN(D690*0.3,D690-4172.98)))-E690</f>
        <v>2049.096</v>
      </c>
      <c r="H690" s="69"/>
      <c r="I690" s="69"/>
      <c r="J690" s="70"/>
      <c r="K690" s="70" t="s">
        <v>55</v>
      </c>
      <c r="L690" s="143">
        <v>46280</v>
      </c>
    </row>
    <row r="691" spans="1:12">
      <c r="A691" s="30">
        <v>24489344</v>
      </c>
      <c r="C691" s="69" t="s">
        <v>107</v>
      </c>
      <c r="D691" s="70">
        <v>4306.5</v>
      </c>
      <c r="E691" s="70">
        <v>373.64</v>
      </c>
      <c r="F691" s="70">
        <f t="shared" si="106"/>
        <v>1291.95</v>
      </c>
      <c r="G691" s="70">
        <f t="shared" si="107"/>
        <v>-240.11999999999955</v>
      </c>
      <c r="H691" s="71">
        <v>45689</v>
      </c>
      <c r="I691" s="69" t="s">
        <v>44</v>
      </c>
      <c r="J691" s="70">
        <v>373.64</v>
      </c>
      <c r="K691" s="70" t="s">
        <v>39</v>
      </c>
      <c r="L691" s="143">
        <v>46280</v>
      </c>
    </row>
    <row r="692" spans="1:12">
      <c r="A692" s="72">
        <v>24232976</v>
      </c>
      <c r="B692">
        <v>5215513107083</v>
      </c>
      <c r="C692" s="69" t="s">
        <v>54</v>
      </c>
      <c r="D692" s="70">
        <v>10636.54</v>
      </c>
      <c r="E692" s="70"/>
      <c r="F692" s="70">
        <v>3190.962</v>
      </c>
      <c r="G692" s="70">
        <v>3190.962</v>
      </c>
      <c r="H692" s="69"/>
      <c r="I692" s="69"/>
      <c r="J692" s="70"/>
      <c r="K692" s="70" t="s">
        <v>98</v>
      </c>
      <c r="L692" s="143">
        <v>46280</v>
      </c>
    </row>
    <row r="693" spans="1:12">
      <c r="A693" s="30">
        <v>24489612</v>
      </c>
      <c r="C693" s="69" t="s">
        <v>38</v>
      </c>
      <c r="D693" s="70">
        <v>40567.769999999997</v>
      </c>
      <c r="E693" s="70">
        <v>11352.7</v>
      </c>
      <c r="F693" s="70">
        <f t="shared" ref="F693" si="108">D693*0.3</f>
        <v>12170.330999999998</v>
      </c>
      <c r="G693" s="70">
        <f t="shared" ref="G693" si="109">(IF(D693&lt;4172.98,0,MIN(D693*0.3,D693-4172.98)))-E693</f>
        <v>817.63099999999758</v>
      </c>
      <c r="H693" s="71">
        <v>46813</v>
      </c>
      <c r="I693" s="69" t="s">
        <v>75</v>
      </c>
      <c r="J693" s="70">
        <v>5984.97</v>
      </c>
      <c r="K693" s="70" t="s">
        <v>39</v>
      </c>
      <c r="L693" s="143">
        <v>46280</v>
      </c>
    </row>
    <row r="694" spans="1:12">
      <c r="A694" s="30">
        <v>24489616</v>
      </c>
      <c r="C694" s="69" t="s">
        <v>54</v>
      </c>
      <c r="D694" s="70">
        <v>12899.75</v>
      </c>
      <c r="E694" s="70"/>
      <c r="F694" s="70">
        <f>D694*0.3</f>
        <v>3869.9249999999997</v>
      </c>
      <c r="G694" s="70">
        <f>(IF(D694&lt;4172.98,0,MIN(D694*0.3,D694-4172.98)))-E694</f>
        <v>3869.9249999999997</v>
      </c>
      <c r="H694" s="69"/>
      <c r="I694" s="69"/>
      <c r="J694" s="70"/>
      <c r="K694" s="70" t="s">
        <v>90</v>
      </c>
      <c r="L694" s="143">
        <v>46280</v>
      </c>
    </row>
    <row r="695" spans="1:12">
      <c r="A695" s="30">
        <v>24490080</v>
      </c>
      <c r="C695" s="69" t="s">
        <v>54</v>
      </c>
      <c r="D695" s="70">
        <v>9081.52</v>
      </c>
      <c r="E695" s="70">
        <v>181</v>
      </c>
      <c r="F695" s="70">
        <f t="shared" ref="F695" si="110">D695*0.3</f>
        <v>2724.4560000000001</v>
      </c>
      <c r="G695" s="70">
        <f t="shared" ref="G695" si="111">(IF(D695&lt;4172.98,0,MIN(D695*0.3,D695-4172.98)))-E695</f>
        <v>2543.4560000000001</v>
      </c>
      <c r="H695" s="69"/>
      <c r="I695" s="69"/>
      <c r="J695" s="70"/>
      <c r="K695" s="70" t="s">
        <v>55</v>
      </c>
      <c r="L695" s="143">
        <v>46280</v>
      </c>
    </row>
    <row r="696" spans="1:12">
      <c r="A696" s="30">
        <v>24490368</v>
      </c>
      <c r="C696" s="69" t="s">
        <v>27</v>
      </c>
      <c r="D696" s="70">
        <f>3932.35+235.29+1450</f>
        <v>5617.64</v>
      </c>
      <c r="E696" s="70">
        <f>235.29+1450</f>
        <v>1685.29</v>
      </c>
      <c r="F696" s="70">
        <f>D696*0.3</f>
        <v>1685.2920000000001</v>
      </c>
      <c r="G696" s="70">
        <f>(IF(D696&lt;4172.98,0,MIN(D696*0.3,D696-4172.98)))-E696</f>
        <v>-240.6299999999992</v>
      </c>
      <c r="H696" s="71">
        <v>46235</v>
      </c>
      <c r="I696" s="69" t="s">
        <v>44</v>
      </c>
      <c r="J696" s="70">
        <v>1450</v>
      </c>
      <c r="K696" s="70" t="s">
        <v>2059</v>
      </c>
      <c r="L696" s="143">
        <v>46280</v>
      </c>
    </row>
    <row r="697" spans="1:12">
      <c r="A697" s="30">
        <v>24490566</v>
      </c>
      <c r="C697" s="69" t="s">
        <v>54</v>
      </c>
      <c r="D697" s="70">
        <f>17114.19+5236.14</f>
        <v>22350.329999999998</v>
      </c>
      <c r="E697" s="70">
        <v>5236.1400000000003</v>
      </c>
      <c r="F697" s="70">
        <f>D697*0.3</f>
        <v>6705.0989999999993</v>
      </c>
      <c r="G697" s="70">
        <f>(IF(D697&lt;4172.98,0,MIN(D697*0.3,D697-4172.98)))-E697</f>
        <v>1468.9589999999989</v>
      </c>
      <c r="H697" s="71">
        <v>46966</v>
      </c>
      <c r="I697" s="69" t="s">
        <v>75</v>
      </c>
      <c r="J697" s="70">
        <v>5236.1400000000003</v>
      </c>
      <c r="K697" s="70" t="s">
        <v>98</v>
      </c>
      <c r="L697" s="143">
        <v>46280</v>
      </c>
    </row>
    <row r="698" spans="1:12">
      <c r="A698" s="12">
        <v>24491788</v>
      </c>
      <c r="C698" s="69" t="s">
        <v>54</v>
      </c>
      <c r="D698" s="70">
        <f>10150.02+879</f>
        <v>11029.02</v>
      </c>
      <c r="E698" s="70">
        <v>879</v>
      </c>
      <c r="F698" s="70">
        <f t="shared" ref="F698" si="112">D698*0.3</f>
        <v>3308.7060000000001</v>
      </c>
      <c r="G698" s="70">
        <f t="shared" ref="G698" si="113">(IF(D698&lt;4172.98,0,MIN(D698*0.3,D698-4172.98)))-E698</f>
        <v>2429.7060000000001</v>
      </c>
      <c r="H698" s="69"/>
      <c r="I698" s="69"/>
      <c r="J698" s="70"/>
      <c r="K698" s="70" t="s">
        <v>327</v>
      </c>
      <c r="L698" s="143">
        <v>46282</v>
      </c>
    </row>
    <row r="699" spans="1:12">
      <c r="A699" s="72">
        <v>24490714</v>
      </c>
      <c r="B699">
        <v>5213133294251</v>
      </c>
      <c r="C699" s="69" t="s">
        <v>54</v>
      </c>
      <c r="D699" s="70">
        <v>8539.77</v>
      </c>
      <c r="E699" s="70"/>
      <c r="F699" s="70">
        <v>2561.931</v>
      </c>
      <c r="G699" s="70">
        <v>2561.931</v>
      </c>
      <c r="H699" s="69"/>
      <c r="I699" s="69"/>
      <c r="J699" s="70"/>
      <c r="K699" s="70" t="s">
        <v>1091</v>
      </c>
      <c r="L699" s="143">
        <v>46282</v>
      </c>
    </row>
    <row r="700" spans="1:12">
      <c r="A700" s="173">
        <v>24488246</v>
      </c>
      <c r="B700">
        <v>5216421426329</v>
      </c>
      <c r="C700" t="s">
        <v>54</v>
      </c>
      <c r="D700" s="3">
        <v>7920.51</v>
      </c>
      <c r="E700" s="3">
        <v>848</v>
      </c>
      <c r="F700" s="3">
        <v>2376.1529999999998</v>
      </c>
      <c r="G700" s="3">
        <v>1528.1529999999998</v>
      </c>
      <c r="J700" s="3"/>
      <c r="K700" s="3" t="s">
        <v>886</v>
      </c>
      <c r="L700" s="47">
        <v>46282</v>
      </c>
    </row>
    <row r="701" spans="1:12">
      <c r="A701" s="173">
        <v>24463860</v>
      </c>
      <c r="B701">
        <v>5216145221416</v>
      </c>
      <c r="C701" t="s">
        <v>54</v>
      </c>
      <c r="D701" s="3">
        <v>23314.61</v>
      </c>
      <c r="E701" s="3"/>
      <c r="F701" s="3">
        <v>6994.3829999999998</v>
      </c>
      <c r="G701" s="3">
        <v>6994.3829999999998</v>
      </c>
      <c r="J701" s="3"/>
      <c r="K701" s="3" t="s">
        <v>886</v>
      </c>
      <c r="L701" s="47">
        <v>46282</v>
      </c>
    </row>
    <row r="702" spans="1:12">
      <c r="A702" s="173">
        <v>24497374</v>
      </c>
      <c r="B702">
        <v>6462419600</v>
      </c>
      <c r="C702" t="s">
        <v>27</v>
      </c>
      <c r="D702" s="3">
        <v>17210.88</v>
      </c>
      <c r="E702" s="3">
        <v>4979.5200000000004</v>
      </c>
      <c r="F702" s="3">
        <v>5163.2640000000001</v>
      </c>
      <c r="G702" s="3">
        <v>183.74399999999969</v>
      </c>
      <c r="H702">
        <v>46266</v>
      </c>
      <c r="I702" t="s">
        <v>75</v>
      </c>
      <c r="J702" s="3">
        <v>4456.84</v>
      </c>
      <c r="K702" s="3" t="s">
        <v>2059</v>
      </c>
      <c r="L702" s="47">
        <v>46282</v>
      </c>
    </row>
    <row r="703" spans="1:12">
      <c r="A703" s="72">
        <v>24496366</v>
      </c>
      <c r="B703">
        <v>5213312807264</v>
      </c>
      <c r="C703" s="69" t="s">
        <v>54</v>
      </c>
      <c r="D703" s="70">
        <v>19475.54</v>
      </c>
      <c r="E703" s="70"/>
      <c r="F703" s="70">
        <v>5842.6620000000003</v>
      </c>
      <c r="G703" s="70">
        <v>5842.6620000000003</v>
      </c>
      <c r="H703" s="69"/>
      <c r="I703" s="69"/>
      <c r="J703" s="70"/>
      <c r="K703" s="70" t="s">
        <v>266</v>
      </c>
      <c r="L703" s="143">
        <v>46282</v>
      </c>
    </row>
    <row r="704" spans="1:12">
      <c r="A704" s="173">
        <v>24508078</v>
      </c>
      <c r="B704">
        <v>9661066887</v>
      </c>
      <c r="C704" t="s">
        <v>54</v>
      </c>
      <c r="D704" s="3">
        <v>6262.86</v>
      </c>
      <c r="E704" s="3"/>
      <c r="F704" s="3">
        <v>1878.8579999999997</v>
      </c>
      <c r="G704" s="3">
        <v>1878.8579999999997</v>
      </c>
      <c r="J704" s="3"/>
      <c r="K704" s="3" t="s">
        <v>266</v>
      </c>
      <c r="L704" s="47">
        <v>46282</v>
      </c>
    </row>
    <row r="705" spans="1:12">
      <c r="A705" s="173">
        <v>24505658</v>
      </c>
      <c r="B705">
        <v>7731043133</v>
      </c>
      <c r="C705" t="s">
        <v>54</v>
      </c>
      <c r="D705" s="3">
        <v>10636.54</v>
      </c>
      <c r="E705" s="3"/>
      <c r="F705" s="3">
        <v>3190.962</v>
      </c>
      <c r="G705" s="3">
        <v>3190.962</v>
      </c>
      <c r="J705" s="3"/>
      <c r="K705" s="3" t="s">
        <v>879</v>
      </c>
      <c r="L705" s="47">
        <v>46282</v>
      </c>
    </row>
    <row r="706" spans="1:12">
      <c r="A706" s="173">
        <v>24507922</v>
      </c>
      <c r="B706">
        <v>4445748342</v>
      </c>
      <c r="C706" t="s">
        <v>107</v>
      </c>
      <c r="D706" s="3">
        <v>5617.63</v>
      </c>
      <c r="E706" s="3">
        <v>1443.58</v>
      </c>
      <c r="F706" s="3">
        <v>1685.289</v>
      </c>
      <c r="G706" s="3">
        <v>1.0700000000006185</v>
      </c>
      <c r="H706">
        <v>46266</v>
      </c>
      <c r="I706" t="s">
        <v>47</v>
      </c>
      <c r="J706" s="3">
        <v>1191.58</v>
      </c>
      <c r="K706" s="3" t="s">
        <v>39</v>
      </c>
      <c r="L706" s="47">
        <v>46282</v>
      </c>
    </row>
    <row r="707" spans="1:12">
      <c r="A707" s="72">
        <v>24509532</v>
      </c>
      <c r="B707">
        <v>5216561747299</v>
      </c>
      <c r="C707" s="69" t="s">
        <v>27</v>
      </c>
      <c r="D707" s="70">
        <v>6422.04</v>
      </c>
      <c r="E707" s="70">
        <v>1700.33</v>
      </c>
      <c r="F707" s="70">
        <v>1926.6119999999999</v>
      </c>
      <c r="G707" s="70">
        <v>226.28199999999993</v>
      </c>
      <c r="H707" s="69">
        <v>45839</v>
      </c>
      <c r="I707" s="69" t="s">
        <v>44</v>
      </c>
      <c r="J707" s="70">
        <v>1700.33</v>
      </c>
      <c r="K707" s="70" t="s">
        <v>1080</v>
      </c>
      <c r="L707" s="143">
        <v>46282</v>
      </c>
    </row>
    <row r="708" spans="1:12">
      <c r="A708" s="173">
        <v>24508832</v>
      </c>
      <c r="B708">
        <v>5216142196223</v>
      </c>
      <c r="C708" t="s">
        <v>54</v>
      </c>
      <c r="D708" s="3">
        <v>9760.32</v>
      </c>
      <c r="E708" s="3"/>
      <c r="F708" s="3">
        <v>2928.096</v>
      </c>
      <c r="G708" s="3">
        <v>2928.096</v>
      </c>
      <c r="J708" s="3"/>
      <c r="K708" s="3" t="s">
        <v>879</v>
      </c>
      <c r="L708" s="47">
        <v>46282</v>
      </c>
    </row>
    <row r="709" spans="1:12">
      <c r="A709" s="72">
        <v>24500766</v>
      </c>
      <c r="B709">
        <v>5212282364165</v>
      </c>
      <c r="C709" s="69" t="s">
        <v>27</v>
      </c>
      <c r="D709" s="70">
        <v>13932.79</v>
      </c>
      <c r="E709" s="70">
        <v>4025.34</v>
      </c>
      <c r="F709" s="70">
        <v>4179.8370000000004</v>
      </c>
      <c r="G709" s="70">
        <v>154.4970000000003</v>
      </c>
      <c r="H709" s="69">
        <v>46266</v>
      </c>
      <c r="I709" s="69" t="s">
        <v>75</v>
      </c>
      <c r="J709" s="70">
        <v>1489</v>
      </c>
      <c r="K709" s="70" t="s">
        <v>1080</v>
      </c>
      <c r="L709" s="143">
        <v>46282</v>
      </c>
    </row>
    <row r="710" spans="1:12">
      <c r="A710" s="173">
        <v>24506160</v>
      </c>
      <c r="B710">
        <v>5216145100893</v>
      </c>
      <c r="C710" t="s">
        <v>107</v>
      </c>
      <c r="D710" s="3">
        <v>6261.96</v>
      </c>
      <c r="E710" s="3">
        <v>1806.85</v>
      </c>
      <c r="F710" s="3">
        <v>1878.588</v>
      </c>
      <c r="G710" s="3">
        <v>71.738000000000056</v>
      </c>
      <c r="H710">
        <v>46204</v>
      </c>
      <c r="I710" t="s">
        <v>80</v>
      </c>
      <c r="J710" s="3">
        <v>1067.8499999999999</v>
      </c>
      <c r="K710" s="3" t="s">
        <v>39</v>
      </c>
      <c r="L710" s="47">
        <v>46282</v>
      </c>
    </row>
    <row r="711" spans="1:12">
      <c r="A711" s="173">
        <v>24491252</v>
      </c>
      <c r="B711">
        <v>5218661015469</v>
      </c>
      <c r="C711" t="s">
        <v>27</v>
      </c>
      <c r="D711" s="3">
        <v>23463.16</v>
      </c>
      <c r="E711" s="3">
        <v>7038.15</v>
      </c>
      <c r="F711" s="3">
        <v>7038.9479999999994</v>
      </c>
      <c r="G711" s="3">
        <v>0.79799999999977445</v>
      </c>
      <c r="H711">
        <v>46266</v>
      </c>
      <c r="I711" t="s">
        <v>210</v>
      </c>
      <c r="J711" s="3">
        <v>1412.88</v>
      </c>
      <c r="K711" s="3" t="s">
        <v>98</v>
      </c>
      <c r="L711" s="47">
        <v>46282</v>
      </c>
    </row>
    <row r="712" spans="1:12">
      <c r="A712" s="173">
        <v>24492772</v>
      </c>
      <c r="B712">
        <v>5217491065607</v>
      </c>
      <c r="C712" t="s">
        <v>54</v>
      </c>
      <c r="D712" s="3">
        <v>8346.31</v>
      </c>
      <c r="E712" s="3"/>
      <c r="F712" s="3">
        <v>2503.8929999999996</v>
      </c>
      <c r="G712" s="3">
        <v>2503.8929999999996</v>
      </c>
      <c r="J712" s="3"/>
      <c r="K712" s="3" t="s">
        <v>1091</v>
      </c>
      <c r="L712" s="47">
        <v>46282</v>
      </c>
    </row>
    <row r="713" spans="1:12">
      <c r="A713" s="173">
        <v>24507444</v>
      </c>
      <c r="B713">
        <v>5217208496312</v>
      </c>
      <c r="C713" t="s">
        <v>54</v>
      </c>
      <c r="D713" s="3">
        <v>10636.54</v>
      </c>
      <c r="E713" s="3"/>
      <c r="F713" s="3">
        <v>3190.962</v>
      </c>
      <c r="G713" s="3">
        <v>3190.962</v>
      </c>
      <c r="J713" s="3"/>
      <c r="K713" s="3" t="s">
        <v>348</v>
      </c>
      <c r="L713" s="47">
        <v>46282</v>
      </c>
    </row>
    <row r="714" spans="1:12">
      <c r="A714" s="12">
        <v>24492134</v>
      </c>
      <c r="C714" s="69" t="s">
        <v>107</v>
      </c>
      <c r="D714" s="70">
        <v>4690.01</v>
      </c>
      <c r="E714" s="70">
        <v>455.15</v>
      </c>
      <c r="F714" s="70">
        <f t="shared" ref="F714:F720" si="114">D714*0.3</f>
        <v>1407.0029999999999</v>
      </c>
      <c r="G714" s="70">
        <f t="shared" ref="G714:G720" si="115">(IF(D714&lt;4172.98,0,MIN(D714*0.3,D714-4172.98)))-E714</f>
        <v>61.880000000000678</v>
      </c>
      <c r="H714" s="71">
        <v>45778</v>
      </c>
      <c r="I714" s="69" t="s">
        <v>80</v>
      </c>
      <c r="J714" s="70">
        <v>455.15</v>
      </c>
      <c r="K714" s="70" t="s">
        <v>39</v>
      </c>
      <c r="L714" s="143">
        <v>46282</v>
      </c>
    </row>
    <row r="715" spans="1:12">
      <c r="A715" s="12">
        <v>24501856</v>
      </c>
      <c r="C715" s="69" t="s">
        <v>107</v>
      </c>
      <c r="D715" s="70">
        <v>11578.52</v>
      </c>
      <c r="E715" s="70">
        <v>3349.94</v>
      </c>
      <c r="F715" s="70">
        <f t="shared" si="114"/>
        <v>3473.556</v>
      </c>
      <c r="G715" s="70">
        <f t="shared" si="115"/>
        <v>123.61599999999999</v>
      </c>
      <c r="H715" s="71">
        <v>46023</v>
      </c>
      <c r="I715" s="69" t="s">
        <v>2104</v>
      </c>
      <c r="J715" s="70">
        <f>886.34+220.99</f>
        <v>1107.33</v>
      </c>
      <c r="K715" s="70" t="s">
        <v>39</v>
      </c>
      <c r="L715" s="143">
        <v>46282</v>
      </c>
    </row>
    <row r="716" spans="1:12">
      <c r="A716" s="12">
        <v>24492032</v>
      </c>
      <c r="C716" s="69" t="s">
        <v>34</v>
      </c>
      <c r="D716" s="70">
        <v>6521.54</v>
      </c>
      <c r="E716" s="70">
        <v>1884.71</v>
      </c>
      <c r="F716" s="70">
        <f t="shared" si="114"/>
        <v>1956.462</v>
      </c>
      <c r="G716" s="70">
        <f t="shared" si="115"/>
        <v>71.751999999999953</v>
      </c>
      <c r="H716" s="71">
        <v>45536</v>
      </c>
      <c r="I716" s="69" t="s">
        <v>57</v>
      </c>
      <c r="J716" s="70">
        <v>406.67</v>
      </c>
      <c r="K716" s="70" t="s">
        <v>35</v>
      </c>
      <c r="L716" s="143">
        <v>46282</v>
      </c>
    </row>
    <row r="717" spans="1:12">
      <c r="A717" s="12">
        <v>24496870</v>
      </c>
      <c r="C717" s="69" t="s">
        <v>27</v>
      </c>
      <c r="D717" s="70">
        <v>9081.52</v>
      </c>
      <c r="E717" s="70">
        <v>2521.06</v>
      </c>
      <c r="F717" s="70">
        <f t="shared" si="114"/>
        <v>2724.4560000000001</v>
      </c>
      <c r="G717" s="70">
        <f t="shared" si="115"/>
        <v>203.39600000000019</v>
      </c>
      <c r="H717" s="71">
        <v>46235</v>
      </c>
      <c r="I717" s="69" t="s">
        <v>44</v>
      </c>
      <c r="J717" s="70">
        <v>2521.06</v>
      </c>
      <c r="K717" s="70" t="s">
        <v>2059</v>
      </c>
      <c r="L717" s="143">
        <v>46282</v>
      </c>
    </row>
    <row r="718" spans="1:12">
      <c r="A718" s="12">
        <v>24508908</v>
      </c>
      <c r="C718" s="69" t="s">
        <v>27</v>
      </c>
      <c r="D718" s="70">
        <v>7116.73</v>
      </c>
      <c r="E718" s="70">
        <v>1748.45</v>
      </c>
      <c r="F718" s="70">
        <f t="shared" si="114"/>
        <v>2135.0189999999998</v>
      </c>
      <c r="G718" s="70">
        <f t="shared" si="115"/>
        <v>386.56899999999973</v>
      </c>
      <c r="H718" s="71">
        <v>45474</v>
      </c>
      <c r="I718" s="69" t="s">
        <v>44</v>
      </c>
      <c r="J718" s="70">
        <v>1748.45</v>
      </c>
      <c r="K718" s="70" t="s">
        <v>98</v>
      </c>
      <c r="L718" s="143">
        <v>46282</v>
      </c>
    </row>
    <row r="719" spans="1:12">
      <c r="A719" s="12">
        <v>24510940</v>
      </c>
      <c r="C719" s="69" t="s">
        <v>38</v>
      </c>
      <c r="D719" s="70">
        <v>6163.55</v>
      </c>
      <c r="E719" s="70">
        <v>1108.53</v>
      </c>
      <c r="F719" s="70">
        <f t="shared" si="114"/>
        <v>1849.0650000000001</v>
      </c>
      <c r="G719" s="70">
        <f t="shared" si="115"/>
        <v>740.53500000000008</v>
      </c>
      <c r="H719" s="71">
        <v>46357</v>
      </c>
      <c r="I719" s="69" t="s">
        <v>59</v>
      </c>
      <c r="J719" s="70">
        <v>949</v>
      </c>
      <c r="K719" s="70" t="s">
        <v>39</v>
      </c>
      <c r="L719" s="143">
        <v>46282</v>
      </c>
    </row>
    <row r="720" spans="1:12">
      <c r="A720" s="12">
        <v>24514920</v>
      </c>
      <c r="C720" s="69" t="s">
        <v>38</v>
      </c>
      <c r="D720" s="70">
        <f>4504.84+879</f>
        <v>5383.84</v>
      </c>
      <c r="E720" s="70">
        <v>879</v>
      </c>
      <c r="F720" s="70">
        <f t="shared" si="114"/>
        <v>1615.152</v>
      </c>
      <c r="G720" s="70">
        <f t="shared" si="115"/>
        <v>331.86000000000058</v>
      </c>
      <c r="H720" s="69"/>
      <c r="I720" s="69"/>
      <c r="J720" s="70"/>
      <c r="K720" s="70" t="s">
        <v>39</v>
      </c>
      <c r="L720" s="143">
        <v>46282</v>
      </c>
    </row>
    <row r="721" spans="1:12">
      <c r="A721" s="30">
        <v>24549952</v>
      </c>
      <c r="C721" s="69" t="s">
        <v>54</v>
      </c>
      <c r="D721" s="70">
        <v>6411.47</v>
      </c>
      <c r="E721" s="70"/>
      <c r="F721" s="70">
        <f>D721*0.3</f>
        <v>1923.441</v>
      </c>
      <c r="G721" s="70">
        <f>(IF(D721&lt;4172.98,0,MIN(D721*0.3,D721-4172.98)))-E721</f>
        <v>1923.441</v>
      </c>
      <c r="H721" s="69"/>
      <c r="I721" s="69"/>
      <c r="J721" s="70"/>
      <c r="K721" s="70" t="s">
        <v>62</v>
      </c>
      <c r="L721" s="143">
        <v>46282</v>
      </c>
    </row>
    <row r="722" spans="1:12">
      <c r="A722" s="12">
        <v>24512724</v>
      </c>
      <c r="C722" s="69" t="s">
        <v>54</v>
      </c>
      <c r="D722" s="70">
        <v>31718.23</v>
      </c>
      <c r="E722" s="70">
        <v>4158.96</v>
      </c>
      <c r="F722" s="70">
        <f t="shared" ref="F722:F728" si="116">D722*0.3</f>
        <v>9515.4689999999991</v>
      </c>
      <c r="G722" s="70">
        <f t="shared" ref="G722:G728" si="117">(IF(D722&lt;4172.98,0,MIN(D722*0.3,D722-4172.98)))-E722</f>
        <v>5356.5089999999991</v>
      </c>
      <c r="H722" s="71">
        <v>46419</v>
      </c>
      <c r="I722" s="69" t="s">
        <v>80</v>
      </c>
      <c r="J722" s="70">
        <v>4158.96</v>
      </c>
      <c r="K722" s="70" t="s">
        <v>55</v>
      </c>
      <c r="L722" s="143">
        <v>46282</v>
      </c>
    </row>
    <row r="723" spans="1:12">
      <c r="A723" s="12">
        <v>24513218</v>
      </c>
      <c r="C723" s="69" t="s">
        <v>107</v>
      </c>
      <c r="D723" s="70">
        <v>6988.79</v>
      </c>
      <c r="E723" s="70">
        <v>2020.98</v>
      </c>
      <c r="F723" s="70">
        <f t="shared" si="116"/>
        <v>2096.6369999999997</v>
      </c>
      <c r="G723" s="70">
        <f t="shared" si="117"/>
        <v>75.656999999999698</v>
      </c>
      <c r="H723" s="71">
        <v>46082</v>
      </c>
      <c r="I723" s="69" t="s">
        <v>47</v>
      </c>
      <c r="J723" s="70">
        <v>870.98</v>
      </c>
      <c r="K723" s="70" t="s">
        <v>39</v>
      </c>
      <c r="L723" s="143">
        <v>46282</v>
      </c>
    </row>
    <row r="724" spans="1:12">
      <c r="A724" s="12">
        <v>24513800</v>
      </c>
      <c r="C724" s="69" t="s">
        <v>34</v>
      </c>
      <c r="D724" s="70">
        <v>6262.86</v>
      </c>
      <c r="E724" s="70">
        <v>1738.79</v>
      </c>
      <c r="F724" s="70">
        <f t="shared" si="116"/>
        <v>1878.8579999999997</v>
      </c>
      <c r="G724" s="70">
        <f t="shared" si="117"/>
        <v>140.06799999999976</v>
      </c>
      <c r="H724" s="71">
        <v>46174</v>
      </c>
      <c r="I724" s="69" t="s">
        <v>2116</v>
      </c>
      <c r="J724" s="70">
        <v>1738.79</v>
      </c>
      <c r="K724" s="70" t="s">
        <v>35</v>
      </c>
      <c r="L724" s="143">
        <v>46282</v>
      </c>
    </row>
    <row r="725" spans="1:12">
      <c r="A725" s="12">
        <v>24536350</v>
      </c>
      <c r="C725" s="69" t="s">
        <v>54</v>
      </c>
      <c r="D725" s="70">
        <v>46027.12</v>
      </c>
      <c r="E725" s="70">
        <v>8977.4599999999991</v>
      </c>
      <c r="F725" s="70">
        <f t="shared" si="116"/>
        <v>13808.136</v>
      </c>
      <c r="G725" s="70">
        <f t="shared" si="117"/>
        <v>4830.6760000000013</v>
      </c>
      <c r="H725" s="71">
        <v>46935</v>
      </c>
      <c r="I725" s="69" t="s">
        <v>75</v>
      </c>
      <c r="J725" s="70">
        <v>8977.4599999999991</v>
      </c>
      <c r="K725" s="70" t="s">
        <v>62</v>
      </c>
      <c r="L725" s="143">
        <v>46282</v>
      </c>
    </row>
    <row r="726" spans="1:12">
      <c r="A726" s="12">
        <v>24533756</v>
      </c>
      <c r="C726" s="69" t="s">
        <v>38</v>
      </c>
      <c r="D726" s="70">
        <v>5305.5</v>
      </c>
      <c r="E726" s="70"/>
      <c r="F726" s="70">
        <f t="shared" si="116"/>
        <v>1591.6499999999999</v>
      </c>
      <c r="G726" s="70">
        <f t="shared" si="117"/>
        <v>1132.5200000000004</v>
      </c>
      <c r="H726" s="69"/>
      <c r="I726" s="69"/>
      <c r="J726" s="70"/>
      <c r="K726" s="70" t="s">
        <v>39</v>
      </c>
      <c r="L726" s="143">
        <v>46282</v>
      </c>
    </row>
    <row r="727" spans="1:12">
      <c r="A727" s="12">
        <v>24533762</v>
      </c>
      <c r="C727" s="69" t="s">
        <v>54</v>
      </c>
      <c r="D727" s="70">
        <v>9081.51</v>
      </c>
      <c r="E727" s="70"/>
      <c r="F727" s="70">
        <f t="shared" si="116"/>
        <v>2724.453</v>
      </c>
      <c r="G727" s="70">
        <f t="shared" si="117"/>
        <v>2724.453</v>
      </c>
      <c r="H727" s="69"/>
      <c r="I727" s="69"/>
      <c r="J727" s="70"/>
      <c r="K727" s="70" t="s">
        <v>348</v>
      </c>
      <c r="L727" s="143">
        <v>46282</v>
      </c>
    </row>
    <row r="728" spans="1:12">
      <c r="A728" s="12">
        <v>24533134</v>
      </c>
      <c r="C728" s="69" t="s">
        <v>54</v>
      </c>
      <c r="D728" s="70">
        <v>5813.2</v>
      </c>
      <c r="E728" s="70"/>
      <c r="F728" s="70">
        <f t="shared" si="116"/>
        <v>1743.9599999999998</v>
      </c>
      <c r="G728" s="70">
        <f t="shared" si="117"/>
        <v>1640.2200000000003</v>
      </c>
      <c r="H728" s="69"/>
      <c r="I728" s="69"/>
      <c r="J728" s="70"/>
      <c r="K728" s="70" t="s">
        <v>327</v>
      </c>
      <c r="L728" s="143">
        <v>46282</v>
      </c>
    </row>
    <row r="729" spans="1:12">
      <c r="A729" s="72">
        <v>24492356</v>
      </c>
      <c r="B729">
        <v>6731033249</v>
      </c>
      <c r="C729" s="69" t="s">
        <v>38</v>
      </c>
      <c r="D729" s="70">
        <v>7116.73</v>
      </c>
      <c r="E729" s="70">
        <v>1198.94</v>
      </c>
      <c r="F729" s="70">
        <v>2135.0189999999998</v>
      </c>
      <c r="G729" s="70">
        <v>936.07899999999972</v>
      </c>
      <c r="H729" s="69">
        <v>46539</v>
      </c>
      <c r="I729" s="69" t="s">
        <v>75</v>
      </c>
      <c r="J729" s="70">
        <v>1198.94</v>
      </c>
      <c r="K729" s="70" t="s">
        <v>39</v>
      </c>
      <c r="L729" s="143">
        <v>46282</v>
      </c>
    </row>
    <row r="730" spans="1:12">
      <c r="A730" s="72">
        <v>24514518</v>
      </c>
      <c r="B730">
        <v>3222322925</v>
      </c>
      <c r="C730" s="69" t="s">
        <v>107</v>
      </c>
      <c r="D730" s="70">
        <v>4342.43</v>
      </c>
      <c r="E730" s="70">
        <v>355.85</v>
      </c>
      <c r="F730" s="70">
        <v>1302.729</v>
      </c>
      <c r="G730" s="70">
        <v>-186.3999999999993</v>
      </c>
      <c r="H730" s="69">
        <v>45352</v>
      </c>
      <c r="I730" s="69" t="s">
        <v>44</v>
      </c>
      <c r="J730" s="70">
        <v>355.85</v>
      </c>
      <c r="K730" s="70" t="s">
        <v>39</v>
      </c>
      <c r="L730" s="143">
        <v>46282</v>
      </c>
    </row>
    <row r="731" spans="1:12">
      <c r="A731" s="12">
        <v>24507406</v>
      </c>
      <c r="C731" s="69" t="s">
        <v>38</v>
      </c>
      <c r="D731" s="70">
        <v>4813.3500000000004</v>
      </c>
      <c r="E731" s="70"/>
      <c r="F731" s="70">
        <f t="shared" ref="F731" si="118">D731*0.3</f>
        <v>1444.0050000000001</v>
      </c>
      <c r="G731" s="70">
        <f t="shared" ref="G731" si="119">(IF(D731&lt;4172.98,0,MIN(D731*0.3,D731-4172.98)))-E731</f>
        <v>640.3700000000008</v>
      </c>
      <c r="H731" s="69"/>
      <c r="I731" s="69"/>
      <c r="J731" s="70"/>
      <c r="K731" s="70" t="s">
        <v>39</v>
      </c>
      <c r="L731" s="143">
        <v>46282</v>
      </c>
    </row>
    <row r="732" spans="1:12">
      <c r="A732" s="72">
        <v>24532874</v>
      </c>
      <c r="B732">
        <v>3411065844</v>
      </c>
      <c r="C732" s="69" t="s">
        <v>54</v>
      </c>
      <c r="D732" s="70">
        <v>9760.32</v>
      </c>
      <c r="E732" s="70"/>
      <c r="F732" s="70">
        <v>2928.096</v>
      </c>
      <c r="G732" s="70">
        <v>2928.096</v>
      </c>
      <c r="H732" s="69"/>
      <c r="I732" s="69"/>
      <c r="J732" s="70"/>
      <c r="K732" s="70" t="s">
        <v>55</v>
      </c>
      <c r="L732" s="143">
        <v>46282</v>
      </c>
    </row>
    <row r="733" spans="1:12">
      <c r="A733" s="72">
        <v>24496764</v>
      </c>
      <c r="B733">
        <v>9991524991</v>
      </c>
      <c r="C733" s="69" t="s">
        <v>27</v>
      </c>
      <c r="D733" s="70">
        <v>17409.240000000002</v>
      </c>
      <c r="E733" s="70">
        <v>5035.3</v>
      </c>
      <c r="F733" s="70">
        <v>5222.7719999999999</v>
      </c>
      <c r="G733" s="70">
        <v>187.47199999999975</v>
      </c>
      <c r="H733" s="69">
        <v>45901</v>
      </c>
      <c r="I733" s="69" t="s">
        <v>44</v>
      </c>
      <c r="J733" s="70">
        <v>4617.3500000000004</v>
      </c>
      <c r="K733" s="70" t="s">
        <v>90</v>
      </c>
      <c r="L733" s="143">
        <v>46282</v>
      </c>
    </row>
    <row r="734" spans="1:12">
      <c r="A734" s="30">
        <v>24551814</v>
      </c>
      <c r="C734" s="69" t="s">
        <v>54</v>
      </c>
      <c r="D734" s="70">
        <v>21529.62</v>
      </c>
      <c r="E734" s="70"/>
      <c r="F734" s="70">
        <f t="shared" ref="F734" si="120">D734*0.3</f>
        <v>6458.8859999999995</v>
      </c>
      <c r="G734" s="70">
        <f t="shared" ref="G734" si="121">(IF(D734&lt;4172.98,0,MIN(D734*0.3,D734-4172.98)))-E734</f>
        <v>6458.8859999999995</v>
      </c>
      <c r="H734" s="69"/>
      <c r="I734" s="69"/>
      <c r="J734" s="70"/>
      <c r="K734" s="70" t="s">
        <v>358</v>
      </c>
      <c r="L734" s="143">
        <v>46282</v>
      </c>
    </row>
    <row r="735" spans="1:12">
      <c r="A735" s="30">
        <v>24552516</v>
      </c>
      <c r="C735" s="69" t="s">
        <v>107</v>
      </c>
      <c r="D735" s="70">
        <v>4813.6899999999996</v>
      </c>
      <c r="E735" s="70">
        <v>617.9</v>
      </c>
      <c r="F735" s="70">
        <f>D735*0.3</f>
        <v>1444.1069999999997</v>
      </c>
      <c r="G735" s="70">
        <f>(IF(D735&lt;4172.98,0,MIN(D735*0.3,D735-4172.98)))-E735</f>
        <v>22.810000000000059</v>
      </c>
      <c r="H735" s="71">
        <v>45689</v>
      </c>
      <c r="I735" s="69" t="s">
        <v>818</v>
      </c>
      <c r="J735" s="70">
        <v>300</v>
      </c>
      <c r="K735" s="70" t="s">
        <v>39</v>
      </c>
      <c r="L735" s="143">
        <v>46282</v>
      </c>
    </row>
    <row r="736" spans="1:12">
      <c r="A736" s="72">
        <v>24548536</v>
      </c>
      <c r="B736">
        <v>5219515879283</v>
      </c>
      <c r="C736" s="69" t="s">
        <v>38</v>
      </c>
      <c r="D736" s="70">
        <v>5260.82</v>
      </c>
      <c r="E736" s="70"/>
      <c r="F736" s="70">
        <v>1578.2459999999999</v>
      </c>
      <c r="G736" s="70">
        <v>1087.8400000000001</v>
      </c>
      <c r="H736" s="69"/>
      <c r="I736" s="69"/>
      <c r="J736" s="70"/>
      <c r="K736" s="70" t="s">
        <v>39</v>
      </c>
      <c r="L736" s="143">
        <v>46282</v>
      </c>
    </row>
    <row r="737" spans="1:12">
      <c r="A737" s="72">
        <v>24550038</v>
      </c>
      <c r="B737">
        <v>5213221350020</v>
      </c>
      <c r="C737" s="69" t="s">
        <v>54</v>
      </c>
      <c r="D737" s="70">
        <v>9760.32</v>
      </c>
      <c r="E737" s="70">
        <v>879</v>
      </c>
      <c r="F737" s="70">
        <v>2928.096</v>
      </c>
      <c r="G737" s="70">
        <v>2049.096</v>
      </c>
      <c r="H737" s="69"/>
      <c r="I737" s="69"/>
      <c r="J737" s="70"/>
      <c r="K737" s="70" t="s">
        <v>95</v>
      </c>
      <c r="L737" s="143">
        <v>46282</v>
      </c>
    </row>
    <row r="738" spans="1:12">
      <c r="A738" s="72">
        <v>24552002</v>
      </c>
      <c r="B738">
        <v>5218444982859</v>
      </c>
      <c r="C738" s="69" t="s">
        <v>54</v>
      </c>
      <c r="D738" s="70">
        <v>6262.86</v>
      </c>
      <c r="E738" s="70"/>
      <c r="F738" s="70">
        <v>1878.8579999999997</v>
      </c>
      <c r="G738" s="70">
        <v>1878.8579999999997</v>
      </c>
      <c r="H738" s="69"/>
      <c r="I738" s="69"/>
      <c r="J738" s="70"/>
      <c r="K738" s="70" t="s">
        <v>358</v>
      </c>
      <c r="L738" s="143">
        <v>46282</v>
      </c>
    </row>
    <row r="739" spans="1:12">
      <c r="A739" s="72">
        <v>24549898</v>
      </c>
      <c r="B739">
        <v>5215572254660</v>
      </c>
      <c r="C739" s="69" t="s">
        <v>27</v>
      </c>
      <c r="D739" s="70">
        <v>9081.52</v>
      </c>
      <c r="E739" s="70">
        <v>2515.1</v>
      </c>
      <c r="F739" s="70">
        <v>2724.4560000000001</v>
      </c>
      <c r="G739" s="70">
        <v>209.35600000000022</v>
      </c>
      <c r="H739" s="69">
        <v>46266</v>
      </c>
      <c r="I739" s="69" t="s">
        <v>77</v>
      </c>
      <c r="J739" s="70">
        <v>2515.1</v>
      </c>
      <c r="K739" s="70" t="s">
        <v>90</v>
      </c>
      <c r="L739" s="143">
        <v>46282</v>
      </c>
    </row>
    <row r="740" spans="1:12">
      <c r="A740" s="30">
        <v>24489170</v>
      </c>
      <c r="C740" s="69" t="s">
        <v>34</v>
      </c>
      <c r="D740" s="70">
        <v>11500.15</v>
      </c>
      <c r="E740" s="70"/>
      <c r="F740" s="70">
        <f>D740*0.3</f>
        <v>3450.0449999999996</v>
      </c>
      <c r="G740" s="70">
        <f>(IF(D740&lt;4172.98,0,MIN(D740*0.3,D740-4172.98)))-E740</f>
        <v>3450.0449999999996</v>
      </c>
      <c r="H740" s="69"/>
      <c r="I740" s="69"/>
      <c r="J740" s="70"/>
      <c r="K740" s="70" t="s">
        <v>35</v>
      </c>
      <c r="L740" s="143">
        <v>46282</v>
      </c>
    </row>
    <row r="741" spans="1:12">
      <c r="A741" s="30">
        <v>24554984</v>
      </c>
      <c r="C741" s="69" t="s">
        <v>107</v>
      </c>
      <c r="D741" s="70">
        <v>12725.73</v>
      </c>
      <c r="E741" s="70">
        <v>3817</v>
      </c>
      <c r="F741" s="70">
        <f>D741*0.3</f>
        <v>3817.7189999999996</v>
      </c>
      <c r="G741" s="70">
        <f>(IF(D741&lt;4172.98,0,MIN(D741*0.3,D741-4172.98)))-E741</f>
        <v>0.71899999999959618</v>
      </c>
      <c r="H741" s="71">
        <v>46174</v>
      </c>
      <c r="I741" s="69" t="s">
        <v>59</v>
      </c>
      <c r="J741" s="70">
        <v>384.24</v>
      </c>
      <c r="K741" s="70" t="s">
        <v>39</v>
      </c>
      <c r="L741" s="143">
        <v>46282</v>
      </c>
    </row>
    <row r="742" spans="1:12">
      <c r="A742" s="72">
        <v>24280566</v>
      </c>
      <c r="B742">
        <v>5576947140</v>
      </c>
      <c r="C742" s="69" t="s">
        <v>107</v>
      </c>
      <c r="D742" s="70">
        <v>20796.63</v>
      </c>
      <c r="E742" s="70">
        <v>6016.96</v>
      </c>
      <c r="F742" s="70">
        <v>6238.9890000000005</v>
      </c>
      <c r="G742" s="70">
        <v>222.02900000000045</v>
      </c>
      <c r="H742" s="69">
        <v>45778</v>
      </c>
      <c r="I742" s="69" t="s">
        <v>77</v>
      </c>
      <c r="J742" s="70">
        <v>400</v>
      </c>
      <c r="K742" s="70" t="s">
        <v>39</v>
      </c>
      <c r="L742" s="143">
        <v>46282</v>
      </c>
    </row>
    <row r="743" spans="1:12">
      <c r="A743" s="30">
        <v>24555650</v>
      </c>
      <c r="C743" s="69" t="s">
        <v>54</v>
      </c>
      <c r="D743" s="70">
        <v>10636.54</v>
      </c>
      <c r="E743" s="70"/>
      <c r="F743" s="70">
        <f>D743*0.3</f>
        <v>3190.962</v>
      </c>
      <c r="G743" s="70">
        <f>(IF(D743&lt;4172.98,0,MIN(D743*0.3,D743-4172.98)))-E743</f>
        <v>3190.962</v>
      </c>
      <c r="H743" s="69"/>
      <c r="I743" s="69"/>
      <c r="J743" s="70"/>
      <c r="K743" s="70" t="s">
        <v>1808</v>
      </c>
      <c r="L743" s="143">
        <v>46282</v>
      </c>
    </row>
    <row r="744" spans="1:12">
      <c r="A744" s="72">
        <v>24552364</v>
      </c>
      <c r="B744">
        <v>6622982918</v>
      </c>
      <c r="C744" s="69" t="s">
        <v>27</v>
      </c>
      <c r="D744" s="70">
        <v>9081.52</v>
      </c>
      <c r="E744" s="70">
        <v>2521.35</v>
      </c>
      <c r="F744" s="70">
        <v>2724.4560000000001</v>
      </c>
      <c r="G744" s="70">
        <v>203.10600000000022</v>
      </c>
      <c r="H744" s="69">
        <v>46266</v>
      </c>
      <c r="I744" s="69" t="s">
        <v>77</v>
      </c>
      <c r="J744" s="70">
        <v>2521.35</v>
      </c>
      <c r="K744" s="70" t="s">
        <v>1080</v>
      </c>
      <c r="L744" s="143">
        <v>46282</v>
      </c>
    </row>
    <row r="745" spans="1:12">
      <c r="A745" s="72">
        <v>24551744</v>
      </c>
      <c r="B745">
        <v>2297230617</v>
      </c>
      <c r="C745" s="69" t="s">
        <v>107</v>
      </c>
      <c r="D745" s="70">
        <v>7062.68</v>
      </c>
      <c r="E745" s="70">
        <v>2043</v>
      </c>
      <c r="F745" s="70">
        <v>2118.8040000000001</v>
      </c>
      <c r="G745" s="70">
        <v>75.804000000000087</v>
      </c>
      <c r="H745" s="69">
        <v>46204</v>
      </c>
      <c r="I745" s="69" t="s">
        <v>44</v>
      </c>
      <c r="J745" s="70">
        <v>1128</v>
      </c>
      <c r="K745" s="70" t="s">
        <v>266</v>
      </c>
      <c r="L745" s="143">
        <v>46282</v>
      </c>
    </row>
    <row r="746" spans="1:12">
      <c r="A746" s="72">
        <v>24554254</v>
      </c>
      <c r="B746">
        <v>8713274358</v>
      </c>
      <c r="C746" s="69" t="s">
        <v>54</v>
      </c>
      <c r="D746" s="70">
        <v>9081.52</v>
      </c>
      <c r="E746" s="70">
        <v>879</v>
      </c>
      <c r="F746" s="70">
        <v>2724.4560000000001</v>
      </c>
      <c r="G746" s="70">
        <v>1845.4560000000001</v>
      </c>
      <c r="H746" s="69"/>
      <c r="I746" s="69"/>
      <c r="J746" s="70"/>
      <c r="K746" s="70" t="s">
        <v>886</v>
      </c>
      <c r="L746" s="143">
        <v>46282</v>
      </c>
    </row>
    <row r="747" spans="1:12">
      <c r="A747" s="72">
        <v>24510454</v>
      </c>
      <c r="B747">
        <v>5216676991645</v>
      </c>
      <c r="C747" s="69" t="s">
        <v>54</v>
      </c>
      <c r="D747" s="70">
        <v>5617.64</v>
      </c>
      <c r="E747" s="70"/>
      <c r="F747" s="70">
        <v>1685.2920000000001</v>
      </c>
      <c r="G747" s="70">
        <v>1444.6600000000008</v>
      </c>
      <c r="H747" s="69"/>
      <c r="I747" s="69"/>
      <c r="J747" s="70"/>
      <c r="K747" s="70" t="s">
        <v>358</v>
      </c>
      <c r="L747" s="143">
        <v>46282</v>
      </c>
    </row>
    <row r="748" spans="1:12">
      <c r="A748" s="72">
        <v>24552596</v>
      </c>
      <c r="B748">
        <v>5214921744450</v>
      </c>
      <c r="C748" s="69" t="s">
        <v>54</v>
      </c>
      <c r="D748" s="70">
        <v>9760.32</v>
      </c>
      <c r="E748" s="70"/>
      <c r="F748" s="70">
        <v>2928.096</v>
      </c>
      <c r="G748" s="70">
        <v>2928.096</v>
      </c>
      <c r="H748" s="69"/>
      <c r="I748" s="69"/>
      <c r="J748" s="70"/>
      <c r="K748" s="70" t="s">
        <v>95</v>
      </c>
      <c r="L748" s="143">
        <v>46282</v>
      </c>
    </row>
    <row r="749" spans="1:12">
      <c r="A749" s="72">
        <v>24547718</v>
      </c>
      <c r="B749">
        <v>32816611373</v>
      </c>
      <c r="C749" s="69" t="s">
        <v>54</v>
      </c>
      <c r="D749" s="70">
        <v>10636.54</v>
      </c>
      <c r="E749" s="70">
        <v>879</v>
      </c>
      <c r="F749" s="70">
        <v>3190.962</v>
      </c>
      <c r="G749" s="70">
        <v>2311.962</v>
      </c>
      <c r="H749" s="69"/>
      <c r="I749" s="69"/>
      <c r="J749" s="70"/>
      <c r="K749" s="70" t="s">
        <v>1808</v>
      </c>
      <c r="L749" s="143">
        <v>46282</v>
      </c>
    </row>
    <row r="750" spans="1:12">
      <c r="A750" s="173">
        <v>24552776</v>
      </c>
      <c r="B750">
        <v>5215521116827</v>
      </c>
      <c r="C750" t="s">
        <v>54</v>
      </c>
      <c r="D750" s="3">
        <v>10636.54</v>
      </c>
      <c r="E750" s="3"/>
      <c r="F750" s="3">
        <v>3190.962</v>
      </c>
      <c r="G750" s="3">
        <v>3190.962</v>
      </c>
      <c r="J750" s="3"/>
      <c r="K750" s="3" t="s">
        <v>1946</v>
      </c>
      <c r="L750" s="47">
        <v>46282</v>
      </c>
    </row>
    <row r="751" spans="1:12">
      <c r="A751" s="173">
        <v>24554820</v>
      </c>
      <c r="B751">
        <v>9991587394</v>
      </c>
      <c r="C751" t="s">
        <v>38</v>
      </c>
      <c r="D751" s="3">
        <v>10636.54</v>
      </c>
      <c r="E751" s="3">
        <v>2600.0100000000002</v>
      </c>
      <c r="F751" s="3">
        <v>3190.962</v>
      </c>
      <c r="G751" s="3">
        <v>590.95199999999977</v>
      </c>
      <c r="H751">
        <v>46905</v>
      </c>
      <c r="I751" t="s">
        <v>44</v>
      </c>
      <c r="J751" s="3">
        <v>2600.0100000000002</v>
      </c>
      <c r="K751" s="3" t="s">
        <v>266</v>
      </c>
      <c r="L751" s="47">
        <v>46282</v>
      </c>
    </row>
    <row r="752" spans="1:12">
      <c r="A752" s="30">
        <v>24557262</v>
      </c>
      <c r="C752" s="69" t="s">
        <v>54</v>
      </c>
      <c r="D752" s="70">
        <v>68266.990000000005</v>
      </c>
      <c r="E752" s="70"/>
      <c r="F752" s="70">
        <f>D752*0.3</f>
        <v>20480.097000000002</v>
      </c>
      <c r="G752" s="70">
        <f>(IF(D752&lt;4172.98,0,MIN(D752*0.3,D752-4172.98)))-E752</f>
        <v>20480.097000000002</v>
      </c>
      <c r="H752" s="69"/>
      <c r="I752" s="69"/>
      <c r="J752" s="70"/>
      <c r="K752" s="70" t="s">
        <v>1910</v>
      </c>
      <c r="L752" s="143">
        <v>46282</v>
      </c>
    </row>
    <row r="753" spans="1:12">
      <c r="A753" s="12">
        <v>24558820</v>
      </c>
      <c r="C753" s="69" t="s">
        <v>54</v>
      </c>
      <c r="D753" s="70">
        <v>7640.52</v>
      </c>
      <c r="E753" s="70"/>
      <c r="F753" s="70">
        <f t="shared" ref="F753" si="122">D753*0.3</f>
        <v>2292.1559999999999</v>
      </c>
      <c r="G753" s="70">
        <f t="shared" ref="G753" si="123">(IF(D753&lt;4172.98,0,MIN(D753*0.3,D753-4172.98)))-E753</f>
        <v>2292.1559999999999</v>
      </c>
      <c r="H753" s="69"/>
      <c r="I753" s="69"/>
      <c r="J753" s="70"/>
      <c r="K753" s="70" t="s">
        <v>1910</v>
      </c>
      <c r="L753" s="143">
        <v>46282</v>
      </c>
    </row>
    <row r="754" spans="1:12">
      <c r="A754" s="72">
        <v>24552270</v>
      </c>
      <c r="B754">
        <v>2971042454</v>
      </c>
      <c r="C754" s="69" t="s">
        <v>34</v>
      </c>
      <c r="D754" s="70">
        <v>9081.52</v>
      </c>
      <c r="E754" s="70">
        <v>2514.25</v>
      </c>
      <c r="F754" s="70">
        <v>2724.4560000000001</v>
      </c>
      <c r="G754" s="70">
        <v>210.20600000000013</v>
      </c>
      <c r="H754" s="69">
        <v>46266</v>
      </c>
      <c r="I754" s="69" t="s">
        <v>141</v>
      </c>
      <c r="J754" s="70">
        <v>2514.25</v>
      </c>
      <c r="K754" s="70" t="s">
        <v>35</v>
      </c>
      <c r="L754" s="143">
        <v>46282</v>
      </c>
    </row>
    <row r="755" spans="1:12">
      <c r="A755" s="72">
        <v>24555554</v>
      </c>
      <c r="B755">
        <v>5214448658730</v>
      </c>
      <c r="C755" s="69" t="s">
        <v>54</v>
      </c>
      <c r="D755" s="70">
        <v>10636.54</v>
      </c>
      <c r="E755" s="70"/>
      <c r="F755" s="70">
        <v>3190.962</v>
      </c>
      <c r="G755" s="70">
        <v>3190.962</v>
      </c>
      <c r="H755" s="69"/>
      <c r="I755" s="69"/>
      <c r="J755" s="70"/>
      <c r="K755" s="70" t="s">
        <v>28</v>
      </c>
      <c r="L755" s="143">
        <v>46282</v>
      </c>
    </row>
    <row r="756" spans="1:12">
      <c r="A756" s="30">
        <v>24553896</v>
      </c>
      <c r="C756" s="69" t="s">
        <v>38</v>
      </c>
      <c r="D756" s="70">
        <v>13014.17</v>
      </c>
      <c r="E756" s="70">
        <v>3591.43</v>
      </c>
      <c r="F756" s="70">
        <f t="shared" ref="F756" si="124">D756*0.3</f>
        <v>3904.2509999999997</v>
      </c>
      <c r="G756" s="70">
        <f t="shared" ref="G756" si="125">(IF(D756&lt;4172.98,0,MIN(D756*0.3,D756-4172.98)))-E756</f>
        <v>312.82099999999991</v>
      </c>
      <c r="H756" s="71">
        <v>46296</v>
      </c>
      <c r="I756" s="69" t="s">
        <v>47</v>
      </c>
      <c r="J756" s="70">
        <v>3591.43</v>
      </c>
      <c r="K756" s="70" t="s">
        <v>39</v>
      </c>
      <c r="L756" s="143">
        <v>46282</v>
      </c>
    </row>
    <row r="757" spans="1:12">
      <c r="A757" s="72">
        <v>24555696</v>
      </c>
      <c r="B757">
        <v>5213412152475</v>
      </c>
      <c r="C757" s="69" t="s">
        <v>38</v>
      </c>
      <c r="D757" s="70">
        <v>5642.22</v>
      </c>
      <c r="E757" s="70">
        <v>848</v>
      </c>
      <c r="F757" s="70">
        <v>1692.6659999999999</v>
      </c>
      <c r="G757" s="70">
        <v>621.24000000000069</v>
      </c>
      <c r="H757" s="69"/>
      <c r="I757" s="69"/>
      <c r="J757" s="70"/>
      <c r="K757" s="70" t="s">
        <v>266</v>
      </c>
      <c r="L757" s="143">
        <v>46282</v>
      </c>
    </row>
    <row r="758" spans="1:12">
      <c r="A758" s="30">
        <v>24559824</v>
      </c>
      <c r="C758" s="69" t="s">
        <v>34</v>
      </c>
      <c r="D758" s="70">
        <v>4813.6899999999996</v>
      </c>
      <c r="E758" s="70">
        <v>549.85</v>
      </c>
      <c r="F758" s="70">
        <f>D758*0.3</f>
        <v>1444.1069999999997</v>
      </c>
      <c r="G758" s="70">
        <f>(IF(D758&lt;4172.98,0,MIN(D758*0.3,D758-4172.98)))-E758</f>
        <v>90.860000000000014</v>
      </c>
      <c r="H758" s="71">
        <v>45870</v>
      </c>
      <c r="I758" s="69" t="s">
        <v>57</v>
      </c>
      <c r="J758" s="70">
        <v>549.85</v>
      </c>
      <c r="K758" s="70" t="s">
        <v>35</v>
      </c>
      <c r="L758" s="143">
        <v>46282</v>
      </c>
    </row>
    <row r="759" spans="1:12">
      <c r="A759" s="30">
        <v>24560096</v>
      </c>
      <c r="C759" s="69" t="s">
        <v>54</v>
      </c>
      <c r="D759" s="70">
        <v>14384.05</v>
      </c>
      <c r="E759" s="70"/>
      <c r="F759" s="70">
        <f>D759*0.3</f>
        <v>4315.2149999999992</v>
      </c>
      <c r="G759" s="70">
        <f>(IF(D759&lt;4172.98,0,MIN(D759*0.3,D759-4172.98)))-E759</f>
        <v>4315.2149999999992</v>
      </c>
      <c r="H759" s="69"/>
      <c r="I759" s="69"/>
      <c r="J759" s="70"/>
      <c r="K759" s="70" t="s">
        <v>1946</v>
      </c>
      <c r="L759" s="143">
        <v>46282</v>
      </c>
    </row>
    <row r="760" spans="1:12">
      <c r="A760" s="72">
        <v>24559020</v>
      </c>
      <c r="B760">
        <v>5216331000622</v>
      </c>
      <c r="C760" s="69" t="s">
        <v>38</v>
      </c>
      <c r="D760" s="70">
        <v>4813.6899999999996</v>
      </c>
      <c r="E760" s="70"/>
      <c r="F760" s="70">
        <v>1444.1069999999997</v>
      </c>
      <c r="G760" s="70">
        <v>640.71</v>
      </c>
      <c r="H760" s="69"/>
      <c r="I760" s="69"/>
      <c r="J760" s="70"/>
      <c r="K760" s="70" t="s">
        <v>266</v>
      </c>
      <c r="L760" s="143">
        <v>46282</v>
      </c>
    </row>
    <row r="761" spans="1:12">
      <c r="A761" s="30">
        <v>24560256</v>
      </c>
      <c r="C761" s="69" t="s">
        <v>54</v>
      </c>
      <c r="D761" s="70">
        <v>7920.51</v>
      </c>
      <c r="E761" s="70"/>
      <c r="F761" s="70">
        <f>D761*0.3</f>
        <v>2376.1529999999998</v>
      </c>
      <c r="G761" s="70">
        <f>(IF(D761&lt;4172.98,0,MIN(D761*0.3,D761-4172.98)))-E761</f>
        <v>2376.1529999999998</v>
      </c>
      <c r="H761" s="69"/>
      <c r="I761" s="69"/>
      <c r="J761" s="70"/>
      <c r="K761" s="70" t="s">
        <v>28</v>
      </c>
      <c r="L761" s="143">
        <v>46282</v>
      </c>
    </row>
    <row r="762" spans="1:12">
      <c r="A762" s="30">
        <v>24560308</v>
      </c>
      <c r="C762" s="69" t="s">
        <v>27</v>
      </c>
      <c r="D762" s="70">
        <v>7115.73</v>
      </c>
      <c r="E762" s="70">
        <v>1885.53</v>
      </c>
      <c r="F762" s="70">
        <f>D762*0.3</f>
        <v>2134.7189999999996</v>
      </c>
      <c r="G762" s="70">
        <f>(IF(D762&lt;4172.98,0,MIN(D762*0.3,D762-4172.98)))-E762</f>
        <v>249.18899999999962</v>
      </c>
      <c r="H762" s="71">
        <v>45748</v>
      </c>
      <c r="I762" s="69" t="s">
        <v>2165</v>
      </c>
      <c r="J762" s="70">
        <v>1885.53</v>
      </c>
      <c r="K762" s="70" t="s">
        <v>98</v>
      </c>
      <c r="L762" s="143">
        <v>46282</v>
      </c>
    </row>
    <row r="763" spans="1:12">
      <c r="A763" s="72">
        <v>24537472</v>
      </c>
      <c r="B763">
        <v>5216621281150</v>
      </c>
      <c r="C763" s="69" t="s">
        <v>34</v>
      </c>
      <c r="D763" s="70">
        <v>5636.59</v>
      </c>
      <c r="E763" s="70">
        <v>879</v>
      </c>
      <c r="F763" s="70">
        <v>1690.9770000000001</v>
      </c>
      <c r="G763" s="70">
        <v>584.61000000000058</v>
      </c>
      <c r="H763" s="69"/>
      <c r="I763" s="69"/>
      <c r="J763" s="70"/>
      <c r="K763" s="70" t="s">
        <v>35</v>
      </c>
      <c r="L763" s="143">
        <v>46282</v>
      </c>
    </row>
    <row r="764" spans="1:12">
      <c r="A764" s="12">
        <v>24560886</v>
      </c>
      <c r="C764" s="69" t="s">
        <v>27</v>
      </c>
      <c r="D764" s="70">
        <v>7277.75</v>
      </c>
      <c r="E764" s="70">
        <v>1789.27</v>
      </c>
      <c r="F764" s="70">
        <f t="shared" ref="F764:F775" si="126">D764*0.3</f>
        <v>2183.3249999999998</v>
      </c>
      <c r="G764" s="70">
        <f t="shared" ref="G764:G775" si="127">(IF(D764&lt;4172.98,0,MIN(D764*0.3,D764-4172.98)))-E764</f>
        <v>394.05499999999984</v>
      </c>
      <c r="H764" s="71">
        <v>45444</v>
      </c>
      <c r="I764" s="69" t="s">
        <v>184</v>
      </c>
      <c r="J764" s="70">
        <v>1789.27</v>
      </c>
      <c r="K764" s="70" t="s">
        <v>1080</v>
      </c>
      <c r="L764" s="143">
        <v>46283</v>
      </c>
    </row>
    <row r="765" spans="1:12">
      <c r="A765" s="12">
        <v>24560934</v>
      </c>
      <c r="C765" s="69" t="s">
        <v>54</v>
      </c>
      <c r="D765" s="70">
        <v>5874.88</v>
      </c>
      <c r="E765" s="70"/>
      <c r="F765" s="70">
        <f t="shared" si="126"/>
        <v>1762.4639999999999</v>
      </c>
      <c r="G765" s="70">
        <f t="shared" si="127"/>
        <v>1701.9000000000005</v>
      </c>
      <c r="H765" s="69"/>
      <c r="I765" s="69"/>
      <c r="J765" s="70"/>
      <c r="K765" s="70" t="s">
        <v>1808</v>
      </c>
      <c r="L765" s="143">
        <v>46283</v>
      </c>
    </row>
    <row r="766" spans="1:12">
      <c r="A766" s="12">
        <v>24560952</v>
      </c>
      <c r="C766" t="s">
        <v>54</v>
      </c>
      <c r="D766" s="3">
        <v>49873.52</v>
      </c>
      <c r="E766" s="3"/>
      <c r="F766" s="3">
        <f t="shared" si="126"/>
        <v>14962.055999999999</v>
      </c>
      <c r="G766" s="3">
        <f t="shared" si="127"/>
        <v>14962.055999999999</v>
      </c>
      <c r="J766" s="3"/>
      <c r="K766" s="3" t="s">
        <v>348</v>
      </c>
      <c r="L766" s="47">
        <v>46283</v>
      </c>
    </row>
    <row r="767" spans="1:12">
      <c r="A767" s="12">
        <v>24561238</v>
      </c>
      <c r="C767" t="s">
        <v>54</v>
      </c>
      <c r="D767" s="3">
        <v>10636.54</v>
      </c>
      <c r="E767" s="3"/>
      <c r="F767" s="3">
        <f t="shared" si="126"/>
        <v>3190.962</v>
      </c>
      <c r="G767" s="3">
        <f t="shared" si="127"/>
        <v>3190.962</v>
      </c>
      <c r="J767" s="3"/>
      <c r="K767" s="3" t="s">
        <v>327</v>
      </c>
      <c r="L767" s="47">
        <v>46283</v>
      </c>
    </row>
    <row r="768" spans="1:12">
      <c r="A768" s="12">
        <v>24561306</v>
      </c>
      <c r="C768" t="s">
        <v>54</v>
      </c>
      <c r="D768" s="3">
        <v>6958.7</v>
      </c>
      <c r="E768" s="3"/>
      <c r="F768" s="3">
        <f t="shared" si="126"/>
        <v>2087.6099999999997</v>
      </c>
      <c r="G768" s="3">
        <f t="shared" si="127"/>
        <v>2087.6099999999997</v>
      </c>
      <c r="J768" s="3"/>
      <c r="K768" s="3" t="s">
        <v>1910</v>
      </c>
      <c r="L768" s="47">
        <v>46283</v>
      </c>
    </row>
    <row r="769" spans="1:12">
      <c r="A769" s="12">
        <v>24561790</v>
      </c>
      <c r="C769" s="69" t="s">
        <v>38</v>
      </c>
      <c r="D769" s="70">
        <v>13336.27</v>
      </c>
      <c r="E769" s="70">
        <v>3699.63</v>
      </c>
      <c r="F769" s="70">
        <f t="shared" si="126"/>
        <v>4000.8809999999999</v>
      </c>
      <c r="G769" s="70">
        <f t="shared" si="127"/>
        <v>301.25099999999975</v>
      </c>
      <c r="H769" s="71">
        <v>46357</v>
      </c>
      <c r="I769" s="69" t="s">
        <v>47</v>
      </c>
      <c r="J769" s="70">
        <v>3699.63</v>
      </c>
      <c r="K769" s="70" t="s">
        <v>39</v>
      </c>
      <c r="L769" s="143">
        <v>46283</v>
      </c>
    </row>
    <row r="770" spans="1:12">
      <c r="A770" s="12">
        <v>24561922</v>
      </c>
      <c r="C770" s="69" t="s">
        <v>54</v>
      </c>
      <c r="D770" s="70">
        <v>13539.86</v>
      </c>
      <c r="E770" s="70"/>
      <c r="F770" s="70">
        <f t="shared" si="126"/>
        <v>4061.9580000000001</v>
      </c>
      <c r="G770" s="70">
        <f t="shared" si="127"/>
        <v>4061.9580000000001</v>
      </c>
      <c r="H770" s="69"/>
      <c r="I770" s="69"/>
      <c r="J770" s="70"/>
      <c r="K770" s="70" t="s">
        <v>55</v>
      </c>
      <c r="L770" s="143">
        <v>46283</v>
      </c>
    </row>
    <row r="771" spans="1:12">
      <c r="A771" s="12">
        <v>24562310</v>
      </c>
      <c r="C771" s="69" t="s">
        <v>54</v>
      </c>
      <c r="D771" s="70">
        <v>9760.32</v>
      </c>
      <c r="E771" s="70"/>
      <c r="F771" s="70">
        <f t="shared" si="126"/>
        <v>2928.096</v>
      </c>
      <c r="G771" s="70">
        <f t="shared" si="127"/>
        <v>2928.096</v>
      </c>
      <c r="H771" s="69"/>
      <c r="I771" s="69"/>
      <c r="J771" s="70"/>
      <c r="K771" s="70" t="s">
        <v>55</v>
      </c>
      <c r="L771" s="143">
        <v>46283</v>
      </c>
    </row>
    <row r="772" spans="1:12">
      <c r="A772" s="12">
        <v>24562610</v>
      </c>
      <c r="C772" s="69" t="s">
        <v>54</v>
      </c>
      <c r="D772" s="70">
        <v>17361.29</v>
      </c>
      <c r="E772" s="70"/>
      <c r="F772" s="70">
        <f t="shared" si="126"/>
        <v>5208.3869999999997</v>
      </c>
      <c r="G772" s="70">
        <f t="shared" si="127"/>
        <v>5208.3869999999997</v>
      </c>
      <c r="H772" s="69"/>
      <c r="I772" s="69"/>
      <c r="J772" s="70"/>
      <c r="K772" s="70" t="s">
        <v>1808</v>
      </c>
      <c r="L772" s="143">
        <v>46283</v>
      </c>
    </row>
    <row r="773" spans="1:12">
      <c r="A773" s="12">
        <v>24562744</v>
      </c>
      <c r="C773" t="s">
        <v>34</v>
      </c>
      <c r="D773" s="3">
        <v>44758.51</v>
      </c>
      <c r="E773" s="3">
        <v>13427.55</v>
      </c>
      <c r="F773" s="3">
        <f t="shared" si="126"/>
        <v>13427.553</v>
      </c>
      <c r="G773" s="3">
        <f t="shared" si="127"/>
        <v>3.0000000006111804E-3</v>
      </c>
      <c r="H773" s="6">
        <v>46235</v>
      </c>
      <c r="I773" t="s">
        <v>1323</v>
      </c>
      <c r="J773" s="3">
        <v>9033.0499999999993</v>
      </c>
      <c r="K773" s="3" t="s">
        <v>35</v>
      </c>
      <c r="L773" s="47">
        <v>46283</v>
      </c>
    </row>
    <row r="774" spans="1:12">
      <c r="A774" s="12">
        <v>24562780</v>
      </c>
      <c r="C774" t="s">
        <v>107</v>
      </c>
      <c r="D774" s="3">
        <v>4813.6899999999996</v>
      </c>
      <c r="E774" s="3">
        <v>524.64</v>
      </c>
      <c r="F774" s="3">
        <f t="shared" si="126"/>
        <v>1444.1069999999997</v>
      </c>
      <c r="G774" s="3">
        <f t="shared" si="127"/>
        <v>116.07000000000005</v>
      </c>
      <c r="H774" s="6">
        <v>45505</v>
      </c>
      <c r="I774" t="s">
        <v>80</v>
      </c>
      <c r="J774" s="3">
        <v>524.64</v>
      </c>
      <c r="K774" s="3" t="s">
        <v>2179</v>
      </c>
      <c r="L774" s="47">
        <v>46283</v>
      </c>
    </row>
    <row r="775" spans="1:12">
      <c r="A775" s="30">
        <v>24569044</v>
      </c>
      <c r="C775" s="69" t="s">
        <v>54</v>
      </c>
      <c r="D775" s="70">
        <v>6262.86</v>
      </c>
      <c r="E775" s="70">
        <v>366.63</v>
      </c>
      <c r="F775" s="70">
        <f t="shared" si="126"/>
        <v>1878.8579999999997</v>
      </c>
      <c r="G775" s="70">
        <f t="shared" si="127"/>
        <v>1512.2279999999996</v>
      </c>
      <c r="H775" s="71">
        <v>46844</v>
      </c>
      <c r="I775" s="69" t="s">
        <v>44</v>
      </c>
      <c r="J775" s="70">
        <v>366.63</v>
      </c>
      <c r="K775" s="70" t="s">
        <v>95</v>
      </c>
      <c r="L775" s="143">
        <v>46283</v>
      </c>
    </row>
    <row r="776" spans="1:12">
      <c r="A776" s="30">
        <v>24634070</v>
      </c>
      <c r="C776" s="69" t="s">
        <v>34</v>
      </c>
      <c r="D776" s="70">
        <v>13204.13</v>
      </c>
      <c r="E776" s="70">
        <v>3959.28</v>
      </c>
      <c r="F776" s="70">
        <f>D776*0.3</f>
        <v>3961.2389999999996</v>
      </c>
      <c r="G776" s="70">
        <f>(IF(D776&lt;4172.98,0,MIN(D776*0.3,D776-4172.98)))-E776</f>
        <v>1.9589999999993779</v>
      </c>
      <c r="H776" s="71">
        <v>44562</v>
      </c>
      <c r="I776" s="69" t="s">
        <v>73</v>
      </c>
      <c r="J776" s="70">
        <v>2675.58</v>
      </c>
      <c r="K776" s="70" t="s">
        <v>35</v>
      </c>
      <c r="L776" s="143">
        <v>46283</v>
      </c>
    </row>
    <row r="777" spans="1:12">
      <c r="A777" s="72">
        <v>24283370</v>
      </c>
      <c r="B777">
        <v>5213411292090</v>
      </c>
      <c r="C777" s="69" t="s">
        <v>54</v>
      </c>
      <c r="D777" s="70">
        <v>10636.54</v>
      </c>
      <c r="E777" s="70"/>
      <c r="F777" s="70">
        <v>3190.962</v>
      </c>
      <c r="G777" s="70">
        <v>3190.962</v>
      </c>
      <c r="H777" s="69"/>
      <c r="I777" s="69"/>
      <c r="J777" s="70"/>
      <c r="K777" s="70" t="s">
        <v>2823</v>
      </c>
      <c r="L777" s="143">
        <v>46283</v>
      </c>
    </row>
    <row r="778" spans="1:12">
      <c r="A778" s="72">
        <v>24562834</v>
      </c>
      <c r="B778">
        <v>5216563049747</v>
      </c>
      <c r="C778" s="69" t="s">
        <v>54</v>
      </c>
      <c r="D778" s="70">
        <v>8181.5500000000011</v>
      </c>
      <c r="E778" s="70"/>
      <c r="F778" s="70">
        <v>2454.4650000000001</v>
      </c>
      <c r="G778" s="70">
        <v>2454.4650000000001</v>
      </c>
      <c r="H778" s="69"/>
      <c r="I778" s="69"/>
      <c r="J778" s="70"/>
      <c r="K778" s="70" t="s">
        <v>266</v>
      </c>
      <c r="L778" s="143">
        <v>46283</v>
      </c>
    </row>
    <row r="779" spans="1:12">
      <c r="A779" s="12">
        <v>24636308</v>
      </c>
      <c r="C779" s="69" t="s">
        <v>38</v>
      </c>
      <c r="D779" s="70">
        <v>5305.5</v>
      </c>
      <c r="E779" s="70"/>
      <c r="F779" s="70">
        <f t="shared" ref="F779:F780" si="128">D779*0.3</f>
        <v>1591.6499999999999</v>
      </c>
      <c r="G779" s="70">
        <f t="shared" ref="G779:G780" si="129">(IF(D779&lt;4172.98,0,MIN(D779*0.3,D779-4172.98)))-E779</f>
        <v>1132.5200000000004</v>
      </c>
      <c r="H779" s="69"/>
      <c r="I779" s="69"/>
      <c r="J779" s="70"/>
      <c r="K779" s="70" t="s">
        <v>2179</v>
      </c>
      <c r="L779" s="143">
        <v>46283</v>
      </c>
    </row>
    <row r="780" spans="1:12">
      <c r="A780" s="30">
        <v>24636382</v>
      </c>
      <c r="C780" t="s">
        <v>54</v>
      </c>
      <c r="D780" s="3">
        <v>10636.54</v>
      </c>
      <c r="E780" s="3"/>
      <c r="F780" s="3">
        <f t="shared" si="128"/>
        <v>3190.962</v>
      </c>
      <c r="G780" s="3">
        <f t="shared" si="129"/>
        <v>3190.962</v>
      </c>
      <c r="J780" s="3"/>
      <c r="K780" s="3" t="s">
        <v>28</v>
      </c>
      <c r="L780" s="47">
        <v>46283</v>
      </c>
    </row>
    <row r="781" spans="1:12">
      <c r="A781" s="72">
        <v>24558084</v>
      </c>
      <c r="B781">
        <v>5218666517569</v>
      </c>
      <c r="C781" s="69" t="s">
        <v>54</v>
      </c>
      <c r="D781" s="70">
        <v>10636.54</v>
      </c>
      <c r="E781" s="70"/>
      <c r="F781" s="70">
        <v>3190.962</v>
      </c>
      <c r="G781" s="70">
        <v>3190.962</v>
      </c>
      <c r="H781" s="69"/>
      <c r="I781" s="69"/>
      <c r="J781" s="70"/>
      <c r="K781" s="70" t="s">
        <v>1091</v>
      </c>
      <c r="L781" s="143">
        <v>46283</v>
      </c>
    </row>
    <row r="782" spans="1:12">
      <c r="A782" s="30">
        <v>24636760</v>
      </c>
      <c r="C782" s="69" t="s">
        <v>34</v>
      </c>
      <c r="D782" s="70">
        <v>38637.620000000003</v>
      </c>
      <c r="E782" s="70">
        <v>10724.63</v>
      </c>
      <c r="F782" s="70">
        <f>D782*0.3</f>
        <v>11591.286</v>
      </c>
      <c r="G782" s="70">
        <f>(IF(D782&lt;4172.98,0,MIN(D782*0.3,D782-4172.98)))-E782</f>
        <v>866.65600000000086</v>
      </c>
      <c r="H782" s="71">
        <v>46266</v>
      </c>
      <c r="I782" s="69" t="s">
        <v>73</v>
      </c>
      <c r="J782" s="70">
        <v>10724.63</v>
      </c>
      <c r="K782" s="70" t="s">
        <v>35</v>
      </c>
      <c r="L782" s="143">
        <v>46283</v>
      </c>
    </row>
    <row r="783" spans="1:12">
      <c r="A783" s="30">
        <v>24636770</v>
      </c>
      <c r="C783" t="s">
        <v>54</v>
      </c>
      <c r="D783" s="3">
        <v>5723.54</v>
      </c>
      <c r="E783" s="3"/>
      <c r="F783" s="3">
        <f>D783*0.3</f>
        <v>1717.0619999999999</v>
      </c>
      <c r="G783" s="3">
        <f>(IF(D783&lt;4172.98,0,MIN(D783*0.3,D783-4172.98)))-E783</f>
        <v>1550.5600000000004</v>
      </c>
      <c r="J783" s="3"/>
      <c r="K783" s="3" t="s">
        <v>62</v>
      </c>
      <c r="L783" s="47">
        <v>46283</v>
      </c>
    </row>
    <row r="784" spans="1:12">
      <c r="A784" s="30">
        <v>24637642</v>
      </c>
      <c r="C784" s="69" t="s">
        <v>54</v>
      </c>
      <c r="D784" s="70">
        <f>33479.06-17013.95</f>
        <v>16465.109999999997</v>
      </c>
      <c r="E784" s="70"/>
      <c r="F784" s="70">
        <f>D784*0.3</f>
        <v>4939.5329999999985</v>
      </c>
      <c r="G784" s="70">
        <f>(IF(D784&lt;4172.98,0,MIN(D784*0.3,D784-4172.98)))-E784</f>
        <v>4939.5329999999985</v>
      </c>
      <c r="H784" s="69"/>
      <c r="I784" s="69"/>
      <c r="J784" s="70"/>
      <c r="K784" s="70" t="s">
        <v>879</v>
      </c>
      <c r="L784" s="143">
        <v>46283</v>
      </c>
    </row>
    <row r="785" spans="1:12">
      <c r="A785" s="72">
        <v>24636432</v>
      </c>
      <c r="B785">
        <v>8712404121</v>
      </c>
      <c r="C785" s="69" t="s">
        <v>54</v>
      </c>
      <c r="D785" s="70">
        <v>10636.54</v>
      </c>
      <c r="E785" s="70"/>
      <c r="F785" s="70">
        <v>3190.962</v>
      </c>
      <c r="G785" s="70">
        <v>3190.962</v>
      </c>
      <c r="H785" s="69"/>
      <c r="I785" s="69"/>
      <c r="J785" s="70"/>
      <c r="K785" s="70" t="s">
        <v>886</v>
      </c>
      <c r="L785" s="143">
        <v>46283</v>
      </c>
    </row>
    <row r="786" spans="1:12">
      <c r="A786" s="30">
        <v>24555162</v>
      </c>
      <c r="C786" s="69" t="s">
        <v>54</v>
      </c>
      <c r="D786" s="70">
        <v>9760.32</v>
      </c>
      <c r="E786" s="70"/>
      <c r="F786" s="70">
        <f>D786*0.3</f>
        <v>2928.096</v>
      </c>
      <c r="G786" s="70">
        <f>(IF(D786&lt;4172.98,0,MIN(D786*0.3,D786-4172.98)))-E786</f>
        <v>2928.096</v>
      </c>
      <c r="H786" s="69"/>
      <c r="I786" s="69"/>
      <c r="J786" s="70"/>
      <c r="K786" s="70" t="s">
        <v>1910</v>
      </c>
      <c r="L786" s="143">
        <v>46283</v>
      </c>
    </row>
    <row r="787" spans="1:12">
      <c r="A787" s="30">
        <v>24639080</v>
      </c>
      <c r="C787" s="69" t="s">
        <v>54</v>
      </c>
      <c r="D787" s="70">
        <v>17781.47</v>
      </c>
      <c r="E787" s="70"/>
      <c r="F787" s="70">
        <f>D787*0.3</f>
        <v>5334.4409999999998</v>
      </c>
      <c r="G787" s="70">
        <f>(IF(D787&lt;4172.98,0,MIN(D787*0.3,D787-4172.98)))-E787</f>
        <v>5334.4409999999998</v>
      </c>
      <c r="H787" s="69"/>
      <c r="I787" s="69"/>
      <c r="J787" s="70"/>
      <c r="K787" s="70" t="s">
        <v>95</v>
      </c>
      <c r="L787" s="143">
        <v>46283</v>
      </c>
    </row>
    <row r="788" spans="1:12">
      <c r="A788" s="30">
        <v>24559118</v>
      </c>
      <c r="C788" s="69" t="s">
        <v>34</v>
      </c>
      <c r="D788" s="70">
        <v>6262.86</v>
      </c>
      <c r="E788" s="70">
        <v>1532.08</v>
      </c>
      <c r="F788" s="70">
        <f>D788*0.3</f>
        <v>1878.8579999999997</v>
      </c>
      <c r="G788" s="70">
        <f>(IF(D788&lt;4172.98,0,MIN(D788*0.3,D788-4172.98)))-E788</f>
        <v>346.77799999999979</v>
      </c>
      <c r="H788" s="71">
        <v>45597</v>
      </c>
      <c r="I788" s="69" t="s">
        <v>141</v>
      </c>
      <c r="J788" s="70">
        <v>1532.08</v>
      </c>
      <c r="K788" s="70" t="s">
        <v>35</v>
      </c>
      <c r="L788" s="143">
        <v>46283</v>
      </c>
    </row>
    <row r="789" spans="1:12">
      <c r="A789" s="72">
        <v>24636206</v>
      </c>
      <c r="B789">
        <v>5216391749185</v>
      </c>
      <c r="C789" s="69" t="s">
        <v>54</v>
      </c>
      <c r="D789" s="70">
        <v>10636.54</v>
      </c>
      <c r="E789" s="70"/>
      <c r="F789" s="70">
        <v>3190.962</v>
      </c>
      <c r="G789" s="70">
        <v>3190.962</v>
      </c>
      <c r="H789" s="69"/>
      <c r="I789" s="69"/>
      <c r="J789" s="70"/>
      <c r="K789" s="70" t="s">
        <v>2823</v>
      </c>
      <c r="L789" s="143">
        <v>46283</v>
      </c>
    </row>
    <row r="790" spans="1:12">
      <c r="A790" s="72">
        <v>24506056</v>
      </c>
      <c r="B790">
        <v>6623940209</v>
      </c>
      <c r="C790" s="69" t="s">
        <v>54</v>
      </c>
      <c r="D790" s="70">
        <v>11908.03</v>
      </c>
      <c r="E790" s="70">
        <v>879</v>
      </c>
      <c r="F790" s="70">
        <v>3572.4090000000001</v>
      </c>
      <c r="G790" s="70">
        <v>2693.4090000000001</v>
      </c>
      <c r="H790" s="69"/>
      <c r="I790" s="69"/>
      <c r="J790" s="70"/>
      <c r="K790" s="70" t="s">
        <v>266</v>
      </c>
      <c r="L790" s="143">
        <v>46283</v>
      </c>
    </row>
    <row r="791" spans="1:12">
      <c r="A791" s="30">
        <v>24640150</v>
      </c>
      <c r="C791" s="69" t="s">
        <v>107</v>
      </c>
      <c r="D791" s="70">
        <v>4679.34</v>
      </c>
      <c r="E791" s="70">
        <v>413.46</v>
      </c>
      <c r="F791" s="70">
        <f>D791*0.3</f>
        <v>1403.8019999999999</v>
      </c>
      <c r="G791" s="70">
        <f>(IF(D791&lt;4172.98,0,MIN(D791*0.3,D791-4172.98)))-E791</f>
        <v>92.900000000000603</v>
      </c>
      <c r="H791" s="71">
        <v>45566</v>
      </c>
      <c r="I791" s="69" t="s">
        <v>80</v>
      </c>
      <c r="J791" s="70">
        <v>413.46</v>
      </c>
      <c r="K791" s="70" t="s">
        <v>2179</v>
      </c>
      <c r="L791" s="143">
        <v>46283</v>
      </c>
    </row>
    <row r="792" spans="1:12">
      <c r="A792" s="72">
        <v>24639144</v>
      </c>
      <c r="B792">
        <v>5215627609993</v>
      </c>
      <c r="C792" s="69" t="s">
        <v>38</v>
      </c>
      <c r="D792" s="70">
        <v>5617.63</v>
      </c>
      <c r="E792" s="70">
        <v>579.23</v>
      </c>
      <c r="F792" s="70">
        <v>1685.289</v>
      </c>
      <c r="G792" s="70">
        <v>865.42000000000053</v>
      </c>
      <c r="H792" s="69">
        <v>46478</v>
      </c>
      <c r="I792" s="69" t="s">
        <v>44</v>
      </c>
      <c r="J792" s="70">
        <v>579.23</v>
      </c>
      <c r="K792" s="70" t="s">
        <v>39</v>
      </c>
      <c r="L792" s="143">
        <v>46283</v>
      </c>
    </row>
    <row r="793" spans="1:12">
      <c r="A793" s="30">
        <v>24641860</v>
      </c>
      <c r="C793" s="69" t="s">
        <v>34</v>
      </c>
      <c r="D793" s="70">
        <v>20980.85</v>
      </c>
      <c r="E793" s="70">
        <v>5558.71</v>
      </c>
      <c r="F793" s="70">
        <f>D793*0.3</f>
        <v>6294.2549999999992</v>
      </c>
      <c r="G793" s="70">
        <f>(IF(D793&lt;4172.98,0,MIN(D793*0.3,D793-4172.98)))-E793</f>
        <v>735.54499999999916</v>
      </c>
      <c r="H793" s="71">
        <v>45901</v>
      </c>
      <c r="I793" s="69" t="s">
        <v>141</v>
      </c>
      <c r="J793" s="70">
        <v>5558.71</v>
      </c>
      <c r="K793" s="70" t="s">
        <v>35</v>
      </c>
      <c r="L793" s="143">
        <v>46283</v>
      </c>
    </row>
    <row r="794" spans="1:12">
      <c r="A794" s="30">
        <v>24642732</v>
      </c>
      <c r="C794" s="69" t="s">
        <v>34</v>
      </c>
      <c r="D794" s="70">
        <v>9362.2800000000007</v>
      </c>
      <c r="E794" s="70">
        <v>2708.43</v>
      </c>
      <c r="F794" s="70">
        <f>D794*0.3</f>
        <v>2808.6840000000002</v>
      </c>
      <c r="G794" s="70">
        <f>(IF(D794&lt;4172.98,0,MIN(D794*0.3,D794-4172.98)))-E794</f>
        <v>100.25400000000036</v>
      </c>
      <c r="H794" s="71">
        <v>46569</v>
      </c>
      <c r="I794" s="69" t="s">
        <v>44</v>
      </c>
      <c r="J794" s="70">
        <v>302.47000000000003</v>
      </c>
      <c r="K794" s="70" t="s">
        <v>35</v>
      </c>
      <c r="L794" s="143">
        <v>46283</v>
      </c>
    </row>
    <row r="795" spans="1:12">
      <c r="A795" s="30">
        <v>24643056</v>
      </c>
      <c r="C795" s="69" t="s">
        <v>107</v>
      </c>
      <c r="D795" s="70">
        <v>5054.03</v>
      </c>
      <c r="E795" s="70">
        <v>814</v>
      </c>
      <c r="F795" s="70">
        <f>D795*0.3</f>
        <v>1516.2089999999998</v>
      </c>
      <c r="G795" s="70">
        <f>(IF(D795&lt;4172.98,0,MIN(D795*0.3,D795-4172.98)))-E795</f>
        <v>67.050000000000182</v>
      </c>
      <c r="H795" s="71">
        <v>46266</v>
      </c>
      <c r="I795" s="69" t="s">
        <v>80</v>
      </c>
      <c r="J795" s="70">
        <v>814</v>
      </c>
      <c r="K795" s="70" t="s">
        <v>2179</v>
      </c>
      <c r="L795" s="143">
        <v>46283</v>
      </c>
    </row>
    <row r="796" spans="1:12">
      <c r="A796" s="30">
        <v>24643496</v>
      </c>
      <c r="C796" s="69" t="s">
        <v>27</v>
      </c>
      <c r="D796" s="70">
        <v>18494.060000000001</v>
      </c>
      <c r="E796" s="70">
        <v>4852.29</v>
      </c>
      <c r="F796" s="70">
        <f>D796*0.3</f>
        <v>5548.2179999999998</v>
      </c>
      <c r="G796" s="70">
        <f>(IF(D796&lt;4172.98,0,MIN(D796*0.3,D796-4172.98)))-E796</f>
        <v>695.92799999999988</v>
      </c>
      <c r="H796" s="71">
        <v>46266</v>
      </c>
      <c r="I796" s="69" t="s">
        <v>75</v>
      </c>
      <c r="J796" s="70">
        <v>4852.29</v>
      </c>
      <c r="K796" s="70" t="s">
        <v>98</v>
      </c>
      <c r="L796" s="143">
        <v>46283</v>
      </c>
    </row>
    <row r="797" spans="1:12">
      <c r="A797" s="30">
        <v>24643512</v>
      </c>
      <c r="C797" t="s">
        <v>54</v>
      </c>
      <c r="D797" s="3">
        <v>6257.79</v>
      </c>
      <c r="E797" s="3"/>
      <c r="F797" s="3">
        <f>D797*0.3</f>
        <v>1877.337</v>
      </c>
      <c r="G797" s="3">
        <f>(IF(D797&lt;4172.98,0,MIN(D797*0.3,D797-4172.98)))-E797</f>
        <v>1877.337</v>
      </c>
      <c r="J797" s="3"/>
      <c r="K797" s="3" t="s">
        <v>327</v>
      </c>
      <c r="L797" s="47">
        <v>46283</v>
      </c>
    </row>
    <row r="798" spans="1:12">
      <c r="A798" s="72">
        <v>24643024</v>
      </c>
      <c r="B798">
        <v>6182599205</v>
      </c>
      <c r="C798" s="69" t="s">
        <v>54</v>
      </c>
      <c r="D798" s="70">
        <v>10636.54</v>
      </c>
      <c r="E798" s="70"/>
      <c r="F798" s="70">
        <v>3190.962</v>
      </c>
      <c r="G798" s="70">
        <v>3190.962</v>
      </c>
      <c r="H798" s="69"/>
      <c r="I798" s="69"/>
      <c r="J798" s="70"/>
      <c r="K798" s="70" t="s">
        <v>348</v>
      </c>
      <c r="L798" s="143">
        <v>46283</v>
      </c>
    </row>
    <row r="799" spans="1:12">
      <c r="A799" s="72">
        <v>24637060</v>
      </c>
      <c r="B799">
        <v>5215544544770</v>
      </c>
      <c r="C799" s="69" t="s">
        <v>54</v>
      </c>
      <c r="D799" s="70">
        <v>31455.54</v>
      </c>
      <c r="E799" s="70"/>
      <c r="F799" s="70">
        <v>9436.6620000000003</v>
      </c>
      <c r="G799" s="70">
        <v>9436.6620000000003</v>
      </c>
      <c r="H799" s="69"/>
      <c r="I799" s="69"/>
      <c r="J799" s="70"/>
      <c r="K799" s="70" t="s">
        <v>28</v>
      </c>
      <c r="L799" s="143">
        <v>46283</v>
      </c>
    </row>
    <row r="800" spans="1:12">
      <c r="A800" s="72">
        <v>24583688</v>
      </c>
      <c r="B800">
        <v>5218771925967</v>
      </c>
      <c r="C800" s="69" t="s">
        <v>54</v>
      </c>
      <c r="D800" s="70">
        <v>13095.44</v>
      </c>
      <c r="E800" s="70"/>
      <c r="F800" s="70">
        <v>3928.6320000000001</v>
      </c>
      <c r="G800" s="70">
        <v>3928.6320000000001</v>
      </c>
      <c r="H800" s="69"/>
      <c r="I800" s="69"/>
      <c r="J800" s="70"/>
      <c r="K800" s="70" t="s">
        <v>1091</v>
      </c>
      <c r="L800" s="143">
        <v>46283</v>
      </c>
    </row>
    <row r="801" spans="1:12">
      <c r="A801" s="72">
        <v>24645494</v>
      </c>
      <c r="B801">
        <v>5218183961245</v>
      </c>
      <c r="C801" s="69" t="s">
        <v>54</v>
      </c>
      <c r="D801" s="70">
        <v>47125</v>
      </c>
      <c r="E801" s="70"/>
      <c r="F801" s="70">
        <v>14137.5</v>
      </c>
      <c r="G801" s="70">
        <v>14137.5</v>
      </c>
      <c r="H801" s="69"/>
      <c r="I801" s="69"/>
      <c r="J801" s="70"/>
      <c r="K801" s="70" t="s">
        <v>28</v>
      </c>
      <c r="L801" s="143">
        <v>46283</v>
      </c>
    </row>
    <row r="802" spans="1:12">
      <c r="A802" s="72">
        <v>24638484</v>
      </c>
      <c r="B802">
        <v>5216561314354</v>
      </c>
      <c r="C802" s="69" t="s">
        <v>54</v>
      </c>
      <c r="D802" s="70">
        <v>42234.79</v>
      </c>
      <c r="E802" s="70"/>
      <c r="F802" s="70">
        <v>12670.437</v>
      </c>
      <c r="G802" s="70">
        <v>12670.437</v>
      </c>
      <c r="H802" s="69"/>
      <c r="I802" s="69"/>
      <c r="J802" s="70"/>
      <c r="K802" s="70" t="s">
        <v>348</v>
      </c>
      <c r="L802" s="143">
        <v>46283</v>
      </c>
    </row>
    <row r="803" spans="1:12">
      <c r="A803" s="72">
        <v>24642240</v>
      </c>
      <c r="B803">
        <v>5213329469233</v>
      </c>
      <c r="C803" s="69" t="s">
        <v>34</v>
      </c>
      <c r="D803" s="70">
        <v>4332.32</v>
      </c>
      <c r="E803" s="70">
        <v>671.85</v>
      </c>
      <c r="F803" s="70">
        <v>1299.6959999999999</v>
      </c>
      <c r="G803" s="70">
        <v>-512.50999999999988</v>
      </c>
      <c r="H803" s="69">
        <v>45352</v>
      </c>
      <c r="I803" s="69" t="s">
        <v>141</v>
      </c>
      <c r="J803" s="70">
        <v>671.85</v>
      </c>
      <c r="K803" s="70" t="s">
        <v>35</v>
      </c>
      <c r="L803" s="143">
        <v>46283</v>
      </c>
    </row>
    <row r="804" spans="1:12">
      <c r="A804" s="12">
        <v>24646050</v>
      </c>
      <c r="C804" s="69" t="s">
        <v>54</v>
      </c>
      <c r="D804" s="70">
        <f>16908.54-8726.99</f>
        <v>8181.5500000000011</v>
      </c>
      <c r="E804" s="70"/>
      <c r="F804" s="70">
        <f t="shared" ref="F804" si="130">D804*0.3</f>
        <v>2454.4650000000001</v>
      </c>
      <c r="G804" s="70">
        <f t="shared" ref="G804" si="131">(IF(D804&lt;4172.98,0,MIN(D804*0.3,D804-4172.98)))-E804</f>
        <v>2454.4650000000001</v>
      </c>
      <c r="H804" s="69"/>
      <c r="I804" s="69"/>
      <c r="J804" s="70"/>
      <c r="K804" s="70" t="s">
        <v>358</v>
      </c>
      <c r="L804" s="143">
        <v>46283</v>
      </c>
    </row>
    <row r="805" spans="1:12">
      <c r="A805" s="30">
        <v>24645976</v>
      </c>
      <c r="C805" s="69" t="s">
        <v>54</v>
      </c>
      <c r="D805" s="70">
        <v>10636.54</v>
      </c>
      <c r="E805" s="70"/>
      <c r="F805" s="70">
        <f>D805*0.3</f>
        <v>3190.962</v>
      </c>
      <c r="G805" s="70">
        <f>(IF(D805&lt;4172.98,0,MIN(D805*0.3,D805-4172.98)))-E805</f>
        <v>3190.962</v>
      </c>
      <c r="H805" s="69"/>
      <c r="I805" s="69"/>
      <c r="J805" s="70"/>
      <c r="K805" s="70" t="s">
        <v>55</v>
      </c>
      <c r="L805" s="143">
        <v>46283</v>
      </c>
    </row>
    <row r="806" spans="1:12">
      <c r="A806" s="72">
        <v>24646722</v>
      </c>
      <c r="C806" t="s">
        <v>107</v>
      </c>
      <c r="D806" s="111">
        <v>7116.73</v>
      </c>
      <c r="E806" s="111">
        <v>2133.1</v>
      </c>
      <c r="F806" s="3">
        <f>D806*0.3</f>
        <v>2135.0189999999998</v>
      </c>
      <c r="G806" s="3">
        <f>(IF(D806&lt;4172.98,0,MIN(D806*0.3,D806-4172.98)))-E806</f>
        <v>1.918999999999869</v>
      </c>
      <c r="H806" s="6">
        <v>45717</v>
      </c>
      <c r="I806" t="s">
        <v>2238</v>
      </c>
      <c r="J806" s="3">
        <v>570.1</v>
      </c>
      <c r="K806" s="3" t="s">
        <v>39</v>
      </c>
      <c r="L806" s="48">
        <v>46284</v>
      </c>
    </row>
    <row r="807" spans="1:12">
      <c r="A807" s="68">
        <v>24648582</v>
      </c>
      <c r="C807" t="s">
        <v>38</v>
      </c>
      <c r="D807" s="111">
        <v>9081.52</v>
      </c>
      <c r="E807" s="111">
        <v>1779.5</v>
      </c>
      <c r="F807" s="3">
        <f>D807*0.3</f>
        <v>2724.4560000000001</v>
      </c>
      <c r="G807" s="3">
        <f>(IF(D807&lt;4172.98,0,MIN(D807*0.3,D807-4172.98)))-E807</f>
        <v>944.95600000000013</v>
      </c>
      <c r="H807" s="6">
        <v>46539</v>
      </c>
      <c r="I807" t="s">
        <v>77</v>
      </c>
      <c r="J807" s="111">
        <v>1779.5</v>
      </c>
      <c r="K807" s="3" t="s">
        <v>39</v>
      </c>
      <c r="L807" s="48">
        <v>46284</v>
      </c>
    </row>
    <row r="808" spans="1:12">
      <c r="A808" s="72">
        <v>24648564</v>
      </c>
      <c r="C808" t="s">
        <v>54</v>
      </c>
      <c r="D808" s="111">
        <v>11983.82</v>
      </c>
      <c r="E808" s="111">
        <v>848</v>
      </c>
      <c r="F808" s="3">
        <f>D808*0.3</f>
        <v>3595.1459999999997</v>
      </c>
      <c r="G808" s="3">
        <f>(IF(D808&lt;4172.98,0,MIN(D808*0.3,D808-4172.98)))-E808</f>
        <v>2747.1459999999997</v>
      </c>
      <c r="J808" s="3"/>
      <c r="K808" s="3" t="s">
        <v>1091</v>
      </c>
      <c r="L808" s="48">
        <v>46284</v>
      </c>
    </row>
    <row r="809" spans="1:12">
      <c r="A809" s="72">
        <v>24649818</v>
      </c>
      <c r="C809" t="s">
        <v>54</v>
      </c>
      <c r="D809" s="3">
        <v>10636.54</v>
      </c>
      <c r="E809" s="3"/>
      <c r="F809" s="3">
        <f>D809*0.3</f>
        <v>3190.962</v>
      </c>
      <c r="G809" s="3">
        <f>(IF(D809&lt;4172.98,0,MIN(D809*0.3,D809-4172.98)))-E809</f>
        <v>3190.962</v>
      </c>
      <c r="J809" s="3"/>
      <c r="K809" s="3" t="s">
        <v>879</v>
      </c>
      <c r="L809" s="48">
        <v>46284</v>
      </c>
    </row>
    <row r="810" spans="1:12">
      <c r="A810" s="72">
        <v>24659436</v>
      </c>
      <c r="C810" t="s">
        <v>54</v>
      </c>
      <c r="D810" s="3">
        <v>10636.54</v>
      </c>
      <c r="E810" s="3"/>
      <c r="F810" s="3">
        <f>D810*0.3</f>
        <v>3190.962</v>
      </c>
      <c r="G810" s="3">
        <f>(IF(D810&lt;4172.98,0,MIN(D810*0.3,D810-4172.98)))-E810</f>
        <v>3190.962</v>
      </c>
      <c r="J810" s="3"/>
      <c r="K810" s="3" t="s">
        <v>886</v>
      </c>
      <c r="L810" s="48">
        <v>46284</v>
      </c>
    </row>
    <row r="811" spans="1:12">
      <c r="A811" s="72">
        <v>24660100</v>
      </c>
      <c r="C811" t="s">
        <v>38</v>
      </c>
      <c r="D811" s="111">
        <v>19485.38</v>
      </c>
      <c r="E811" s="111">
        <v>5384.34</v>
      </c>
      <c r="F811" s="3">
        <f>D811*0.3</f>
        <v>5845.6140000000005</v>
      </c>
      <c r="G811" s="3">
        <f>(IF(D811&lt;4172.98,0,MIN(D811*0.3,D811-4172.98)))-E811</f>
        <v>461.27400000000034</v>
      </c>
      <c r="H811" s="6">
        <v>46478</v>
      </c>
      <c r="I811" t="s">
        <v>80</v>
      </c>
      <c r="J811" s="3">
        <v>1789.65</v>
      </c>
      <c r="K811" s="3" t="s">
        <v>39</v>
      </c>
      <c r="L811" s="48">
        <v>46284</v>
      </c>
    </row>
    <row r="812" spans="1:12">
      <c r="A812" s="72">
        <v>24660042</v>
      </c>
      <c r="C812" t="s">
        <v>54</v>
      </c>
      <c r="D812" s="3">
        <v>10636.54</v>
      </c>
      <c r="E812" s="3"/>
      <c r="F812" s="3">
        <f>D812*0.3</f>
        <v>3190.962</v>
      </c>
      <c r="G812" s="3">
        <f>(IF(D812&lt;4172.98,0,MIN(D812*0.3,D812-4172.98)))-E812</f>
        <v>3190.962</v>
      </c>
      <c r="J812" s="3"/>
      <c r="K812" s="3" t="s">
        <v>1091</v>
      </c>
      <c r="L812" s="48">
        <v>46284</v>
      </c>
    </row>
    <row r="813" spans="1:12">
      <c r="A813" s="72">
        <v>24660188</v>
      </c>
      <c r="C813" t="s">
        <v>54</v>
      </c>
      <c r="D813" s="3">
        <v>7116.73</v>
      </c>
      <c r="E813" s="3"/>
      <c r="F813" s="3">
        <f>D813*0.3</f>
        <v>2135.0189999999998</v>
      </c>
      <c r="G813" s="3">
        <f>(IF(D813&lt;4172.98,0,MIN(D813*0.3,D813-4172.98)))-E813</f>
        <v>2135.0189999999998</v>
      </c>
      <c r="J813" s="3"/>
      <c r="K813" s="3" t="s">
        <v>95</v>
      </c>
      <c r="L813" s="48">
        <v>46284</v>
      </c>
    </row>
    <row r="814" spans="1:12">
      <c r="A814" s="72">
        <v>24660698</v>
      </c>
      <c r="C814" t="s">
        <v>107</v>
      </c>
      <c r="D814" s="111">
        <v>25050.42</v>
      </c>
      <c r="E814" s="111">
        <v>7514.51</v>
      </c>
      <c r="F814" s="3">
        <f>D814*0.3</f>
        <v>7515.1259999999993</v>
      </c>
      <c r="G814" s="3">
        <f>(IF(D814&lt;4172.98,0,MIN(D814*0.3,D814-4172.98)))-E814</f>
        <v>0.61599999999907595</v>
      </c>
      <c r="H814" s="6">
        <v>46235</v>
      </c>
      <c r="I814" t="s">
        <v>59</v>
      </c>
      <c r="J814" s="3">
        <v>736.65</v>
      </c>
      <c r="K814" s="3" t="s">
        <v>39</v>
      </c>
      <c r="L814" s="48">
        <v>46284</v>
      </c>
    </row>
    <row r="815" spans="1:12">
      <c r="A815" s="72">
        <v>24649886</v>
      </c>
      <c r="B815">
        <v>5212228439060</v>
      </c>
      <c r="C815" s="69" t="s">
        <v>54</v>
      </c>
      <c r="D815" s="70">
        <v>9760.32</v>
      </c>
      <c r="E815" s="70"/>
      <c r="F815" s="70">
        <v>2928.096</v>
      </c>
      <c r="G815" s="70">
        <v>2928.096</v>
      </c>
      <c r="H815" s="69"/>
      <c r="I815" s="69"/>
      <c r="J815" s="70"/>
      <c r="K815" s="70" t="s">
        <v>95</v>
      </c>
      <c r="L815" s="143">
        <v>46284</v>
      </c>
    </row>
    <row r="816" spans="1:12">
      <c r="A816" s="173">
        <v>24447812</v>
      </c>
      <c r="B816">
        <v>5219844345912</v>
      </c>
      <c r="C816" t="s">
        <v>54</v>
      </c>
      <c r="D816" s="3">
        <v>21419.040000000001</v>
      </c>
      <c r="E816" s="3">
        <v>879</v>
      </c>
      <c r="F816" s="3">
        <v>6425.7120000000004</v>
      </c>
      <c r="G816" s="3">
        <v>5546.7120000000004</v>
      </c>
      <c r="J816" s="3"/>
      <c r="K816" s="3" t="s">
        <v>28</v>
      </c>
      <c r="L816" s="47">
        <v>46284</v>
      </c>
    </row>
    <row r="817" spans="1:12">
      <c r="A817" s="173">
        <v>24643228</v>
      </c>
      <c r="B817">
        <v>5215543730520</v>
      </c>
      <c r="C817" t="s">
        <v>54</v>
      </c>
      <c r="D817" s="3">
        <v>29188.38</v>
      </c>
      <c r="E817" s="3">
        <v>4775.8599999999997</v>
      </c>
      <c r="F817" s="3">
        <v>8756.5139999999992</v>
      </c>
      <c r="G817" s="3">
        <v>3980.6539999999995</v>
      </c>
      <c r="H817">
        <v>46813</v>
      </c>
      <c r="I817" t="s">
        <v>75</v>
      </c>
      <c r="J817" s="3">
        <v>4775.8599999999997</v>
      </c>
      <c r="K817" s="3" t="s">
        <v>1910</v>
      </c>
      <c r="L817" s="47">
        <v>46284</v>
      </c>
    </row>
    <row r="818" spans="1:12">
      <c r="A818" s="173">
        <v>24652330</v>
      </c>
      <c r="B818">
        <v>5215528508604</v>
      </c>
      <c r="C818" t="s">
        <v>54</v>
      </c>
      <c r="D818" s="3">
        <v>9760.32</v>
      </c>
      <c r="E818" s="3"/>
      <c r="F818" s="3">
        <v>2928.096</v>
      </c>
      <c r="G818" s="3">
        <v>2928.096</v>
      </c>
      <c r="J818" s="3"/>
      <c r="K818" s="3" t="s">
        <v>879</v>
      </c>
      <c r="L818" s="47">
        <v>46284</v>
      </c>
    </row>
    <row r="819" spans="1:12">
      <c r="A819" s="173">
        <v>24646242</v>
      </c>
      <c r="B819">
        <v>5218128612039</v>
      </c>
      <c r="C819" t="s">
        <v>38</v>
      </c>
      <c r="D819" s="3">
        <v>28013.52</v>
      </c>
      <c r="E819" s="3">
        <v>8104</v>
      </c>
      <c r="F819" s="3">
        <v>8404.0560000000005</v>
      </c>
      <c r="G819" s="3">
        <v>300.05600000000049</v>
      </c>
      <c r="H819">
        <v>46753</v>
      </c>
      <c r="I819" t="s">
        <v>141</v>
      </c>
      <c r="J819" s="3">
        <v>8104</v>
      </c>
      <c r="K819" s="3" t="s">
        <v>39</v>
      </c>
      <c r="L819" s="47">
        <v>46284</v>
      </c>
    </row>
    <row r="820" spans="1:12">
      <c r="A820" s="173">
        <v>24494990</v>
      </c>
      <c r="B820">
        <v>18566736205</v>
      </c>
      <c r="C820" t="s">
        <v>34</v>
      </c>
      <c r="D820" s="3">
        <v>4981.78</v>
      </c>
      <c r="E820" s="3">
        <v>746.77</v>
      </c>
      <c r="F820" s="3">
        <v>1494.5339999999999</v>
      </c>
      <c r="G820" s="3">
        <v>62.0300000000002</v>
      </c>
      <c r="H820">
        <v>46266</v>
      </c>
      <c r="I820" t="s">
        <v>141</v>
      </c>
      <c r="J820" s="3">
        <v>746.77</v>
      </c>
      <c r="K820" s="3" t="s">
        <v>35</v>
      </c>
      <c r="L820" s="47">
        <v>46284</v>
      </c>
    </row>
    <row r="821" spans="1:12">
      <c r="A821" s="173">
        <v>24645856</v>
      </c>
      <c r="B821">
        <v>5215545141722</v>
      </c>
      <c r="C821" t="s">
        <v>107</v>
      </c>
      <c r="D821" s="3">
        <v>4604.68</v>
      </c>
      <c r="E821" s="3">
        <v>380</v>
      </c>
      <c r="F821" s="3">
        <v>1381.404</v>
      </c>
      <c r="G821" s="3">
        <v>51.700000000000728</v>
      </c>
      <c r="H821">
        <v>45839</v>
      </c>
      <c r="I821" t="s">
        <v>75</v>
      </c>
      <c r="J821" s="3">
        <v>380</v>
      </c>
      <c r="K821" s="3" t="s">
        <v>39</v>
      </c>
      <c r="L821" s="47">
        <v>46284</v>
      </c>
    </row>
    <row r="822" spans="1:12">
      <c r="A822" s="173">
        <v>24660712</v>
      </c>
      <c r="B822">
        <v>5219994099040</v>
      </c>
      <c r="C822" t="s">
        <v>34</v>
      </c>
      <c r="D822" s="3">
        <v>24733.74</v>
      </c>
      <c r="E822" s="3">
        <v>6479.56</v>
      </c>
      <c r="F822" s="3">
        <v>7420.1220000000003</v>
      </c>
      <c r="G822" s="3">
        <v>940.5619999999999</v>
      </c>
      <c r="H822">
        <v>46266</v>
      </c>
      <c r="I822" t="s">
        <v>2824</v>
      </c>
      <c r="J822" s="3">
        <v>6479.56</v>
      </c>
      <c r="K822" s="3" t="s">
        <v>35</v>
      </c>
      <c r="L822" s="47">
        <v>46284</v>
      </c>
    </row>
    <row r="823" spans="1:12">
      <c r="A823" s="173">
        <v>24646198</v>
      </c>
      <c r="B823">
        <v>5213324070149</v>
      </c>
      <c r="C823" t="s">
        <v>34</v>
      </c>
      <c r="D823" s="3">
        <v>5819.95</v>
      </c>
      <c r="E823" s="3">
        <v>1523.56</v>
      </c>
      <c r="F823" s="3">
        <v>1745.9849999999999</v>
      </c>
      <c r="G823" s="3">
        <v>123.41000000000031</v>
      </c>
      <c r="H823">
        <v>46235</v>
      </c>
      <c r="I823" t="s">
        <v>141</v>
      </c>
      <c r="J823" s="3">
        <v>1523.56</v>
      </c>
      <c r="K823" s="3" t="s">
        <v>35</v>
      </c>
      <c r="L823" s="47">
        <v>46284</v>
      </c>
    </row>
    <row r="824" spans="1:12">
      <c r="A824" s="173">
        <v>24660770</v>
      </c>
      <c r="B824">
        <v>5218713637555</v>
      </c>
      <c r="C824" t="s">
        <v>54</v>
      </c>
      <c r="D824" s="3">
        <v>9760.3700000000008</v>
      </c>
      <c r="E824" s="3"/>
      <c r="F824" s="3">
        <v>2928.1110000000003</v>
      </c>
      <c r="G824" s="3">
        <v>2928.1110000000003</v>
      </c>
      <c r="J824" s="3"/>
      <c r="K824" s="3" t="s">
        <v>886</v>
      </c>
      <c r="L824" s="47">
        <v>46284</v>
      </c>
    </row>
    <row r="825" spans="1:12">
      <c r="A825" s="173">
        <v>24562668</v>
      </c>
      <c r="B825">
        <v>5218123293238</v>
      </c>
      <c r="C825" t="s">
        <v>27</v>
      </c>
      <c r="D825" s="3">
        <v>47214.66</v>
      </c>
      <c r="E825" s="3">
        <v>12765.19</v>
      </c>
      <c r="F825" s="3">
        <v>14164.398000000001</v>
      </c>
      <c r="G825" s="3">
        <v>1399.2080000000005</v>
      </c>
      <c r="H825">
        <v>46235</v>
      </c>
      <c r="I825" t="s">
        <v>75</v>
      </c>
      <c r="J825" s="3">
        <v>1433.22</v>
      </c>
      <c r="K825" s="3" t="s">
        <v>98</v>
      </c>
      <c r="L825" s="47">
        <v>46284</v>
      </c>
    </row>
    <row r="826" spans="1:12">
      <c r="A826" s="173">
        <v>24659888</v>
      </c>
      <c r="B826">
        <v>5215669528935</v>
      </c>
      <c r="C826" t="s">
        <v>27</v>
      </c>
      <c r="D826" s="3">
        <v>6262.86</v>
      </c>
      <c r="E826" s="3">
        <v>1539.17</v>
      </c>
      <c r="F826" s="3">
        <v>1878.8579999999997</v>
      </c>
      <c r="G826" s="3">
        <v>339.68799999999965</v>
      </c>
      <c r="H826">
        <v>45566</v>
      </c>
      <c r="I826" t="s">
        <v>421</v>
      </c>
      <c r="J826" s="3">
        <v>1539.17</v>
      </c>
      <c r="K826" s="3" t="s">
        <v>1080</v>
      </c>
      <c r="L826" s="47">
        <v>46284</v>
      </c>
    </row>
    <row r="827" spans="1:12">
      <c r="A827" s="173">
        <v>24659478</v>
      </c>
      <c r="B827">
        <v>5214381179859</v>
      </c>
      <c r="C827" t="s">
        <v>107</v>
      </c>
      <c r="D827" s="3">
        <v>8190.07</v>
      </c>
      <c r="E827" s="3">
        <v>2369.58</v>
      </c>
      <c r="F827" s="3">
        <v>2457.0209999999997</v>
      </c>
      <c r="G827" s="3">
        <v>87.440999999999804</v>
      </c>
      <c r="H827">
        <v>46113</v>
      </c>
      <c r="I827" t="s">
        <v>2825</v>
      </c>
      <c r="J827" s="3">
        <v>549.28</v>
      </c>
      <c r="K827" s="3" t="s">
        <v>39</v>
      </c>
      <c r="L827" s="47">
        <v>46284</v>
      </c>
    </row>
    <row r="828" spans="1:12">
      <c r="A828" s="12">
        <v>24663412</v>
      </c>
      <c r="C828" s="69" t="s">
        <v>54</v>
      </c>
      <c r="D828" s="70">
        <v>11029.03</v>
      </c>
      <c r="E828" s="70"/>
      <c r="F828" s="70">
        <f>D828*0.3</f>
        <v>3308.7090000000003</v>
      </c>
      <c r="G828" s="70">
        <f>(IF(D828&lt;4172.98,0,MIN(D828*0.3,D828-4172.98)))-E828</f>
        <v>3308.7090000000003</v>
      </c>
      <c r="H828" s="69"/>
      <c r="I828" s="69"/>
      <c r="J828" s="70"/>
      <c r="K828" s="70" t="s">
        <v>55</v>
      </c>
      <c r="L828" s="143">
        <v>46286</v>
      </c>
    </row>
    <row r="829" spans="1:12">
      <c r="A829" s="12">
        <v>24663694</v>
      </c>
      <c r="C829" s="69" t="s">
        <v>54</v>
      </c>
      <c r="D829" s="70">
        <v>23691.17</v>
      </c>
      <c r="E829" s="70"/>
      <c r="F829" s="70">
        <f>D829*0.3</f>
        <v>7107.3509999999997</v>
      </c>
      <c r="G829" s="70">
        <f>(IF(D829&lt;4172.98,0,MIN(D829*0.3,D829-4172.98)))-E829</f>
        <v>7107.3509999999997</v>
      </c>
      <c r="H829" s="69"/>
      <c r="I829" s="69"/>
      <c r="J829" s="70"/>
      <c r="K829" s="70" t="s">
        <v>55</v>
      </c>
      <c r="L829" s="143">
        <v>46286</v>
      </c>
    </row>
    <row r="830" spans="1:12">
      <c r="A830" s="72">
        <v>24662326</v>
      </c>
      <c r="B830">
        <v>5219371707707</v>
      </c>
      <c r="C830" s="69" t="s">
        <v>54</v>
      </c>
      <c r="D830" s="70">
        <v>5617.63</v>
      </c>
      <c r="E830" s="70"/>
      <c r="F830" s="70">
        <v>1685.289</v>
      </c>
      <c r="G830" s="70">
        <v>1444.6500000000005</v>
      </c>
      <c r="H830" s="69"/>
      <c r="I830" s="69"/>
      <c r="J830" s="70"/>
      <c r="K830" s="70" t="s">
        <v>266</v>
      </c>
      <c r="L830" s="143">
        <v>46286</v>
      </c>
    </row>
    <row r="831" spans="1:12">
      <c r="A831" s="173">
        <v>24663178</v>
      </c>
      <c r="B831">
        <v>5218677279347</v>
      </c>
      <c r="C831" t="s">
        <v>54</v>
      </c>
      <c r="D831" s="3">
        <v>7116.7330000000002</v>
      </c>
      <c r="E831" s="3"/>
      <c r="F831" s="3">
        <v>2135.0198999999998</v>
      </c>
      <c r="G831" s="3">
        <v>2135.0198999999998</v>
      </c>
      <c r="J831" s="3"/>
      <c r="K831" s="3" t="s">
        <v>62</v>
      </c>
      <c r="L831" s="47">
        <v>46286</v>
      </c>
    </row>
    <row r="832" spans="1:12">
      <c r="A832" s="173">
        <v>24663452</v>
      </c>
      <c r="B832">
        <v>5216621286508</v>
      </c>
      <c r="C832" t="s">
        <v>27</v>
      </c>
      <c r="D832" s="3">
        <v>5729.6900000000005</v>
      </c>
      <c r="E832" s="3">
        <v>1276.48</v>
      </c>
      <c r="F832" s="3">
        <v>1718.9070000000002</v>
      </c>
      <c r="G832" s="3">
        <v>280.23000000000093</v>
      </c>
      <c r="H832">
        <v>45536</v>
      </c>
      <c r="I832" t="s">
        <v>77</v>
      </c>
      <c r="J832" s="3">
        <v>1276.48</v>
      </c>
      <c r="K832" s="3" t="s">
        <v>90</v>
      </c>
      <c r="L832" s="47">
        <v>46286</v>
      </c>
    </row>
    <row r="833" spans="1:12">
      <c r="A833" s="173">
        <v>24663042</v>
      </c>
      <c r="B833">
        <v>5217891004992</v>
      </c>
      <c r="C833" t="s">
        <v>54</v>
      </c>
      <c r="D833" s="3">
        <v>24929.67</v>
      </c>
      <c r="E833" s="3"/>
      <c r="F833" s="3">
        <v>7478.9009999999989</v>
      </c>
      <c r="G833" s="3">
        <v>7478.9009999999989</v>
      </c>
      <c r="J833" s="3"/>
      <c r="K833" s="3" t="s">
        <v>1808</v>
      </c>
      <c r="L833" s="47">
        <v>46286</v>
      </c>
    </row>
    <row r="834" spans="1:12">
      <c r="A834" s="173">
        <v>24560966</v>
      </c>
      <c r="B834">
        <v>5216141760640</v>
      </c>
      <c r="C834" t="s">
        <v>54</v>
      </c>
      <c r="D834" s="3">
        <v>25812.14</v>
      </c>
      <c r="E834" s="3">
        <v>1191.3699999999999</v>
      </c>
      <c r="F834" s="3">
        <v>7743.6419999999998</v>
      </c>
      <c r="G834" s="3">
        <v>6552.2719999999999</v>
      </c>
      <c r="H834">
        <v>46905</v>
      </c>
      <c r="I834" t="s">
        <v>44</v>
      </c>
      <c r="J834" s="3">
        <v>1191.3699999999999</v>
      </c>
      <c r="K834" s="3" t="s">
        <v>28</v>
      </c>
      <c r="L834" s="47">
        <v>46286</v>
      </c>
    </row>
    <row r="835" spans="1:12">
      <c r="A835" s="173">
        <v>24648992</v>
      </c>
      <c r="B835">
        <v>5219993940010</v>
      </c>
      <c r="C835" t="s">
        <v>54</v>
      </c>
      <c r="D835" s="3">
        <v>7343.52</v>
      </c>
      <c r="E835" s="3"/>
      <c r="F835" s="3">
        <v>2203.056</v>
      </c>
      <c r="G835" s="3">
        <v>2203.056</v>
      </c>
      <c r="J835" s="3"/>
      <c r="K835" s="3" t="s">
        <v>886</v>
      </c>
      <c r="L835" s="47">
        <v>46286</v>
      </c>
    </row>
    <row r="836" spans="1:12">
      <c r="A836" s="173">
        <v>24664610</v>
      </c>
      <c r="B836">
        <v>5213310205764</v>
      </c>
      <c r="C836" t="s">
        <v>54</v>
      </c>
      <c r="D836" s="3">
        <v>19788.03</v>
      </c>
      <c r="E836" s="3">
        <v>848</v>
      </c>
      <c r="F836" s="3">
        <v>5936.4089999999997</v>
      </c>
      <c r="G836" s="3">
        <v>5088.4089999999997</v>
      </c>
      <c r="J836" s="3"/>
      <c r="K836" s="3" t="s">
        <v>348</v>
      </c>
      <c r="L836" s="47">
        <v>46286</v>
      </c>
    </row>
    <row r="837" spans="1:12">
      <c r="A837" s="173">
        <v>24561580</v>
      </c>
      <c r="B837">
        <v>5216622247571</v>
      </c>
      <c r="C837" t="s">
        <v>27</v>
      </c>
      <c r="D837" s="3">
        <v>7920.51</v>
      </c>
      <c r="E837" s="3">
        <v>2101.11</v>
      </c>
      <c r="F837" s="3">
        <v>2376.1529999999998</v>
      </c>
      <c r="G837" s="3">
        <v>275.04299999999967</v>
      </c>
      <c r="H837">
        <v>45962</v>
      </c>
      <c r="I837" t="s">
        <v>44</v>
      </c>
      <c r="J837" s="3">
        <v>2101.11</v>
      </c>
      <c r="K837" s="3" t="s">
        <v>98</v>
      </c>
      <c r="L837" s="47">
        <v>46286</v>
      </c>
    </row>
    <row r="838" spans="1:12">
      <c r="A838" s="173">
        <v>24663518</v>
      </c>
      <c r="B838">
        <v>5218714656322</v>
      </c>
      <c r="C838" t="s">
        <v>27</v>
      </c>
      <c r="D838" s="3">
        <v>13092.66</v>
      </c>
      <c r="E838" s="3">
        <v>3634.9300000000003</v>
      </c>
      <c r="F838" s="3">
        <v>3927.7979999999998</v>
      </c>
      <c r="G838" s="3">
        <v>292.86799999999948</v>
      </c>
      <c r="H838">
        <v>46082</v>
      </c>
      <c r="I838" t="s">
        <v>80</v>
      </c>
      <c r="J838" s="3">
        <v>2856.9</v>
      </c>
      <c r="K838" s="3" t="s">
        <v>2059</v>
      </c>
      <c r="L838" s="47">
        <v>46286</v>
      </c>
    </row>
    <row r="839" spans="1:12">
      <c r="A839" s="173">
        <v>24498862</v>
      </c>
      <c r="B839">
        <v>5213541130527</v>
      </c>
      <c r="C839" t="s">
        <v>107</v>
      </c>
      <c r="D839" s="3">
        <v>4342.43</v>
      </c>
      <c r="E839" s="3">
        <v>371.76</v>
      </c>
      <c r="F839" s="3">
        <v>1302.729</v>
      </c>
      <c r="G839" s="3">
        <v>-202.30999999999926</v>
      </c>
      <c r="H839">
        <v>45323</v>
      </c>
      <c r="I839" t="s">
        <v>80</v>
      </c>
      <c r="J839" s="3">
        <v>371.76</v>
      </c>
      <c r="K839" s="3" t="s">
        <v>39</v>
      </c>
      <c r="L839" s="47">
        <v>46286</v>
      </c>
    </row>
    <row r="840" spans="1:12">
      <c r="A840" s="173">
        <v>24668264</v>
      </c>
      <c r="B840">
        <v>6624281422</v>
      </c>
      <c r="C840" t="s">
        <v>54</v>
      </c>
      <c r="D840" s="3">
        <v>10171.24</v>
      </c>
      <c r="E840" s="3">
        <v>1500</v>
      </c>
      <c r="F840" s="3">
        <v>3051.3719999999998</v>
      </c>
      <c r="G840" s="3">
        <v>1551.3719999999998</v>
      </c>
      <c r="H840">
        <v>46631</v>
      </c>
      <c r="I840" t="s">
        <v>77</v>
      </c>
      <c r="J840" s="3">
        <v>1500</v>
      </c>
      <c r="K840" s="3" t="s">
        <v>327</v>
      </c>
      <c r="L840" s="47">
        <v>46286</v>
      </c>
    </row>
    <row r="841" spans="1:12">
      <c r="A841" s="173">
        <v>24671442</v>
      </c>
      <c r="B841">
        <v>9241505122</v>
      </c>
      <c r="C841" t="s">
        <v>54</v>
      </c>
      <c r="D841" s="3">
        <v>7718.73</v>
      </c>
      <c r="E841" s="3"/>
      <c r="F841" s="3">
        <v>2315.6189999999997</v>
      </c>
      <c r="G841" s="3">
        <v>2315.6189999999997</v>
      </c>
      <c r="J841" s="3"/>
      <c r="K841" s="3" t="s">
        <v>1091</v>
      </c>
      <c r="L841" s="47">
        <v>46286</v>
      </c>
    </row>
    <row r="842" spans="1:12">
      <c r="A842" s="173">
        <v>24285568</v>
      </c>
      <c r="B842">
        <v>3222378254</v>
      </c>
      <c r="C842" t="s">
        <v>54</v>
      </c>
      <c r="D842" s="3">
        <v>11029.03</v>
      </c>
      <c r="E842" s="3"/>
      <c r="F842" s="3">
        <v>3308.7090000000003</v>
      </c>
      <c r="G842" s="3">
        <v>3308.7090000000003</v>
      </c>
      <c r="J842" s="3"/>
      <c r="K842" s="3" t="s">
        <v>879</v>
      </c>
      <c r="L842" s="47">
        <v>46286</v>
      </c>
    </row>
    <row r="843" spans="1:12">
      <c r="A843" s="173">
        <v>24672388</v>
      </c>
      <c r="B843">
        <v>5512696370</v>
      </c>
      <c r="C843" t="s">
        <v>54</v>
      </c>
      <c r="D843" s="3">
        <v>6262.86</v>
      </c>
      <c r="E843" s="3"/>
      <c r="F843" s="3">
        <v>1878.8579999999997</v>
      </c>
      <c r="G843" s="3">
        <v>1878.8579999999997</v>
      </c>
      <c r="J843" s="3"/>
      <c r="K843" s="3" t="s">
        <v>358</v>
      </c>
      <c r="L843" s="47">
        <v>46286</v>
      </c>
    </row>
    <row r="844" spans="1:12">
      <c r="A844" s="12">
        <v>24663966</v>
      </c>
      <c r="C844" s="69" t="s">
        <v>34</v>
      </c>
      <c r="D844" s="70">
        <v>5617.63</v>
      </c>
      <c r="E844" s="70">
        <v>1443.44</v>
      </c>
      <c r="F844" s="70">
        <f>D844*0.3</f>
        <v>1685.289</v>
      </c>
      <c r="G844" s="70">
        <f>(IF(D844&lt;4172.98,0,MIN(D844*0.3,D844-4172.98)))-E844</f>
        <v>1.2100000000004911</v>
      </c>
      <c r="H844" s="71">
        <v>46266</v>
      </c>
      <c r="I844" s="69" t="s">
        <v>57</v>
      </c>
      <c r="J844" s="70">
        <v>1335.44</v>
      </c>
      <c r="K844" s="70" t="s">
        <v>35</v>
      </c>
      <c r="L844" s="143">
        <v>46286</v>
      </c>
    </row>
    <row r="845" spans="1:12">
      <c r="A845" s="12">
        <v>24666022</v>
      </c>
      <c r="C845" s="69" t="s">
        <v>34</v>
      </c>
      <c r="D845" s="70">
        <v>5617.63</v>
      </c>
      <c r="E845" s="70">
        <v>1247.24</v>
      </c>
      <c r="F845" s="70">
        <f>D845*0.3</f>
        <v>1685.289</v>
      </c>
      <c r="G845" s="70">
        <f>(IF(D845&lt;4172.98,0,MIN(D845*0.3,D845-4172.98)))-E845</f>
        <v>197.41000000000054</v>
      </c>
      <c r="H845" s="71">
        <v>45748</v>
      </c>
      <c r="I845" s="69" t="s">
        <v>2276</v>
      </c>
      <c r="J845" s="70">
        <v>1247.24</v>
      </c>
      <c r="K845" s="70" t="s">
        <v>35</v>
      </c>
      <c r="L845" s="143">
        <v>46286</v>
      </c>
    </row>
    <row r="846" spans="1:12">
      <c r="A846" s="12">
        <v>24678512</v>
      </c>
      <c r="C846" s="69" t="s">
        <v>34</v>
      </c>
      <c r="D846" s="70">
        <v>15068.4</v>
      </c>
      <c r="E846" s="70">
        <v>3995.74</v>
      </c>
      <c r="F846" s="70">
        <f>D846*0.3</f>
        <v>4520.5199999999995</v>
      </c>
      <c r="G846" s="70">
        <f>(IF(D846&lt;4172.98,0,MIN(D846*0.3,D846-4172.98)))-E846</f>
        <v>524.77999999999975</v>
      </c>
      <c r="H846" s="71">
        <v>45992</v>
      </c>
      <c r="I846" s="69" t="s">
        <v>73</v>
      </c>
      <c r="J846" s="70">
        <v>3995.74</v>
      </c>
      <c r="K846" s="70" t="s">
        <v>35</v>
      </c>
      <c r="L846" s="143">
        <v>46286</v>
      </c>
    </row>
    <row r="847" spans="1:12">
      <c r="A847" s="12">
        <v>24676438</v>
      </c>
      <c r="C847" s="69" t="s">
        <v>107</v>
      </c>
      <c r="D847" s="70">
        <v>10939.41</v>
      </c>
      <c r="E847" s="70">
        <v>3280.92</v>
      </c>
      <c r="F847" s="70">
        <f>D847*0.3</f>
        <v>3281.8229999999999</v>
      </c>
      <c r="G847" s="70">
        <f>(IF(D847&lt;4172.98,0,MIN(D847*0.3,D847-4172.98)))-E847</f>
        <v>0.90299999999979264</v>
      </c>
      <c r="H847" s="71">
        <v>46235</v>
      </c>
      <c r="I847" s="69" t="s">
        <v>47</v>
      </c>
      <c r="J847" s="70">
        <v>393.39</v>
      </c>
      <c r="K847" s="70" t="s">
        <v>2179</v>
      </c>
      <c r="L847" s="143">
        <v>46286</v>
      </c>
    </row>
    <row r="848" spans="1:12">
      <c r="A848" s="12">
        <v>24676700</v>
      </c>
      <c r="C848" s="69" t="s">
        <v>54</v>
      </c>
      <c r="D848" s="70">
        <v>8539.89</v>
      </c>
      <c r="E848" s="70">
        <v>879</v>
      </c>
      <c r="F848" s="70">
        <f>D848*0.3</f>
        <v>2561.9669999999996</v>
      </c>
      <c r="G848" s="70">
        <f>(IF(D848&lt;4172.98,0,MIN(D848*0.3,D848-4172.98)))-E848</f>
        <v>1682.9669999999996</v>
      </c>
      <c r="H848" s="69"/>
      <c r="I848" s="69"/>
      <c r="J848" s="70"/>
      <c r="K848" s="70" t="s">
        <v>358</v>
      </c>
      <c r="L848" s="143">
        <v>46286</v>
      </c>
    </row>
    <row r="849" spans="1:12">
      <c r="A849" s="12">
        <v>24676916</v>
      </c>
      <c r="C849" s="69" t="s">
        <v>27</v>
      </c>
      <c r="D849" s="70">
        <v>7644.18</v>
      </c>
      <c r="E849" s="70">
        <v>2563.23</v>
      </c>
      <c r="F849" s="70">
        <f>D849*0.3</f>
        <v>2293.2539999999999</v>
      </c>
      <c r="G849" s="70">
        <f>(IF(D849&lt;4172.98,0,MIN(D849*0.3,D849-4172.98)))-E849</f>
        <v>-269.97600000000011</v>
      </c>
      <c r="H849" s="71">
        <v>46174</v>
      </c>
      <c r="I849" s="69" t="s">
        <v>75</v>
      </c>
      <c r="J849" s="70">
        <v>2372.16</v>
      </c>
      <c r="K849" s="70" t="s">
        <v>1080</v>
      </c>
      <c r="L849" s="143">
        <v>46286</v>
      </c>
    </row>
    <row r="850" spans="1:12">
      <c r="A850" s="12">
        <v>24677192</v>
      </c>
      <c r="C850" s="69" t="s">
        <v>54</v>
      </c>
      <c r="D850" s="70">
        <v>7640.52</v>
      </c>
      <c r="E850" s="70"/>
      <c r="F850" s="70">
        <f>D850*0.3</f>
        <v>2292.1559999999999</v>
      </c>
      <c r="G850" s="70">
        <f>(IF(D850&lt;4172.98,0,MIN(D850*0.3,D850-4172.98)))-E850</f>
        <v>2292.1559999999999</v>
      </c>
      <c r="H850" s="69"/>
      <c r="I850" s="69"/>
      <c r="J850" s="70"/>
      <c r="K850" s="70" t="s">
        <v>1808</v>
      </c>
      <c r="L850" s="143">
        <v>46286</v>
      </c>
    </row>
    <row r="851" spans="1:12">
      <c r="A851" s="12">
        <v>24677434</v>
      </c>
      <c r="C851" s="69" t="s">
        <v>54</v>
      </c>
      <c r="D851" s="70">
        <v>10636.54</v>
      </c>
      <c r="E851" s="70"/>
      <c r="F851" s="70">
        <f>D851*0.3</f>
        <v>3190.962</v>
      </c>
      <c r="G851" s="70">
        <f>(IF(D851&lt;4172.98,0,MIN(D851*0.3,D851-4172.98)))-E851</f>
        <v>3190.962</v>
      </c>
      <c r="H851" s="69"/>
      <c r="I851" s="69"/>
      <c r="J851" s="70"/>
      <c r="K851" s="70" t="s">
        <v>327</v>
      </c>
      <c r="L851" s="143">
        <v>46286</v>
      </c>
    </row>
    <row r="852" spans="1:12">
      <c r="A852" s="12">
        <v>24677020</v>
      </c>
      <c r="C852" s="69" t="s">
        <v>27</v>
      </c>
      <c r="D852" s="70">
        <v>11833.89</v>
      </c>
      <c r="E852" s="70">
        <v>3421.82</v>
      </c>
      <c r="F852" s="70">
        <f>D852*0.3</f>
        <v>3550.1669999999999</v>
      </c>
      <c r="G852" s="70">
        <f>(IF(D852&lt;4172.98,0,MIN(D852*0.3,D852-4172.98)))-E852</f>
        <v>128.34699999999975</v>
      </c>
      <c r="H852" s="71">
        <v>46235</v>
      </c>
      <c r="I852" s="69" t="s">
        <v>80</v>
      </c>
      <c r="J852" s="70">
        <v>3131.89</v>
      </c>
      <c r="K852" s="70" t="s">
        <v>2059</v>
      </c>
      <c r="L852" s="143">
        <v>46286</v>
      </c>
    </row>
    <row r="853" spans="1:12">
      <c r="A853" s="12">
        <v>24680986</v>
      </c>
      <c r="C853" s="69" t="s">
        <v>54</v>
      </c>
      <c r="D853" s="70">
        <v>12608.45</v>
      </c>
      <c r="E853" s="70"/>
      <c r="F853" s="70">
        <f>D853*0.3</f>
        <v>3782.5349999999999</v>
      </c>
      <c r="G853" s="70">
        <f>(IF(D853&lt;4172.98,0,MIN(D853*0.3,D853-4172.98)))-E853</f>
        <v>3782.5349999999999</v>
      </c>
      <c r="H853" s="69"/>
      <c r="I853" s="69"/>
      <c r="J853" s="70"/>
      <c r="K853" s="70" t="s">
        <v>879</v>
      </c>
      <c r="L853" s="143">
        <v>46286</v>
      </c>
    </row>
    <row r="854" spans="1:12">
      <c r="A854" s="12">
        <v>24681192</v>
      </c>
      <c r="C854" s="69" t="s">
        <v>54</v>
      </c>
      <c r="D854" s="70">
        <v>11391.56</v>
      </c>
      <c r="E854" s="70"/>
      <c r="F854" s="70">
        <f>D854*0.3</f>
        <v>3417.4679999999998</v>
      </c>
      <c r="G854" s="70">
        <f>(IF(D854&lt;4172.98,0,MIN(D854*0.3,D854-4172.98)))-E854</f>
        <v>3417.4679999999998</v>
      </c>
      <c r="H854" s="69"/>
      <c r="I854" s="69"/>
      <c r="J854" s="70"/>
      <c r="K854" s="70" t="s">
        <v>1091</v>
      </c>
      <c r="L854" s="143">
        <v>46286</v>
      </c>
    </row>
    <row r="855" spans="1:12">
      <c r="A855" s="12">
        <v>24666996</v>
      </c>
      <c r="C855" s="69" t="s">
        <v>34</v>
      </c>
      <c r="D855" s="70">
        <v>9081.52</v>
      </c>
      <c r="E855" s="70">
        <v>2514.25</v>
      </c>
      <c r="F855" s="70">
        <f>D855*0.3</f>
        <v>2724.4560000000001</v>
      </c>
      <c r="G855" s="70">
        <f>(IF(D855&lt;4172.98,0,MIN(D855*0.3,D855-4172.98)))-E855</f>
        <v>210.20600000000013</v>
      </c>
      <c r="H855" s="71">
        <v>46174</v>
      </c>
      <c r="I855" s="69" t="s">
        <v>141</v>
      </c>
      <c r="J855" s="70">
        <v>2514.25</v>
      </c>
      <c r="K855" s="70" t="s">
        <v>35</v>
      </c>
      <c r="L855" s="143">
        <v>46286</v>
      </c>
    </row>
    <row r="856" spans="1:12">
      <c r="A856" s="12">
        <v>24666184</v>
      </c>
      <c r="C856" s="69" t="s">
        <v>38</v>
      </c>
      <c r="D856" s="70">
        <v>20198.78</v>
      </c>
      <c r="E856" s="70">
        <v>5574.86</v>
      </c>
      <c r="F856" s="70">
        <f>D856*0.3</f>
        <v>6059.6339999999991</v>
      </c>
      <c r="G856" s="70">
        <f>(IF(D856&lt;4172.98,0,MIN(D856*0.3,D856-4172.98)))-E856</f>
        <v>484.77399999999943</v>
      </c>
      <c r="H856" s="71">
        <v>46813</v>
      </c>
      <c r="I856" s="69" t="s">
        <v>739</v>
      </c>
      <c r="J856" s="70"/>
      <c r="K856" s="70" t="s">
        <v>39</v>
      </c>
      <c r="L856" s="143">
        <v>46286</v>
      </c>
    </row>
    <row r="857" spans="1:12">
      <c r="A857" s="12">
        <v>24679636</v>
      </c>
      <c r="C857" s="69" t="s">
        <v>54</v>
      </c>
      <c r="D857" s="70">
        <v>10636.54</v>
      </c>
      <c r="E857" s="70"/>
      <c r="F857" s="70">
        <f>D857*0.3</f>
        <v>3190.962</v>
      </c>
      <c r="G857" s="70">
        <f>(IF(D857&lt;4172.98,0,MIN(D857*0.3,D857-4172.98)))-E857</f>
        <v>3190.962</v>
      </c>
      <c r="H857" s="69"/>
      <c r="I857" s="69"/>
      <c r="J857" s="70"/>
      <c r="K857" s="70" t="s">
        <v>266</v>
      </c>
      <c r="L857" s="143">
        <v>46286</v>
      </c>
    </row>
    <row r="858" spans="1:12">
      <c r="A858" s="72">
        <v>24150820</v>
      </c>
      <c r="C858" s="69" t="s">
        <v>54</v>
      </c>
      <c r="D858" s="70"/>
      <c r="E858" s="70"/>
      <c r="F858" s="70">
        <f>D858*0.3</f>
        <v>0</v>
      </c>
      <c r="G858" s="70">
        <f>(IF(D858&lt;4172.98,0,MIN(D858*0.3,D858-4172.98)))-E858</f>
        <v>0</v>
      </c>
      <c r="H858" s="69"/>
      <c r="I858" s="69"/>
      <c r="J858" s="70"/>
      <c r="K858" s="70" t="s">
        <v>28</v>
      </c>
      <c r="L858" s="143">
        <v>46286</v>
      </c>
    </row>
    <row r="859" spans="1:12">
      <c r="A859" s="12">
        <v>24682248</v>
      </c>
      <c r="C859" s="69" t="s">
        <v>54</v>
      </c>
      <c r="D859" s="70">
        <v>34488.239999999998</v>
      </c>
      <c r="E859" s="70"/>
      <c r="F859" s="70">
        <f>D859*0.3</f>
        <v>10346.472</v>
      </c>
      <c r="G859" s="70">
        <f>(IF(D859&lt;4172.98,0,MIN(D859*0.3,D859-4172.98)))-E859</f>
        <v>10346.472</v>
      </c>
      <c r="H859" s="69"/>
      <c r="I859" s="69"/>
      <c r="J859" s="70"/>
      <c r="K859" s="70" t="s">
        <v>886</v>
      </c>
      <c r="L859" s="143">
        <v>46286</v>
      </c>
    </row>
    <row r="860" spans="1:12">
      <c r="A860" s="12">
        <v>24682442</v>
      </c>
      <c r="C860" s="69" t="s">
        <v>54</v>
      </c>
      <c r="D860" s="70">
        <v>10636.54</v>
      </c>
      <c r="E860" s="70"/>
      <c r="F860" s="70">
        <f>D860*0.3</f>
        <v>3190.962</v>
      </c>
      <c r="G860" s="70">
        <f>(IF(D860&lt;4172.98,0,MIN(D860*0.3,D860-4172.98)))-E860</f>
        <v>3190.962</v>
      </c>
      <c r="H860" s="69"/>
      <c r="I860" s="69"/>
      <c r="J860" s="70"/>
      <c r="K860" s="70" t="s">
        <v>348</v>
      </c>
      <c r="L860" s="143">
        <v>46286</v>
      </c>
    </row>
    <row r="861" spans="1:12">
      <c r="A861" s="12">
        <v>24682710</v>
      </c>
      <c r="C861" s="69" t="s">
        <v>38</v>
      </c>
      <c r="D861" s="70">
        <v>9039.1299999999992</v>
      </c>
      <c r="E861" s="70">
        <v>2047.45</v>
      </c>
      <c r="F861" s="70">
        <f>D861*0.3</f>
        <v>2711.7389999999996</v>
      </c>
      <c r="G861" s="70">
        <f>(IF(D861&lt;4172.98,0,MIN(D861*0.3,D861-4172.98)))-E861</f>
        <v>664.28899999999953</v>
      </c>
      <c r="H861" s="71">
        <v>46539</v>
      </c>
      <c r="I861" s="69" t="s">
        <v>75</v>
      </c>
      <c r="J861" s="70">
        <v>2047.45</v>
      </c>
      <c r="K861" s="70" t="s">
        <v>39</v>
      </c>
      <c r="L861" s="143">
        <v>46286</v>
      </c>
    </row>
    <row r="862" spans="1:12">
      <c r="A862" s="12">
        <v>24691494</v>
      </c>
      <c r="C862" s="69" t="s">
        <v>54</v>
      </c>
      <c r="D862" s="70">
        <f>136151.68-114766.6</f>
        <v>21385.079999999987</v>
      </c>
      <c r="E862" s="70"/>
      <c r="F862" s="70">
        <f>D862*0.3</f>
        <v>6415.5239999999958</v>
      </c>
      <c r="G862" s="70">
        <f>(IF(D862&lt;4172.98,0,MIN(D862*0.3,D862-4172.98)))-E862</f>
        <v>6415.5239999999958</v>
      </c>
      <c r="H862" s="69"/>
      <c r="I862" s="69"/>
      <c r="J862" s="70"/>
      <c r="K862" s="70" t="s">
        <v>62</v>
      </c>
      <c r="L862" s="143">
        <v>46286</v>
      </c>
    </row>
    <row r="863" spans="1:12">
      <c r="A863" s="12">
        <v>24684778</v>
      </c>
      <c r="C863" s="69" t="s">
        <v>54</v>
      </c>
      <c r="D863" s="70">
        <v>7116.73</v>
      </c>
      <c r="E863" s="70"/>
      <c r="F863" s="70">
        <f>D863*0.3</f>
        <v>2135.0189999999998</v>
      </c>
      <c r="G863" s="70">
        <f>(IF(D863&lt;4172.98,0,MIN(D863*0.3,D863-4172.98)))-E863</f>
        <v>2135.0189999999998</v>
      </c>
      <c r="H863" s="69"/>
      <c r="I863" s="69"/>
      <c r="J863" s="70"/>
      <c r="K863" s="70" t="s">
        <v>1808</v>
      </c>
      <c r="L863" s="143">
        <v>46286</v>
      </c>
    </row>
    <row r="864" spans="1:12">
      <c r="A864" s="12">
        <v>24684954</v>
      </c>
      <c r="C864" s="69" t="s">
        <v>34</v>
      </c>
      <c r="D864" s="70">
        <v>31367.16</v>
      </c>
      <c r="E864" s="70">
        <v>8698.7000000000007</v>
      </c>
      <c r="F864" s="70">
        <f>D864*0.3</f>
        <v>9410.1479999999992</v>
      </c>
      <c r="G864" s="70">
        <f>(IF(D864&lt;4172.98,0,MIN(D864*0.3,D864-4172.98)))-E864</f>
        <v>711.4479999999985</v>
      </c>
      <c r="H864" s="71">
        <v>45748</v>
      </c>
      <c r="I864" s="69" t="s">
        <v>141</v>
      </c>
      <c r="J864" s="70">
        <v>2410.66</v>
      </c>
      <c r="K864" s="70" t="s">
        <v>35</v>
      </c>
      <c r="L864" s="143">
        <v>46286</v>
      </c>
    </row>
    <row r="865" spans="1:12">
      <c r="A865" s="30">
        <v>24685378</v>
      </c>
      <c r="C865" s="69" t="s">
        <v>34</v>
      </c>
      <c r="D865" s="70">
        <v>50986.8</v>
      </c>
      <c r="E865" s="70">
        <v>15294.83</v>
      </c>
      <c r="F865" s="70">
        <f>D865*0.3</f>
        <v>15296.04</v>
      </c>
      <c r="G865" s="70">
        <f>(IF(D865&lt;4172.98,0,MIN(D865*0.3,D865-4172.98)))-E865</f>
        <v>1.2100000000009459</v>
      </c>
      <c r="H865" s="71">
        <v>46174</v>
      </c>
      <c r="I865" s="69" t="s">
        <v>141</v>
      </c>
      <c r="J865" s="70">
        <v>713</v>
      </c>
      <c r="K865" s="70" t="s">
        <v>35</v>
      </c>
      <c r="L865" s="143">
        <v>46286</v>
      </c>
    </row>
    <row r="866" spans="1:12">
      <c r="A866" s="30">
        <v>24698676</v>
      </c>
      <c r="C866" s="69" t="s">
        <v>54</v>
      </c>
      <c r="D866" s="70">
        <v>9760.32</v>
      </c>
      <c r="E866" s="70"/>
      <c r="F866" s="70">
        <f>D866*0.3</f>
        <v>2928.096</v>
      </c>
      <c r="G866" s="70">
        <f>(IF(D866&lt;4172.98,0,MIN(D866*0.3,D866-4172.98)))-E866</f>
        <v>2928.096</v>
      </c>
      <c r="H866" s="69"/>
      <c r="I866" s="69"/>
      <c r="J866" s="70"/>
      <c r="K866" s="70" t="s">
        <v>55</v>
      </c>
      <c r="L866" s="143">
        <v>46286</v>
      </c>
    </row>
    <row r="867" spans="1:12">
      <c r="A867" s="12">
        <v>24693322</v>
      </c>
      <c r="C867" s="69" t="s">
        <v>27</v>
      </c>
      <c r="D867" s="70">
        <v>12345.26</v>
      </c>
      <c r="E867" s="70">
        <v>4703.5600000000004</v>
      </c>
      <c r="F867" s="70">
        <f>D867*0.3</f>
        <v>3703.578</v>
      </c>
      <c r="G867" s="70">
        <f>(IF(D867&lt;4172.98,0,MIN(D867*0.3,D867-4172.98)))-E867</f>
        <v>-999.98200000000043</v>
      </c>
      <c r="H867" s="71">
        <v>46054</v>
      </c>
      <c r="I867" s="69" t="s">
        <v>2359</v>
      </c>
      <c r="J867" s="70">
        <v>4703.5600000000004</v>
      </c>
      <c r="K867" s="70" t="s">
        <v>90</v>
      </c>
      <c r="L867" s="143">
        <v>46286</v>
      </c>
    </row>
    <row r="868" spans="1:12">
      <c r="A868" s="30">
        <v>24695764</v>
      </c>
      <c r="C868" s="69" t="s">
        <v>38</v>
      </c>
      <c r="D868" s="70">
        <f>5557.06+848</f>
        <v>6405.06</v>
      </c>
      <c r="E868" s="70">
        <v>848</v>
      </c>
      <c r="F868" s="70">
        <f>D868*0.3</f>
        <v>1921.518</v>
      </c>
      <c r="G868" s="70">
        <f>(IF(D868&lt;4172.98,0,MIN(D868*0.3,D868-4172.98)))-E868</f>
        <v>1073.518</v>
      </c>
      <c r="H868" s="69"/>
      <c r="I868" s="69"/>
      <c r="J868" s="70"/>
      <c r="K868" s="70" t="s">
        <v>39</v>
      </c>
      <c r="L868" s="143">
        <v>46286</v>
      </c>
    </row>
    <row r="869" spans="1:12">
      <c r="A869" s="12">
        <v>24695022</v>
      </c>
      <c r="C869" s="69" t="s">
        <v>54</v>
      </c>
      <c r="D869" s="70">
        <v>7116.73</v>
      </c>
      <c r="E869" s="70"/>
      <c r="F869" s="70">
        <f>D869*0.3</f>
        <v>2135.0189999999998</v>
      </c>
      <c r="G869" s="70">
        <f>(IF(D869&lt;4172.98,0,MIN(D869*0.3,D869-4172.98)))-E869</f>
        <v>2135.0189999999998</v>
      </c>
      <c r="H869" s="69"/>
      <c r="I869" s="69"/>
      <c r="J869" s="70"/>
      <c r="K869" s="70" t="s">
        <v>327</v>
      </c>
      <c r="L869" s="143">
        <v>46286</v>
      </c>
    </row>
    <row r="870" spans="1:12">
      <c r="A870" s="12">
        <v>24678226</v>
      </c>
      <c r="C870" s="69" t="s">
        <v>34</v>
      </c>
      <c r="D870" s="70">
        <v>5723.39</v>
      </c>
      <c r="E870" s="70">
        <v>1277.45</v>
      </c>
      <c r="F870" s="70">
        <f>D870*0.3</f>
        <v>1717.0170000000001</v>
      </c>
      <c r="G870" s="70">
        <f>(IF(D870&lt;4172.98,0,MIN(D870*0.3,D870-4172.98)))-E870</f>
        <v>272.96000000000072</v>
      </c>
      <c r="H870" s="71">
        <v>45809</v>
      </c>
      <c r="I870" s="69" t="s">
        <v>169</v>
      </c>
      <c r="J870" s="70">
        <v>1277.45</v>
      </c>
      <c r="K870" s="70" t="s">
        <v>35</v>
      </c>
      <c r="L870" s="143">
        <v>46286</v>
      </c>
    </row>
    <row r="871" spans="1:12">
      <c r="A871" s="12">
        <v>24677048</v>
      </c>
      <c r="C871" s="69" t="s">
        <v>34</v>
      </c>
      <c r="D871" s="70">
        <v>27646.12</v>
      </c>
      <c r="E871" s="70"/>
      <c r="F871" s="70">
        <f>D871*0.3</f>
        <v>8293.8359999999993</v>
      </c>
      <c r="G871" s="70">
        <f>(IF(D871&lt;4172.98,0,MIN(D871*0.3,D871-4172.98)))-E871</f>
        <v>8293.8359999999993</v>
      </c>
      <c r="H871" s="69"/>
      <c r="I871" s="69"/>
      <c r="J871" s="70"/>
      <c r="K871" s="70" t="s">
        <v>35</v>
      </c>
      <c r="L871" s="143">
        <v>46286</v>
      </c>
    </row>
    <row r="872" spans="1:12">
      <c r="A872" s="30">
        <v>24699030</v>
      </c>
      <c r="C872" s="69" t="s">
        <v>54</v>
      </c>
      <c r="D872" s="70">
        <v>10636.54</v>
      </c>
      <c r="E872" s="70"/>
      <c r="F872" s="70">
        <f>D872*0.3</f>
        <v>3190.962</v>
      </c>
      <c r="G872" s="70">
        <f>(IF(D872&lt;4172.98,0,MIN(D872*0.3,D872-4172.98)))-E872</f>
        <v>3190.962</v>
      </c>
      <c r="H872" s="69"/>
      <c r="I872" s="69"/>
      <c r="J872" s="70"/>
      <c r="K872" s="70" t="s">
        <v>879</v>
      </c>
      <c r="L872" s="143">
        <v>46286</v>
      </c>
    </row>
    <row r="873" spans="1:12">
      <c r="A873" s="30">
        <v>24699862</v>
      </c>
      <c r="C873" s="69" t="s">
        <v>38</v>
      </c>
      <c r="D873" s="70">
        <v>9081.52</v>
      </c>
      <c r="E873" s="70">
        <v>1870.87</v>
      </c>
      <c r="F873" s="70">
        <f>D873*0.3</f>
        <v>2724.4560000000001</v>
      </c>
      <c r="G873" s="70">
        <f>(IF(D873&lt;4172.98,0,MIN(D873*0.3,D873-4172.98)))-E873</f>
        <v>853.58600000000024</v>
      </c>
      <c r="H873" s="71">
        <v>46722</v>
      </c>
      <c r="I873" s="69" t="s">
        <v>75</v>
      </c>
      <c r="J873" s="70">
        <v>809.56</v>
      </c>
      <c r="K873" s="70" t="s">
        <v>2179</v>
      </c>
      <c r="L873" s="143">
        <v>46286</v>
      </c>
    </row>
    <row r="874" spans="1:12">
      <c r="A874" s="30">
        <v>24698950</v>
      </c>
      <c r="C874" s="69" t="s">
        <v>27</v>
      </c>
      <c r="D874" s="70">
        <v>7111.96</v>
      </c>
      <c r="E874" s="70">
        <v>2130.71</v>
      </c>
      <c r="F874" s="70">
        <f>D874*0.3</f>
        <v>2133.5879999999997</v>
      </c>
      <c r="G874" s="70">
        <f>(IF(D874&lt;4172.98,0,MIN(D874*0.3,D874-4172.98)))-E874</f>
        <v>2.8779999999997017</v>
      </c>
      <c r="H874" s="71">
        <v>46174</v>
      </c>
      <c r="I874" s="69" t="s">
        <v>59</v>
      </c>
      <c r="J874" s="70">
        <v>1480.03</v>
      </c>
      <c r="K874" s="70" t="s">
        <v>98</v>
      </c>
      <c r="L874" s="143">
        <v>46286</v>
      </c>
    </row>
    <row r="875" spans="1:12">
      <c r="A875" s="30">
        <v>24701646</v>
      </c>
      <c r="C875" s="69" t="s">
        <v>54</v>
      </c>
      <c r="D875" s="70">
        <v>16440.96</v>
      </c>
      <c r="E875" s="70"/>
      <c r="F875" s="70">
        <f>D875*0.3</f>
        <v>4932.2879999999996</v>
      </c>
      <c r="G875" s="70">
        <f>(IF(D875&lt;4172.98,0,MIN(D875*0.3,D875-4172.98)))-E875</f>
        <v>4932.2879999999996</v>
      </c>
      <c r="H875" s="69"/>
      <c r="I875" s="69"/>
      <c r="J875" s="70"/>
      <c r="K875" s="70" t="s">
        <v>1091</v>
      </c>
      <c r="L875" s="143">
        <v>46286</v>
      </c>
    </row>
    <row r="876" spans="1:12">
      <c r="A876" s="30">
        <v>24702366</v>
      </c>
      <c r="C876" s="69" t="s">
        <v>54</v>
      </c>
      <c r="D876" s="70">
        <f>9479.79+1156.75</f>
        <v>10636.54</v>
      </c>
      <c r="E876" s="70">
        <v>1156.75</v>
      </c>
      <c r="F876" s="70">
        <f>D876*0.3</f>
        <v>3190.962</v>
      </c>
      <c r="G876" s="70">
        <f>(IF(D876&lt;4172.98,0,MIN(D876*0.3,D876-4172.98)))-E876</f>
        <v>2034.212</v>
      </c>
      <c r="H876" s="71">
        <v>46966</v>
      </c>
      <c r="I876" s="69" t="s">
        <v>43</v>
      </c>
      <c r="J876" s="70">
        <v>1156.75</v>
      </c>
      <c r="K876" s="70" t="s">
        <v>266</v>
      </c>
      <c r="L876" s="143">
        <v>46286</v>
      </c>
    </row>
    <row r="877" spans="1:12">
      <c r="A877" s="30">
        <v>24702058</v>
      </c>
      <c r="C877" s="69" t="s">
        <v>27</v>
      </c>
      <c r="D877" s="70">
        <f>16356.17+542+741+3375.97+2349.88</f>
        <v>23365.02</v>
      </c>
      <c r="E877" s="70">
        <f>542+741+3375.97+2349.88</f>
        <v>7008.8499999999995</v>
      </c>
      <c r="F877" s="70">
        <f>D877*0.3</f>
        <v>7009.5060000000003</v>
      </c>
      <c r="G877" s="70">
        <f>(IF(D877&lt;4172.98,0,MIN(D877*0.3,D877-4172.98)))-E877</f>
        <v>0.65600000000085856</v>
      </c>
      <c r="H877" s="71">
        <v>46266</v>
      </c>
      <c r="I877" s="69" t="s">
        <v>59</v>
      </c>
      <c r="J877" s="70">
        <v>2349.8000000000002</v>
      </c>
      <c r="K877" s="70" t="s">
        <v>1080</v>
      </c>
      <c r="L877" s="143">
        <v>46286</v>
      </c>
    </row>
    <row r="878" spans="1:12">
      <c r="A878" s="12">
        <v>24701958</v>
      </c>
      <c r="C878" s="69" t="s">
        <v>54</v>
      </c>
      <c r="D878" s="70">
        <v>20873.43</v>
      </c>
      <c r="E878" s="70"/>
      <c r="F878" s="70">
        <f>D878*0.3</f>
        <v>6262.0289999999995</v>
      </c>
      <c r="G878" s="70">
        <f>(IF(D878&lt;4172.98,0,MIN(D878*0.3,D878-4172.98)))-E878</f>
        <v>6262.0289999999995</v>
      </c>
      <c r="H878" s="71"/>
      <c r="I878" s="69"/>
      <c r="J878" s="70"/>
      <c r="K878" s="70" t="s">
        <v>886</v>
      </c>
      <c r="L878" s="143">
        <v>46286</v>
      </c>
    </row>
    <row r="879" spans="1:12">
      <c r="A879" s="12">
        <v>24701662</v>
      </c>
      <c r="C879" s="69" t="s">
        <v>107</v>
      </c>
      <c r="D879" s="70">
        <v>26904.77</v>
      </c>
      <c r="E879" s="70">
        <v>7463.65</v>
      </c>
      <c r="F879" s="70">
        <f>D879*0.3</f>
        <v>8071.4309999999996</v>
      </c>
      <c r="G879" s="70">
        <f>(IF(D879&lt;4172.98,0,MIN(D879*0.3,D879-4172.98)))-E879</f>
        <v>607.78099999999995</v>
      </c>
      <c r="H879" s="71">
        <v>46082</v>
      </c>
      <c r="I879" s="69" t="s">
        <v>59</v>
      </c>
      <c r="J879" s="70">
        <v>850.37</v>
      </c>
      <c r="K879" s="70" t="s">
        <v>2179</v>
      </c>
      <c r="L879" s="143">
        <v>46286</v>
      </c>
    </row>
    <row r="880" spans="1:12">
      <c r="A880" s="72">
        <v>24688502</v>
      </c>
      <c r="B880">
        <v>5215561052216</v>
      </c>
      <c r="C880" s="69" t="s">
        <v>54</v>
      </c>
      <c r="D880" s="70">
        <v>39336.11</v>
      </c>
      <c r="E880" s="70"/>
      <c r="F880" s="70">
        <v>11800.833000000001</v>
      </c>
      <c r="G880" s="70">
        <v>11800.833000000001</v>
      </c>
      <c r="H880" s="69"/>
      <c r="I880" s="69"/>
      <c r="J880" s="70"/>
      <c r="K880" s="70" t="s">
        <v>348</v>
      </c>
      <c r="L880" s="143">
        <v>46286</v>
      </c>
    </row>
    <row r="881" spans="1:12">
      <c r="A881" s="173">
        <v>24360134</v>
      </c>
      <c r="B881">
        <v>5217299744772</v>
      </c>
      <c r="C881" t="s">
        <v>54</v>
      </c>
      <c r="D881" s="3">
        <v>10636.539999999997</v>
      </c>
      <c r="E881" s="3"/>
      <c r="F881" s="3">
        <v>3190.9619999999991</v>
      </c>
      <c r="G881" s="3">
        <v>3190.9619999999991</v>
      </c>
      <c r="J881" s="3"/>
      <c r="K881" s="3" t="s">
        <v>62</v>
      </c>
      <c r="L881" s="47">
        <v>46286</v>
      </c>
    </row>
    <row r="882" spans="1:12">
      <c r="A882" s="72">
        <v>24694794</v>
      </c>
      <c r="B882">
        <v>5218135662619</v>
      </c>
      <c r="C882" s="69" t="s">
        <v>54</v>
      </c>
      <c r="D882" s="70">
        <v>8784.27</v>
      </c>
      <c r="E882" s="70"/>
      <c r="F882" s="70">
        <v>2635.2809999999999</v>
      </c>
      <c r="G882" s="70">
        <v>2635.2809999999999</v>
      </c>
      <c r="H882" s="69"/>
      <c r="I882" s="69"/>
      <c r="J882" s="70"/>
      <c r="K882" s="70" t="s">
        <v>1946</v>
      </c>
      <c r="L882" s="143">
        <v>46286</v>
      </c>
    </row>
    <row r="883" spans="1:12">
      <c r="A883" s="173">
        <v>24690640</v>
      </c>
      <c r="B883">
        <v>5217774122435</v>
      </c>
      <c r="C883" t="s">
        <v>54</v>
      </c>
      <c r="D883" s="3">
        <v>10636.54</v>
      </c>
      <c r="E883" s="3"/>
      <c r="F883" s="3">
        <v>3190.962</v>
      </c>
      <c r="G883" s="3">
        <v>3190.962</v>
      </c>
      <c r="J883" s="3"/>
      <c r="K883" s="3" t="s">
        <v>1946</v>
      </c>
      <c r="L883" s="47">
        <v>46286</v>
      </c>
    </row>
    <row r="884" spans="1:12">
      <c r="A884" s="173">
        <v>24457790</v>
      </c>
      <c r="B884">
        <v>5216143443265</v>
      </c>
      <c r="C884" t="s">
        <v>54</v>
      </c>
      <c r="D884" s="3">
        <v>34372.21</v>
      </c>
      <c r="E884" s="3"/>
      <c r="F884" s="3">
        <v>10311.662999999999</v>
      </c>
      <c r="G884" s="3">
        <v>10311.662999999999</v>
      </c>
      <c r="J884" s="3"/>
      <c r="K884" s="3" t="s">
        <v>28</v>
      </c>
      <c r="L884" s="47">
        <v>46286</v>
      </c>
    </row>
    <row r="885" spans="1:12">
      <c r="A885" s="72">
        <v>24701674</v>
      </c>
      <c r="B885">
        <v>7223502206</v>
      </c>
      <c r="C885" s="69" t="s">
        <v>27</v>
      </c>
      <c r="D885" s="70">
        <v>15479.43</v>
      </c>
      <c r="E885" s="70">
        <v>4643.83</v>
      </c>
      <c r="F885" s="70">
        <v>4643.8289999999997</v>
      </c>
      <c r="G885" s="70">
        <v>-1.0000000002037268E-3</v>
      </c>
      <c r="H885" s="69">
        <v>45839</v>
      </c>
      <c r="I885" s="69" t="s">
        <v>47</v>
      </c>
      <c r="J885" s="70">
        <v>2132.5500000000002</v>
      </c>
      <c r="K885" s="70" t="s">
        <v>1080</v>
      </c>
      <c r="L885" s="143">
        <v>46286</v>
      </c>
    </row>
    <row r="886" spans="1:12">
      <c r="A886" s="72">
        <v>24702308</v>
      </c>
      <c r="B886">
        <v>5215561816827</v>
      </c>
      <c r="C886" s="69" t="s">
        <v>54</v>
      </c>
      <c r="D886" s="70">
        <v>9760.32</v>
      </c>
      <c r="E886" s="70">
        <v>879</v>
      </c>
      <c r="F886" s="70">
        <v>2928.096</v>
      </c>
      <c r="G886" s="70">
        <v>2049.096</v>
      </c>
      <c r="H886" s="69"/>
      <c r="I886" s="69"/>
      <c r="J886" s="70"/>
      <c r="K886" s="70" t="s">
        <v>55</v>
      </c>
      <c r="L886" s="143">
        <v>46286</v>
      </c>
    </row>
    <row r="887" spans="1:12">
      <c r="A887" s="173">
        <v>24664114</v>
      </c>
      <c r="B887">
        <v>5213143586340</v>
      </c>
      <c r="C887" t="s">
        <v>54</v>
      </c>
      <c r="D887" s="3">
        <v>6262.86</v>
      </c>
      <c r="E887" s="3"/>
      <c r="F887" s="3">
        <v>1878.8579999999997</v>
      </c>
      <c r="G887" s="3">
        <v>1878.8579999999997</v>
      </c>
      <c r="J887" s="3"/>
      <c r="K887" s="3" t="s">
        <v>327</v>
      </c>
      <c r="L887" s="47">
        <v>46286</v>
      </c>
    </row>
    <row r="888" spans="1:12">
      <c r="A888" s="72">
        <v>24663894</v>
      </c>
      <c r="B888">
        <v>5219341899260</v>
      </c>
      <c r="C888" s="69" t="s">
        <v>107</v>
      </c>
      <c r="D888" s="70">
        <v>6262.86</v>
      </c>
      <c r="E888" s="70">
        <v>1810.99</v>
      </c>
      <c r="F888" s="70">
        <v>1878.8579999999997</v>
      </c>
      <c r="G888" s="70">
        <v>67.867999999999711</v>
      </c>
      <c r="H888" s="69">
        <v>45839</v>
      </c>
      <c r="I888" s="69" t="s">
        <v>47</v>
      </c>
      <c r="J888" s="70">
        <v>828.71</v>
      </c>
      <c r="K888" s="70" t="s">
        <v>39</v>
      </c>
      <c r="L888" s="143">
        <v>46286</v>
      </c>
    </row>
    <row r="889" spans="1:12">
      <c r="A889" s="72">
        <v>24640862</v>
      </c>
      <c r="B889">
        <v>5217222864535</v>
      </c>
      <c r="C889" s="69" t="s">
        <v>54</v>
      </c>
      <c r="D889" s="70">
        <v>7343.62</v>
      </c>
      <c r="E889" s="70"/>
      <c r="F889" s="70">
        <v>2203.0859999999998</v>
      </c>
      <c r="G889" s="70">
        <v>2203.0859999999998</v>
      </c>
      <c r="H889" s="69"/>
      <c r="I889" s="69"/>
      <c r="J889" s="70"/>
      <c r="K889" s="70" t="s">
        <v>1808</v>
      </c>
      <c r="L889" s="143">
        <v>46286</v>
      </c>
    </row>
    <row r="890" spans="1:12">
      <c r="A890" s="72">
        <v>24663446</v>
      </c>
      <c r="B890">
        <v>5216672033856</v>
      </c>
      <c r="C890" s="69" t="s">
        <v>38</v>
      </c>
      <c r="D890" s="70">
        <v>5278.13</v>
      </c>
      <c r="E890" s="70"/>
      <c r="F890" s="70">
        <v>1583.4390000000001</v>
      </c>
      <c r="G890" s="70">
        <v>1105.1500000000005</v>
      </c>
      <c r="H890" s="69">
        <v>46539</v>
      </c>
      <c r="I890" s="69" t="s">
        <v>929</v>
      </c>
      <c r="J890" s="70">
        <v>1064</v>
      </c>
      <c r="K890" s="70" t="s">
        <v>2179</v>
      </c>
      <c r="L890" s="143">
        <v>46286</v>
      </c>
    </row>
    <row r="891" spans="1:12">
      <c r="A891" s="72">
        <v>24684426</v>
      </c>
      <c r="B891">
        <v>3321852663</v>
      </c>
      <c r="C891" s="69" t="s">
        <v>34</v>
      </c>
      <c r="D891" s="70">
        <v>5617.6299999999992</v>
      </c>
      <c r="E891" s="70">
        <v>1166.9000000000001</v>
      </c>
      <c r="F891" s="70">
        <v>1685.2889999999998</v>
      </c>
      <c r="G891" s="70">
        <v>277.74999999999955</v>
      </c>
      <c r="H891" s="69">
        <v>45383</v>
      </c>
      <c r="I891" s="69" t="s">
        <v>141</v>
      </c>
      <c r="J891" s="70">
        <v>1166.9000000000001</v>
      </c>
      <c r="K891" s="70" t="s">
        <v>35</v>
      </c>
      <c r="L891" s="143">
        <v>46286</v>
      </c>
    </row>
    <row r="892" spans="1:12">
      <c r="A892" s="72">
        <v>24699018</v>
      </c>
      <c r="B892">
        <v>3141024036</v>
      </c>
      <c r="C892" s="69" t="s">
        <v>54</v>
      </c>
      <c r="D892" s="70">
        <v>20225.28</v>
      </c>
      <c r="E892" s="70"/>
      <c r="F892" s="70">
        <v>6067.5839999999998</v>
      </c>
      <c r="G892" s="70">
        <v>6067.5839999999998</v>
      </c>
      <c r="H892" s="69"/>
      <c r="I892" s="69"/>
      <c r="J892" s="70"/>
      <c r="K892" s="70" t="s">
        <v>879</v>
      </c>
      <c r="L892" s="143">
        <v>46286</v>
      </c>
    </row>
    <row r="893" spans="1:12">
      <c r="A893" s="72">
        <v>24704306</v>
      </c>
      <c r="B893">
        <v>6442365758</v>
      </c>
      <c r="C893" s="69" t="s">
        <v>54</v>
      </c>
      <c r="D893" s="70">
        <v>16013.99</v>
      </c>
      <c r="E893" s="70"/>
      <c r="F893" s="70">
        <v>4804.1970000000001</v>
      </c>
      <c r="G893" s="70">
        <v>4804.1970000000001</v>
      </c>
      <c r="H893" s="69"/>
      <c r="I893" s="69"/>
      <c r="J893" s="70"/>
      <c r="K893" s="70" t="s">
        <v>1091</v>
      </c>
      <c r="L893" s="143">
        <v>46286</v>
      </c>
    </row>
    <row r="894" spans="1:12">
      <c r="A894" s="30">
        <v>24705364</v>
      </c>
      <c r="C894" s="69" t="s">
        <v>54</v>
      </c>
      <c r="D894" s="70">
        <v>7920.51</v>
      </c>
      <c r="E894" s="70"/>
      <c r="F894" s="70">
        <f>D894*0.3</f>
        <v>2376.1529999999998</v>
      </c>
      <c r="G894" s="70">
        <f>(IF(D894&lt;4172.98,0,MIN(D894*0.3,D894-4172.98)))-E894</f>
        <v>2376.1529999999998</v>
      </c>
      <c r="H894" s="69"/>
      <c r="I894" s="69"/>
      <c r="J894" s="70"/>
      <c r="K894" s="70" t="s">
        <v>266</v>
      </c>
      <c r="L894" s="143">
        <v>46286</v>
      </c>
    </row>
    <row r="895" spans="1:12">
      <c r="A895" s="30">
        <v>24705430</v>
      </c>
      <c r="C895" s="69" t="s">
        <v>54</v>
      </c>
      <c r="D895" s="70">
        <v>10636.54</v>
      </c>
      <c r="E895" s="70"/>
      <c r="F895" s="70">
        <f>D895*0.3</f>
        <v>3190.962</v>
      </c>
      <c r="G895" s="70">
        <f>(IF(D895&lt;4172.98,0,MIN(D895*0.3,D895-4172.98)))-E895</f>
        <v>3190.962</v>
      </c>
      <c r="H895" s="69"/>
      <c r="I895" s="69"/>
      <c r="J895" s="70"/>
      <c r="K895" s="70" t="s">
        <v>886</v>
      </c>
      <c r="L895" s="143">
        <v>46286</v>
      </c>
    </row>
    <row r="896" spans="1:12">
      <c r="A896" s="30">
        <v>24705192</v>
      </c>
      <c r="C896" s="69" t="s">
        <v>38</v>
      </c>
      <c r="D896" s="70">
        <v>9081.52</v>
      </c>
      <c r="E896" s="70">
        <v>2166.39</v>
      </c>
      <c r="F896" s="70">
        <f>D896*0.3</f>
        <v>2724.4560000000001</v>
      </c>
      <c r="G896" s="70">
        <f>(IF(D896&lt;4172.98,0,MIN(D896*0.3,D896-4172.98)))-E896</f>
        <v>558.06600000000026</v>
      </c>
      <c r="H896" s="71">
        <v>46631</v>
      </c>
      <c r="I896" s="69" t="s">
        <v>75</v>
      </c>
      <c r="J896" s="70">
        <v>2166.39</v>
      </c>
      <c r="K896" s="70" t="s">
        <v>2179</v>
      </c>
      <c r="L896" s="143">
        <v>46286</v>
      </c>
    </row>
    <row r="897" spans="1:12">
      <c r="A897" s="12">
        <v>24704206</v>
      </c>
      <c r="C897" s="69" t="s">
        <v>34</v>
      </c>
      <c r="D897" s="70">
        <v>7920.51</v>
      </c>
      <c r="E897" s="70">
        <v>2172.2600000000002</v>
      </c>
      <c r="F897" s="70">
        <f>D897*0.3</f>
        <v>2376.1529999999998</v>
      </c>
      <c r="G897" s="70">
        <f>(IF(D897&lt;4172.98,0,MIN(D897*0.3,D897-4172.98)))-E897</f>
        <v>203.89299999999957</v>
      </c>
      <c r="H897" s="71">
        <v>46266</v>
      </c>
      <c r="I897" s="69" t="s">
        <v>2399</v>
      </c>
      <c r="J897" s="70">
        <v>2172.2600000000002</v>
      </c>
      <c r="K897" s="70" t="s">
        <v>35</v>
      </c>
      <c r="L897" s="143">
        <v>46286</v>
      </c>
    </row>
    <row r="898" spans="1:12">
      <c r="A898" s="30">
        <v>24703106</v>
      </c>
      <c r="C898" s="69" t="s">
        <v>34</v>
      </c>
      <c r="D898" s="70">
        <v>8664.69</v>
      </c>
      <c r="E898" s="70">
        <v>2504.21</v>
      </c>
      <c r="F898" s="70">
        <f>D898*0.3</f>
        <v>2599.4070000000002</v>
      </c>
      <c r="G898" s="70">
        <f>(IF(D898&lt;4172.98,0,MIN(D898*0.3,D898-4172.98)))-E898</f>
        <v>95.197000000000116</v>
      </c>
      <c r="H898" s="71">
        <v>46113</v>
      </c>
      <c r="I898" s="69" t="s">
        <v>57</v>
      </c>
      <c r="J898" s="70">
        <v>883.75</v>
      </c>
      <c r="K898" s="70" t="s">
        <v>35</v>
      </c>
      <c r="L898" s="143">
        <v>46286</v>
      </c>
    </row>
    <row r="899" spans="1:12">
      <c r="A899" s="72">
        <v>24702914</v>
      </c>
      <c r="B899">
        <v>5215643581041</v>
      </c>
      <c r="C899" s="69" t="s">
        <v>54</v>
      </c>
      <c r="D899" s="70">
        <v>11029.03</v>
      </c>
      <c r="E899" s="70"/>
      <c r="F899" s="70">
        <v>3308.7090000000003</v>
      </c>
      <c r="G899" s="70">
        <v>3308.7090000000003</v>
      </c>
      <c r="H899" s="69"/>
      <c r="I899" s="69"/>
      <c r="J899" s="70"/>
      <c r="K899" s="70" t="s">
        <v>348</v>
      </c>
      <c r="L899" s="143">
        <v>46286</v>
      </c>
    </row>
    <row r="900" spans="1:12">
      <c r="A900" s="72">
        <v>24691360</v>
      </c>
      <c r="B900">
        <v>5214767375737</v>
      </c>
      <c r="C900" s="69" t="s">
        <v>54</v>
      </c>
      <c r="D900" s="70">
        <v>10636.54</v>
      </c>
      <c r="E900" s="70"/>
      <c r="F900" s="70">
        <v>3190.962</v>
      </c>
      <c r="G900" s="70">
        <v>3190.962</v>
      </c>
      <c r="H900" s="69"/>
      <c r="I900" s="69"/>
      <c r="J900" s="70"/>
      <c r="K900" s="70" t="s">
        <v>358</v>
      </c>
      <c r="L900" s="143">
        <v>46286</v>
      </c>
    </row>
    <row r="901" spans="1:12">
      <c r="A901" s="72">
        <v>24704434</v>
      </c>
      <c r="B901">
        <v>2291612011</v>
      </c>
      <c r="C901" s="69" t="s">
        <v>54</v>
      </c>
      <c r="D901" s="70">
        <v>25710.6</v>
      </c>
      <c r="E901" s="70"/>
      <c r="F901" s="70">
        <v>7713.1799999999994</v>
      </c>
      <c r="G901" s="70">
        <v>7713.1799999999994</v>
      </c>
      <c r="H901" s="69"/>
      <c r="I901" s="69"/>
      <c r="J901" s="70"/>
      <c r="K901" s="70" t="s">
        <v>28</v>
      </c>
      <c r="L901" s="143">
        <v>46286</v>
      </c>
    </row>
    <row r="902" spans="1:12">
      <c r="A902" s="30">
        <v>24705988</v>
      </c>
      <c r="C902" s="69" t="s">
        <v>54</v>
      </c>
      <c r="D902" s="70">
        <v>10636.54</v>
      </c>
      <c r="E902" s="70"/>
      <c r="F902" s="70">
        <f>D902*0.3</f>
        <v>3190.962</v>
      </c>
      <c r="G902" s="70">
        <f>(IF(D902&lt;4172.98,0,MIN(D902*0.3,D902-4172.98)))-E902</f>
        <v>3190.962</v>
      </c>
      <c r="H902" s="69"/>
      <c r="I902" s="69"/>
      <c r="J902" s="70"/>
      <c r="K902" s="70" t="s">
        <v>1946</v>
      </c>
      <c r="L902" s="143">
        <v>46286</v>
      </c>
    </row>
    <row r="903" spans="1:12">
      <c r="A903" s="72">
        <v>24674454</v>
      </c>
      <c r="B903">
        <v>8663473095</v>
      </c>
      <c r="C903" s="69" t="s">
        <v>54</v>
      </c>
      <c r="D903" s="70">
        <v>6089.18</v>
      </c>
      <c r="E903" s="70"/>
      <c r="F903" s="70">
        <v>1826.7540000000001</v>
      </c>
      <c r="G903" s="70">
        <v>1826.7540000000001</v>
      </c>
      <c r="H903" s="69"/>
      <c r="I903" s="69"/>
      <c r="J903" s="70"/>
      <c r="K903" s="70" t="s">
        <v>62</v>
      </c>
      <c r="L903" s="143">
        <v>46286</v>
      </c>
    </row>
    <row r="904" spans="1:12">
      <c r="A904" s="72">
        <v>24695688</v>
      </c>
      <c r="B904">
        <v>6692525519</v>
      </c>
      <c r="C904" s="69" t="s">
        <v>54</v>
      </c>
      <c r="D904" s="70">
        <v>10636.539999999999</v>
      </c>
      <c r="E904" s="70"/>
      <c r="F904" s="70">
        <v>3190.9619999999995</v>
      </c>
      <c r="G904" s="70">
        <v>3190.9619999999995</v>
      </c>
      <c r="H904" s="69"/>
      <c r="I904" s="69"/>
      <c r="J904" s="70"/>
      <c r="K904" s="70" t="s">
        <v>1946</v>
      </c>
      <c r="L904" s="143">
        <v>46286</v>
      </c>
    </row>
    <row r="905" spans="1:12">
      <c r="A905" s="30">
        <v>24702288</v>
      </c>
      <c r="C905" s="69" t="s">
        <v>54</v>
      </c>
      <c r="D905" s="70">
        <v>12371.64</v>
      </c>
      <c r="E905" s="70"/>
      <c r="F905" s="70">
        <f>D905*0.3</f>
        <v>3711.4919999999997</v>
      </c>
      <c r="G905" s="70">
        <f>(IF(D905&lt;4172.98,0,MIN(D905*0.3,D905-4172.98)))-E905</f>
        <v>3711.4919999999997</v>
      </c>
      <c r="H905" s="69"/>
      <c r="I905" s="69"/>
      <c r="J905" s="70"/>
      <c r="K905" s="70" t="s">
        <v>358</v>
      </c>
      <c r="L905" s="143">
        <v>46286</v>
      </c>
    </row>
    <row r="906" spans="1:12">
      <c r="A906" s="30">
        <v>24707364</v>
      </c>
      <c r="C906" s="69" t="s">
        <v>38</v>
      </c>
      <c r="D906" s="70">
        <v>6926.24</v>
      </c>
      <c r="E906" s="70">
        <v>1720.67</v>
      </c>
      <c r="F906" s="70">
        <f>D906*0.3</f>
        <v>2077.8719999999998</v>
      </c>
      <c r="G906" s="70">
        <f>(IF(D906&lt;4172.98,0,MIN(D906*0.3,D906-4172.98)))-E906</f>
        <v>357.20199999999977</v>
      </c>
      <c r="H906" s="71">
        <v>46447</v>
      </c>
      <c r="I906" s="69" t="s">
        <v>75</v>
      </c>
      <c r="J906" s="70">
        <v>1720.67</v>
      </c>
      <c r="K906" s="70" t="s">
        <v>39</v>
      </c>
      <c r="L906" s="143">
        <v>46286</v>
      </c>
    </row>
    <row r="907" spans="1:12">
      <c r="A907" s="72">
        <v>24706956</v>
      </c>
      <c r="B907">
        <v>5217151044474</v>
      </c>
      <c r="C907" s="69" t="s">
        <v>54</v>
      </c>
      <c r="D907" s="70">
        <v>20033.3</v>
      </c>
      <c r="E907" s="70"/>
      <c r="F907" s="70">
        <v>6009.99</v>
      </c>
      <c r="G907" s="70">
        <v>6009.99</v>
      </c>
      <c r="H907" s="69"/>
      <c r="I907" s="69"/>
      <c r="J907" s="70"/>
      <c r="K907" s="70" t="s">
        <v>327</v>
      </c>
      <c r="L907" s="143">
        <v>46286</v>
      </c>
    </row>
    <row r="908" spans="1:12">
      <c r="A908" s="72">
        <v>24707244</v>
      </c>
      <c r="B908">
        <v>5212213543279</v>
      </c>
      <c r="C908" s="69" t="s">
        <v>54</v>
      </c>
      <c r="D908" s="70">
        <v>22522.6</v>
      </c>
      <c r="E908" s="70"/>
      <c r="F908" s="70">
        <v>6756.78</v>
      </c>
      <c r="G908" s="70">
        <v>6756.78</v>
      </c>
      <c r="H908" s="69"/>
      <c r="I908" s="69"/>
      <c r="J908" s="70"/>
      <c r="K908" s="70" t="s">
        <v>95</v>
      </c>
      <c r="L908" s="143">
        <v>46286</v>
      </c>
    </row>
    <row r="909" spans="1:12">
      <c r="A909" s="12">
        <v>24711516</v>
      </c>
      <c r="C909" s="69" t="s">
        <v>107</v>
      </c>
      <c r="D909" s="70">
        <f>6646.12+2368</f>
        <v>9014.119999999999</v>
      </c>
      <c r="E909" s="70">
        <v>2368</v>
      </c>
      <c r="F909" s="70">
        <f>D909*0.3</f>
        <v>2704.2359999999994</v>
      </c>
      <c r="G909" s="70">
        <f>(IF(D909&lt;4172.98,0,MIN(D909*0.3,D909-4172.98)))-E909</f>
        <v>336.23599999999942</v>
      </c>
      <c r="H909" s="69"/>
      <c r="I909" s="69"/>
      <c r="J909" s="70"/>
      <c r="K909" s="70" t="s">
        <v>39</v>
      </c>
      <c r="L909" s="143">
        <v>46287</v>
      </c>
    </row>
    <row r="910" spans="1:12">
      <c r="A910" s="12">
        <v>24731902</v>
      </c>
      <c r="C910" s="69" t="s">
        <v>34</v>
      </c>
      <c r="D910" s="70">
        <v>7116.73</v>
      </c>
      <c r="E910" s="70">
        <v>1871.82</v>
      </c>
      <c r="F910" s="70">
        <f>D910*0.3</f>
        <v>2135.0189999999998</v>
      </c>
      <c r="G910" s="70">
        <f>(IF(D910&lt;4172.98,0,MIN(D910*0.3,D910-4172.98)))-E910</f>
        <v>263.19899999999984</v>
      </c>
      <c r="H910" s="71">
        <v>45839</v>
      </c>
      <c r="I910" s="69" t="s">
        <v>57</v>
      </c>
      <c r="J910" s="70">
        <v>1871.82</v>
      </c>
      <c r="K910" s="70" t="s">
        <v>35</v>
      </c>
      <c r="L910" s="143">
        <v>46287</v>
      </c>
    </row>
    <row r="911" spans="1:12">
      <c r="A911" s="12">
        <v>24736262</v>
      </c>
      <c r="C911" s="69" t="s">
        <v>54</v>
      </c>
      <c r="D911" s="70">
        <v>9760.32</v>
      </c>
      <c r="E911" s="70"/>
      <c r="F911" s="70">
        <f>D911*0.3</f>
        <v>2928.096</v>
      </c>
      <c r="G911" s="70">
        <f>(IF(D911&lt;4172.98,0,MIN(D911*0.3,D911-4172.98)))-E911</f>
        <v>2928.096</v>
      </c>
      <c r="H911" s="69"/>
      <c r="I911" s="69"/>
      <c r="J911" s="70"/>
      <c r="K911" s="70" t="s">
        <v>266</v>
      </c>
      <c r="L911" s="143">
        <v>46287</v>
      </c>
    </row>
    <row r="912" spans="1:12">
      <c r="A912" s="30">
        <v>24741016</v>
      </c>
      <c r="C912" s="69" t="s">
        <v>38</v>
      </c>
      <c r="D912" s="70">
        <v>19232.439999999999</v>
      </c>
      <c r="E912" s="70">
        <v>4826.1099999999997</v>
      </c>
      <c r="F912" s="70">
        <f>D912*0.3</f>
        <v>5769.7319999999991</v>
      </c>
      <c r="G912" s="70">
        <f>(IF(D912&lt;4172.98,0,MIN(D912*0.3,D912-4172.98)))-E912</f>
        <v>943.62199999999939</v>
      </c>
      <c r="H912" s="71">
        <v>46692</v>
      </c>
      <c r="I912" s="69" t="s">
        <v>57</v>
      </c>
      <c r="J912" s="70">
        <v>4826.1099999999997</v>
      </c>
      <c r="K912" s="70" t="s">
        <v>2179</v>
      </c>
      <c r="L912" s="143">
        <v>46287</v>
      </c>
    </row>
    <row r="913" spans="1:12">
      <c r="A913" s="72">
        <v>24680220</v>
      </c>
      <c r="B913">
        <v>3321541078</v>
      </c>
      <c r="C913" s="69" t="s">
        <v>54</v>
      </c>
      <c r="D913" s="70">
        <v>8706.24</v>
      </c>
      <c r="E913" s="70"/>
      <c r="F913" s="70">
        <v>2611.8719999999998</v>
      </c>
      <c r="G913" s="70">
        <v>2611.8719999999998</v>
      </c>
      <c r="H913" s="69"/>
      <c r="I913" s="69"/>
      <c r="J913" s="70"/>
      <c r="K913" s="70" t="s">
        <v>62</v>
      </c>
      <c r="L913" s="143">
        <v>46287</v>
      </c>
    </row>
    <row r="914" spans="1:12">
      <c r="A914" s="72">
        <v>24737898</v>
      </c>
      <c r="B914">
        <v>5214421272379</v>
      </c>
      <c r="C914" s="69" t="s">
        <v>54</v>
      </c>
      <c r="D914" s="70">
        <v>53271.57</v>
      </c>
      <c r="E914" s="70"/>
      <c r="F914" s="70">
        <v>15981.471</v>
      </c>
      <c r="G914" s="70">
        <v>15981.471</v>
      </c>
      <c r="H914" s="69"/>
      <c r="I914" s="69"/>
      <c r="J914" s="70"/>
      <c r="K914" s="70" t="s">
        <v>95</v>
      </c>
      <c r="L914" s="143">
        <v>46287</v>
      </c>
    </row>
    <row r="915" spans="1:12">
      <c r="A915" s="30">
        <v>24741298</v>
      </c>
      <c r="C915" s="69" t="s">
        <v>38</v>
      </c>
      <c r="D915" s="70">
        <v>6262.86</v>
      </c>
      <c r="E915" s="70">
        <v>963.47</v>
      </c>
      <c r="F915" s="70">
        <f>D915*0.3</f>
        <v>1878.8579999999997</v>
      </c>
      <c r="G915" s="70">
        <f>(IF(D915&lt;4172.98,0,MIN(D915*0.3,D915-4172.98)))-E915</f>
        <v>915.38799999999969</v>
      </c>
      <c r="H915" s="71">
        <v>46753</v>
      </c>
      <c r="I915" s="69" t="s">
        <v>44</v>
      </c>
      <c r="J915" s="70">
        <v>963.47</v>
      </c>
      <c r="K915" s="70" t="s">
        <v>39</v>
      </c>
      <c r="L915" s="143">
        <v>46287</v>
      </c>
    </row>
    <row r="916" spans="1:12">
      <c r="A916" s="72">
        <v>24696360</v>
      </c>
      <c r="B916">
        <v>8442111989</v>
      </c>
      <c r="C916" s="69" t="s">
        <v>38</v>
      </c>
      <c r="D916" s="70">
        <v>23207.47</v>
      </c>
      <c r="E916" s="70">
        <v>5794.93</v>
      </c>
      <c r="F916" s="70">
        <v>6962.241</v>
      </c>
      <c r="G916" s="70">
        <v>1167.3109999999997</v>
      </c>
      <c r="H916" s="69">
        <v>46296</v>
      </c>
      <c r="I916" s="69" t="s">
        <v>1669</v>
      </c>
      <c r="J916" s="70">
        <v>1500</v>
      </c>
      <c r="K916" s="70" t="s">
        <v>2179</v>
      </c>
      <c r="L916" s="143">
        <v>46287</v>
      </c>
    </row>
    <row r="917" spans="1:12">
      <c r="A917" s="30">
        <v>24743428</v>
      </c>
      <c r="C917" s="69" t="s">
        <v>54</v>
      </c>
      <c r="D917" s="70">
        <v>9760.32</v>
      </c>
      <c r="E917" s="70"/>
      <c r="F917" s="70">
        <f>D917*0.3</f>
        <v>2928.096</v>
      </c>
      <c r="G917" s="70">
        <f>(IF(D917&lt;4172.98,0,MIN(D917*0.3,D917-4172.98)))-E917</f>
        <v>2928.096</v>
      </c>
      <c r="H917" s="69"/>
      <c r="I917" s="69"/>
      <c r="J917" s="70"/>
      <c r="K917" s="70" t="s">
        <v>879</v>
      </c>
      <c r="L917" s="143">
        <v>46287</v>
      </c>
    </row>
    <row r="918" spans="1:12">
      <c r="A918" s="72">
        <v>24712390</v>
      </c>
      <c r="B918">
        <v>5216622915673</v>
      </c>
      <c r="C918" s="69" t="s">
        <v>34</v>
      </c>
      <c r="D918" s="70">
        <v>18845.43</v>
      </c>
      <c r="E918" s="70">
        <v>5653.63</v>
      </c>
      <c r="F918" s="70">
        <v>5653.6289999999999</v>
      </c>
      <c r="G918" s="70">
        <v>-1.0000000002037268E-3</v>
      </c>
      <c r="H918" s="69">
        <v>46235</v>
      </c>
      <c r="I918" s="69" t="s">
        <v>141</v>
      </c>
      <c r="J918" s="70">
        <v>2739.4</v>
      </c>
      <c r="K918" s="70" t="s">
        <v>35</v>
      </c>
      <c r="L918" s="143">
        <v>46287</v>
      </c>
    </row>
    <row r="919" spans="1:12">
      <c r="A919" s="30">
        <v>24743900</v>
      </c>
      <c r="C919" s="69" t="s">
        <v>27</v>
      </c>
      <c r="D919" s="70">
        <v>15798.92</v>
      </c>
      <c r="E919" s="70">
        <v>4739</v>
      </c>
      <c r="F919" s="70">
        <f>D919*0.3</f>
        <v>4739.6759999999995</v>
      </c>
      <c r="G919" s="70">
        <f>(IF(D919&lt;4172.98,0,MIN(D919*0.3,D919-4172.98)))-E919</f>
        <v>0.67599999999947613</v>
      </c>
      <c r="H919" s="71">
        <v>46113</v>
      </c>
      <c r="I919" s="69" t="s">
        <v>2449</v>
      </c>
      <c r="J919" s="70">
        <v>3783</v>
      </c>
      <c r="K919" s="70" t="s">
        <v>1080</v>
      </c>
      <c r="L919" s="143">
        <v>46287</v>
      </c>
    </row>
    <row r="920" spans="1:12">
      <c r="A920" s="72">
        <v>24708666</v>
      </c>
      <c r="B920">
        <v>5212291148677</v>
      </c>
      <c r="C920" s="69" t="s">
        <v>27</v>
      </c>
      <c r="D920" s="70">
        <v>7919.53</v>
      </c>
      <c r="E920" s="70">
        <v>2047.45</v>
      </c>
      <c r="F920" s="70">
        <v>2375.8589999999999</v>
      </c>
      <c r="G920" s="70">
        <v>328.40899999999988</v>
      </c>
      <c r="H920" s="69">
        <v>45992</v>
      </c>
      <c r="I920" s="69" t="s">
        <v>75</v>
      </c>
      <c r="J920" s="70">
        <v>2047.45</v>
      </c>
      <c r="K920" s="70" t="s">
        <v>2059</v>
      </c>
      <c r="L920" s="143">
        <v>46287</v>
      </c>
    </row>
    <row r="921" spans="1:12">
      <c r="A921" s="30">
        <v>24744544</v>
      </c>
      <c r="C921" s="69" t="s">
        <v>54</v>
      </c>
      <c r="D921" s="70">
        <v>28503.03</v>
      </c>
      <c r="E921" s="70"/>
      <c r="F921" s="70">
        <f>D921*0.3</f>
        <v>8550.9089999999997</v>
      </c>
      <c r="G921" s="70">
        <f>(IF(D921&lt;4172.98,0,MIN(D921*0.3,D921-4172.98)))-E921</f>
        <v>8550.9089999999997</v>
      </c>
      <c r="H921" s="69"/>
      <c r="I921" s="69"/>
      <c r="J921" s="70"/>
      <c r="K921" s="70" t="s">
        <v>327</v>
      </c>
      <c r="L921" s="143">
        <v>46287</v>
      </c>
    </row>
    <row r="922" spans="1:12">
      <c r="A922" s="72">
        <v>24739472</v>
      </c>
      <c r="B922">
        <v>5218711053502</v>
      </c>
      <c r="C922" s="69" t="s">
        <v>54</v>
      </c>
      <c r="D922" s="70">
        <v>9760.32</v>
      </c>
      <c r="E922" s="70"/>
      <c r="F922" s="70">
        <v>2928.096</v>
      </c>
      <c r="G922" s="70">
        <v>2928.096</v>
      </c>
      <c r="H922" s="69"/>
      <c r="I922" s="69"/>
      <c r="J922" s="70"/>
      <c r="K922" s="70" t="s">
        <v>358</v>
      </c>
      <c r="L922" s="143">
        <v>46287</v>
      </c>
    </row>
    <row r="923" spans="1:12">
      <c r="A923" s="72">
        <v>24733372</v>
      </c>
      <c r="B923">
        <v>5216151616090</v>
      </c>
      <c r="C923" s="69" t="s">
        <v>54</v>
      </c>
      <c r="D923" s="70">
        <v>9081.52</v>
      </c>
      <c r="E923" s="70"/>
      <c r="F923" s="70">
        <v>2724.4560000000001</v>
      </c>
      <c r="G923" s="70">
        <v>2724.4560000000001</v>
      </c>
      <c r="H923" s="69"/>
      <c r="I923" s="69"/>
      <c r="J923" s="70"/>
      <c r="K923" s="70" t="s">
        <v>62</v>
      </c>
      <c r="L923" s="143">
        <v>46287</v>
      </c>
    </row>
    <row r="924" spans="1:12">
      <c r="A924" s="72">
        <v>24733076</v>
      </c>
      <c r="B924">
        <v>5213221901613</v>
      </c>
      <c r="C924" s="69" t="s">
        <v>54</v>
      </c>
      <c r="D924" s="70">
        <v>5617.63</v>
      </c>
      <c r="E924" s="70"/>
      <c r="F924" s="70">
        <v>1685.289</v>
      </c>
      <c r="G924" s="70">
        <v>1444.6500000000005</v>
      </c>
      <c r="H924" s="69">
        <v>45748</v>
      </c>
      <c r="I924" s="69"/>
      <c r="J924" s="70"/>
      <c r="K924" s="70" t="s">
        <v>358</v>
      </c>
      <c r="L924" s="143">
        <v>46287</v>
      </c>
    </row>
    <row r="925" spans="1:12">
      <c r="A925" s="30">
        <v>24745968</v>
      </c>
      <c r="C925" s="69" t="s">
        <v>54</v>
      </c>
      <c r="D925" s="70">
        <v>25150.639999999999</v>
      </c>
      <c r="E925" s="70"/>
      <c r="F925" s="70">
        <f>D925*0.3</f>
        <v>7545.1919999999991</v>
      </c>
      <c r="G925" s="70">
        <f>(IF(D925&lt;4172.98,0,MIN(D925*0.3,D925-4172.98)))-E925</f>
        <v>7545.1919999999991</v>
      </c>
      <c r="H925" s="69"/>
      <c r="I925" s="69"/>
      <c r="J925" s="70"/>
      <c r="K925" s="70" t="s">
        <v>95</v>
      </c>
      <c r="L925" s="143">
        <v>46287</v>
      </c>
    </row>
    <row r="926" spans="1:12">
      <c r="A926" s="30">
        <v>24746304</v>
      </c>
      <c r="C926" s="69" t="s">
        <v>54</v>
      </c>
      <c r="D926" s="70">
        <v>17276.14</v>
      </c>
      <c r="E926" s="70"/>
      <c r="F926" s="70">
        <f>D926*0.3</f>
        <v>5182.8419999999996</v>
      </c>
      <c r="G926" s="70">
        <f>(IF(D926&lt;4172.98,0,MIN(D926*0.3,D926-4172.98)))-E926</f>
        <v>5182.8419999999996</v>
      </c>
      <c r="H926" s="69"/>
      <c r="I926" s="69"/>
      <c r="J926" s="70"/>
      <c r="K926" s="70" t="s">
        <v>1808</v>
      </c>
      <c r="L926" s="143">
        <v>46287</v>
      </c>
    </row>
    <row r="927" spans="1:12">
      <c r="A927" s="30">
        <v>24746438</v>
      </c>
      <c r="C927" s="69" t="s">
        <v>54</v>
      </c>
      <c r="D927" s="70">
        <v>9504.7000000000007</v>
      </c>
      <c r="E927" s="70"/>
      <c r="F927" s="70">
        <f>D927*0.3</f>
        <v>2851.4100000000003</v>
      </c>
      <c r="G927" s="70">
        <f>(IF(D927&lt;4172.98,0,MIN(D927*0.3,D927-4172.98)))-E927</f>
        <v>2851.4100000000003</v>
      </c>
      <c r="H927" s="69"/>
      <c r="I927" s="69"/>
      <c r="J927" s="70"/>
      <c r="K927" s="70" t="s">
        <v>266</v>
      </c>
      <c r="L927" s="143">
        <v>46287</v>
      </c>
    </row>
    <row r="928" spans="1:12">
      <c r="A928" s="30">
        <v>24746546</v>
      </c>
      <c r="C928" s="69" t="s">
        <v>54</v>
      </c>
      <c r="D928" s="70">
        <v>21132.22</v>
      </c>
      <c r="E928" s="70"/>
      <c r="F928" s="70">
        <f>D928*0.3</f>
        <v>6339.6660000000002</v>
      </c>
      <c r="G928" s="70">
        <f>(IF(D928&lt;4172.98,0,MIN(D928*0.3,D928-4172.98)))-E928</f>
        <v>6339.6660000000002</v>
      </c>
      <c r="H928" s="69"/>
      <c r="I928" s="69"/>
      <c r="J928" s="70"/>
      <c r="K928" s="70" t="s">
        <v>879</v>
      </c>
      <c r="L928" s="143">
        <v>46287</v>
      </c>
    </row>
    <row r="929" spans="1:12">
      <c r="A929" s="72">
        <v>24668210</v>
      </c>
      <c r="B929">
        <v>6671284863</v>
      </c>
      <c r="C929" s="69" t="s">
        <v>54</v>
      </c>
      <c r="D929" s="70">
        <v>6750.17</v>
      </c>
      <c r="E929" s="70"/>
      <c r="F929" s="70">
        <v>2025.0509999999999</v>
      </c>
      <c r="G929" s="70">
        <v>2025.0509999999999</v>
      </c>
      <c r="H929" s="69"/>
      <c r="I929" s="69"/>
      <c r="J929" s="70"/>
      <c r="K929" s="70" t="s">
        <v>327</v>
      </c>
      <c r="L929" s="143">
        <v>46287</v>
      </c>
    </row>
    <row r="930" spans="1:12">
      <c r="A930" s="12">
        <v>24747870</v>
      </c>
      <c r="C930" s="69" t="s">
        <v>38</v>
      </c>
      <c r="D930" s="70">
        <v>36753.89</v>
      </c>
      <c r="E930" s="70">
        <v>10633.21</v>
      </c>
      <c r="F930" s="70">
        <f>D930*0.3</f>
        <v>11026.166999999999</v>
      </c>
      <c r="G930" s="70">
        <f>(IF(D930&lt;4172.98,0,MIN(D930*0.3,D930-4172.98)))-E930</f>
        <v>392.95700000000033</v>
      </c>
      <c r="H930" s="71">
        <v>46419</v>
      </c>
      <c r="I930" s="69" t="s">
        <v>47</v>
      </c>
      <c r="J930" s="70">
        <v>10076.31</v>
      </c>
      <c r="K930" s="70" t="s">
        <v>2179</v>
      </c>
      <c r="L930" s="143">
        <v>46287</v>
      </c>
    </row>
    <row r="931" spans="1:12">
      <c r="A931" s="30">
        <v>24747814</v>
      </c>
      <c r="C931" s="69" t="s">
        <v>54</v>
      </c>
      <c r="D931" s="70">
        <f>7683.8+879</f>
        <v>8562.7999999999993</v>
      </c>
      <c r="E931" s="70">
        <v>879</v>
      </c>
      <c r="F931" s="70">
        <f>D931*0.3</f>
        <v>2568.8399999999997</v>
      </c>
      <c r="G931" s="70">
        <f>(IF(D931&lt;4172.98,0,MIN(D931*0.3,D931-4172.98)))-E931</f>
        <v>1689.8399999999997</v>
      </c>
      <c r="H931" s="69"/>
      <c r="I931" s="69"/>
      <c r="J931" s="70"/>
      <c r="K931" s="70" t="s">
        <v>358</v>
      </c>
      <c r="L931" s="143">
        <v>46287</v>
      </c>
    </row>
    <row r="932" spans="1:12">
      <c r="A932" s="30">
        <v>24747872</v>
      </c>
      <c r="C932" s="69" t="s">
        <v>54</v>
      </c>
      <c r="D932" s="70">
        <v>11029.03</v>
      </c>
      <c r="E932" s="70"/>
      <c r="F932" s="70">
        <f>D932*0.3</f>
        <v>3308.7090000000003</v>
      </c>
      <c r="G932" s="70">
        <f>(IF(D932&lt;4172.98,0,MIN(D932*0.3,D932-4172.98)))-E932</f>
        <v>3308.7090000000003</v>
      </c>
      <c r="H932" s="69"/>
      <c r="I932" s="69"/>
      <c r="J932" s="70"/>
      <c r="K932" s="70" t="s">
        <v>1808</v>
      </c>
      <c r="L932" s="143">
        <v>46287</v>
      </c>
    </row>
    <row r="933" spans="1:12">
      <c r="A933" s="72">
        <v>24745156</v>
      </c>
      <c r="B933">
        <v>5216565046064</v>
      </c>
      <c r="C933" s="69" t="s">
        <v>38</v>
      </c>
      <c r="D933" s="70">
        <v>5055.87</v>
      </c>
      <c r="E933" s="70"/>
      <c r="F933" s="70">
        <v>1516.761</v>
      </c>
      <c r="G933" s="70">
        <v>882.89000000000033</v>
      </c>
      <c r="H933" s="69"/>
      <c r="I933" s="69"/>
      <c r="J933" s="70"/>
      <c r="K933" s="70" t="s">
        <v>39</v>
      </c>
      <c r="L933" s="143">
        <v>46287</v>
      </c>
    </row>
    <row r="934" spans="1:12">
      <c r="A934" s="12">
        <v>24748542</v>
      </c>
      <c r="C934" s="69" t="s">
        <v>54</v>
      </c>
      <c r="D934" s="70">
        <v>10636.54</v>
      </c>
      <c r="E934" s="70"/>
      <c r="F934" s="70">
        <f>D934*0.3</f>
        <v>3190.962</v>
      </c>
      <c r="G934" s="70">
        <f>(IF(D934&lt;4172.98,0,MIN(D934*0.3,D934-4172.98)))-E934</f>
        <v>3190.962</v>
      </c>
      <c r="H934" s="69"/>
      <c r="I934" s="69"/>
      <c r="J934" s="70"/>
      <c r="K934" s="70" t="s">
        <v>266</v>
      </c>
      <c r="L934" s="143">
        <v>46287</v>
      </c>
    </row>
    <row r="935" spans="1:12">
      <c r="A935" s="12">
        <v>24747832</v>
      </c>
      <c r="C935" s="69" t="s">
        <v>38</v>
      </c>
      <c r="D935" s="70">
        <v>4656.13</v>
      </c>
      <c r="E935" s="70"/>
      <c r="F935" s="70">
        <f>D935*0.3</f>
        <v>1396.8389999999999</v>
      </c>
      <c r="G935" s="70">
        <f>(IF(D935&lt;4172.98,0,MIN(D935*0.3,D935-4172.98)))-E935</f>
        <v>483.15000000000055</v>
      </c>
      <c r="H935" s="69"/>
      <c r="I935" s="69"/>
      <c r="J935" s="70"/>
      <c r="K935" s="70" t="s">
        <v>2179</v>
      </c>
      <c r="L935" s="143">
        <v>46287</v>
      </c>
    </row>
    <row r="936" spans="1:12">
      <c r="A936" s="30">
        <v>24749780</v>
      </c>
      <c r="C936" s="69" t="s">
        <v>54</v>
      </c>
      <c r="D936" s="70">
        <v>9760.32</v>
      </c>
      <c r="E936" s="70">
        <v>879</v>
      </c>
      <c r="F936" s="70">
        <f>D936*0.3</f>
        <v>2928.096</v>
      </c>
      <c r="G936" s="70">
        <f>(IF(D936&lt;4172.98,0,MIN(D936*0.3,D936-4172.98)))-E936</f>
        <v>2049.096</v>
      </c>
      <c r="H936" s="69"/>
      <c r="I936" s="69"/>
      <c r="J936" s="70"/>
      <c r="K936" s="70" t="s">
        <v>95</v>
      </c>
      <c r="L936" s="143">
        <v>46287</v>
      </c>
    </row>
    <row r="937" spans="1:12">
      <c r="A937" s="72">
        <v>24749238</v>
      </c>
      <c r="C937" t="s">
        <v>27</v>
      </c>
      <c r="D937" s="125">
        <v>6262.86</v>
      </c>
      <c r="E937" s="125">
        <v>1539.98</v>
      </c>
      <c r="F937" s="3">
        <f>D937*0.3</f>
        <v>1878.8579999999997</v>
      </c>
      <c r="G937" s="3">
        <f>(IF(D937&lt;4172.98,0,MIN(D937*0.3,D937-4172.98)))-E937</f>
        <v>338.8779999999997</v>
      </c>
      <c r="H937" s="6">
        <v>45474</v>
      </c>
      <c r="I937" t="s">
        <v>77</v>
      </c>
      <c r="J937" s="3">
        <v>1539.98</v>
      </c>
      <c r="K937" s="3" t="s">
        <v>90</v>
      </c>
      <c r="L937" s="143">
        <v>46287</v>
      </c>
    </row>
    <row r="938" spans="1:12">
      <c r="A938" s="72">
        <v>24742840</v>
      </c>
      <c r="B938">
        <v>5631205945</v>
      </c>
      <c r="C938" s="69" t="s">
        <v>34</v>
      </c>
      <c r="D938" s="70">
        <v>5617.93</v>
      </c>
      <c r="E938" s="70">
        <v>1096.48</v>
      </c>
      <c r="F938" s="70">
        <v>1685.3790000000001</v>
      </c>
      <c r="G938" s="70">
        <v>348.47000000000071</v>
      </c>
      <c r="H938" s="69">
        <v>45261</v>
      </c>
      <c r="I938" s="69" t="s">
        <v>169</v>
      </c>
      <c r="J938" s="70">
        <v>1096.48</v>
      </c>
      <c r="K938" s="70" t="s">
        <v>35</v>
      </c>
      <c r="L938" s="143">
        <v>46287</v>
      </c>
    </row>
    <row r="939" spans="1:12">
      <c r="A939" s="72">
        <v>24746860</v>
      </c>
      <c r="B939">
        <v>5215544710646</v>
      </c>
      <c r="C939" s="69" t="s">
        <v>54</v>
      </c>
      <c r="D939" s="70">
        <v>9081.52</v>
      </c>
      <c r="E939" s="70"/>
      <c r="F939" s="70">
        <v>2724.4560000000001</v>
      </c>
      <c r="G939" s="70">
        <v>2724.4560000000001</v>
      </c>
      <c r="H939" s="69"/>
      <c r="I939" s="69"/>
      <c r="J939" s="70"/>
      <c r="K939" s="70" t="s">
        <v>95</v>
      </c>
      <c r="L939" s="143">
        <v>46287</v>
      </c>
    </row>
    <row r="940" spans="1:12">
      <c r="A940" s="30">
        <v>24752760</v>
      </c>
      <c r="C940" s="69" t="s">
        <v>34</v>
      </c>
      <c r="D940" s="70">
        <v>18921.96</v>
      </c>
      <c r="E940" s="70">
        <v>5006.92</v>
      </c>
      <c r="F940" s="70">
        <f>D940*0.3</f>
        <v>5676.5879999999997</v>
      </c>
      <c r="G940" s="70">
        <f>(IF(D940&lt;4172.98,0,MIN(D940*0.3,D940-4172.98)))-E940</f>
        <v>669.66799999999967</v>
      </c>
      <c r="H940" s="71">
        <v>46023</v>
      </c>
      <c r="I940" s="69" t="s">
        <v>43</v>
      </c>
      <c r="J940" s="70">
        <v>5006.92</v>
      </c>
      <c r="K940" s="70" t="s">
        <v>35</v>
      </c>
      <c r="L940" s="143">
        <v>46287</v>
      </c>
    </row>
    <row r="941" spans="1:12">
      <c r="A941" s="30">
        <v>24753562</v>
      </c>
      <c r="C941" s="69" t="s">
        <v>54</v>
      </c>
      <c r="D941" s="70">
        <v>9760.32</v>
      </c>
      <c r="E941" s="70"/>
      <c r="F941" s="70">
        <f>D941*0.3</f>
        <v>2928.096</v>
      </c>
      <c r="G941" s="70">
        <f>(IF(D941&lt;4172.98,0,MIN(D941*0.3,D941-4172.98)))-E941</f>
        <v>2928.096</v>
      </c>
      <c r="H941" s="69"/>
      <c r="I941" s="69"/>
      <c r="J941" s="70"/>
      <c r="K941" s="70" t="s">
        <v>879</v>
      </c>
      <c r="L941" s="143">
        <v>46287</v>
      </c>
    </row>
    <row r="942" spans="1:12">
      <c r="A942" s="30">
        <v>24753678</v>
      </c>
      <c r="C942" s="69" t="s">
        <v>38</v>
      </c>
      <c r="D942" s="70">
        <v>9757.32</v>
      </c>
      <c r="E942" s="70">
        <v>1975.04</v>
      </c>
      <c r="F942" s="70">
        <f>D942*0.3</f>
        <v>2927.1959999999999</v>
      </c>
      <c r="G942" s="70">
        <f>(IF(D942&lt;4172.98,0,MIN(D942*0.3,D942-4172.98)))-E942</f>
        <v>952.15599999999995</v>
      </c>
      <c r="H942" s="71">
        <v>46722</v>
      </c>
      <c r="I942" s="69" t="s">
        <v>75</v>
      </c>
      <c r="J942" s="70">
        <v>1975.04</v>
      </c>
      <c r="K942" s="70" t="s">
        <v>39</v>
      </c>
      <c r="L942" s="143">
        <v>46287</v>
      </c>
    </row>
    <row r="943" spans="1:12">
      <c r="A943" s="12">
        <v>24754894</v>
      </c>
      <c r="C943" s="69" t="s">
        <v>54</v>
      </c>
      <c r="D943" s="70">
        <v>45799.11</v>
      </c>
      <c r="E943" s="70"/>
      <c r="F943" s="70">
        <f t="shared" ref="F943:F945" si="132">D943*0.3</f>
        <v>13739.733</v>
      </c>
      <c r="G943" s="70">
        <f t="shared" ref="G943:G945" si="133">(IF(D943&lt;4172.98,0,MIN(D943*0.3,D943-4172.98)))-E943</f>
        <v>13739.733</v>
      </c>
      <c r="H943" s="69"/>
      <c r="I943" s="69"/>
      <c r="J943" s="70"/>
      <c r="K943" s="70" t="s">
        <v>1808</v>
      </c>
      <c r="L943" s="143">
        <v>46288</v>
      </c>
    </row>
    <row r="944" spans="1:12">
      <c r="A944" s="12">
        <v>24756656</v>
      </c>
      <c r="C944" s="69" t="s">
        <v>54</v>
      </c>
      <c r="D944" s="70">
        <v>10636.54</v>
      </c>
      <c r="E944" s="70"/>
      <c r="F944" s="70">
        <f t="shared" si="132"/>
        <v>3190.962</v>
      </c>
      <c r="G944" s="70">
        <f t="shared" si="133"/>
        <v>3190.962</v>
      </c>
      <c r="H944" s="69"/>
      <c r="I944" s="69"/>
      <c r="J944" s="70"/>
      <c r="K944" s="70" t="s">
        <v>1946</v>
      </c>
      <c r="L944" s="143">
        <v>46288</v>
      </c>
    </row>
    <row r="945" spans="1:12">
      <c r="A945" s="12">
        <v>24756990</v>
      </c>
      <c r="C945" t="s">
        <v>54</v>
      </c>
      <c r="D945" s="3">
        <f>6872.13</f>
        <v>6872.13</v>
      </c>
      <c r="E945" s="3">
        <v>848</v>
      </c>
      <c r="F945" s="3">
        <f t="shared" si="132"/>
        <v>2061.6390000000001</v>
      </c>
      <c r="G945" s="3">
        <f t="shared" si="133"/>
        <v>1213.6390000000001</v>
      </c>
      <c r="J945" s="3"/>
      <c r="K945" s="3" t="s">
        <v>1910</v>
      </c>
      <c r="L945" s="47">
        <v>46288</v>
      </c>
    </row>
    <row r="946" spans="1:12">
      <c r="A946" s="72">
        <v>24749710</v>
      </c>
      <c r="B946">
        <v>6242440450</v>
      </c>
      <c r="C946" s="69" t="s">
        <v>38</v>
      </c>
      <c r="D946" s="70">
        <v>9081.52</v>
      </c>
      <c r="E946" s="70">
        <v>1777.69</v>
      </c>
      <c r="F946" s="70">
        <v>2724.4560000000001</v>
      </c>
      <c r="G946" s="70">
        <v>946.76600000000008</v>
      </c>
      <c r="H946" s="69">
        <v>46722</v>
      </c>
      <c r="I946" s="69" t="s">
        <v>73</v>
      </c>
      <c r="J946" s="70">
        <v>1777.69</v>
      </c>
      <c r="K946" s="70" t="s">
        <v>39</v>
      </c>
      <c r="L946" s="143">
        <v>46288</v>
      </c>
    </row>
    <row r="947" spans="1:12">
      <c r="A947" s="30">
        <v>24779542</v>
      </c>
      <c r="C947" s="69" t="s">
        <v>54</v>
      </c>
      <c r="D947" s="70">
        <f>20308.32-10548</f>
        <v>9760.32</v>
      </c>
      <c r="E947" s="70">
        <v>848</v>
      </c>
      <c r="F947" s="70">
        <f>D947*0.3</f>
        <v>2928.096</v>
      </c>
      <c r="G947" s="70">
        <f>(IF(D947&lt;4172.98,0,MIN(D947*0.3,D947-4172.98)))-E947</f>
        <v>2080.096</v>
      </c>
      <c r="H947" s="69"/>
      <c r="I947" s="69"/>
      <c r="J947" s="70"/>
      <c r="K947" s="70" t="s">
        <v>95</v>
      </c>
      <c r="L947" s="143">
        <v>46288</v>
      </c>
    </row>
    <row r="948" spans="1:12">
      <c r="A948" s="30">
        <v>24780746</v>
      </c>
      <c r="C948" s="69" t="s">
        <v>38</v>
      </c>
      <c r="D948" s="70">
        <v>5617.63</v>
      </c>
      <c r="E948" s="70">
        <v>552.08000000000004</v>
      </c>
      <c r="F948" s="70">
        <f>D948*0.3</f>
        <v>1685.289</v>
      </c>
      <c r="G948" s="70">
        <f>(IF(D948&lt;4172.98,0,MIN(D948*0.3,D948-4172.98)))-E948</f>
        <v>892.5700000000005</v>
      </c>
      <c r="H948" s="71">
        <v>46874</v>
      </c>
      <c r="I948" s="69" t="s">
        <v>43</v>
      </c>
      <c r="J948" s="70">
        <v>552</v>
      </c>
      <c r="K948" s="70" t="s">
        <v>39</v>
      </c>
      <c r="L948" s="143">
        <v>46288</v>
      </c>
    </row>
    <row r="949" spans="1:12">
      <c r="A949" s="72">
        <v>24708476</v>
      </c>
      <c r="B949">
        <v>5216648186486</v>
      </c>
      <c r="C949" s="69" t="s">
        <v>38</v>
      </c>
      <c r="D949" s="70">
        <v>4853.54</v>
      </c>
      <c r="E949" s="70"/>
      <c r="F949" s="70">
        <v>1456.0619999999999</v>
      </c>
      <c r="G949" s="70">
        <v>680.5600000000004</v>
      </c>
      <c r="H949" s="69"/>
      <c r="I949" s="69"/>
      <c r="J949" s="70"/>
      <c r="K949" s="70" t="s">
        <v>39</v>
      </c>
      <c r="L949" s="143">
        <v>46288</v>
      </c>
    </row>
    <row r="950" spans="1:12">
      <c r="A950" s="30">
        <v>24781430</v>
      </c>
      <c r="C950" s="69" t="s">
        <v>54</v>
      </c>
      <c r="D950" s="70">
        <v>10636.54</v>
      </c>
      <c r="E950" s="70"/>
      <c r="F950" s="70">
        <f t="shared" ref="F950" si="134">D950*0.3</f>
        <v>3190.962</v>
      </c>
      <c r="G950" s="70">
        <f t="shared" ref="G950" si="135">(IF(D950&lt;4172.98,0,MIN(D950*0.3,D950-4172.98)))-E950</f>
        <v>3190.962</v>
      </c>
      <c r="H950" s="69"/>
      <c r="I950" s="69"/>
      <c r="J950" s="70"/>
      <c r="K950" s="70" t="s">
        <v>62</v>
      </c>
      <c r="L950" s="143">
        <v>46288</v>
      </c>
    </row>
    <row r="951" spans="1:12">
      <c r="A951" s="30">
        <v>24782612</v>
      </c>
      <c r="C951" s="69" t="s">
        <v>54</v>
      </c>
      <c r="D951" s="70">
        <v>7116.73</v>
      </c>
      <c r="E951" s="70">
        <v>879</v>
      </c>
      <c r="F951" s="70">
        <f>D951*0.3</f>
        <v>2135.0189999999998</v>
      </c>
      <c r="G951" s="70">
        <f>(IF(D951&lt;4172.98,0,MIN(D951*0.3,D951-4172.98)))-E951</f>
        <v>1256.0189999999998</v>
      </c>
      <c r="H951" s="69"/>
      <c r="I951" s="69"/>
      <c r="J951" s="70"/>
      <c r="K951" s="70" t="s">
        <v>327</v>
      </c>
      <c r="L951" s="143">
        <v>46288</v>
      </c>
    </row>
    <row r="952" spans="1:12">
      <c r="A952" s="72">
        <v>24781244</v>
      </c>
      <c r="B952">
        <v>8713584238</v>
      </c>
      <c r="C952" s="69" t="s">
        <v>27</v>
      </c>
      <c r="D952" s="70">
        <v>6411.47</v>
      </c>
      <c r="E952" s="70">
        <v>1854</v>
      </c>
      <c r="F952" s="70">
        <v>1923.441</v>
      </c>
      <c r="G952" s="70">
        <v>69.441000000000031</v>
      </c>
      <c r="H952" s="69">
        <v>46204</v>
      </c>
      <c r="I952" s="69" t="s">
        <v>47</v>
      </c>
      <c r="J952" s="70">
        <v>1655</v>
      </c>
      <c r="K952" s="70" t="s">
        <v>98</v>
      </c>
      <c r="L952" s="143">
        <v>46288</v>
      </c>
    </row>
    <row r="953" spans="1:12">
      <c r="A953" s="72">
        <v>24754280</v>
      </c>
      <c r="B953">
        <v>3334881675</v>
      </c>
      <c r="C953" s="69" t="s">
        <v>54</v>
      </c>
      <c r="D953" s="70">
        <v>9760.32</v>
      </c>
      <c r="E953" s="70"/>
      <c r="F953" s="70">
        <v>2928.096</v>
      </c>
      <c r="G953" s="70">
        <v>2928.096</v>
      </c>
      <c r="H953" s="69"/>
      <c r="I953" s="69"/>
      <c r="J953" s="70"/>
      <c r="K953" s="70" t="s">
        <v>1091</v>
      </c>
      <c r="L953" s="143">
        <v>46288</v>
      </c>
    </row>
    <row r="954" spans="1:12">
      <c r="A954" s="72">
        <v>24780510</v>
      </c>
      <c r="B954">
        <v>5219211431623</v>
      </c>
      <c r="C954" s="69" t="s">
        <v>54</v>
      </c>
      <c r="D954" s="70">
        <v>8633.51</v>
      </c>
      <c r="E954" s="70"/>
      <c r="F954" s="70">
        <v>2590.0529999999999</v>
      </c>
      <c r="G954" s="70">
        <v>2590.0529999999999</v>
      </c>
      <c r="H954" s="69"/>
      <c r="I954" s="69"/>
      <c r="J954" s="70"/>
      <c r="K954" s="70" t="s">
        <v>266</v>
      </c>
      <c r="L954" s="143">
        <v>46288</v>
      </c>
    </row>
    <row r="955" spans="1:12">
      <c r="A955" s="72">
        <v>24746116</v>
      </c>
      <c r="B955">
        <v>5215534443333</v>
      </c>
      <c r="C955" s="69" t="s">
        <v>54</v>
      </c>
      <c r="D955" s="70">
        <v>29483.98</v>
      </c>
      <c r="E955" s="70"/>
      <c r="F955" s="70">
        <v>8845.1939999999995</v>
      </c>
      <c r="G955" s="70">
        <v>8845.1939999999995</v>
      </c>
      <c r="H955" s="69"/>
      <c r="I955" s="69"/>
      <c r="J955" s="70"/>
      <c r="K955" s="70" t="s">
        <v>1946</v>
      </c>
      <c r="L955" s="143">
        <v>46288</v>
      </c>
    </row>
    <row r="956" spans="1:12">
      <c r="A956" s="72">
        <v>23555868</v>
      </c>
      <c r="B956">
        <v>5219513338866</v>
      </c>
      <c r="C956" s="69" t="s">
        <v>27</v>
      </c>
      <c r="D956" s="70">
        <v>9081.5</v>
      </c>
      <c r="E956" s="70">
        <v>2521.3000000000002</v>
      </c>
      <c r="F956" s="70">
        <v>2724.45</v>
      </c>
      <c r="G956" s="70">
        <v>203.14999999999964</v>
      </c>
      <c r="H956" s="69">
        <v>46235</v>
      </c>
      <c r="I956" s="69" t="s">
        <v>75</v>
      </c>
      <c r="J956" s="70">
        <v>2521.3000000000002</v>
      </c>
      <c r="K956" s="70" t="s">
        <v>2059</v>
      </c>
      <c r="L956" s="143">
        <v>46288</v>
      </c>
    </row>
    <row r="957" spans="1:12">
      <c r="A957" s="72">
        <v>24754950</v>
      </c>
      <c r="B957">
        <v>5215520544479</v>
      </c>
      <c r="C957" s="69" t="s">
        <v>27</v>
      </c>
      <c r="D957" s="70">
        <v>21111.31</v>
      </c>
      <c r="E957" s="70">
        <v>6105.32</v>
      </c>
      <c r="F957" s="70">
        <v>6333.393</v>
      </c>
      <c r="G957" s="70">
        <v>228.07300000000032</v>
      </c>
      <c r="H957" s="69">
        <v>46235</v>
      </c>
      <c r="I957" s="69" t="s">
        <v>59</v>
      </c>
      <c r="J957" s="70">
        <v>5214.4799999999996</v>
      </c>
      <c r="K957" s="70" t="s">
        <v>90</v>
      </c>
      <c r="L957" s="143">
        <v>46288</v>
      </c>
    </row>
    <row r="958" spans="1:12">
      <c r="A958" s="72">
        <v>24782818</v>
      </c>
      <c r="B958">
        <v>5216568542351</v>
      </c>
      <c r="C958" s="69" t="s">
        <v>54</v>
      </c>
      <c r="D958" s="70">
        <v>8181.55</v>
      </c>
      <c r="E958" s="70"/>
      <c r="F958" s="70">
        <v>2454.4650000000001</v>
      </c>
      <c r="G958" s="70">
        <v>2454.4650000000001</v>
      </c>
      <c r="H958" s="69"/>
      <c r="I958" s="69"/>
      <c r="J958" s="70"/>
      <c r="K958" s="70" t="s">
        <v>1946</v>
      </c>
      <c r="L958" s="143">
        <v>46288</v>
      </c>
    </row>
    <row r="959" spans="1:12">
      <c r="A959" s="30">
        <v>24784374</v>
      </c>
      <c r="C959" s="69" t="s">
        <v>54</v>
      </c>
      <c r="D959" s="70">
        <v>9760.32</v>
      </c>
      <c r="E959" s="70">
        <v>1137.8900000000001</v>
      </c>
      <c r="F959" s="70">
        <f>D959*0.3</f>
        <v>2928.096</v>
      </c>
      <c r="G959" s="70">
        <f>(IF(D959&lt;4172.98,0,MIN(D959*0.3,D959-4172.98)))-E959</f>
        <v>1790.2059999999999</v>
      </c>
      <c r="H959" s="71">
        <v>46905</v>
      </c>
      <c r="I959" s="69" t="s">
        <v>929</v>
      </c>
      <c r="J959" s="70">
        <v>1137.8900000000001</v>
      </c>
      <c r="K959" s="70" t="s">
        <v>1808</v>
      </c>
      <c r="L959" s="143">
        <v>46288</v>
      </c>
    </row>
    <row r="960" spans="1:12">
      <c r="A960" s="30">
        <v>24789536</v>
      </c>
      <c r="C960" s="69" t="s">
        <v>38</v>
      </c>
      <c r="D960" s="70">
        <v>38767.54</v>
      </c>
      <c r="E960" s="70">
        <v>11212.39</v>
      </c>
      <c r="F960" s="70">
        <f>D960*0.3</f>
        <v>11630.262000000001</v>
      </c>
      <c r="G960" s="70">
        <f>(IF(D960&lt;4172.98,0,MIN(D960*0.3,D960-4172.98)))-E960</f>
        <v>417.87200000000121</v>
      </c>
      <c r="H960" s="71">
        <v>46722</v>
      </c>
      <c r="I960" s="69" t="s">
        <v>47</v>
      </c>
      <c r="J960" s="70">
        <v>10364.39</v>
      </c>
      <c r="K960" s="70" t="s">
        <v>39</v>
      </c>
      <c r="L960" s="143">
        <v>46288</v>
      </c>
    </row>
    <row r="961" spans="1:12">
      <c r="A961" s="30">
        <v>24789916</v>
      </c>
      <c r="C961" s="69" t="s">
        <v>27</v>
      </c>
      <c r="D961" s="70">
        <v>7037.05</v>
      </c>
      <c r="E961" s="70">
        <v>1864.61</v>
      </c>
      <c r="F961" s="70">
        <f>D961*0.3</f>
        <v>2111.1149999999998</v>
      </c>
      <c r="G961" s="70">
        <f>(IF(D961&lt;4172.98,0,MIN(D961*0.3,D961-4172.98)))-E961</f>
        <v>246.50499999999988</v>
      </c>
      <c r="H961" s="71">
        <v>45870</v>
      </c>
      <c r="I961" s="69" t="s">
        <v>44</v>
      </c>
      <c r="J961" s="70">
        <v>1864.61</v>
      </c>
      <c r="K961" s="70" t="s">
        <v>98</v>
      </c>
      <c r="L961" s="143">
        <v>46288</v>
      </c>
    </row>
    <row r="962" spans="1:12">
      <c r="A962" s="72">
        <v>24673622</v>
      </c>
      <c r="B962">
        <v>8184654141</v>
      </c>
      <c r="C962" s="69" t="s">
        <v>107</v>
      </c>
      <c r="D962" s="70">
        <v>13026.08</v>
      </c>
      <c r="E962" s="70">
        <v>3615.82</v>
      </c>
      <c r="F962" s="70">
        <v>3907.8239999999996</v>
      </c>
      <c r="G962" s="70">
        <v>292.00399999999945</v>
      </c>
      <c r="H962" s="69">
        <v>45689</v>
      </c>
      <c r="I962" s="69" t="s">
        <v>44</v>
      </c>
      <c r="J962" s="70">
        <v>373.64</v>
      </c>
      <c r="K962" s="70" t="s">
        <v>2179</v>
      </c>
      <c r="L962" s="143">
        <v>46288</v>
      </c>
    </row>
    <row r="963" spans="1:12">
      <c r="A963" s="30">
        <v>24790762</v>
      </c>
      <c r="C963" s="69" t="s">
        <v>38</v>
      </c>
      <c r="D963" s="70">
        <v>4559.3500000000004</v>
      </c>
      <c r="E963" s="70"/>
      <c r="F963" s="70">
        <f>D963*0.3</f>
        <v>1367.8050000000001</v>
      </c>
      <c r="G963" s="70">
        <f>(IF(D963&lt;4172.98,0,MIN(D963*0.3,D963-4172.98)))-E963</f>
        <v>386.3700000000008</v>
      </c>
      <c r="H963" s="69"/>
      <c r="I963" s="69"/>
      <c r="J963" s="70"/>
      <c r="K963" s="70" t="s">
        <v>2179</v>
      </c>
      <c r="L963" s="143">
        <v>46288</v>
      </c>
    </row>
    <row r="964" spans="1:12">
      <c r="A964" s="72">
        <v>24412556</v>
      </c>
      <c r="B964">
        <v>5219212012607</v>
      </c>
      <c r="C964" s="69" t="s">
        <v>54</v>
      </c>
      <c r="D964" s="70">
        <v>11029.03</v>
      </c>
      <c r="E964" s="70"/>
      <c r="F964" s="70">
        <v>3308.7090000000003</v>
      </c>
      <c r="G964" s="70">
        <v>3308.7090000000003</v>
      </c>
      <c r="H964" s="69"/>
      <c r="I964" s="69"/>
      <c r="J964" s="70"/>
      <c r="K964" s="70" t="s">
        <v>95</v>
      </c>
      <c r="L964" s="143">
        <v>46288</v>
      </c>
    </row>
    <row r="965" spans="1:12">
      <c r="A965" s="173">
        <v>24790916</v>
      </c>
      <c r="B965">
        <v>5214428100178</v>
      </c>
      <c r="C965" t="s">
        <v>54</v>
      </c>
      <c r="D965" s="3">
        <v>24645.03</v>
      </c>
      <c r="E965" s="3">
        <v>4541.3500000000004</v>
      </c>
      <c r="F965" s="3">
        <v>7393.5089999999991</v>
      </c>
      <c r="G965" s="3">
        <v>2852.1589999999987</v>
      </c>
      <c r="H965">
        <v>46600</v>
      </c>
      <c r="I965" t="s">
        <v>75</v>
      </c>
      <c r="J965" s="3">
        <v>4541.3500000000004</v>
      </c>
      <c r="K965" s="3" t="s">
        <v>1808</v>
      </c>
      <c r="L965" s="47">
        <v>46288</v>
      </c>
    </row>
    <row r="966" spans="1:12">
      <c r="A966" s="30">
        <v>24791684</v>
      </c>
      <c r="C966" s="69" t="s">
        <v>54</v>
      </c>
      <c r="D966" s="70">
        <v>35349.74</v>
      </c>
      <c r="E966" s="70">
        <v>8170.07</v>
      </c>
      <c r="F966" s="70">
        <f>D966*0.3</f>
        <v>10604.921999999999</v>
      </c>
      <c r="G966" s="70">
        <f>(IF(D966&lt;4172.98,0,MIN(D966*0.3,D966-4172.98)))-E966</f>
        <v>2434.851999999999</v>
      </c>
      <c r="H966" s="71">
        <v>46600</v>
      </c>
      <c r="I966" s="69" t="s">
        <v>59</v>
      </c>
      <c r="J966" s="70">
        <v>1855.9</v>
      </c>
      <c r="K966" s="70" t="s">
        <v>1910</v>
      </c>
      <c r="L966" s="143">
        <v>46288</v>
      </c>
    </row>
    <row r="967" spans="1:12">
      <c r="A967" s="72">
        <v>24763584</v>
      </c>
      <c r="B967">
        <v>5218112717610</v>
      </c>
      <c r="C967" s="69" t="s">
        <v>54</v>
      </c>
      <c r="D967" s="70">
        <v>7920.51</v>
      </c>
      <c r="E967" s="70"/>
      <c r="F967" s="70">
        <v>2376.1529999999998</v>
      </c>
      <c r="G967" s="70">
        <v>2376.1529999999998</v>
      </c>
      <c r="H967" s="69"/>
      <c r="I967" s="69"/>
      <c r="J967" s="70"/>
      <c r="K967" s="70" t="s">
        <v>1091</v>
      </c>
      <c r="L967" s="143">
        <v>46288</v>
      </c>
    </row>
    <row r="968" spans="1:12">
      <c r="A968" s="30">
        <v>24792054</v>
      </c>
      <c r="C968" s="69" t="s">
        <v>54</v>
      </c>
      <c r="D968" s="70">
        <v>41221.440000000002</v>
      </c>
      <c r="E968" s="70"/>
      <c r="F968" s="70">
        <f>D968*0.3</f>
        <v>12366.432000000001</v>
      </c>
      <c r="G968" s="70">
        <f>(IF(D968&lt;4172.98,0,MIN(D968*0.3,D968-4172.98)))-E968</f>
        <v>12366.432000000001</v>
      </c>
      <c r="H968" s="69"/>
      <c r="I968" s="69"/>
      <c r="J968" s="70"/>
      <c r="K968" s="70" t="s">
        <v>95</v>
      </c>
      <c r="L968" s="143">
        <v>46288</v>
      </c>
    </row>
    <row r="969" spans="1:12">
      <c r="A969" s="30">
        <v>24792002</v>
      </c>
      <c r="C969" s="69" t="s">
        <v>27</v>
      </c>
      <c r="D969" s="70">
        <v>19359.71</v>
      </c>
      <c r="E969" s="70">
        <v>4967.3900000000003</v>
      </c>
      <c r="F969" s="70">
        <f>D969*0.3</f>
        <v>5807.9129999999996</v>
      </c>
      <c r="G969" s="70">
        <f>(IF(D969&lt;4172.98,0,MIN(D969*0.3,D969-4172.98)))-E969</f>
        <v>840.52299999999923</v>
      </c>
      <c r="H969" s="71">
        <v>45689</v>
      </c>
      <c r="I969" s="69" t="s">
        <v>2523</v>
      </c>
      <c r="J969" s="70">
        <v>4967.3900000000003</v>
      </c>
      <c r="K969" s="70" t="s">
        <v>2059</v>
      </c>
      <c r="L969" s="143">
        <v>46288</v>
      </c>
    </row>
    <row r="970" spans="1:12">
      <c r="A970" s="30">
        <v>24792308</v>
      </c>
      <c r="C970" s="69" t="s">
        <v>38</v>
      </c>
      <c r="D970" s="70">
        <v>9954.31</v>
      </c>
      <c r="E970" s="70">
        <v>2054.7399999999998</v>
      </c>
      <c r="F970" s="70">
        <f>D970*0.3</f>
        <v>2986.2929999999997</v>
      </c>
      <c r="G970" s="70">
        <f>(IF(D970&lt;4172.98,0,MIN(D970*0.3,D970-4172.98)))-E970</f>
        <v>931.55299999999988</v>
      </c>
      <c r="H970" s="71">
        <v>46569</v>
      </c>
      <c r="I970" s="69" t="s">
        <v>57</v>
      </c>
      <c r="J970" s="70">
        <v>1515.75</v>
      </c>
      <c r="K970" s="70" t="s">
        <v>2179</v>
      </c>
      <c r="L970" s="143">
        <v>46288</v>
      </c>
    </row>
    <row r="971" spans="1:12">
      <c r="A971" s="72">
        <v>24756884</v>
      </c>
      <c r="B971">
        <v>6141569688</v>
      </c>
      <c r="C971" s="69" t="s">
        <v>34</v>
      </c>
      <c r="D971" s="70">
        <v>6548.83</v>
      </c>
      <c r="E971" s="70">
        <v>1414.42</v>
      </c>
      <c r="F971" s="70">
        <v>1964.6489999999999</v>
      </c>
      <c r="G971" s="70">
        <v>550.22899999999981</v>
      </c>
      <c r="H971" s="69">
        <v>45413</v>
      </c>
      <c r="I971" s="69" t="s">
        <v>169</v>
      </c>
      <c r="J971" s="70">
        <v>1414.42</v>
      </c>
      <c r="K971" s="70" t="s">
        <v>35</v>
      </c>
      <c r="L971" s="143">
        <v>46288</v>
      </c>
    </row>
    <row r="972" spans="1:12">
      <c r="A972" s="72">
        <v>24757362</v>
      </c>
      <c r="B972">
        <v>5214421573386</v>
      </c>
      <c r="C972" s="69" t="s">
        <v>38</v>
      </c>
      <c r="D972" s="70">
        <v>22710.68</v>
      </c>
      <c r="E972" s="70">
        <v>6305.29</v>
      </c>
      <c r="F972" s="70">
        <v>6813.2039999999997</v>
      </c>
      <c r="G972" s="70">
        <v>507.91399999999976</v>
      </c>
      <c r="H972" s="69">
        <v>46327</v>
      </c>
      <c r="I972" s="69" t="s">
        <v>77</v>
      </c>
      <c r="J972" s="70">
        <v>6305.29</v>
      </c>
      <c r="K972" s="70" t="s">
        <v>2179</v>
      </c>
      <c r="L972" s="143">
        <v>46288</v>
      </c>
    </row>
    <row r="973" spans="1:12">
      <c r="A973" s="72">
        <v>24791334</v>
      </c>
      <c r="B973">
        <v>5214271118085</v>
      </c>
      <c r="C973" s="69" t="s">
        <v>34</v>
      </c>
      <c r="D973" s="70">
        <v>16732.37</v>
      </c>
      <c r="E973" s="70">
        <v>5019.71</v>
      </c>
      <c r="F973" s="70">
        <v>5019.7109999999993</v>
      </c>
      <c r="G973" s="70">
        <v>9.9999999929423211E-4</v>
      </c>
      <c r="H973" s="69">
        <v>45505</v>
      </c>
      <c r="I973" s="69" t="s">
        <v>2826</v>
      </c>
      <c r="J973" s="70">
        <v>4110.93</v>
      </c>
      <c r="K973" s="70" t="s">
        <v>830</v>
      </c>
      <c r="L973" s="143">
        <v>46288</v>
      </c>
    </row>
    <row r="974" spans="1:12">
      <c r="A974" s="72">
        <v>24757628</v>
      </c>
      <c r="B974">
        <v>5216671992375</v>
      </c>
      <c r="C974" s="69" t="s">
        <v>38</v>
      </c>
      <c r="D974" s="70">
        <v>7727.95</v>
      </c>
      <c r="E974" s="70">
        <v>1775</v>
      </c>
      <c r="F974" s="70">
        <v>2318.3849999999998</v>
      </c>
      <c r="G974" s="70">
        <v>543.38499999999976</v>
      </c>
      <c r="H974" s="69">
        <v>46296</v>
      </c>
      <c r="I974" s="69" t="s">
        <v>47</v>
      </c>
      <c r="J974" s="70">
        <v>1775</v>
      </c>
      <c r="K974" s="70" t="s">
        <v>2179</v>
      </c>
      <c r="L974" s="143">
        <v>46288</v>
      </c>
    </row>
    <row r="975" spans="1:12">
      <c r="A975" s="30">
        <v>24769090</v>
      </c>
      <c r="C975" s="69" t="s">
        <v>54</v>
      </c>
      <c r="D975" s="70">
        <v>19499.169999999998</v>
      </c>
      <c r="E975" s="70">
        <v>1771.87</v>
      </c>
      <c r="F975" s="70">
        <f>D975*0.3</f>
        <v>5849.7509999999993</v>
      </c>
      <c r="G975" s="70">
        <f>(IF(D975&lt;4172.98,0,MIN(D975*0.3,D975-4172.98)))-E975</f>
        <v>4077.8809999999994</v>
      </c>
      <c r="H975" s="71">
        <v>45870</v>
      </c>
      <c r="I975" s="69" t="s">
        <v>44</v>
      </c>
      <c r="J975" s="70">
        <v>1771.87</v>
      </c>
      <c r="K975" s="70" t="s">
        <v>327</v>
      </c>
      <c r="L975" s="143">
        <v>46288</v>
      </c>
    </row>
    <row r="976" spans="1:12">
      <c r="A976" s="72">
        <v>24355042</v>
      </c>
      <c r="B976">
        <v>5216182323045</v>
      </c>
      <c r="C976" s="69" t="s">
        <v>27</v>
      </c>
      <c r="D976" s="70">
        <v>9993.1299999999992</v>
      </c>
      <c r="E976" s="70">
        <v>2457.2199999999998</v>
      </c>
      <c r="F976" s="70">
        <v>2997.9389999999999</v>
      </c>
      <c r="G976" s="70">
        <v>540.71900000000005</v>
      </c>
      <c r="H976" s="69">
        <v>45597</v>
      </c>
      <c r="I976" s="69" t="s">
        <v>184</v>
      </c>
      <c r="J976" s="70">
        <v>2457.2199999999998</v>
      </c>
      <c r="K976" s="70" t="s">
        <v>90</v>
      </c>
      <c r="L976" s="143">
        <v>46288</v>
      </c>
    </row>
    <row r="977" spans="1:12">
      <c r="A977" s="30">
        <v>24794240</v>
      </c>
      <c r="C977" s="69" t="s">
        <v>38</v>
      </c>
      <c r="D977" s="70">
        <v>5814.14</v>
      </c>
      <c r="E977" s="70">
        <v>902.32</v>
      </c>
      <c r="F977" s="70">
        <f>D977*0.3</f>
        <v>1744.242</v>
      </c>
      <c r="G977" s="70">
        <f>(IF(D977&lt;4172.98,0,MIN(D977*0.3,D977-4172.98)))-E977</f>
        <v>738.84000000000071</v>
      </c>
      <c r="H977" s="71">
        <v>46661</v>
      </c>
      <c r="I977" s="69" t="s">
        <v>57</v>
      </c>
      <c r="J977" s="70">
        <v>902.32</v>
      </c>
      <c r="K977" s="70" t="s">
        <v>2179</v>
      </c>
      <c r="L977" s="143">
        <v>46288</v>
      </c>
    </row>
    <row r="978" spans="1:12">
      <c r="A978" s="72">
        <v>24643638</v>
      </c>
      <c r="B978">
        <v>5216643188445</v>
      </c>
      <c r="C978" s="69" t="s">
        <v>54</v>
      </c>
      <c r="D978" s="70">
        <v>9760.32</v>
      </c>
      <c r="E978" s="70"/>
      <c r="F978" s="70">
        <v>2928.096</v>
      </c>
      <c r="G978" s="70">
        <v>2928.096</v>
      </c>
      <c r="H978" s="69"/>
      <c r="I978" s="69"/>
      <c r="J978" s="70"/>
      <c r="K978" s="70" t="s">
        <v>548</v>
      </c>
      <c r="L978" s="143">
        <v>46288</v>
      </c>
    </row>
    <row r="979" spans="1:12">
      <c r="A979" s="30">
        <v>24794794</v>
      </c>
      <c r="C979" s="69" t="s">
        <v>54</v>
      </c>
      <c r="D979" s="70">
        <v>9111.81</v>
      </c>
      <c r="E979" s="70"/>
      <c r="F979" s="70">
        <f>D979*0.3</f>
        <v>2733.5429999999997</v>
      </c>
      <c r="G979" s="70">
        <f>(IF(D979&lt;4172.98,0,MIN(D979*0.3,D979-4172.98)))-E979</f>
        <v>2733.5429999999997</v>
      </c>
      <c r="H979" s="69"/>
      <c r="I979" s="69"/>
      <c r="J979" s="70"/>
      <c r="K979" s="70" t="s">
        <v>548</v>
      </c>
      <c r="L979" s="143">
        <v>46288</v>
      </c>
    </row>
    <row r="980" spans="1:12">
      <c r="A980" s="12">
        <v>24795628</v>
      </c>
      <c r="C980" s="69" t="s">
        <v>34</v>
      </c>
      <c r="D980" s="70">
        <f>4604.52+1088.41+569.93</f>
        <v>6262.8600000000006</v>
      </c>
      <c r="E980" s="70">
        <f>1088.41+569.93</f>
        <v>1658.3400000000001</v>
      </c>
      <c r="F980" s="70">
        <f t="shared" ref="F980:F984" si="136">D980*0.3</f>
        <v>1878.8580000000002</v>
      </c>
      <c r="G980" s="70">
        <f t="shared" ref="G980:G984" si="137">(IF(D980&lt;4172.98,0,MIN(D980*0.3,D980-4172.98)))-E980</f>
        <v>220.51800000000003</v>
      </c>
      <c r="H980" s="71">
        <v>45809</v>
      </c>
      <c r="I980" s="69" t="s">
        <v>141</v>
      </c>
      <c r="J980" s="70">
        <v>569.92999999999995</v>
      </c>
      <c r="K980" s="70" t="s">
        <v>35</v>
      </c>
      <c r="L980" s="143">
        <v>46289</v>
      </c>
    </row>
    <row r="981" spans="1:12">
      <c r="A981" s="12">
        <v>24796764</v>
      </c>
      <c r="C981" s="69" t="s">
        <v>38</v>
      </c>
      <c r="D981" s="70">
        <v>7920.51</v>
      </c>
      <c r="E981" s="70">
        <v>1383.27</v>
      </c>
      <c r="F981" s="70">
        <f t="shared" si="136"/>
        <v>2376.1529999999998</v>
      </c>
      <c r="G981" s="70">
        <f t="shared" si="137"/>
        <v>992.88299999999981</v>
      </c>
      <c r="H981" s="71">
        <v>46447</v>
      </c>
      <c r="I981" s="69" t="s">
        <v>80</v>
      </c>
      <c r="J981" s="70">
        <v>1383.27</v>
      </c>
      <c r="K981" s="70" t="s">
        <v>39</v>
      </c>
      <c r="L981" s="143">
        <v>46289</v>
      </c>
    </row>
    <row r="982" spans="1:12">
      <c r="A982" s="12">
        <v>24796990</v>
      </c>
      <c r="C982" s="69" t="s">
        <v>54</v>
      </c>
      <c r="D982" s="70">
        <v>7920.51</v>
      </c>
      <c r="E982" s="70"/>
      <c r="F982" s="70">
        <f t="shared" si="136"/>
        <v>2376.1529999999998</v>
      </c>
      <c r="G982" s="70">
        <f t="shared" si="137"/>
        <v>2376.1529999999998</v>
      </c>
      <c r="H982" s="69"/>
      <c r="I982" s="69"/>
      <c r="J982" s="70"/>
      <c r="K982" s="70" t="s">
        <v>1091</v>
      </c>
      <c r="L982" s="143">
        <v>46289</v>
      </c>
    </row>
    <row r="983" spans="1:12">
      <c r="A983" s="12">
        <v>24797110</v>
      </c>
      <c r="C983" t="s">
        <v>38</v>
      </c>
      <c r="D983" s="3">
        <f>6466.42+1191.6+848</f>
        <v>8506.02</v>
      </c>
      <c r="E983" s="3">
        <f>1191.6+848</f>
        <v>2039.6</v>
      </c>
      <c r="F983" s="3">
        <f t="shared" si="136"/>
        <v>2551.806</v>
      </c>
      <c r="G983" s="3">
        <f t="shared" si="137"/>
        <v>512.20600000000013</v>
      </c>
      <c r="J983" s="3"/>
      <c r="K983" s="3" t="s">
        <v>2179</v>
      </c>
      <c r="L983" s="47">
        <v>46289</v>
      </c>
    </row>
    <row r="984" spans="1:12">
      <c r="A984" s="12">
        <v>24797688</v>
      </c>
      <c r="C984" s="69" t="s">
        <v>107</v>
      </c>
      <c r="D984" s="70">
        <f>7879.59+979.62</f>
        <v>8859.2100000000009</v>
      </c>
      <c r="E984" s="70">
        <v>979.62</v>
      </c>
      <c r="F984" s="70">
        <f t="shared" si="136"/>
        <v>2657.7630000000004</v>
      </c>
      <c r="G984" s="70">
        <f t="shared" si="137"/>
        <v>1678.1430000000005</v>
      </c>
      <c r="H984" s="71">
        <v>45474</v>
      </c>
      <c r="I984" s="69" t="s">
        <v>44</v>
      </c>
      <c r="J984" s="70">
        <v>979.62</v>
      </c>
      <c r="K984" s="70" t="s">
        <v>39</v>
      </c>
      <c r="L984" s="143">
        <v>46289</v>
      </c>
    </row>
    <row r="985" spans="1:12">
      <c r="A985" s="12">
        <v>24808116</v>
      </c>
      <c r="C985" s="69" t="s">
        <v>54</v>
      </c>
      <c r="D985" s="70">
        <v>9760.32</v>
      </c>
      <c r="E985" s="70"/>
      <c r="F985" s="70">
        <f>D985*0.3</f>
        <v>2928.096</v>
      </c>
      <c r="G985" s="70">
        <f>(IF(D985&lt;4172.98,0,MIN(D985*0.3,D985-4172.98)))-E985</f>
        <v>2928.096</v>
      </c>
      <c r="H985" s="69"/>
      <c r="I985" s="69"/>
      <c r="J985" s="70"/>
      <c r="K985" s="70" t="s">
        <v>62</v>
      </c>
      <c r="L985" s="143">
        <v>46289</v>
      </c>
    </row>
    <row r="986" spans="1:12">
      <c r="A986" s="30">
        <v>24807940</v>
      </c>
      <c r="C986" t="s">
        <v>54</v>
      </c>
      <c r="D986" s="3">
        <v>10636.54</v>
      </c>
      <c r="E986" s="3"/>
      <c r="F986" s="3">
        <f>D986*0.3</f>
        <v>3190.962</v>
      </c>
      <c r="G986" s="3">
        <f>(IF(D986&lt;4172.98,0,MIN(D986*0.3,D986-4172.98)))-E986</f>
        <v>3190.962</v>
      </c>
      <c r="J986" s="3"/>
      <c r="K986" s="3" t="s">
        <v>327</v>
      </c>
      <c r="L986" s="47">
        <v>46289</v>
      </c>
    </row>
    <row r="987" spans="1:12">
      <c r="A987" s="12">
        <v>24810008</v>
      </c>
      <c r="C987" s="69" t="s">
        <v>34</v>
      </c>
      <c r="D987" s="70">
        <v>9504.7000000000007</v>
      </c>
      <c r="E987" s="70">
        <v>2742.18</v>
      </c>
      <c r="F987" s="70">
        <f t="shared" ref="F987" si="138">D987*0.3</f>
        <v>2851.4100000000003</v>
      </c>
      <c r="G987" s="70">
        <f t="shared" ref="G987" si="139">(IF(D987&lt;4172.98,0,MIN(D987*0.3,D987-4172.98)))-E987</f>
        <v>109.23000000000047</v>
      </c>
      <c r="H987" s="71">
        <v>46235</v>
      </c>
      <c r="I987" s="69" t="s">
        <v>57</v>
      </c>
      <c r="J987" s="70">
        <v>1963.89</v>
      </c>
      <c r="K987" s="70" t="s">
        <v>35</v>
      </c>
      <c r="L987" s="143">
        <v>46289</v>
      </c>
    </row>
    <row r="988" spans="1:12">
      <c r="A988" s="30">
        <v>24812116</v>
      </c>
      <c r="C988" s="69" t="s">
        <v>54</v>
      </c>
      <c r="D988" s="70">
        <v>11940.28</v>
      </c>
      <c r="E988" s="70"/>
      <c r="F988" s="70">
        <f>D988*0.3</f>
        <v>3582.0840000000003</v>
      </c>
      <c r="G988" s="70">
        <f>(IF(D988&lt;4172.98,0,MIN(D988*0.3,D988-4172.98)))-E988</f>
        <v>3582.0840000000003</v>
      </c>
      <c r="H988" s="69"/>
      <c r="I988" s="69"/>
      <c r="J988" s="70"/>
      <c r="K988" s="70" t="s">
        <v>1910</v>
      </c>
      <c r="L988" s="143">
        <v>46289</v>
      </c>
    </row>
    <row r="989" spans="1:12">
      <c r="A989" s="12">
        <v>24812234</v>
      </c>
      <c r="C989" s="69" t="s">
        <v>54</v>
      </c>
      <c r="D989" s="70">
        <v>6262.86</v>
      </c>
      <c r="E989" s="70"/>
      <c r="F989" s="70">
        <f>D989*0.3</f>
        <v>1878.8579999999997</v>
      </c>
      <c r="G989" s="70">
        <f>(IF(D989&lt;4172.98,0,MIN(D989*0.3,D989-4172.98)))-E989</f>
        <v>1878.8579999999997</v>
      </c>
      <c r="H989" s="69"/>
      <c r="I989" s="69"/>
      <c r="J989" s="70"/>
      <c r="K989" s="70" t="s">
        <v>1910</v>
      </c>
      <c r="L989" s="143">
        <v>46289</v>
      </c>
    </row>
    <row r="990" spans="1:12">
      <c r="A990" s="30">
        <v>24813300</v>
      </c>
      <c r="C990" s="69" t="s">
        <v>54</v>
      </c>
      <c r="D990" s="70">
        <v>11093.27</v>
      </c>
      <c r="E990" s="70"/>
      <c r="F990" s="70">
        <f>D990*0.3</f>
        <v>3327.9810000000002</v>
      </c>
      <c r="G990" s="70">
        <f>(IF(D990&lt;4172.98,0,MIN(D990*0.3,D990-4172.98)))-E990</f>
        <v>3327.9810000000002</v>
      </c>
      <c r="H990" s="69"/>
      <c r="I990" s="69"/>
      <c r="J990" s="70"/>
      <c r="K990" s="70" t="s">
        <v>1808</v>
      </c>
      <c r="L990" s="143">
        <v>46289</v>
      </c>
    </row>
    <row r="991" spans="1:12">
      <c r="A991" s="30">
        <v>24813492</v>
      </c>
      <c r="C991" s="69" t="s">
        <v>54</v>
      </c>
      <c r="D991" s="70">
        <f>8881.32+879</f>
        <v>9760.32</v>
      </c>
      <c r="E991" s="70">
        <v>879</v>
      </c>
      <c r="F991" s="70">
        <f>D991*0.3</f>
        <v>2928.096</v>
      </c>
      <c r="G991" s="70">
        <f>(IF(D991&lt;4172.98,0,MIN(D991*0.3,D991-4172.98)))-E991</f>
        <v>2049.096</v>
      </c>
      <c r="H991" s="69"/>
      <c r="I991" s="69"/>
      <c r="J991" s="70"/>
      <c r="K991" s="70" t="s">
        <v>1808</v>
      </c>
      <c r="L991" s="143">
        <v>46289</v>
      </c>
    </row>
    <row r="992" spans="1:12">
      <c r="A992" s="30">
        <v>24811350</v>
      </c>
      <c r="C992" s="69" t="s">
        <v>38</v>
      </c>
      <c r="D992" s="70">
        <v>9760.32</v>
      </c>
      <c r="E992" s="70">
        <v>2171.81</v>
      </c>
      <c r="F992" s="70">
        <f t="shared" ref="F992" si="140">D992*0.3</f>
        <v>2928.096</v>
      </c>
      <c r="G992" s="70">
        <f t="shared" ref="G992" si="141">(IF(D992&lt;4172.98,0,MIN(D992*0.3,D992-4172.98)))-E992</f>
        <v>756.28600000000006</v>
      </c>
      <c r="H992" s="71">
        <v>46661</v>
      </c>
      <c r="I992" s="69" t="s">
        <v>75</v>
      </c>
      <c r="J992" s="70">
        <v>2171.81</v>
      </c>
      <c r="K992" s="70" t="s">
        <v>2179</v>
      </c>
      <c r="L992" s="143">
        <v>46289</v>
      </c>
    </row>
    <row r="993" spans="1:12">
      <c r="A993" s="30">
        <v>24812430</v>
      </c>
      <c r="C993" s="69" t="s">
        <v>27</v>
      </c>
      <c r="D993" s="70">
        <v>6262.86</v>
      </c>
      <c r="E993" s="70">
        <v>1738.79</v>
      </c>
      <c r="F993" s="70">
        <f>D993*0.3</f>
        <v>1878.8579999999997</v>
      </c>
      <c r="G993" s="70">
        <f>(IF(D993&lt;4172.98,0,MIN(D993*0.3,D993-4172.98)))-E993</f>
        <v>140.06799999999976</v>
      </c>
      <c r="H993" s="71">
        <v>46082</v>
      </c>
      <c r="I993" s="69" t="s">
        <v>2556</v>
      </c>
      <c r="J993" s="70">
        <v>1738.79</v>
      </c>
      <c r="K993" s="70" t="s">
        <v>98</v>
      </c>
      <c r="L993" s="143">
        <v>46289</v>
      </c>
    </row>
    <row r="994" spans="1:12">
      <c r="A994" s="72">
        <v>24800070</v>
      </c>
      <c r="B994">
        <v>5215515930722</v>
      </c>
      <c r="C994" s="69" t="s">
        <v>54</v>
      </c>
      <c r="D994" s="70">
        <v>10636.54</v>
      </c>
      <c r="E994" s="70"/>
      <c r="F994" s="70">
        <v>3190.962</v>
      </c>
      <c r="G994" s="70">
        <v>3190.962</v>
      </c>
      <c r="H994" s="69"/>
      <c r="I994" s="69"/>
      <c r="J994" s="70"/>
      <c r="K994" s="70" t="s">
        <v>1091</v>
      </c>
      <c r="L994" s="143">
        <v>46289</v>
      </c>
    </row>
    <row r="995" spans="1:12">
      <c r="A995" s="72">
        <v>24802282</v>
      </c>
      <c r="B995">
        <v>5613526431</v>
      </c>
      <c r="C995" s="69" t="s">
        <v>54</v>
      </c>
      <c r="D995" s="70">
        <v>12803.380000000001</v>
      </c>
      <c r="E995" s="70"/>
      <c r="F995" s="70">
        <v>3841.0140000000001</v>
      </c>
      <c r="G995" s="70">
        <v>3841.0140000000001</v>
      </c>
      <c r="H995" s="69"/>
      <c r="I995" s="69"/>
      <c r="J995" s="70"/>
      <c r="K995" s="70" t="s">
        <v>327</v>
      </c>
      <c r="L995" s="143">
        <v>46289</v>
      </c>
    </row>
    <row r="996" spans="1:12">
      <c r="A996" s="72">
        <v>24810288</v>
      </c>
      <c r="B996">
        <v>5219331522757</v>
      </c>
      <c r="C996" s="69" t="s">
        <v>54</v>
      </c>
      <c r="D996" s="70">
        <v>10171.23</v>
      </c>
      <c r="E996" s="70"/>
      <c r="F996" s="70">
        <v>3051.3689999999997</v>
      </c>
      <c r="G996" s="70">
        <v>3051.3689999999997</v>
      </c>
      <c r="H996" s="69"/>
      <c r="I996" s="69"/>
      <c r="J996" s="70"/>
      <c r="K996" s="70" t="s">
        <v>266</v>
      </c>
      <c r="L996" s="143">
        <v>46289</v>
      </c>
    </row>
    <row r="997" spans="1:12">
      <c r="A997" s="72">
        <v>24488398</v>
      </c>
      <c r="B997">
        <v>5214495898160</v>
      </c>
      <c r="C997" s="69" t="s">
        <v>54</v>
      </c>
      <c r="D997" s="70">
        <v>11029.03</v>
      </c>
      <c r="E997" s="70"/>
      <c r="F997" s="70">
        <v>3308.7090000000003</v>
      </c>
      <c r="G997" s="70">
        <v>3308.7090000000003</v>
      </c>
      <c r="H997" s="69"/>
      <c r="I997" s="69"/>
      <c r="J997" s="70"/>
      <c r="K997" s="70" t="s">
        <v>266</v>
      </c>
      <c r="L997" s="143">
        <v>46289</v>
      </c>
    </row>
    <row r="998" spans="1:12">
      <c r="A998" s="72">
        <v>24811230</v>
      </c>
      <c r="B998">
        <v>8994962705</v>
      </c>
      <c r="C998" s="69" t="s">
        <v>34</v>
      </c>
      <c r="D998" s="70">
        <v>8146.82</v>
      </c>
      <c r="E998" s="70">
        <v>2258.4699999999998</v>
      </c>
      <c r="F998" s="70">
        <v>2444.0459999999998</v>
      </c>
      <c r="G998" s="70">
        <v>185.57600000000002</v>
      </c>
      <c r="H998" s="69">
        <v>46174</v>
      </c>
      <c r="I998" s="69" t="s">
        <v>57</v>
      </c>
      <c r="J998" s="70">
        <v>2258.4699999999998</v>
      </c>
      <c r="K998" s="70" t="s">
        <v>830</v>
      </c>
      <c r="L998" s="143">
        <v>46289</v>
      </c>
    </row>
    <row r="999" spans="1:12">
      <c r="A999" s="72">
        <v>24798358</v>
      </c>
      <c r="B999">
        <v>5218717845861</v>
      </c>
      <c r="C999" s="69" t="s">
        <v>54</v>
      </c>
      <c r="D999" s="70">
        <v>21450.71</v>
      </c>
      <c r="E999" s="70"/>
      <c r="F999" s="70">
        <v>6435.2129999999997</v>
      </c>
      <c r="G999" s="70">
        <v>6435.2129999999997</v>
      </c>
      <c r="H999" s="69"/>
      <c r="I999" s="69"/>
      <c r="J999" s="70"/>
      <c r="K999" s="70" t="s">
        <v>95</v>
      </c>
      <c r="L999" s="143">
        <v>46289</v>
      </c>
    </row>
    <row r="1000" spans="1:12">
      <c r="A1000" s="72">
        <v>24512994</v>
      </c>
      <c r="B1000">
        <v>5215540988746</v>
      </c>
      <c r="C1000" s="69" t="s">
        <v>54</v>
      </c>
      <c r="D1000" s="70">
        <v>48443.45</v>
      </c>
      <c r="E1000" s="70">
        <v>10479.31</v>
      </c>
      <c r="F1000" s="70">
        <v>14533.034999999998</v>
      </c>
      <c r="G1000" s="70">
        <v>4053.7249999999985</v>
      </c>
      <c r="H1000" s="69">
        <v>46997</v>
      </c>
      <c r="I1000" s="69" t="s">
        <v>80</v>
      </c>
      <c r="J1000" s="70">
        <v>10479.31</v>
      </c>
      <c r="K1000" s="70" t="s">
        <v>62</v>
      </c>
      <c r="L1000" s="143">
        <v>46289</v>
      </c>
    </row>
    <row r="1001" spans="1:12">
      <c r="A1001" s="72">
        <v>24815046</v>
      </c>
      <c r="B1001">
        <v>5626088170</v>
      </c>
      <c r="C1001" s="69" t="s">
        <v>54</v>
      </c>
      <c r="D1001" s="70">
        <v>9081.52</v>
      </c>
      <c r="E1001" s="70">
        <v>1482.45</v>
      </c>
      <c r="F1001" s="70">
        <v>2724.4560000000001</v>
      </c>
      <c r="G1001" s="70">
        <v>1242.0060000000001</v>
      </c>
      <c r="H1001" s="69">
        <v>46813</v>
      </c>
      <c r="I1001" s="69" t="s">
        <v>77</v>
      </c>
      <c r="J1001" s="70">
        <v>1482.45</v>
      </c>
      <c r="K1001" s="70" t="s">
        <v>327</v>
      </c>
      <c r="L1001" s="143">
        <v>46289</v>
      </c>
    </row>
    <row r="1002" spans="1:12">
      <c r="A1002" s="12">
        <v>24816802</v>
      </c>
      <c r="C1002" s="69" t="s">
        <v>34</v>
      </c>
      <c r="D1002" s="70">
        <v>15766.91</v>
      </c>
      <c r="E1002" s="70">
        <v>4372.9399999999996</v>
      </c>
      <c r="F1002" s="70">
        <f>D1002*0.3</f>
        <v>4730.0729999999994</v>
      </c>
      <c r="G1002" s="70">
        <f>(IF(D1002&lt;4172.98,0,MIN(D1002*0.3,D1002-4172.98)))-E1002</f>
        <v>357.13299999999981</v>
      </c>
      <c r="H1002" s="71">
        <v>46266</v>
      </c>
      <c r="I1002" s="69" t="s">
        <v>43</v>
      </c>
      <c r="J1002" s="70">
        <v>4372.9399999999996</v>
      </c>
      <c r="K1002" s="70" t="s">
        <v>830</v>
      </c>
      <c r="L1002" s="143">
        <v>46289</v>
      </c>
    </row>
    <row r="1003" spans="1:12">
      <c r="A1003" s="12">
        <v>24817454</v>
      </c>
      <c r="C1003" s="69" t="s">
        <v>54</v>
      </c>
      <c r="D1003" s="70">
        <v>9760.32</v>
      </c>
      <c r="E1003" s="70"/>
      <c r="F1003" s="70">
        <f t="shared" ref="F1003:F1004" si="142">D1003*0.3</f>
        <v>2928.096</v>
      </c>
      <c r="G1003" s="70">
        <f t="shared" ref="G1003:G1004" si="143">(IF(D1003&lt;4172.98,0,MIN(D1003*0.3,D1003-4172.98)))-E1003</f>
        <v>2928.096</v>
      </c>
      <c r="H1003" s="69"/>
      <c r="I1003" s="69"/>
      <c r="J1003" s="70"/>
      <c r="K1003" s="70" t="s">
        <v>1946</v>
      </c>
      <c r="L1003" s="143">
        <v>46289</v>
      </c>
    </row>
    <row r="1004" spans="1:12">
      <c r="A1004" s="30">
        <v>24817530</v>
      </c>
      <c r="C1004" s="69" t="s">
        <v>54</v>
      </c>
      <c r="D1004" s="70">
        <v>10171.24</v>
      </c>
      <c r="E1004" s="70">
        <v>879</v>
      </c>
      <c r="F1004" s="70">
        <f t="shared" si="142"/>
        <v>3051.3719999999998</v>
      </c>
      <c r="G1004" s="70">
        <f t="shared" si="143"/>
        <v>2172.3719999999998</v>
      </c>
      <c r="H1004" s="69"/>
      <c r="I1004" s="69"/>
      <c r="J1004" s="70"/>
      <c r="K1004" s="70" t="s">
        <v>2576</v>
      </c>
      <c r="L1004" s="143">
        <v>46289</v>
      </c>
    </row>
    <row r="1005" spans="1:12">
      <c r="A1005" s="72">
        <v>24806836</v>
      </c>
      <c r="B1005">
        <v>5214451585108</v>
      </c>
      <c r="C1005" s="69" t="s">
        <v>54</v>
      </c>
      <c r="D1005" s="70">
        <v>10636.54</v>
      </c>
      <c r="E1005" s="70"/>
      <c r="F1005" s="70">
        <v>3190.962</v>
      </c>
      <c r="G1005" s="70">
        <v>3190.962</v>
      </c>
      <c r="H1005" s="69"/>
      <c r="I1005" s="69"/>
      <c r="J1005" s="70"/>
      <c r="K1005" s="70" t="s">
        <v>2827</v>
      </c>
      <c r="L1005" s="143">
        <v>46289</v>
      </c>
    </row>
    <row r="1006" spans="1:12">
      <c r="A1006" s="30">
        <v>24817816</v>
      </c>
      <c r="C1006" s="69" t="s">
        <v>27</v>
      </c>
      <c r="D1006" s="70">
        <v>39334.199999999997</v>
      </c>
      <c r="E1006" s="70">
        <v>11798.68</v>
      </c>
      <c r="F1006" s="70">
        <f>D1006*0.3</f>
        <v>11800.259999999998</v>
      </c>
      <c r="G1006" s="70">
        <f>(IF(D1006&lt;4172.98,0,MIN(D1006*0.3,D1006-4172.98)))-E1006</f>
        <v>1.5799999999981083</v>
      </c>
      <c r="H1006" s="71">
        <v>46266</v>
      </c>
      <c r="I1006" s="69" t="s">
        <v>75</v>
      </c>
      <c r="J1006" s="70">
        <v>9463.68</v>
      </c>
      <c r="K1006" s="70" t="s">
        <v>2059</v>
      </c>
      <c r="L1006" s="143">
        <v>46289</v>
      </c>
    </row>
    <row r="1007" spans="1:12">
      <c r="A1007" s="30">
        <v>24818004</v>
      </c>
      <c r="C1007" s="69" t="s">
        <v>54</v>
      </c>
      <c r="D1007" s="70">
        <v>10636.54</v>
      </c>
      <c r="E1007" s="70"/>
      <c r="F1007" s="70">
        <f>D1007*0.3</f>
        <v>3190.962</v>
      </c>
      <c r="G1007" s="70">
        <f>(IF(D1007&lt;4172.98,0,MIN(D1007*0.3,D1007-4172.98)))-E1007</f>
        <v>3190.962</v>
      </c>
      <c r="H1007" s="69"/>
      <c r="I1007" s="69"/>
      <c r="J1007" s="70"/>
      <c r="K1007" s="70" t="s">
        <v>2582</v>
      </c>
      <c r="L1007" s="143">
        <v>46289</v>
      </c>
    </row>
    <row r="1008" spans="1:12">
      <c r="A1008" s="72">
        <v>24816960</v>
      </c>
      <c r="B1008">
        <v>5212969640074</v>
      </c>
      <c r="C1008" s="69" t="s">
        <v>38</v>
      </c>
      <c r="D1008" s="70">
        <v>4561.97</v>
      </c>
      <c r="E1008" s="70"/>
      <c r="F1008" s="70">
        <v>1368.5910000000001</v>
      </c>
      <c r="G1008" s="70">
        <v>388.99000000000069</v>
      </c>
      <c r="H1008" s="69"/>
      <c r="I1008" s="69"/>
      <c r="J1008" s="70"/>
      <c r="K1008" s="70" t="s">
        <v>39</v>
      </c>
      <c r="L1008" s="143">
        <v>46289</v>
      </c>
    </row>
    <row r="1009" spans="1:12">
      <c r="A1009" s="30">
        <v>24818304</v>
      </c>
      <c r="C1009" s="69" t="s">
        <v>27</v>
      </c>
      <c r="D1009" s="70">
        <v>7603.81</v>
      </c>
      <c r="E1009" s="70">
        <v>2281.13</v>
      </c>
      <c r="F1009" s="70">
        <f>D1009*0.3</f>
        <v>2281.143</v>
      </c>
      <c r="G1009" s="70">
        <f>(IF(D1009&lt;4172.98,0,MIN(D1009*0.3,D1009-4172.98)))-E1009</f>
        <v>1.2999999999919964E-2</v>
      </c>
      <c r="H1009" s="71">
        <v>44958</v>
      </c>
      <c r="I1009" s="69" t="s">
        <v>44</v>
      </c>
      <c r="J1009" s="70">
        <v>1298.42</v>
      </c>
      <c r="K1009" s="70" t="s">
        <v>90</v>
      </c>
      <c r="L1009" s="143">
        <v>46289</v>
      </c>
    </row>
    <row r="1010" spans="1:12">
      <c r="A1010" s="30">
        <v>24818448</v>
      </c>
      <c r="C1010" s="69" t="s">
        <v>54</v>
      </c>
      <c r="D1010" s="70">
        <v>7135.6</v>
      </c>
      <c r="E1010" s="70">
        <v>700</v>
      </c>
      <c r="F1010" s="70">
        <f>D1010*0.3</f>
        <v>2140.6799999999998</v>
      </c>
      <c r="G1010" s="70">
        <f>(IF(D1010&lt;4172.98,0,MIN(D1010*0.3,D1010-4172.98)))-E1010</f>
        <v>1440.6799999999998</v>
      </c>
      <c r="H1010" s="71">
        <v>46813</v>
      </c>
      <c r="I1010" s="69" t="s">
        <v>44</v>
      </c>
      <c r="J1010" s="70">
        <v>700</v>
      </c>
      <c r="K1010" s="70" t="s">
        <v>62</v>
      </c>
      <c r="L1010" s="143">
        <v>46289</v>
      </c>
    </row>
    <row r="1011" spans="1:12">
      <c r="A1011" s="30">
        <v>24818782</v>
      </c>
      <c r="C1011" s="69" t="s">
        <v>38</v>
      </c>
      <c r="D1011" s="70">
        <v>9760.32</v>
      </c>
      <c r="E1011" s="70">
        <v>2094.7399999999998</v>
      </c>
      <c r="F1011" s="70">
        <f>D1011*0.3</f>
        <v>2928.096</v>
      </c>
      <c r="G1011" s="70">
        <f>(IF(D1011&lt;4172.98,0,MIN(D1011*0.3,D1011-4172.98)))-E1011</f>
        <v>833.35600000000022</v>
      </c>
      <c r="H1011" s="71">
        <v>46813</v>
      </c>
      <c r="I1011" s="69" t="s">
        <v>75</v>
      </c>
      <c r="J1011" s="70">
        <v>2094.7399999999998</v>
      </c>
      <c r="K1011" s="70" t="s">
        <v>2179</v>
      </c>
      <c r="L1011" s="143">
        <v>46289</v>
      </c>
    </row>
    <row r="1012" spans="1:12">
      <c r="A1012" s="72">
        <v>24509568</v>
      </c>
      <c r="B1012">
        <v>5643625344</v>
      </c>
      <c r="C1012" s="69" t="s">
        <v>34</v>
      </c>
      <c r="D1012" s="70">
        <v>76352.17</v>
      </c>
      <c r="E1012" s="70">
        <v>19849.46</v>
      </c>
      <c r="F1012" s="70">
        <v>22905.650999999998</v>
      </c>
      <c r="G1012" s="70">
        <v>3056.1909999999989</v>
      </c>
      <c r="H1012" s="69">
        <v>45748</v>
      </c>
      <c r="I1012" s="69" t="s">
        <v>169</v>
      </c>
      <c r="J1012" s="70">
        <v>19849.46</v>
      </c>
      <c r="K1012" s="70" t="s">
        <v>35</v>
      </c>
      <c r="L1012" s="143">
        <v>46289</v>
      </c>
    </row>
    <row r="1013" spans="1:12">
      <c r="A1013" s="30">
        <v>24811136</v>
      </c>
      <c r="C1013" s="69" t="s">
        <v>27</v>
      </c>
      <c r="D1013" s="70">
        <v>9081.52</v>
      </c>
      <c r="E1013" s="70">
        <v>2521.35</v>
      </c>
      <c r="F1013" s="70">
        <f>D1013*0.3</f>
        <v>2724.4560000000001</v>
      </c>
      <c r="G1013" s="70">
        <f>(IF(D1013&lt;4172.98,0,MIN(D1013*0.3,D1013-4172.98)))-E1013</f>
        <v>203.10600000000022</v>
      </c>
      <c r="H1013" s="71">
        <v>46143</v>
      </c>
      <c r="I1013" s="69" t="s">
        <v>44</v>
      </c>
      <c r="J1013" s="70">
        <v>2521.35</v>
      </c>
      <c r="K1013" s="70" t="s">
        <v>98</v>
      </c>
      <c r="L1013" s="143">
        <v>46289</v>
      </c>
    </row>
    <row r="1014" spans="1:12">
      <c r="A1014" s="72">
        <v>24816418</v>
      </c>
      <c r="B1014">
        <v>5219222075901</v>
      </c>
      <c r="C1014" s="69" t="s">
        <v>107</v>
      </c>
      <c r="D1014" s="70">
        <v>4723.55</v>
      </c>
      <c r="E1014" s="70">
        <v>855</v>
      </c>
      <c r="F1014" s="70">
        <v>1417.0650000000001</v>
      </c>
      <c r="G1014" s="70">
        <v>-304.42999999999938</v>
      </c>
      <c r="H1014" s="69">
        <v>45778</v>
      </c>
      <c r="I1014" s="69" t="s">
        <v>80</v>
      </c>
      <c r="J1014" s="70">
        <v>855</v>
      </c>
      <c r="K1014" s="70" t="s">
        <v>39</v>
      </c>
      <c r="L1014" s="143">
        <v>46289</v>
      </c>
    </row>
    <row r="1015" spans="1:12">
      <c r="A1015" s="72">
        <v>24818116</v>
      </c>
      <c r="B1015">
        <v>5213222423204</v>
      </c>
      <c r="C1015" s="69" t="s">
        <v>27</v>
      </c>
      <c r="D1015" s="70">
        <v>9081.52</v>
      </c>
      <c r="E1015" s="70">
        <v>2521.35</v>
      </c>
      <c r="F1015" s="70">
        <v>2724.4560000000001</v>
      </c>
      <c r="G1015" s="70">
        <v>203.10600000000022</v>
      </c>
      <c r="H1015" s="69">
        <v>46235</v>
      </c>
      <c r="I1015" s="69" t="s">
        <v>44</v>
      </c>
      <c r="J1015" s="70">
        <v>2521.35</v>
      </c>
      <c r="K1015" s="70" t="s">
        <v>2059</v>
      </c>
      <c r="L1015" s="143">
        <v>46289</v>
      </c>
    </row>
    <row r="1016" spans="1:12">
      <c r="A1016" s="72">
        <v>24820162</v>
      </c>
      <c r="B1016">
        <v>5214491118373</v>
      </c>
      <c r="C1016" s="69" t="s">
        <v>54</v>
      </c>
      <c r="D1016" s="70">
        <v>30393.61</v>
      </c>
      <c r="E1016" s="70">
        <v>3201.74</v>
      </c>
      <c r="F1016" s="70">
        <v>9118.0830000000005</v>
      </c>
      <c r="G1016" s="70">
        <v>5916.3430000000008</v>
      </c>
      <c r="H1016" s="69">
        <v>46722</v>
      </c>
      <c r="I1016" s="69" t="s">
        <v>75</v>
      </c>
      <c r="J1016" s="70">
        <v>1179.5899999999999</v>
      </c>
      <c r="K1016" s="70" t="s">
        <v>95</v>
      </c>
      <c r="L1016" s="143">
        <v>46289</v>
      </c>
    </row>
    <row r="1017" spans="1:12">
      <c r="A1017" s="12">
        <v>24821080</v>
      </c>
      <c r="C1017" s="69" t="s">
        <v>38</v>
      </c>
      <c r="D1017" s="70">
        <v>4813.6899999999996</v>
      </c>
      <c r="E1017" s="70"/>
      <c r="F1017" s="70">
        <f>D1017*0.3</f>
        <v>1444.1069999999997</v>
      </c>
      <c r="G1017" s="70">
        <f>(IF(D1017&lt;4172.98,0,MIN(D1017*0.3,D1017-4172.98)))-E1017</f>
        <v>640.71</v>
      </c>
      <c r="H1017" s="69"/>
      <c r="I1017" s="69"/>
      <c r="J1017" s="70"/>
      <c r="K1017" s="70" t="s">
        <v>39</v>
      </c>
      <c r="L1017" s="143">
        <v>46290</v>
      </c>
    </row>
    <row r="1018" spans="1:12">
      <c r="A1018" s="12">
        <v>24823908</v>
      </c>
      <c r="C1018" t="s">
        <v>54</v>
      </c>
      <c r="D1018" s="3">
        <v>11029.03</v>
      </c>
      <c r="E1018" s="3"/>
      <c r="F1018" s="3">
        <f>D1018*0.3</f>
        <v>3308.7090000000003</v>
      </c>
      <c r="G1018" s="3">
        <f>(IF(D1018&lt;4172.98,0,MIN(D1018*0.3,D1018-4172.98)))-E1018</f>
        <v>3308.7090000000003</v>
      </c>
      <c r="J1018" s="3"/>
      <c r="K1018" s="3" t="s">
        <v>2596</v>
      </c>
      <c r="L1018" s="47">
        <v>46290</v>
      </c>
    </row>
    <row r="1019" spans="1:12">
      <c r="A1019" s="12">
        <v>24825162</v>
      </c>
      <c r="C1019" s="69" t="s">
        <v>54</v>
      </c>
      <c r="D1019" s="70">
        <f>22786.23+4381.32+2024.44</f>
        <v>29191.989999999998</v>
      </c>
      <c r="E1019" s="70">
        <f>4381.32+2024.44</f>
        <v>6405.76</v>
      </c>
      <c r="F1019" s="70">
        <f>D1019*0.3</f>
        <v>8757.5969999999998</v>
      </c>
      <c r="G1019" s="70">
        <f>(IF(D1019&lt;4172.98,0,MIN(D1019*0.3,D1019-4172.98)))-E1019</f>
        <v>2351.8369999999995</v>
      </c>
      <c r="H1019" s="69"/>
      <c r="I1019" s="69"/>
      <c r="J1019" s="70"/>
      <c r="K1019" s="70" t="s">
        <v>95</v>
      </c>
      <c r="L1019" s="143">
        <v>46290</v>
      </c>
    </row>
    <row r="1020" spans="1:12">
      <c r="A1020" s="30">
        <v>24832234</v>
      </c>
      <c r="C1020" s="69" t="s">
        <v>27</v>
      </c>
      <c r="D1020" s="70">
        <f>6560.45+2521.07</f>
        <v>9081.52</v>
      </c>
      <c r="E1020" s="70">
        <v>2521.0700000000002</v>
      </c>
      <c r="F1020" s="70">
        <f>D1020*0.3</f>
        <v>2724.4560000000001</v>
      </c>
      <c r="G1020" s="70">
        <f>(IF(D1020&lt;4172.98,0,MIN(D1020*0.3,D1020-4172.98)))-E1020</f>
        <v>203.38599999999997</v>
      </c>
      <c r="H1020" s="71">
        <v>46204</v>
      </c>
      <c r="I1020" s="69" t="s">
        <v>77</v>
      </c>
      <c r="J1020" s="70">
        <v>2521.0700000000002</v>
      </c>
      <c r="K1020" s="70" t="s">
        <v>2059</v>
      </c>
      <c r="L1020" s="143">
        <v>46290</v>
      </c>
    </row>
    <row r="1021" spans="1:12">
      <c r="A1021" s="30">
        <v>24833648</v>
      </c>
      <c r="C1021" t="s">
        <v>34</v>
      </c>
      <c r="D1021" s="3">
        <f>8661.86+2923.11</f>
        <v>11584.970000000001</v>
      </c>
      <c r="E1021" s="3">
        <v>2923.11</v>
      </c>
      <c r="F1021" s="3">
        <f>D1021*0.3</f>
        <v>3475.4910000000004</v>
      </c>
      <c r="G1021" s="3">
        <f>(IF(D1021&lt;4172.98,0,MIN(D1021*0.3,D1021-4172.98)))-E1021</f>
        <v>552.38100000000031</v>
      </c>
      <c r="H1021" s="6">
        <v>45717</v>
      </c>
      <c r="I1021" t="s">
        <v>141</v>
      </c>
      <c r="J1021" s="3">
        <v>2923.11</v>
      </c>
      <c r="K1021" s="3" t="s">
        <v>35</v>
      </c>
      <c r="L1021" s="47">
        <v>46290</v>
      </c>
    </row>
    <row r="1022" spans="1:12">
      <c r="A1022" s="30">
        <v>24833522</v>
      </c>
      <c r="C1022" t="s">
        <v>54</v>
      </c>
      <c r="D1022" s="3">
        <v>9572.8799999999992</v>
      </c>
      <c r="E1022" s="3"/>
      <c r="F1022" s="3">
        <f>D1022*0.3</f>
        <v>2871.8639999999996</v>
      </c>
      <c r="G1022" s="3">
        <f>(IF(D1022&lt;4172.98,0,MIN(D1022*0.3,D1022-4172.98)))-E1022</f>
        <v>2871.8639999999996</v>
      </c>
      <c r="J1022" s="3"/>
      <c r="K1022" s="3" t="s">
        <v>55</v>
      </c>
      <c r="L1022" s="47">
        <v>46290</v>
      </c>
    </row>
    <row r="1023" spans="1:12">
      <c r="A1023" s="30">
        <v>24834260</v>
      </c>
      <c r="C1023" t="s">
        <v>107</v>
      </c>
      <c r="D1023" s="3">
        <v>11274.51</v>
      </c>
      <c r="E1023" s="3">
        <v>3381.46</v>
      </c>
      <c r="F1023" s="3">
        <f>D1023*0.3</f>
        <v>3382.3530000000001</v>
      </c>
      <c r="G1023" s="3">
        <f>(IF(D1023&lt;4172.98,0,MIN(D1023*0.3,D1023-4172.98)))-E1023</f>
        <v>0.8930000000000291</v>
      </c>
      <c r="H1023" s="6">
        <v>46054</v>
      </c>
      <c r="I1023" t="s">
        <v>80</v>
      </c>
      <c r="J1023" s="3">
        <v>361.09</v>
      </c>
      <c r="K1023" s="3" t="s">
        <v>39</v>
      </c>
      <c r="L1023" s="47">
        <v>46290</v>
      </c>
    </row>
    <row r="1024" spans="1:12">
      <c r="A1024" s="12">
        <v>24834498</v>
      </c>
      <c r="C1024" t="s">
        <v>38</v>
      </c>
      <c r="D1024" s="3">
        <v>7116.73</v>
      </c>
      <c r="E1024" s="3">
        <v>1245.04</v>
      </c>
      <c r="F1024" s="3">
        <f>D1024*0.3</f>
        <v>2135.0189999999998</v>
      </c>
      <c r="G1024" s="3">
        <f>(IF(D1024&lt;4172.98,0,MIN(D1024*0.3,D1024-4172.98)))-E1024</f>
        <v>889.97899999999981</v>
      </c>
      <c r="H1024" s="6">
        <v>46600</v>
      </c>
      <c r="I1024" t="s">
        <v>44</v>
      </c>
      <c r="J1024" s="3">
        <v>1245.04</v>
      </c>
      <c r="K1024" s="3" t="s">
        <v>39</v>
      </c>
      <c r="L1024" s="47">
        <v>46290</v>
      </c>
    </row>
    <row r="1025" spans="1:12">
      <c r="A1025" s="30">
        <v>24835006</v>
      </c>
      <c r="C1025" s="69" t="s">
        <v>38</v>
      </c>
      <c r="D1025" s="70">
        <v>5617.63</v>
      </c>
      <c r="E1025" s="70">
        <v>848</v>
      </c>
      <c r="F1025" s="70">
        <f>D1025*0.3</f>
        <v>1685.289</v>
      </c>
      <c r="G1025" s="70">
        <f>(IF(D1025&lt;4172.98,0,MIN(D1025*0.3,D1025-4172.98)))-E1025</f>
        <v>596.65000000000055</v>
      </c>
      <c r="H1025" s="69"/>
      <c r="I1025" s="69"/>
      <c r="J1025" s="70"/>
      <c r="K1025" s="70" t="s">
        <v>39</v>
      </c>
      <c r="L1025" s="143">
        <v>46290</v>
      </c>
    </row>
    <row r="1026" spans="1:12">
      <c r="A1026" s="72">
        <v>24832784</v>
      </c>
      <c r="B1026">
        <v>5216145378090</v>
      </c>
      <c r="C1026" s="69" t="s">
        <v>34</v>
      </c>
      <c r="D1026" s="70">
        <v>5077.9799999999996</v>
      </c>
      <c r="E1026" s="70">
        <v>1078.5</v>
      </c>
      <c r="F1026" s="70">
        <v>1523.3939999999998</v>
      </c>
      <c r="G1026" s="70">
        <v>-173.5</v>
      </c>
      <c r="H1026" s="69">
        <v>45444</v>
      </c>
      <c r="I1026" s="69" t="s">
        <v>169</v>
      </c>
      <c r="J1026" s="70">
        <v>1078.5</v>
      </c>
      <c r="K1026" s="70" t="s">
        <v>830</v>
      </c>
      <c r="L1026" s="143">
        <v>46290</v>
      </c>
    </row>
    <row r="1027" spans="1:12">
      <c r="A1027" s="30">
        <v>24836240</v>
      </c>
      <c r="C1027" s="69" t="s">
        <v>38</v>
      </c>
      <c r="D1027" s="70">
        <v>5642.22</v>
      </c>
      <c r="E1027" s="70">
        <v>1167.07</v>
      </c>
      <c r="F1027" s="70">
        <f>D1027*0.3</f>
        <v>1692.6659999999999</v>
      </c>
      <c r="G1027" s="70">
        <f>(IF(D1027&lt;4172.98,0,MIN(D1027*0.3,D1027-4172.98)))-E1027</f>
        <v>302.17000000000075</v>
      </c>
      <c r="H1027" s="71">
        <v>46784</v>
      </c>
      <c r="I1027" s="69" t="s">
        <v>75</v>
      </c>
      <c r="J1027" s="70">
        <v>1167.07</v>
      </c>
      <c r="K1027" s="70" t="s">
        <v>39</v>
      </c>
      <c r="L1027" s="143">
        <v>46290</v>
      </c>
    </row>
    <row r="1028" spans="1:12">
      <c r="A1028" s="30">
        <v>24819956</v>
      </c>
      <c r="C1028" s="69" t="s">
        <v>38</v>
      </c>
      <c r="D1028" s="70">
        <f>5414.86+848</f>
        <v>6262.86</v>
      </c>
      <c r="E1028" s="70">
        <v>848</v>
      </c>
      <c r="F1028" s="70">
        <f>D1028*0.3</f>
        <v>1878.8579999999997</v>
      </c>
      <c r="G1028" s="70">
        <f>(IF(D1028&lt;4172.98,0,MIN(D1028*0.3,D1028-4172.98)))-E1028</f>
        <v>1030.8579999999997</v>
      </c>
      <c r="H1028" s="69"/>
      <c r="I1028" s="69"/>
      <c r="J1028" s="70"/>
      <c r="K1028" s="70" t="s">
        <v>39</v>
      </c>
      <c r="L1028" s="143">
        <v>46290</v>
      </c>
    </row>
    <row r="1029" spans="1:12">
      <c r="A1029" s="72">
        <v>24268712</v>
      </c>
      <c r="B1029">
        <v>5219381377239</v>
      </c>
      <c r="C1029" s="69" t="s">
        <v>38</v>
      </c>
      <c r="D1029" s="70">
        <v>50512.14</v>
      </c>
      <c r="E1029" s="70">
        <v>14146.06</v>
      </c>
      <c r="F1029" s="70">
        <v>15153.642</v>
      </c>
      <c r="G1029" s="70">
        <v>1007.5820000000003</v>
      </c>
      <c r="H1029" s="69">
        <v>46692</v>
      </c>
      <c r="I1029" s="69" t="s">
        <v>169</v>
      </c>
      <c r="J1029" s="70">
        <v>14146.06</v>
      </c>
      <c r="K1029" s="70" t="s">
        <v>39</v>
      </c>
      <c r="L1029" s="143">
        <v>46290</v>
      </c>
    </row>
    <row r="1030" spans="1:12">
      <c r="A1030" s="30">
        <v>24813212</v>
      </c>
      <c r="C1030" s="69" t="s">
        <v>54</v>
      </c>
      <c r="D1030" s="70">
        <v>19713.28</v>
      </c>
      <c r="E1030" s="70">
        <v>848</v>
      </c>
      <c r="F1030" s="70">
        <f>D1030*0.3</f>
        <v>5913.9839999999995</v>
      </c>
      <c r="G1030" s="70">
        <f>(IF(D1030&lt;4172.98,0,MIN(D1030*0.3,D1030-4172.98)))-E1030</f>
        <v>5065.9839999999995</v>
      </c>
      <c r="H1030" s="69"/>
      <c r="I1030" s="69"/>
      <c r="J1030" s="70"/>
      <c r="K1030" s="70" t="s">
        <v>90</v>
      </c>
      <c r="L1030" s="143">
        <v>46290</v>
      </c>
    </row>
    <row r="1031" spans="1:12">
      <c r="A1031" s="30">
        <v>24839650</v>
      </c>
      <c r="C1031" s="69" t="s">
        <v>27</v>
      </c>
      <c r="D1031" s="70">
        <v>6201.36</v>
      </c>
      <c r="E1031" s="70">
        <v>1521.8</v>
      </c>
      <c r="F1031" s="70">
        <f>D1031*0.3</f>
        <v>1860.4079999999999</v>
      </c>
      <c r="G1031" s="70">
        <f>(IF(D1031&lt;4172.98,0,MIN(D1031*0.3,D1031-4172.98)))-E1031</f>
        <v>338.60799999999995</v>
      </c>
      <c r="H1031" s="71">
        <v>45323</v>
      </c>
      <c r="I1031" s="69" t="s">
        <v>80</v>
      </c>
      <c r="J1031" s="70">
        <v>1521.8</v>
      </c>
      <c r="K1031" s="70" t="s">
        <v>2059</v>
      </c>
      <c r="L1031" s="143">
        <v>46290</v>
      </c>
    </row>
    <row r="1032" spans="1:12">
      <c r="A1032" s="30">
        <v>24841192</v>
      </c>
      <c r="C1032" s="69" t="s">
        <v>54</v>
      </c>
      <c r="D1032" s="70">
        <v>9760.32</v>
      </c>
      <c r="E1032" s="70"/>
      <c r="F1032" s="70">
        <f>D1032*0.3</f>
        <v>2928.096</v>
      </c>
      <c r="G1032" s="70">
        <f>(IF(D1032&lt;4172.98,0,MIN(D1032*0.3,D1032-4172.98)))-E1032</f>
        <v>2928.096</v>
      </c>
      <c r="H1032" s="69"/>
      <c r="I1032" s="69"/>
      <c r="J1032" s="70"/>
      <c r="K1032" s="70" t="s">
        <v>266</v>
      </c>
      <c r="L1032" s="143">
        <v>46290</v>
      </c>
    </row>
    <row r="1033" spans="1:12">
      <c r="A1033" s="30">
        <v>24841684</v>
      </c>
      <c r="C1033" s="69" t="s">
        <v>54</v>
      </c>
      <c r="D1033" s="70">
        <v>18642.330000000002</v>
      </c>
      <c r="E1033" s="70">
        <v>3153.61</v>
      </c>
      <c r="F1033" s="70">
        <f>D1033*0.3</f>
        <v>5592.6990000000005</v>
      </c>
      <c r="G1033" s="70">
        <f>(IF(D1033&lt;4172.98,0,MIN(D1033*0.3,D1033-4172.98)))-E1033</f>
        <v>2439.0890000000004</v>
      </c>
      <c r="H1033" s="71">
        <v>46935</v>
      </c>
      <c r="I1033" s="69" t="s">
        <v>210</v>
      </c>
      <c r="J1033" s="70">
        <v>3153.61</v>
      </c>
      <c r="K1033" s="70" t="s">
        <v>1091</v>
      </c>
      <c r="L1033" s="143">
        <v>46290</v>
      </c>
    </row>
    <row r="1034" spans="1:12">
      <c r="A1034" s="72">
        <v>24834106</v>
      </c>
      <c r="B1034">
        <v>5216531205818</v>
      </c>
      <c r="C1034" s="69" t="s">
        <v>54</v>
      </c>
      <c r="D1034" s="70">
        <v>8181.55</v>
      </c>
      <c r="E1034" s="70"/>
      <c r="F1034" s="70">
        <v>2454.4650000000001</v>
      </c>
      <c r="G1034" s="70">
        <v>2454.4650000000001</v>
      </c>
      <c r="H1034" s="69"/>
      <c r="I1034" s="69"/>
      <c r="J1034" s="70"/>
      <c r="K1034" s="70" t="s">
        <v>1808</v>
      </c>
      <c r="L1034" s="143">
        <v>46290</v>
      </c>
    </row>
    <row r="1035" spans="1:12">
      <c r="A1035" s="30">
        <v>24842712</v>
      </c>
      <c r="C1035" s="69" t="s">
        <v>54</v>
      </c>
      <c r="D1035" s="70">
        <v>10636.54</v>
      </c>
      <c r="E1035" s="70"/>
      <c r="F1035" s="70">
        <f t="shared" ref="F1035" si="144">D1035*0.3</f>
        <v>3190.962</v>
      </c>
      <c r="G1035" s="70">
        <f t="shared" ref="G1035" si="145">(IF(D1035&lt;4172.98,0,MIN(D1035*0.3,D1035-4172.98)))-E1035</f>
        <v>3190.962</v>
      </c>
      <c r="H1035" s="69"/>
      <c r="I1035" s="69"/>
      <c r="J1035" s="70"/>
      <c r="K1035" s="70" t="s">
        <v>62</v>
      </c>
      <c r="L1035" s="143">
        <v>46290</v>
      </c>
    </row>
    <row r="1036" spans="1:12">
      <c r="A1036" s="30">
        <v>24842916</v>
      </c>
      <c r="C1036" s="69" t="s">
        <v>107</v>
      </c>
      <c r="D1036" s="70">
        <v>5537.47</v>
      </c>
      <c r="E1036" s="70">
        <v>1116.58</v>
      </c>
      <c r="F1036" s="70">
        <f>D1036*0.3</f>
        <v>1661.241</v>
      </c>
      <c r="G1036" s="70">
        <f>(IF(D1036&lt;4172.98,0,MIN(D1036*0.3,D1036-4172.98)))-E1036</f>
        <v>247.91000000000076</v>
      </c>
      <c r="H1036" s="71">
        <v>45566</v>
      </c>
      <c r="I1036" s="69" t="s">
        <v>44</v>
      </c>
      <c r="J1036" s="70">
        <v>1116.58</v>
      </c>
      <c r="K1036" s="70" t="s">
        <v>2626</v>
      </c>
      <c r="L1036" s="143">
        <v>46290</v>
      </c>
    </row>
    <row r="1037" spans="1:12">
      <c r="A1037" s="72">
        <v>24841244</v>
      </c>
      <c r="B1037">
        <v>5216461215655</v>
      </c>
      <c r="C1037" s="69" t="s">
        <v>38</v>
      </c>
      <c r="D1037" s="70">
        <v>6812.39</v>
      </c>
      <c r="E1037" s="70">
        <v>879</v>
      </c>
      <c r="F1037" s="70">
        <v>2043.7170000000001</v>
      </c>
      <c r="G1037" s="70">
        <v>1164.7170000000001</v>
      </c>
      <c r="H1037" s="69"/>
      <c r="I1037" s="69"/>
      <c r="J1037" s="70"/>
      <c r="K1037" s="70" t="s">
        <v>2179</v>
      </c>
      <c r="L1037" s="143">
        <v>46290</v>
      </c>
    </row>
    <row r="1038" spans="1:12">
      <c r="A1038" s="12">
        <v>24843332</v>
      </c>
      <c r="C1038" s="69" t="s">
        <v>54</v>
      </c>
      <c r="D1038" s="70">
        <v>16289.43</v>
      </c>
      <c r="E1038" s="70"/>
      <c r="F1038" s="70">
        <f t="shared" ref="F1038" si="146">D1038*0.3</f>
        <v>4886.8289999999997</v>
      </c>
      <c r="G1038" s="70">
        <f t="shared" ref="G1038" si="147">(IF(D1038&lt;4172.98,0,MIN(D1038*0.3,D1038-4172.98)))-E1038</f>
        <v>4886.8289999999997</v>
      </c>
      <c r="H1038" s="69"/>
      <c r="I1038" s="69"/>
      <c r="J1038" s="70"/>
      <c r="K1038" s="70" t="s">
        <v>266</v>
      </c>
      <c r="L1038" s="143">
        <v>46290</v>
      </c>
    </row>
    <row r="1039" spans="1:12">
      <c r="A1039" s="30">
        <v>24843264</v>
      </c>
      <c r="C1039" s="69" t="s">
        <v>54</v>
      </c>
      <c r="D1039" s="70">
        <v>10636.54</v>
      </c>
      <c r="E1039" s="70"/>
      <c r="F1039" s="70">
        <f>D1039*0.3</f>
        <v>3190.962</v>
      </c>
      <c r="G1039" s="70">
        <f>(IF(D1039&lt;4172.98,0,MIN(D1039*0.3,D1039-4172.98)))-E1039</f>
        <v>3190.962</v>
      </c>
      <c r="H1039" s="69"/>
      <c r="I1039" s="69"/>
      <c r="J1039" s="70"/>
      <c r="K1039" s="70" t="s">
        <v>62</v>
      </c>
      <c r="L1039" s="143">
        <v>46290</v>
      </c>
    </row>
    <row r="1040" spans="1:12">
      <c r="A1040" s="12">
        <v>24843334</v>
      </c>
      <c r="C1040" s="69" t="s">
        <v>54</v>
      </c>
      <c r="D1040" s="70">
        <v>8181.55</v>
      </c>
      <c r="E1040" s="70"/>
      <c r="F1040" s="70">
        <f t="shared" ref="F1040" si="148">D1040*0.3</f>
        <v>2454.4650000000001</v>
      </c>
      <c r="G1040" s="70">
        <f t="shared" ref="G1040" si="149">(IF(D1040&lt;4172.98,0,MIN(D1040*0.3,D1040-4172.98)))-E1040</f>
        <v>2454.4650000000001</v>
      </c>
      <c r="H1040" s="69"/>
      <c r="I1040" s="69"/>
      <c r="J1040" s="70"/>
      <c r="K1040" s="70" t="s">
        <v>266</v>
      </c>
      <c r="L1040" s="143">
        <v>46290</v>
      </c>
    </row>
    <row r="1041" spans="1:12">
      <c r="A1041" s="72">
        <v>24843042</v>
      </c>
      <c r="B1041">
        <v>5218126351730</v>
      </c>
      <c r="C1041" s="69" t="s">
        <v>38</v>
      </c>
      <c r="D1041" s="70">
        <v>4547.1499999999996</v>
      </c>
      <c r="E1041" s="70"/>
      <c r="F1041" s="70">
        <v>1364.1449999999998</v>
      </c>
      <c r="G1041" s="70">
        <v>374.17000000000007</v>
      </c>
      <c r="H1041" s="69"/>
      <c r="I1041" s="69"/>
      <c r="J1041" s="70"/>
      <c r="K1041" s="70" t="s">
        <v>2626</v>
      </c>
      <c r="L1041" s="143">
        <v>46290</v>
      </c>
    </row>
    <row r="1042" spans="1:12">
      <c r="A1042" s="30">
        <v>24844130</v>
      </c>
      <c r="C1042" s="69" t="s">
        <v>54</v>
      </c>
      <c r="D1042" s="70">
        <v>11265.41</v>
      </c>
      <c r="E1042" s="70">
        <v>879</v>
      </c>
      <c r="F1042" s="70">
        <f>D1042*0.3</f>
        <v>3379.623</v>
      </c>
      <c r="G1042" s="70">
        <f>(IF(D1042&lt;4172.98,0,MIN(D1042*0.3,D1042-4172.98)))-E1042</f>
        <v>2500.623</v>
      </c>
      <c r="H1042" s="69"/>
      <c r="I1042" s="69"/>
      <c r="J1042" s="70"/>
      <c r="K1042" s="70" t="s">
        <v>62</v>
      </c>
      <c r="L1042" s="143">
        <v>46290</v>
      </c>
    </row>
    <row r="1043" spans="1:12">
      <c r="A1043" s="72">
        <v>24842778</v>
      </c>
      <c r="B1043">
        <v>5216621829126</v>
      </c>
      <c r="C1043" s="69" t="s">
        <v>54</v>
      </c>
      <c r="D1043" s="70">
        <v>21890.16</v>
      </c>
      <c r="E1043" s="70">
        <v>879</v>
      </c>
      <c r="F1043" s="70">
        <v>6567.0479999999998</v>
      </c>
      <c r="G1043" s="70">
        <v>5688.0479999999998</v>
      </c>
      <c r="H1043" s="69"/>
      <c r="I1043" s="69"/>
      <c r="J1043" s="70"/>
      <c r="K1043" s="70" t="s">
        <v>62</v>
      </c>
      <c r="L1043" s="143">
        <v>46290</v>
      </c>
    </row>
    <row r="1044" spans="1:12">
      <c r="A1044" s="72">
        <v>24849454</v>
      </c>
      <c r="B1044" s="217">
        <v>5218716065003</v>
      </c>
      <c r="C1044" s="213" t="s">
        <v>54</v>
      </c>
      <c r="D1044" s="214">
        <v>13853.05</v>
      </c>
      <c r="E1044" s="70"/>
      <c r="F1044" s="70">
        <f>Tabla2[[#This Row],[ INFORMEDEPAGO ]]*0.3</f>
        <v>4155.915</v>
      </c>
      <c r="G1044" s="70">
        <f t="shared" ref="G1044" si="150">(IF(D1044&lt;4172.98,0,MIN(D1044*0.3,D1044-4172.98)))-E1044</f>
        <v>4155.915</v>
      </c>
      <c r="H1044" s="215"/>
      <c r="I1044" s="216"/>
      <c r="J1044" s="70"/>
      <c r="K1044" s="70" t="s">
        <v>2828</v>
      </c>
      <c r="L1044" s="143">
        <v>46291</v>
      </c>
    </row>
    <row r="1045" spans="1:12">
      <c r="A1045" s="72">
        <v>24854170</v>
      </c>
      <c r="B1045">
        <v>5219641007844</v>
      </c>
      <c r="C1045" s="69" t="s">
        <v>54</v>
      </c>
      <c r="D1045" s="70">
        <v>10636.539999999997</v>
      </c>
      <c r="E1045" s="70"/>
      <c r="F1045" s="70">
        <v>3190.9619999999991</v>
      </c>
      <c r="G1045" s="70">
        <v>3190.9619999999991</v>
      </c>
      <c r="H1045" s="69"/>
      <c r="I1045" s="69"/>
      <c r="J1045" s="70"/>
      <c r="K1045" s="70" t="s">
        <v>1808</v>
      </c>
      <c r="L1045" s="143">
        <v>46291</v>
      </c>
    </row>
    <row r="1046" spans="1:12">
      <c r="A1046" s="173">
        <v>24846058</v>
      </c>
      <c r="B1046">
        <v>5215532824918</v>
      </c>
      <c r="C1046" t="s">
        <v>34</v>
      </c>
      <c r="D1046" s="3">
        <v>7920.51</v>
      </c>
      <c r="E1046" s="3">
        <v>2195.2800000000002</v>
      </c>
      <c r="F1046" s="3">
        <v>2376.1529999999998</v>
      </c>
      <c r="G1046" s="3">
        <v>180.87299999999959</v>
      </c>
      <c r="H1046">
        <v>46143</v>
      </c>
      <c r="I1046" t="s">
        <v>169</v>
      </c>
      <c r="J1046" s="3">
        <v>2195.2800000000002</v>
      </c>
      <c r="K1046" s="3" t="s">
        <v>35</v>
      </c>
      <c r="L1046" s="47">
        <v>46291</v>
      </c>
    </row>
    <row r="1047" spans="1:12">
      <c r="A1047" s="173">
        <v>24852902</v>
      </c>
      <c r="B1047">
        <v>5218113998249</v>
      </c>
      <c r="C1047" t="s">
        <v>54</v>
      </c>
      <c r="D1047" s="3">
        <v>12026.54</v>
      </c>
      <c r="E1047" s="3"/>
      <c r="F1047" s="3">
        <v>3607.962</v>
      </c>
      <c r="G1047" s="3">
        <v>3607.962</v>
      </c>
      <c r="J1047" s="3"/>
      <c r="K1047" s="3" t="s">
        <v>62</v>
      </c>
      <c r="L1047" s="47">
        <v>46291</v>
      </c>
    </row>
    <row r="1048" spans="1:12">
      <c r="A1048" s="68">
        <v>24849304</v>
      </c>
      <c r="C1048" t="s">
        <v>38</v>
      </c>
      <c r="D1048" s="3">
        <f>20496.5+530.33+7814</f>
        <v>28840.83</v>
      </c>
      <c r="E1048" s="3">
        <f>7814+530.33</f>
        <v>8344.33</v>
      </c>
      <c r="F1048" s="3">
        <f t="shared" ref="F1048:F1049" si="151">D1048*0.3</f>
        <v>8652.2489999999998</v>
      </c>
      <c r="G1048" s="3">
        <f t="shared" ref="G1048:G1049" si="152">(IF(D1048&lt;4172.98,0,MIN(D1048*0.3,D1048-4172.98)))-E1048</f>
        <v>307.91899999999987</v>
      </c>
      <c r="H1048" s="6">
        <v>46600</v>
      </c>
      <c r="I1048" t="s">
        <v>77</v>
      </c>
      <c r="J1048" s="3">
        <v>7814</v>
      </c>
      <c r="K1048" s="3" t="s">
        <v>2626</v>
      </c>
      <c r="L1048" s="48">
        <v>46291</v>
      </c>
    </row>
    <row r="1049" spans="1:12">
      <c r="A1049" s="72">
        <v>24850814</v>
      </c>
      <c r="C1049" t="s">
        <v>34</v>
      </c>
      <c r="D1049" s="3">
        <f>7866.99+3020.85</f>
        <v>10887.84</v>
      </c>
      <c r="E1049" s="3">
        <v>3020.85</v>
      </c>
      <c r="F1049" s="3">
        <f t="shared" si="151"/>
        <v>3266.3519999999999</v>
      </c>
      <c r="G1049" s="3">
        <f t="shared" si="152"/>
        <v>245.50199999999995</v>
      </c>
      <c r="H1049" s="6">
        <v>46082</v>
      </c>
      <c r="I1049" t="s">
        <v>141</v>
      </c>
      <c r="J1049" s="3">
        <v>3020.85</v>
      </c>
      <c r="K1049" s="3" t="s">
        <v>35</v>
      </c>
      <c r="L1049" s="48">
        <v>46291</v>
      </c>
    </row>
    <row r="1050" spans="1:12">
      <c r="A1050" s="72">
        <v>24852316</v>
      </c>
      <c r="C1050" t="s">
        <v>38</v>
      </c>
      <c r="D1050" s="3">
        <f>6685.32+1854.57</f>
        <v>8539.89</v>
      </c>
      <c r="E1050" s="3">
        <v>1854.57</v>
      </c>
      <c r="F1050" s="3">
        <f>D1050*0.3</f>
        <v>2561.9669999999996</v>
      </c>
      <c r="G1050" s="3">
        <f>(IF(D1050&lt;4172.98,0,MIN(D1050*0.3,D1050-4172.98)))-E1050</f>
        <v>707.39699999999971</v>
      </c>
      <c r="H1050" s="6">
        <v>46997</v>
      </c>
      <c r="I1050" t="s">
        <v>44</v>
      </c>
      <c r="J1050" s="3"/>
      <c r="K1050" s="3" t="s">
        <v>2626</v>
      </c>
      <c r="L1050" s="48">
        <v>46291</v>
      </c>
    </row>
    <row r="1051" spans="1:12">
      <c r="A1051" s="72">
        <v>24853080</v>
      </c>
      <c r="C1051" t="s">
        <v>38</v>
      </c>
      <c r="D1051" s="3">
        <v>6405.06</v>
      </c>
      <c r="E1051" s="3">
        <v>879</v>
      </c>
      <c r="F1051" s="3">
        <f>D1051*0.3</f>
        <v>1921.518</v>
      </c>
      <c r="G1051" s="3">
        <f>(IF(D1051&lt;4172.98,0,MIN(D1051*0.3,D1051-4172.98)))-E1051</f>
        <v>1042.518</v>
      </c>
      <c r="J1051" s="3"/>
      <c r="K1051" s="3" t="s">
        <v>2626</v>
      </c>
      <c r="L1051" s="48">
        <v>46291</v>
      </c>
    </row>
    <row r="1052" spans="1:12">
      <c r="A1052" s="72">
        <v>24853748</v>
      </c>
      <c r="C1052" t="s">
        <v>27</v>
      </c>
      <c r="D1052" s="111">
        <v>9202.56</v>
      </c>
      <c r="E1052" s="111">
        <v>2662.36</v>
      </c>
      <c r="F1052" s="3">
        <f>D1052*0.3</f>
        <v>2760.7679999999996</v>
      </c>
      <c r="G1052" s="3">
        <f>(IF(D1052&lt;4172.98,0,MIN(D1052*0.3,D1052-4172.98)))-E1052</f>
        <v>98.407999999999447</v>
      </c>
      <c r="H1052" s="6">
        <v>45536</v>
      </c>
      <c r="I1052" t="s">
        <v>184</v>
      </c>
      <c r="J1052" s="3">
        <v>1917.32</v>
      </c>
      <c r="K1052" s="3" t="s">
        <v>1080</v>
      </c>
      <c r="L1052" s="48">
        <v>46291</v>
      </c>
    </row>
    <row r="1053" spans="1:12">
      <c r="A1053" s="72">
        <v>24854372</v>
      </c>
      <c r="C1053" t="s">
        <v>54</v>
      </c>
      <c r="D1053" s="3">
        <v>5617.63</v>
      </c>
      <c r="E1053" s="3"/>
      <c r="F1053" s="3">
        <f>D1053*0.3</f>
        <v>1685.289</v>
      </c>
      <c r="G1053" s="3">
        <f>(IF(D1053&lt;4172.98,0,MIN(D1053*0.3,D1053-4172.98)))-E1053</f>
        <v>1444.6500000000005</v>
      </c>
      <c r="J1053" s="3"/>
      <c r="K1053" s="3" t="s">
        <v>98</v>
      </c>
      <c r="L1053" s="48">
        <v>46291</v>
      </c>
    </row>
    <row r="1054" spans="1:12">
      <c r="A1054" s="72">
        <v>24855350</v>
      </c>
      <c r="C1054" t="s">
        <v>27</v>
      </c>
      <c r="D1054" s="3">
        <f>5025.04+1700</f>
        <v>6725.04</v>
      </c>
      <c r="E1054" s="3">
        <v>1700</v>
      </c>
      <c r="F1054" s="3">
        <f>D1054*0.3</f>
        <v>2017.5119999999999</v>
      </c>
      <c r="G1054" s="3">
        <f>(IF(D1054&lt;4172.98,0,MIN(D1054*0.3,D1054-4172.98)))-E1054</f>
        <v>317.51199999999994</v>
      </c>
      <c r="H1054" s="6">
        <v>45962</v>
      </c>
      <c r="I1054" t="s">
        <v>75</v>
      </c>
      <c r="J1054" s="3">
        <v>1700</v>
      </c>
      <c r="K1054" s="3" t="s">
        <v>1080</v>
      </c>
      <c r="L1054" s="48">
        <v>46291</v>
      </c>
    </row>
    <row r="1055" spans="1:12">
      <c r="A1055" s="72">
        <v>24855512</v>
      </c>
      <c r="C1055" t="s">
        <v>34</v>
      </c>
      <c r="D1055" s="3">
        <f>4441.85+1175.78</f>
        <v>5617.63</v>
      </c>
      <c r="E1055" s="3">
        <v>1175.75</v>
      </c>
      <c r="F1055" s="3">
        <f t="shared" ref="F1055:F1065" si="153">D1055*0.3</f>
        <v>1685.289</v>
      </c>
      <c r="G1055" s="3">
        <f t="shared" ref="G1055:G1065" si="154">(IF(D1055&lt;4172.98,0,MIN(D1055*0.3,D1055-4172.98)))-E1055</f>
        <v>268.90000000000055</v>
      </c>
      <c r="H1055" s="6">
        <v>45689</v>
      </c>
      <c r="I1055" t="s">
        <v>141</v>
      </c>
      <c r="J1055" s="3">
        <v>1175.8</v>
      </c>
      <c r="K1055" s="3" t="s">
        <v>35</v>
      </c>
      <c r="L1055" s="48">
        <v>46291</v>
      </c>
    </row>
    <row r="1056" spans="1:12">
      <c r="A1056" s="30">
        <v>24855890</v>
      </c>
      <c r="C1056" s="69" t="s">
        <v>54</v>
      </c>
      <c r="D1056" s="70">
        <v>14919.42</v>
      </c>
      <c r="E1056" s="70"/>
      <c r="F1056" s="70">
        <f t="shared" si="153"/>
        <v>4475.826</v>
      </c>
      <c r="G1056" s="70">
        <f t="shared" si="154"/>
        <v>4475.826</v>
      </c>
      <c r="H1056" s="69"/>
      <c r="I1056" s="69"/>
      <c r="J1056" s="70"/>
      <c r="K1056" s="70" t="s">
        <v>95</v>
      </c>
      <c r="L1056" s="143">
        <v>46292</v>
      </c>
    </row>
    <row r="1057" spans="1:12">
      <c r="A1057" s="12">
        <v>24857068</v>
      </c>
      <c r="C1057" s="69" t="s">
        <v>54</v>
      </c>
      <c r="D1057" s="70">
        <v>10636.54</v>
      </c>
      <c r="E1057" s="70"/>
      <c r="F1057" s="70">
        <f t="shared" si="153"/>
        <v>3190.962</v>
      </c>
      <c r="G1057" s="70">
        <f t="shared" si="154"/>
        <v>3190.962</v>
      </c>
      <c r="H1057" s="69"/>
      <c r="I1057" s="69"/>
      <c r="J1057" s="70"/>
      <c r="K1057" s="70" t="s">
        <v>2661</v>
      </c>
      <c r="L1057" s="143">
        <v>46292</v>
      </c>
    </row>
    <row r="1058" spans="1:12">
      <c r="A1058" s="12">
        <v>24857570</v>
      </c>
      <c r="C1058" s="69" t="s">
        <v>34</v>
      </c>
      <c r="D1058" s="70">
        <v>18676.669999999998</v>
      </c>
      <c r="E1058" s="70">
        <v>4657.3999999999996</v>
      </c>
      <c r="F1058" s="70">
        <f t="shared" si="153"/>
        <v>5603.0009999999993</v>
      </c>
      <c r="G1058" s="70">
        <f t="shared" si="154"/>
        <v>945.60099999999966</v>
      </c>
      <c r="H1058" s="71">
        <v>45413</v>
      </c>
      <c r="I1058" s="69" t="s">
        <v>184</v>
      </c>
      <c r="J1058" s="70">
        <v>1828.53</v>
      </c>
      <c r="K1058" s="70" t="s">
        <v>830</v>
      </c>
      <c r="L1058" s="143">
        <v>46292</v>
      </c>
    </row>
    <row r="1059" spans="1:12">
      <c r="A1059" s="12">
        <v>24859220</v>
      </c>
      <c r="C1059" s="69" t="s">
        <v>54</v>
      </c>
      <c r="D1059" s="70">
        <v>9081.51</v>
      </c>
      <c r="E1059" s="70"/>
      <c r="F1059" s="70">
        <f t="shared" si="153"/>
        <v>2724.453</v>
      </c>
      <c r="G1059" s="70">
        <f t="shared" si="154"/>
        <v>2724.453</v>
      </c>
      <c r="H1059" s="69"/>
      <c r="I1059" s="69"/>
      <c r="J1059" s="70"/>
      <c r="K1059" s="70" t="s">
        <v>95</v>
      </c>
      <c r="L1059" s="143">
        <v>46292</v>
      </c>
    </row>
    <row r="1060" spans="1:12">
      <c r="A1060" s="12">
        <v>24859326</v>
      </c>
      <c r="C1060" s="69" t="s">
        <v>54</v>
      </c>
      <c r="D1060" s="70">
        <v>9760.32</v>
      </c>
      <c r="E1060" s="70"/>
      <c r="F1060" s="70">
        <f t="shared" si="153"/>
        <v>2928.096</v>
      </c>
      <c r="G1060" s="70">
        <f t="shared" si="154"/>
        <v>2928.096</v>
      </c>
      <c r="H1060" s="69"/>
      <c r="I1060" s="69"/>
      <c r="J1060" s="70"/>
      <c r="K1060" s="70" t="s">
        <v>2661</v>
      </c>
      <c r="L1060" s="143">
        <v>46292</v>
      </c>
    </row>
    <row r="1061" spans="1:12">
      <c r="A1061" s="12">
        <v>24859552</v>
      </c>
      <c r="C1061" s="69" t="s">
        <v>38</v>
      </c>
      <c r="D1061" s="70">
        <v>35054.53</v>
      </c>
      <c r="E1061" s="70">
        <v>9719.9</v>
      </c>
      <c r="F1061" s="70">
        <f t="shared" si="153"/>
        <v>10516.358999999999</v>
      </c>
      <c r="G1061" s="70">
        <f t="shared" si="154"/>
        <v>796.45899999999892</v>
      </c>
      <c r="H1061" s="71">
        <v>46874</v>
      </c>
      <c r="I1061" s="69" t="s">
        <v>73</v>
      </c>
      <c r="J1061" s="70">
        <v>3797.49</v>
      </c>
      <c r="K1061" s="70" t="s">
        <v>39</v>
      </c>
      <c r="L1061" s="143">
        <v>46292</v>
      </c>
    </row>
    <row r="1062" spans="1:12">
      <c r="A1062" s="12">
        <v>24861386</v>
      </c>
      <c r="C1062" s="69" t="s">
        <v>38</v>
      </c>
      <c r="D1062" s="70">
        <v>5365.09</v>
      </c>
      <c r="E1062" s="70"/>
      <c r="F1062" s="70">
        <f t="shared" si="153"/>
        <v>1609.527</v>
      </c>
      <c r="G1062" s="70">
        <f t="shared" si="154"/>
        <v>1192.1100000000006</v>
      </c>
      <c r="H1062" s="69"/>
      <c r="I1062" s="69"/>
      <c r="J1062" s="70"/>
      <c r="K1062" s="70" t="s">
        <v>39</v>
      </c>
      <c r="L1062" s="143">
        <v>46292</v>
      </c>
    </row>
    <row r="1063" spans="1:12">
      <c r="A1063" s="12">
        <v>24866180</v>
      </c>
      <c r="C1063" s="69" t="s">
        <v>54</v>
      </c>
      <c r="D1063" s="70">
        <v>9760.32</v>
      </c>
      <c r="E1063" s="70"/>
      <c r="F1063" s="70">
        <f t="shared" si="153"/>
        <v>2928.096</v>
      </c>
      <c r="G1063" s="70">
        <f t="shared" si="154"/>
        <v>2928.096</v>
      </c>
      <c r="H1063" s="69"/>
      <c r="I1063" s="69"/>
      <c r="J1063" s="70"/>
      <c r="K1063" s="70" t="s">
        <v>95</v>
      </c>
      <c r="L1063" s="143">
        <v>46292</v>
      </c>
    </row>
    <row r="1064" spans="1:12">
      <c r="A1064" s="12">
        <v>24866650</v>
      </c>
      <c r="C1064" s="69" t="s">
        <v>34</v>
      </c>
      <c r="D1064" s="70">
        <v>10248.31</v>
      </c>
      <c r="E1064" s="70">
        <v>2717.19</v>
      </c>
      <c r="F1064" s="70">
        <f t="shared" si="153"/>
        <v>3074.4929999999999</v>
      </c>
      <c r="G1064" s="70">
        <f t="shared" si="154"/>
        <v>357.30299999999988</v>
      </c>
      <c r="H1064" s="71">
        <v>45748</v>
      </c>
      <c r="I1064" s="69" t="s">
        <v>2683</v>
      </c>
      <c r="J1064" s="70"/>
      <c r="K1064" s="70" t="s">
        <v>830</v>
      </c>
      <c r="L1064" s="143">
        <v>46292</v>
      </c>
    </row>
    <row r="1065" spans="1:12">
      <c r="A1065" s="12">
        <v>24866836</v>
      </c>
      <c r="C1065" s="69" t="s">
        <v>27</v>
      </c>
      <c r="D1065" s="70">
        <v>44632.480000000003</v>
      </c>
      <c r="E1065" s="70">
        <v>12912.25</v>
      </c>
      <c r="F1065" s="70">
        <f t="shared" si="153"/>
        <v>13389.744000000001</v>
      </c>
      <c r="G1065" s="70">
        <f t="shared" si="154"/>
        <v>477.4940000000006</v>
      </c>
      <c r="H1065" s="71">
        <v>46296</v>
      </c>
      <c r="I1065" s="69" t="s">
        <v>44</v>
      </c>
      <c r="J1065" s="70">
        <v>4861.37</v>
      </c>
      <c r="K1065" s="70" t="s">
        <v>90</v>
      </c>
      <c r="L1065" s="143">
        <v>46292</v>
      </c>
    </row>
    <row r="1066" spans="1:12">
      <c r="A1066" s="30">
        <v>24867872</v>
      </c>
      <c r="C1066" s="69" t="s">
        <v>54</v>
      </c>
      <c r="D1066" s="70">
        <v>24021.73</v>
      </c>
      <c r="E1066" s="70">
        <v>3022.41</v>
      </c>
      <c r="F1066" s="70">
        <f>D1066*0.3</f>
        <v>7206.5189999999993</v>
      </c>
      <c r="G1066" s="70">
        <f>(IF(D1066&lt;4172.98,0,MIN(D1066*0.3,D1066-4172.98)))-E1066</f>
        <v>4184.1089999999995</v>
      </c>
      <c r="H1066" s="71">
        <v>46813</v>
      </c>
      <c r="I1066" s="69" t="s">
        <v>75</v>
      </c>
      <c r="J1066" s="70">
        <v>3022.41</v>
      </c>
      <c r="K1066" s="70" t="s">
        <v>2661</v>
      </c>
      <c r="L1066" s="143">
        <v>46292</v>
      </c>
    </row>
    <row r="1067" spans="1:12">
      <c r="A1067" s="30">
        <v>24868834</v>
      </c>
      <c r="C1067" s="69" t="s">
        <v>54</v>
      </c>
      <c r="D1067" s="70">
        <v>10636.54</v>
      </c>
      <c r="E1067" s="70"/>
      <c r="F1067" s="70">
        <f t="shared" ref="F1067" si="155">D1067*0.3</f>
        <v>3190.962</v>
      </c>
      <c r="G1067" s="70">
        <f t="shared" ref="G1067" si="156">(IF(D1067&lt;4172.98,0,MIN(D1067*0.3,D1067-4172.98)))-E1067</f>
        <v>3190.962</v>
      </c>
      <c r="H1067" s="69"/>
      <c r="I1067" s="69"/>
      <c r="J1067" s="70"/>
      <c r="K1067" s="70" t="s">
        <v>2582</v>
      </c>
      <c r="L1067" s="143">
        <v>46292</v>
      </c>
    </row>
    <row r="1068" spans="1:12">
      <c r="A1068" s="30">
        <v>24869158</v>
      </c>
      <c r="C1068" s="69" t="s">
        <v>54</v>
      </c>
      <c r="D1068" s="70">
        <v>7920.53</v>
      </c>
      <c r="E1068" s="70"/>
      <c r="F1068" s="70">
        <f>D1068*0.3</f>
        <v>2376.1589999999997</v>
      </c>
      <c r="G1068" s="70">
        <f>(IF(D1068&lt;4172.98,0,MIN(D1068*0.3,D1068-4172.98)))-E1068</f>
        <v>2376.1589999999997</v>
      </c>
      <c r="H1068" s="69"/>
      <c r="I1068" s="69"/>
      <c r="J1068" s="70"/>
      <c r="K1068" s="70" t="s">
        <v>2576</v>
      </c>
      <c r="L1068" s="143">
        <v>46292</v>
      </c>
    </row>
    <row r="1069" spans="1:12">
      <c r="A1069" s="72">
        <v>24747080</v>
      </c>
      <c r="B1069">
        <v>5214433188738</v>
      </c>
      <c r="C1069" s="69" t="s">
        <v>54</v>
      </c>
      <c r="D1069" s="70">
        <v>9760.32</v>
      </c>
      <c r="E1069" s="70"/>
      <c r="F1069" s="70">
        <v>2928.096</v>
      </c>
      <c r="G1069" s="70">
        <v>2928.096</v>
      </c>
      <c r="H1069" s="69"/>
      <c r="I1069" s="69"/>
      <c r="J1069" s="70"/>
      <c r="K1069" s="70" t="s">
        <v>2827</v>
      </c>
      <c r="L1069" s="143">
        <v>46292</v>
      </c>
    </row>
    <row r="1070" spans="1:12">
      <c r="A1070" s="72">
        <v>24855266</v>
      </c>
      <c r="B1070">
        <v>5212711205400</v>
      </c>
      <c r="C1070" s="69" t="s">
        <v>54</v>
      </c>
      <c r="D1070" s="70">
        <v>9582.4699999999993</v>
      </c>
      <c r="E1070" s="70"/>
      <c r="F1070" s="70">
        <v>2874.7409999999995</v>
      </c>
      <c r="G1070" s="70">
        <v>2874.7409999999995</v>
      </c>
      <c r="H1070" s="69"/>
      <c r="I1070" s="69"/>
      <c r="J1070" s="70"/>
      <c r="K1070" s="70" t="s">
        <v>2582</v>
      </c>
      <c r="L1070" s="143">
        <v>46292</v>
      </c>
    </row>
    <row r="1071" spans="1:12">
      <c r="A1071" s="72">
        <v>24855670</v>
      </c>
      <c r="B1071">
        <v>5214779166694</v>
      </c>
      <c r="C1071" s="69" t="s">
        <v>54</v>
      </c>
      <c r="D1071" s="70">
        <v>10636.54</v>
      </c>
      <c r="E1071" s="70"/>
      <c r="F1071" s="70">
        <v>3190.962</v>
      </c>
      <c r="G1071" s="70">
        <v>3190.962</v>
      </c>
      <c r="H1071" s="69"/>
      <c r="I1071" s="69"/>
      <c r="J1071" s="70"/>
      <c r="K1071" s="70" t="s">
        <v>2576</v>
      </c>
      <c r="L1071" s="143">
        <v>46292</v>
      </c>
    </row>
    <row r="1072" spans="1:12">
      <c r="A1072" s="72">
        <v>24854068</v>
      </c>
      <c r="B1072">
        <v>5219564777244</v>
      </c>
      <c r="C1072" s="69" t="s">
        <v>54</v>
      </c>
      <c r="D1072" s="70">
        <v>38594.6</v>
      </c>
      <c r="E1072" s="70"/>
      <c r="F1072" s="70">
        <v>11578.38</v>
      </c>
      <c r="G1072" s="70">
        <v>11578.38</v>
      </c>
      <c r="H1072" s="69"/>
      <c r="I1072" s="69"/>
      <c r="J1072" s="70"/>
      <c r="K1072" s="70" t="s">
        <v>1091</v>
      </c>
      <c r="L1072" s="143">
        <v>46292</v>
      </c>
    </row>
    <row r="1073" spans="1:12">
      <c r="A1073" s="72">
        <v>24832226</v>
      </c>
      <c r="B1073">
        <v>5218672440649</v>
      </c>
      <c r="C1073" s="69" t="s">
        <v>54</v>
      </c>
      <c r="D1073" s="70">
        <v>9760.32</v>
      </c>
      <c r="E1073" s="70"/>
      <c r="F1073" s="70">
        <v>2928.096</v>
      </c>
      <c r="G1073" s="70">
        <v>2928.096</v>
      </c>
      <c r="H1073" s="69"/>
      <c r="I1073" s="69"/>
      <c r="J1073" s="70"/>
      <c r="K1073" s="70" t="s">
        <v>2827</v>
      </c>
      <c r="L1073" s="143">
        <v>46292</v>
      </c>
    </row>
    <row r="1074" spans="1:12">
      <c r="A1074" s="72">
        <v>24845400</v>
      </c>
      <c r="B1074">
        <v>5218114743468</v>
      </c>
      <c r="C1074" s="69" t="s">
        <v>54</v>
      </c>
      <c r="D1074" s="70">
        <v>40685.53</v>
      </c>
      <c r="E1074" s="70"/>
      <c r="F1074" s="70">
        <v>12205.659</v>
      </c>
      <c r="G1074" s="70">
        <v>12205.659</v>
      </c>
      <c r="H1074" s="69"/>
      <c r="I1074" s="69"/>
      <c r="J1074" s="70"/>
      <c r="K1074" s="70" t="s">
        <v>28</v>
      </c>
      <c r="L1074" s="143">
        <v>46292</v>
      </c>
    </row>
    <row r="1075" spans="1:12">
      <c r="A1075" s="72">
        <v>24848912</v>
      </c>
      <c r="B1075">
        <v>5212228280933</v>
      </c>
      <c r="C1075" s="69" t="s">
        <v>54</v>
      </c>
      <c r="D1075" s="70">
        <v>28924</v>
      </c>
      <c r="E1075" s="70">
        <v>6490.94</v>
      </c>
      <c r="F1075" s="70">
        <v>8677.1999999999989</v>
      </c>
      <c r="G1075" s="70">
        <v>2186.2599999999993</v>
      </c>
      <c r="H1075" s="69">
        <v>46966</v>
      </c>
      <c r="I1075" s="69" t="s">
        <v>2829</v>
      </c>
      <c r="J1075" s="70">
        <v>2923.92</v>
      </c>
      <c r="K1075" s="70" t="s">
        <v>2582</v>
      </c>
      <c r="L1075" s="143">
        <v>46292</v>
      </c>
    </row>
    <row r="1076" spans="1:12">
      <c r="A1076" s="72">
        <v>24852260</v>
      </c>
      <c r="B1076">
        <v>5216671425649</v>
      </c>
      <c r="C1076" s="69" t="s">
        <v>54</v>
      </c>
      <c r="D1076" s="70">
        <v>44464.29</v>
      </c>
      <c r="E1076" s="70"/>
      <c r="F1076" s="70">
        <v>13339.287</v>
      </c>
      <c r="G1076" s="70">
        <v>13339.287</v>
      </c>
      <c r="H1076" s="69"/>
      <c r="I1076" s="69"/>
      <c r="J1076" s="70"/>
      <c r="K1076" s="70" t="s">
        <v>1091</v>
      </c>
      <c r="L1076" s="143">
        <v>46292</v>
      </c>
    </row>
    <row r="1077" spans="1:12">
      <c r="A1077" s="72">
        <v>24388108</v>
      </c>
      <c r="B1077">
        <v>5214444985489</v>
      </c>
      <c r="C1077" s="69" t="s">
        <v>38</v>
      </c>
      <c r="D1077" s="70">
        <v>6337.52</v>
      </c>
      <c r="E1077" s="70">
        <v>1522.15</v>
      </c>
      <c r="F1077" s="70">
        <v>1901.2560000000001</v>
      </c>
      <c r="G1077" s="70">
        <v>379.10599999999999</v>
      </c>
      <c r="H1077" s="69">
        <v>46784</v>
      </c>
      <c r="I1077" s="69" t="s">
        <v>77</v>
      </c>
      <c r="J1077" s="70">
        <v>1522.15</v>
      </c>
      <c r="K1077" s="70" t="s">
        <v>39</v>
      </c>
      <c r="L1077" s="143">
        <v>46292</v>
      </c>
    </row>
    <row r="1078" spans="1:12">
      <c r="A1078" s="72">
        <v>24852680</v>
      </c>
      <c r="B1078">
        <v>5219992441322</v>
      </c>
      <c r="C1078" s="69" t="s">
        <v>38</v>
      </c>
      <c r="D1078" s="70">
        <v>5337.15</v>
      </c>
      <c r="E1078" s="70">
        <v>848</v>
      </c>
      <c r="F1078" s="70">
        <v>1601.1449999999998</v>
      </c>
      <c r="G1078" s="70">
        <v>316.17000000000007</v>
      </c>
      <c r="H1078" s="69"/>
      <c r="I1078" s="69"/>
      <c r="J1078" s="70"/>
      <c r="K1078" s="70" t="s">
        <v>39</v>
      </c>
      <c r="L1078" s="143">
        <v>46292</v>
      </c>
    </row>
    <row r="1079" spans="1:12">
      <c r="A1079" s="72">
        <v>24853670</v>
      </c>
      <c r="B1079">
        <v>5212216620470</v>
      </c>
      <c r="C1079" s="69" t="s">
        <v>34</v>
      </c>
      <c r="D1079" s="70">
        <v>8337.02</v>
      </c>
      <c r="E1079" s="70">
        <v>2464.09</v>
      </c>
      <c r="F1079" s="70">
        <v>2501.1060000000002</v>
      </c>
      <c r="G1079" s="70">
        <v>37.016000000000076</v>
      </c>
      <c r="H1079" s="69">
        <v>46266</v>
      </c>
      <c r="I1079" s="69" t="s">
        <v>44</v>
      </c>
      <c r="J1079" s="70">
        <v>792.03</v>
      </c>
      <c r="K1079" s="70" t="s">
        <v>830</v>
      </c>
      <c r="L1079" s="143">
        <v>46292</v>
      </c>
    </row>
    <row r="1080" spans="1:12">
      <c r="A1080" s="72">
        <v>24858148</v>
      </c>
      <c r="B1080">
        <v>5216441033453</v>
      </c>
      <c r="C1080" s="69" t="s">
        <v>27</v>
      </c>
      <c r="D1080" s="70">
        <v>14361.17</v>
      </c>
      <c r="E1080" s="70">
        <v>4304.41</v>
      </c>
      <c r="F1080" s="70">
        <v>4308.3509999999997</v>
      </c>
      <c r="G1080" s="70">
        <v>3.9409999999998035</v>
      </c>
      <c r="H1080" s="69">
        <v>46266</v>
      </c>
      <c r="I1080" s="69" t="s">
        <v>2830</v>
      </c>
      <c r="J1080" s="70">
        <v>1805.2</v>
      </c>
      <c r="K1080" s="70" t="s">
        <v>90</v>
      </c>
      <c r="L1080" s="143">
        <v>46292</v>
      </c>
    </row>
    <row r="1081" spans="1:12">
      <c r="A1081" s="72">
        <v>24859170</v>
      </c>
      <c r="B1081">
        <v>6624034639</v>
      </c>
      <c r="C1081" s="69" t="s">
        <v>54</v>
      </c>
      <c r="D1081" s="70">
        <v>7920.51</v>
      </c>
      <c r="E1081" s="70">
        <v>848</v>
      </c>
      <c r="F1081" s="70">
        <v>2376.1529999999998</v>
      </c>
      <c r="G1081" s="70">
        <v>1528.1529999999998</v>
      </c>
      <c r="H1081" s="69"/>
      <c r="I1081" s="69"/>
      <c r="J1081" s="70"/>
      <c r="K1081" s="70" t="s">
        <v>2827</v>
      </c>
      <c r="L1081" s="143">
        <v>46292</v>
      </c>
    </row>
    <row r="1082" spans="1:12">
      <c r="A1082" s="72">
        <v>24853960</v>
      </c>
      <c r="B1082">
        <v>5216647618296</v>
      </c>
      <c r="C1082" s="69" t="s">
        <v>54</v>
      </c>
      <c r="D1082" s="70">
        <v>10636.54</v>
      </c>
      <c r="E1082" s="70"/>
      <c r="F1082" s="70">
        <v>3190.962</v>
      </c>
      <c r="G1082" s="70">
        <v>3190.962</v>
      </c>
      <c r="H1082" s="69"/>
      <c r="I1082" s="69"/>
      <c r="J1082" s="70"/>
      <c r="K1082" s="70" t="s">
        <v>2576</v>
      </c>
      <c r="L1082" s="143">
        <v>46292</v>
      </c>
    </row>
    <row r="1083" spans="1:12">
      <c r="A1083" s="12">
        <v>24867656</v>
      </c>
      <c r="C1083" s="69" t="s">
        <v>27</v>
      </c>
      <c r="D1083" s="70">
        <v>7920.51</v>
      </c>
      <c r="E1083" s="70">
        <v>2095.59</v>
      </c>
      <c r="F1083" s="70">
        <f t="shared" ref="F1083" si="157">D1083*0.3</f>
        <v>2376.1529999999998</v>
      </c>
      <c r="G1083" s="70">
        <f t="shared" ref="G1083" si="158">(IF(D1083&lt;4172.98,0,MIN(D1083*0.3,D1083-4172.98)))-E1083</f>
        <v>280.56299999999965</v>
      </c>
      <c r="H1083" s="71">
        <v>46023</v>
      </c>
      <c r="I1083" s="69" t="s">
        <v>47</v>
      </c>
      <c r="J1083" s="70">
        <v>2095.59</v>
      </c>
      <c r="K1083" s="70" t="s">
        <v>2059</v>
      </c>
      <c r="L1083" s="143">
        <v>46293</v>
      </c>
    </row>
    <row r="1084" spans="1:12">
      <c r="A1084" s="30">
        <v>24869488</v>
      </c>
      <c r="C1084" s="69" t="s">
        <v>54</v>
      </c>
      <c r="D1084" s="70">
        <v>31693.38</v>
      </c>
      <c r="E1084" s="70"/>
      <c r="F1084" s="70">
        <f>D1084*0.3</f>
        <v>9508.0139999999992</v>
      </c>
      <c r="G1084" s="70">
        <f>(IF(D1084&lt;4172.98,0,MIN(D1084*0.3,D1084-4172.98)))-E1084</f>
        <v>9508.0139999999992</v>
      </c>
      <c r="H1084" s="69"/>
      <c r="I1084" s="69"/>
      <c r="J1084" s="70"/>
      <c r="K1084" s="70" t="s">
        <v>1808</v>
      </c>
      <c r="L1084" s="143">
        <v>46293</v>
      </c>
    </row>
    <row r="1085" spans="1:12">
      <c r="A1085" s="30">
        <v>24870130</v>
      </c>
      <c r="C1085" s="69" t="s">
        <v>54</v>
      </c>
      <c r="D1085" s="70">
        <f>13945.97+1891</f>
        <v>15836.97</v>
      </c>
      <c r="E1085" s="70">
        <v>1891</v>
      </c>
      <c r="F1085" s="70">
        <f>D1085*0.3</f>
        <v>4751.0909999999994</v>
      </c>
      <c r="G1085" s="70">
        <f>(IF(D1085&lt;4172.98,0,MIN(D1085*0.3,D1085-4172.98)))-E1085</f>
        <v>2860.0909999999994</v>
      </c>
      <c r="H1085" s="71">
        <v>46874</v>
      </c>
      <c r="I1085" s="69" t="s">
        <v>44</v>
      </c>
      <c r="J1085" s="70">
        <v>1891</v>
      </c>
      <c r="K1085" s="70" t="s">
        <v>327</v>
      </c>
      <c r="L1085" s="143">
        <v>46293</v>
      </c>
    </row>
    <row r="1086" spans="1:12">
      <c r="A1086" s="30">
        <v>24870334</v>
      </c>
      <c r="C1086" t="s">
        <v>54</v>
      </c>
      <c r="D1086" s="3">
        <f>8442.87+1638</f>
        <v>10080.870000000001</v>
      </c>
      <c r="E1086" s="3">
        <v>1638</v>
      </c>
      <c r="F1086" s="3">
        <f>D1086*0.3</f>
        <v>3024.261</v>
      </c>
      <c r="G1086" s="3">
        <f>(IF(D1086&lt;4172.98,0,MIN(D1086*0.3,D1086-4172.98)))-E1086</f>
        <v>1386.261</v>
      </c>
      <c r="H1086" s="6">
        <v>46296</v>
      </c>
      <c r="I1086" t="s">
        <v>75</v>
      </c>
      <c r="J1086" s="3">
        <v>1638</v>
      </c>
      <c r="K1086" s="3" t="s">
        <v>2576</v>
      </c>
      <c r="L1086" s="47">
        <v>46293</v>
      </c>
    </row>
    <row r="1087" spans="1:12">
      <c r="A1087" s="12">
        <v>24870862</v>
      </c>
      <c r="C1087" s="69" t="s">
        <v>54</v>
      </c>
      <c r="D1087" s="70">
        <v>6413.73</v>
      </c>
      <c r="E1087" s="70"/>
      <c r="F1087" s="70">
        <f t="shared" ref="F1087:F1088" si="159">D1087*0.3</f>
        <v>1924.1189999999997</v>
      </c>
      <c r="G1087" s="70">
        <f t="shared" ref="G1087:G1088" si="160">(IF(D1087&lt;4172.98,0,MIN(D1087*0.3,D1087-4172.98)))-E1087</f>
        <v>1924.1189999999997</v>
      </c>
      <c r="H1087" s="69"/>
      <c r="I1087" s="69"/>
      <c r="J1087" s="70"/>
      <c r="K1087" s="70" t="s">
        <v>266</v>
      </c>
      <c r="L1087" s="143">
        <v>46293</v>
      </c>
    </row>
    <row r="1088" spans="1:12">
      <c r="A1088" s="30">
        <v>24870994</v>
      </c>
      <c r="C1088" t="s">
        <v>54</v>
      </c>
      <c r="D1088" s="3">
        <v>24153.71</v>
      </c>
      <c r="E1088" s="3"/>
      <c r="F1088" s="3">
        <f t="shared" si="159"/>
        <v>7246.1129999999994</v>
      </c>
      <c r="G1088" s="3">
        <f t="shared" si="160"/>
        <v>7246.1129999999994</v>
      </c>
      <c r="J1088" s="3"/>
      <c r="K1088" s="3" t="s">
        <v>1091</v>
      </c>
      <c r="L1088" s="47">
        <v>46293</v>
      </c>
    </row>
    <row r="1089" spans="1:12">
      <c r="A1089" s="30">
        <v>24871644</v>
      </c>
      <c r="C1089" s="69" t="s">
        <v>54</v>
      </c>
      <c r="D1089" s="70">
        <v>7116.73</v>
      </c>
      <c r="E1089" s="70"/>
      <c r="F1089" s="70">
        <f>D1089*0.3</f>
        <v>2135.0189999999998</v>
      </c>
      <c r="G1089" s="70">
        <f>(IF(D1089&lt;4172.98,0,MIN(D1089*0.3,D1089-4172.98)))-E1089</f>
        <v>2135.0189999999998</v>
      </c>
      <c r="H1089" s="69"/>
      <c r="I1089" s="69"/>
      <c r="J1089" s="70"/>
      <c r="K1089" s="70" t="s">
        <v>2582</v>
      </c>
      <c r="L1089" s="143">
        <v>46293</v>
      </c>
    </row>
    <row r="1090" spans="1:12">
      <c r="A1090" s="30">
        <v>24871702</v>
      </c>
      <c r="C1090" t="s">
        <v>54</v>
      </c>
      <c r="D1090" s="3">
        <v>7116.73</v>
      </c>
      <c r="E1090" s="3"/>
      <c r="F1090" s="3">
        <f>D1090*0.3</f>
        <v>2135.0189999999998</v>
      </c>
      <c r="G1090" s="3">
        <f>(IF(D1090&lt;4172.98,0,MIN(D1090*0.3,D1090-4172.98)))-E1090</f>
        <v>2135.0189999999998</v>
      </c>
      <c r="J1090" s="3"/>
      <c r="K1090" s="3" t="s">
        <v>266</v>
      </c>
      <c r="L1090" s="47">
        <v>46293</v>
      </c>
    </row>
    <row r="1091" spans="1:12">
      <c r="A1091" s="12">
        <v>24873928</v>
      </c>
      <c r="C1091" s="69" t="s">
        <v>27</v>
      </c>
      <c r="D1091" s="70">
        <f>5791.41+752.57+1376.53</f>
        <v>7920.5099999999993</v>
      </c>
      <c r="E1091" s="70">
        <f>752.57+1376.53</f>
        <v>2129.1</v>
      </c>
      <c r="F1091" s="70">
        <f t="shared" ref="F1091:F1093" si="161">D1091*0.3</f>
        <v>2376.1529999999998</v>
      </c>
      <c r="G1091" s="70">
        <f t="shared" ref="G1091:G1093" si="162">(IF(D1091&lt;4172.98,0,MIN(D1091*0.3,D1091-4172.98)))-E1091</f>
        <v>247.05299999999988</v>
      </c>
      <c r="H1091" s="71">
        <v>46082</v>
      </c>
      <c r="I1091" s="69" t="s">
        <v>75</v>
      </c>
      <c r="J1091" s="70">
        <v>1376.53</v>
      </c>
      <c r="K1091" s="70" t="s">
        <v>1080</v>
      </c>
      <c r="L1091" s="143">
        <v>46293</v>
      </c>
    </row>
    <row r="1092" spans="1:12">
      <c r="A1092" s="12">
        <v>24874322</v>
      </c>
      <c r="C1092" s="69" t="s">
        <v>54</v>
      </c>
      <c r="D1092" s="70">
        <v>10636.54</v>
      </c>
      <c r="E1092" s="70"/>
      <c r="F1092" s="70">
        <f t="shared" si="161"/>
        <v>3190.962</v>
      </c>
      <c r="G1092" s="70">
        <f t="shared" si="162"/>
        <v>3190.962</v>
      </c>
      <c r="H1092" s="69"/>
      <c r="I1092" s="69"/>
      <c r="J1092" s="70"/>
      <c r="K1092" s="70" t="s">
        <v>62</v>
      </c>
      <c r="L1092" s="143">
        <v>46293</v>
      </c>
    </row>
    <row r="1093" spans="1:12">
      <c r="A1093" s="30">
        <v>24874854</v>
      </c>
      <c r="C1093" s="69" t="s">
        <v>54</v>
      </c>
      <c r="D1093" s="70">
        <v>9760.2999999999993</v>
      </c>
      <c r="E1093" s="70"/>
      <c r="F1093" s="70">
        <f t="shared" si="161"/>
        <v>2928.0899999999997</v>
      </c>
      <c r="G1093" s="70">
        <f t="shared" si="162"/>
        <v>2928.0899999999997</v>
      </c>
      <c r="H1093" s="69"/>
      <c r="I1093" s="69"/>
      <c r="J1093" s="70"/>
      <c r="K1093" s="70" t="s">
        <v>1946</v>
      </c>
      <c r="L1093" s="143">
        <v>46293</v>
      </c>
    </row>
    <row r="1094" spans="1:12">
      <c r="A1094" s="72">
        <v>24868248</v>
      </c>
      <c r="B1094">
        <v>5538917163</v>
      </c>
      <c r="C1094" s="69" t="s">
        <v>54</v>
      </c>
      <c r="D1094" s="70">
        <v>46992.75</v>
      </c>
      <c r="E1094" s="70"/>
      <c r="F1094" s="70">
        <v>14097.824999999999</v>
      </c>
      <c r="G1094" s="70">
        <v>14097.824999999999</v>
      </c>
      <c r="H1094" s="69"/>
      <c r="I1094" s="69"/>
      <c r="J1094" s="70"/>
      <c r="K1094" s="70" t="s">
        <v>1946</v>
      </c>
      <c r="L1094" s="143">
        <v>46293</v>
      </c>
    </row>
    <row r="1095" spans="1:12">
      <c r="A1095" s="173">
        <v>24859664</v>
      </c>
      <c r="B1095">
        <v>7772521138</v>
      </c>
      <c r="C1095" t="s">
        <v>34</v>
      </c>
      <c r="D1095" s="3">
        <v>5617.63</v>
      </c>
      <c r="E1095" s="3"/>
      <c r="F1095" s="3">
        <v>1685.289</v>
      </c>
      <c r="G1095" s="3">
        <v>1444.6500000000005</v>
      </c>
      <c r="H1095" t="s">
        <v>57</v>
      </c>
      <c r="I1095" t="s">
        <v>57</v>
      </c>
      <c r="J1095" s="3">
        <v>499.92</v>
      </c>
      <c r="K1095" s="3" t="s">
        <v>35</v>
      </c>
      <c r="L1095" s="47">
        <v>46293</v>
      </c>
    </row>
    <row r="1096" spans="1:12">
      <c r="A1096" s="72">
        <v>24870536</v>
      </c>
      <c r="B1096">
        <v>4561881233</v>
      </c>
      <c r="C1096" s="69" t="s">
        <v>38</v>
      </c>
      <c r="D1096" s="70">
        <v>4605.67</v>
      </c>
      <c r="E1096" s="70"/>
      <c r="F1096" s="70">
        <v>1381.701</v>
      </c>
      <c r="G1096" s="70">
        <v>432.69000000000051</v>
      </c>
      <c r="H1096" s="69"/>
      <c r="I1096" s="69"/>
      <c r="J1096" s="70"/>
      <c r="K1096" s="70" t="s">
        <v>2179</v>
      </c>
      <c r="L1096" s="143">
        <v>46293</v>
      </c>
    </row>
    <row r="1097" spans="1:12">
      <c r="A1097" s="72">
        <v>24872360</v>
      </c>
      <c r="B1097">
        <v>6121766037</v>
      </c>
      <c r="C1097" s="69" t="s">
        <v>54</v>
      </c>
      <c r="D1097" s="70">
        <v>10571.63</v>
      </c>
      <c r="E1097" s="70"/>
      <c r="F1097" s="70">
        <v>3171.4889999999996</v>
      </c>
      <c r="G1097" s="70">
        <v>3171.4889999999996</v>
      </c>
      <c r="H1097" s="69"/>
      <c r="I1097" s="69"/>
      <c r="J1097" s="70"/>
      <c r="K1097" s="70" t="s">
        <v>1910</v>
      </c>
      <c r="L1097" s="143">
        <v>46293</v>
      </c>
    </row>
    <row r="1098" spans="1:12">
      <c r="A1098" s="12">
        <v>24876448</v>
      </c>
      <c r="C1098" s="69" t="s">
        <v>54</v>
      </c>
      <c r="D1098" s="70">
        <v>9760.32</v>
      </c>
      <c r="E1098" s="70"/>
      <c r="F1098" s="70">
        <f t="shared" ref="F1098" si="163">D1098*0.3</f>
        <v>2928.096</v>
      </c>
      <c r="G1098" s="70">
        <f t="shared" ref="G1098" si="164">(IF(D1098&lt;4172.98,0,MIN(D1098*0.3,D1098-4172.98)))-E1098</f>
        <v>2928.096</v>
      </c>
      <c r="H1098" s="69"/>
      <c r="I1098" s="69"/>
      <c r="J1098" s="70"/>
      <c r="K1098" s="70" t="s">
        <v>1946</v>
      </c>
      <c r="L1098" s="143">
        <v>46293</v>
      </c>
    </row>
    <row r="1099" spans="1:12">
      <c r="A1099" s="30">
        <v>24884484</v>
      </c>
      <c r="C1099" s="69" t="s">
        <v>54</v>
      </c>
      <c r="D1099" s="70">
        <v>9760.32</v>
      </c>
      <c r="E1099" s="70"/>
      <c r="F1099" s="70">
        <f>D1099*0.3</f>
        <v>2928.096</v>
      </c>
      <c r="G1099" s="70">
        <f>(IF(D1099&lt;4172.98,0,MIN(D1099*0.3,D1099-4172.98)))-E1099</f>
        <v>2928.096</v>
      </c>
      <c r="H1099" s="69"/>
      <c r="I1099" s="69"/>
      <c r="J1099" s="70"/>
      <c r="K1099" s="70" t="s">
        <v>1910</v>
      </c>
      <c r="L1099" s="143">
        <v>46293</v>
      </c>
    </row>
    <row r="1100" spans="1:12">
      <c r="A1100" s="30">
        <v>24883986</v>
      </c>
      <c r="C1100" s="69" t="s">
        <v>27</v>
      </c>
      <c r="D1100" s="70">
        <v>6460.11</v>
      </c>
      <c r="E1100" s="70">
        <v>1793.57</v>
      </c>
      <c r="F1100" s="70">
        <f>D1100*0.3</f>
        <v>1938.0329999999999</v>
      </c>
      <c r="G1100" s="70">
        <f>(IF(D1100&lt;4172.98,0,MIN(D1100*0.3,D1100-4172.98)))-E1100</f>
        <v>144.46299999999997</v>
      </c>
      <c r="H1100" s="71">
        <v>46266</v>
      </c>
      <c r="I1100" s="69" t="s">
        <v>75</v>
      </c>
      <c r="J1100" s="70">
        <v>1793.57</v>
      </c>
      <c r="K1100" s="70" t="s">
        <v>98</v>
      </c>
      <c r="L1100" s="143">
        <v>46293</v>
      </c>
    </row>
    <row r="1101" spans="1:12">
      <c r="A1101" s="72">
        <v>24855346</v>
      </c>
      <c r="B1101">
        <v>5213312450847</v>
      </c>
      <c r="C1101" s="69" t="s">
        <v>34</v>
      </c>
      <c r="D1101" s="70">
        <v>6308.73</v>
      </c>
      <c r="E1101" s="70">
        <v>1631.99</v>
      </c>
      <c r="F1101" s="70">
        <v>1892.6189999999997</v>
      </c>
      <c r="G1101" s="70">
        <v>260.62899999999968</v>
      </c>
      <c r="H1101" s="69">
        <v>46296</v>
      </c>
      <c r="I1101" s="69" t="s">
        <v>169</v>
      </c>
      <c r="J1101" s="70">
        <v>1254.9100000000001</v>
      </c>
      <c r="K1101" s="70" t="s">
        <v>830</v>
      </c>
      <c r="L1101" s="143">
        <v>46293</v>
      </c>
    </row>
    <row r="1102" spans="1:12">
      <c r="A1102" s="72">
        <v>24863224</v>
      </c>
      <c r="B1102">
        <v>8444277019</v>
      </c>
      <c r="C1102" s="69" t="s">
        <v>54</v>
      </c>
      <c r="D1102" s="70">
        <v>44312.04</v>
      </c>
      <c r="E1102" s="70"/>
      <c r="F1102" s="70">
        <v>13293.6</v>
      </c>
      <c r="G1102" s="70">
        <v>13293.61</v>
      </c>
      <c r="H1102" s="69"/>
      <c r="I1102" s="69"/>
      <c r="J1102" s="70"/>
      <c r="K1102" s="70" t="s">
        <v>2582</v>
      </c>
      <c r="L1102" s="143">
        <v>46293</v>
      </c>
    </row>
    <row r="1103" spans="1:12">
      <c r="A1103" s="30">
        <v>24889918</v>
      </c>
      <c r="C1103" s="69" t="s">
        <v>54</v>
      </c>
      <c r="D1103" s="70">
        <f>15863.58+848</f>
        <v>16711.580000000002</v>
      </c>
      <c r="E1103" s="70">
        <v>848</v>
      </c>
      <c r="F1103" s="70">
        <f>D1103*0.3</f>
        <v>5013.4740000000002</v>
      </c>
      <c r="G1103" s="70">
        <f>(IF(D1103&lt;4172.98,0,MIN(D1103*0.3,D1103-4172.98)))-E1103</f>
        <v>4165.4740000000002</v>
      </c>
      <c r="H1103" s="69"/>
      <c r="I1103" s="69"/>
      <c r="J1103" s="70"/>
      <c r="K1103" s="70" t="s">
        <v>1808</v>
      </c>
      <c r="L1103" s="143">
        <v>46293</v>
      </c>
    </row>
    <row r="1104" spans="1:12">
      <c r="A1104" s="72">
        <v>24874688</v>
      </c>
      <c r="B1104">
        <v>6731306789</v>
      </c>
      <c r="C1104" s="69" t="s">
        <v>27</v>
      </c>
      <c r="D1104" s="70">
        <v>9504.16</v>
      </c>
      <c r="E1104" s="70">
        <v>2638.3</v>
      </c>
      <c r="F1104" s="70">
        <v>2851.248</v>
      </c>
      <c r="G1104" s="70">
        <v>212.94799999999987</v>
      </c>
      <c r="H1104" s="69">
        <v>46143</v>
      </c>
      <c r="I1104" s="69" t="s">
        <v>44</v>
      </c>
      <c r="J1104" s="70">
        <v>2638.3</v>
      </c>
      <c r="K1104" s="70" t="s">
        <v>90</v>
      </c>
      <c r="L1104" s="143">
        <v>46293</v>
      </c>
    </row>
    <row r="1105" spans="1:12">
      <c r="A1105" s="72">
        <v>24885112</v>
      </c>
      <c r="B1105">
        <v>5218311106680</v>
      </c>
      <c r="C1105" s="69" t="s">
        <v>54</v>
      </c>
      <c r="D1105" s="70">
        <v>14627.59</v>
      </c>
      <c r="E1105" s="70"/>
      <c r="F1105" s="70">
        <v>4388.277</v>
      </c>
      <c r="G1105" s="70">
        <v>4388.277</v>
      </c>
      <c r="H1105" s="69"/>
      <c r="I1105" s="69"/>
      <c r="J1105" s="70"/>
      <c r="K1105" s="70" t="s">
        <v>327</v>
      </c>
      <c r="L1105" s="143">
        <v>46293</v>
      </c>
    </row>
    <row r="1106" spans="1:12">
      <c r="A1106" s="72">
        <v>24863308</v>
      </c>
      <c r="B1106">
        <v>5521298598</v>
      </c>
      <c r="C1106" s="69" t="s">
        <v>27</v>
      </c>
      <c r="D1106" s="70">
        <v>7628.26</v>
      </c>
      <c r="E1106" s="70">
        <v>2116.46</v>
      </c>
      <c r="F1106" s="70">
        <v>2288.4780000000001</v>
      </c>
      <c r="G1106" s="70">
        <v>172.01800000000003</v>
      </c>
      <c r="H1106" s="69">
        <v>46174</v>
      </c>
      <c r="I1106" s="69" t="s">
        <v>75</v>
      </c>
      <c r="J1106" s="70">
        <v>2116.46</v>
      </c>
      <c r="K1106" s="70" t="s">
        <v>1080</v>
      </c>
      <c r="L1106" s="143">
        <v>46293</v>
      </c>
    </row>
    <row r="1107" spans="1:12">
      <c r="A1107" s="30">
        <v>24893390</v>
      </c>
      <c r="C1107" s="69" t="s">
        <v>27</v>
      </c>
      <c r="D1107" s="70">
        <v>5636.59</v>
      </c>
      <c r="E1107" s="70">
        <v>1630.33</v>
      </c>
      <c r="F1107" s="70">
        <f>D1107*0.3</f>
        <v>1690.9770000000001</v>
      </c>
      <c r="G1107" s="70">
        <f>(IF(D1107&lt;4172.98,0,MIN(D1107*0.3,D1107-4172.98)))-E1107</f>
        <v>-166.71999999999935</v>
      </c>
      <c r="H1107" s="71">
        <v>46235</v>
      </c>
      <c r="I1107" s="69" t="s">
        <v>59</v>
      </c>
      <c r="J1107" s="70">
        <v>1444.33</v>
      </c>
      <c r="K1107" s="70" t="s">
        <v>98</v>
      </c>
      <c r="L1107" s="143">
        <v>46293</v>
      </c>
    </row>
    <row r="1108" spans="1:12">
      <c r="A1108" s="72">
        <v>23300822</v>
      </c>
      <c r="B1108">
        <v>5212225125599</v>
      </c>
      <c r="C1108" s="69" t="s">
        <v>54</v>
      </c>
      <c r="D1108" s="70">
        <v>9760.32</v>
      </c>
      <c r="E1108" s="70"/>
      <c r="F1108" s="70">
        <v>2928.096</v>
      </c>
      <c r="G1108" s="70">
        <v>2928.096</v>
      </c>
      <c r="H1108" s="69"/>
      <c r="I1108" s="69"/>
      <c r="J1108" s="70"/>
      <c r="K1108" s="70" t="s">
        <v>62</v>
      </c>
      <c r="L1108" s="143">
        <v>46293</v>
      </c>
    </row>
    <row r="1109" spans="1:12">
      <c r="A1109" s="30">
        <v>24893850</v>
      </c>
      <c r="C1109" s="69" t="s">
        <v>34</v>
      </c>
      <c r="D1109" s="70">
        <v>5814.14</v>
      </c>
      <c r="E1109" s="70">
        <v>1614.21</v>
      </c>
      <c r="F1109" s="70">
        <f>D1109*0.3</f>
        <v>1744.242</v>
      </c>
      <c r="G1109" s="70">
        <f>(IF(D1109&lt;4172.98,0,MIN(D1109*0.3,D1109-4172.98)))-E1109</f>
        <v>26.950000000000728</v>
      </c>
      <c r="H1109" s="71">
        <v>46143</v>
      </c>
      <c r="I1109" s="69" t="s">
        <v>2399</v>
      </c>
      <c r="J1109" s="70">
        <v>1614.21</v>
      </c>
      <c r="K1109" s="70" t="s">
        <v>35</v>
      </c>
      <c r="L1109" s="143">
        <v>46293</v>
      </c>
    </row>
    <row r="1110" spans="1:12">
      <c r="A1110" s="72">
        <v>24885250</v>
      </c>
      <c r="B1110">
        <v>5218119148505</v>
      </c>
      <c r="C1110" s="69" t="s">
        <v>54</v>
      </c>
      <c r="D1110" s="70">
        <v>7920.51</v>
      </c>
      <c r="E1110" s="70">
        <v>992.67</v>
      </c>
      <c r="F1110" s="70">
        <v>2376.1529999999998</v>
      </c>
      <c r="G1110" s="70">
        <v>1383.4829999999997</v>
      </c>
      <c r="H1110" s="69">
        <v>46784</v>
      </c>
      <c r="I1110" s="69" t="s">
        <v>59</v>
      </c>
      <c r="J1110" s="70">
        <v>992.67</v>
      </c>
      <c r="K1110" s="70" t="s">
        <v>327</v>
      </c>
      <c r="L1110" s="143">
        <v>46293</v>
      </c>
    </row>
    <row r="1111" spans="1:12">
      <c r="A1111" s="72">
        <v>24874478</v>
      </c>
      <c r="B1111">
        <v>5215644664528</v>
      </c>
      <c r="C1111" s="69" t="s">
        <v>34</v>
      </c>
      <c r="D1111" s="70">
        <v>27132.26</v>
      </c>
      <c r="E1111" s="70">
        <v>8136.76</v>
      </c>
      <c r="F1111" s="70">
        <v>8139.677999999999</v>
      </c>
      <c r="G1111" s="70">
        <v>2.9179999999987558</v>
      </c>
      <c r="H1111" s="69">
        <v>46054</v>
      </c>
      <c r="I1111" s="69" t="s">
        <v>57</v>
      </c>
      <c r="J1111" s="70">
        <v>337.73</v>
      </c>
      <c r="K1111" s="70" t="s">
        <v>35</v>
      </c>
      <c r="L1111" s="143">
        <v>46293</v>
      </c>
    </row>
    <row r="1112" spans="1:12">
      <c r="A1112" s="72">
        <v>24878674</v>
      </c>
      <c r="B1112">
        <v>5216241611823</v>
      </c>
      <c r="C1112" s="69" t="s">
        <v>27</v>
      </c>
      <c r="D1112" s="70">
        <v>6876.47</v>
      </c>
      <c r="E1112" s="70">
        <v>1235.9000000000001</v>
      </c>
      <c r="F1112" s="70">
        <v>2062.9409999999998</v>
      </c>
      <c r="G1112" s="70">
        <v>827.04099999999971</v>
      </c>
      <c r="H1112" s="69">
        <v>46266</v>
      </c>
      <c r="I1112" s="69" t="s">
        <v>44</v>
      </c>
      <c r="J1112" s="70">
        <v>1235.9000000000001</v>
      </c>
      <c r="K1112" s="70" t="s">
        <v>90</v>
      </c>
      <c r="L1112" s="143">
        <v>46293</v>
      </c>
    </row>
    <row r="1113" spans="1:12">
      <c r="A1113" s="12">
        <v>24894928</v>
      </c>
      <c r="C1113" s="69" t="s">
        <v>54</v>
      </c>
      <c r="D1113" s="70">
        <v>5633.06</v>
      </c>
      <c r="E1113" s="70"/>
      <c r="F1113" s="70">
        <f>D1113*0.3</f>
        <v>1689.9180000000001</v>
      </c>
      <c r="G1113" s="70">
        <f>(IF(D1113&lt;4172.98,0,MIN(D1113*0.3,D1113-4172.98)))-E1113</f>
        <v>1460.0800000000008</v>
      </c>
      <c r="H1113" s="69"/>
      <c r="I1113" s="69"/>
      <c r="J1113" s="70"/>
      <c r="K1113" s="70" t="s">
        <v>62</v>
      </c>
      <c r="L1113" s="143">
        <v>46293</v>
      </c>
    </row>
    <row r="1114" spans="1:12">
      <c r="A1114" s="30">
        <v>24895082</v>
      </c>
      <c r="C1114" s="69" t="s">
        <v>54</v>
      </c>
      <c r="D1114" s="70">
        <v>7920.51</v>
      </c>
      <c r="E1114" s="70"/>
      <c r="F1114" s="70">
        <f>D1114*0.3</f>
        <v>2376.1529999999998</v>
      </c>
      <c r="G1114" s="70">
        <f>(IF(D1114&lt;4172.98,0,MIN(D1114*0.3,D1114-4172.98)))-E1114</f>
        <v>2376.1529999999998</v>
      </c>
      <c r="H1114" s="69"/>
      <c r="I1114" s="69"/>
      <c r="J1114" s="70"/>
      <c r="K1114" s="70" t="s">
        <v>266</v>
      </c>
      <c r="L1114" s="143">
        <v>46293</v>
      </c>
    </row>
    <row r="1115" spans="1:12">
      <c r="A1115" s="30">
        <v>24895412</v>
      </c>
      <c r="C1115" s="69" t="s">
        <v>54</v>
      </c>
      <c r="D1115" s="70">
        <v>15660.24</v>
      </c>
      <c r="E1115" s="70">
        <v>2637</v>
      </c>
      <c r="F1115" s="70">
        <f>D1115*0.3</f>
        <v>4698.0720000000001</v>
      </c>
      <c r="G1115" s="70">
        <f>(IF(D1115&lt;4172.98,0,MIN(D1115*0.3,D1115-4172.98)))-E1115</f>
        <v>2061.0720000000001</v>
      </c>
      <c r="H1115" s="71">
        <v>46784</v>
      </c>
      <c r="I1115" s="69" t="s">
        <v>57</v>
      </c>
      <c r="J1115" s="70">
        <v>2637</v>
      </c>
      <c r="K1115" s="70" t="s">
        <v>2576</v>
      </c>
      <c r="L1115" s="143">
        <v>46293</v>
      </c>
    </row>
    <row r="1116" spans="1:12">
      <c r="A1116" s="30">
        <v>24896608</v>
      </c>
      <c r="C1116" s="69" t="s">
        <v>54</v>
      </c>
      <c r="D1116" s="70">
        <v>10636.54</v>
      </c>
      <c r="E1116" s="70"/>
      <c r="F1116" s="70">
        <f>D1116*0.3</f>
        <v>3190.962</v>
      </c>
      <c r="G1116" s="70">
        <f>(IF(D1116&lt;4172.98,0,MIN(D1116*0.3,D1116-4172.98)))-E1116</f>
        <v>3190.962</v>
      </c>
      <c r="H1116" s="69"/>
      <c r="I1116" s="69"/>
      <c r="J1116" s="70"/>
      <c r="K1116" s="70" t="s">
        <v>1808</v>
      </c>
      <c r="L1116" s="143">
        <v>46293</v>
      </c>
    </row>
    <row r="1117" spans="1:12">
      <c r="A1117" s="30">
        <v>24897370</v>
      </c>
      <c r="C1117" s="69" t="s">
        <v>27</v>
      </c>
      <c r="D1117" s="70">
        <v>7920.51</v>
      </c>
      <c r="E1117" s="70">
        <v>2101.11</v>
      </c>
      <c r="F1117" s="70">
        <f>D1117*0.3</f>
        <v>2376.1529999999998</v>
      </c>
      <c r="G1117" s="70">
        <f>(IF(D1117&lt;4172.98,0,MIN(D1117*0.3,D1117-4172.98)))-E1117</f>
        <v>275.04299999999967</v>
      </c>
      <c r="H1117" s="71">
        <v>45992</v>
      </c>
      <c r="I1117" s="69" t="s">
        <v>75</v>
      </c>
      <c r="J1117" s="70">
        <v>2101.11</v>
      </c>
      <c r="K1117" s="70" t="s">
        <v>2059</v>
      </c>
      <c r="L1117" s="143">
        <v>46293</v>
      </c>
    </row>
    <row r="1118" spans="1:12">
      <c r="A1118" s="72">
        <v>24856488</v>
      </c>
      <c r="B1118">
        <v>5219931179217</v>
      </c>
      <c r="C1118" s="69" t="s">
        <v>54</v>
      </c>
      <c r="D1118" s="70">
        <v>12595.73</v>
      </c>
      <c r="E1118" s="70"/>
      <c r="F1118" s="70">
        <v>3778.7189999999996</v>
      </c>
      <c r="G1118" s="70">
        <v>3778.7189999999996</v>
      </c>
      <c r="H1118" s="69"/>
      <c r="I1118" s="69"/>
      <c r="J1118" s="70"/>
      <c r="K1118" s="70" t="s">
        <v>1091</v>
      </c>
      <c r="L1118" s="143">
        <v>46293</v>
      </c>
    </row>
    <row r="1119" spans="1:12">
      <c r="A1119" s="30">
        <v>24899304</v>
      </c>
      <c r="C1119" s="69" t="s">
        <v>54</v>
      </c>
      <c r="D1119" s="70">
        <v>7116.73</v>
      </c>
      <c r="E1119" s="70"/>
      <c r="F1119" s="70">
        <f>D1119*0.3</f>
        <v>2135.0189999999998</v>
      </c>
      <c r="G1119" s="70">
        <f>(IF(D1119&lt;4172.98,0,MIN(D1119*0.3,D1119-4172.98)))-E1119</f>
        <v>2135.0189999999998</v>
      </c>
      <c r="H1119" s="69"/>
      <c r="I1119" s="69"/>
      <c r="J1119" s="70"/>
      <c r="K1119" s="70" t="s">
        <v>2576</v>
      </c>
      <c r="L1119" s="143">
        <v>46293</v>
      </c>
    </row>
    <row r="1120" spans="1:12">
      <c r="A1120" s="30">
        <v>24899988</v>
      </c>
      <c r="C1120" s="69" t="s">
        <v>54</v>
      </c>
      <c r="D1120" s="70">
        <v>20070.82</v>
      </c>
      <c r="E1120" s="70"/>
      <c r="F1120" s="70">
        <f>D1120*0.3</f>
        <v>6021.2460000000001</v>
      </c>
      <c r="G1120" s="70">
        <f>(IF(D1120&lt;4172.98,0,MIN(D1120*0.3,D1120-4172.98)))-E1120</f>
        <v>6021.2460000000001</v>
      </c>
      <c r="H1120" s="69"/>
      <c r="I1120" s="69"/>
      <c r="J1120" s="70"/>
      <c r="K1120" s="70" t="s">
        <v>1910</v>
      </c>
      <c r="L1120" s="143">
        <v>46293</v>
      </c>
    </row>
    <row r="1121" spans="1:12">
      <c r="A1121" s="30">
        <v>24899748</v>
      </c>
      <c r="C1121" s="69" t="s">
        <v>54</v>
      </c>
      <c r="D1121" s="70">
        <v>11786.6</v>
      </c>
      <c r="E1121" s="70">
        <v>613.12</v>
      </c>
      <c r="F1121" s="70">
        <f>D1121*0.3</f>
        <v>3535.98</v>
      </c>
      <c r="G1121" s="70">
        <f>(IF(D1121&lt;4172.98,0,MIN(D1121*0.3,D1121-4172.98)))-E1121</f>
        <v>2922.86</v>
      </c>
      <c r="H1121" s="71">
        <v>45901</v>
      </c>
      <c r="I1121" s="69" t="s">
        <v>141</v>
      </c>
      <c r="J1121" s="70">
        <v>613.12</v>
      </c>
      <c r="K1121" s="70" t="s">
        <v>1091</v>
      </c>
      <c r="L1121" s="143">
        <v>46293</v>
      </c>
    </row>
    <row r="1122" spans="1:12">
      <c r="A1122" s="30">
        <v>24900126</v>
      </c>
      <c r="C1122" s="69" t="s">
        <v>27</v>
      </c>
      <c r="D1122" s="70">
        <v>6262.86</v>
      </c>
      <c r="E1122" s="70">
        <v>1738.5</v>
      </c>
      <c r="F1122" s="70">
        <f>D1122*0.3</f>
        <v>1878.8579999999997</v>
      </c>
      <c r="G1122" s="70">
        <f>(IF(D1122&lt;4172.98,0,MIN(D1122*0.3,D1122-4172.98)))-E1122</f>
        <v>140.35799999999972</v>
      </c>
      <c r="H1122" s="71">
        <v>46204</v>
      </c>
      <c r="I1122" s="69" t="s">
        <v>59</v>
      </c>
      <c r="J1122" s="70">
        <v>1738.5</v>
      </c>
      <c r="K1122" s="70" t="s">
        <v>2059</v>
      </c>
      <c r="L1122" s="143">
        <v>46293</v>
      </c>
    </row>
    <row r="1123" spans="1:12">
      <c r="A1123" s="72">
        <v>24870662</v>
      </c>
      <c r="C1123" s="69" t="s">
        <v>54</v>
      </c>
      <c r="D1123" s="70"/>
      <c r="E1123" s="70"/>
      <c r="F1123" s="70">
        <f>D1123*0.3</f>
        <v>0</v>
      </c>
      <c r="G1123" s="70">
        <f>(IF(D1123&lt;4172.98,0,MIN(D1123*0.3,D1123-4172.98)))-E1123</f>
        <v>0</v>
      </c>
      <c r="H1123" s="69"/>
      <c r="I1123" s="69"/>
      <c r="J1123" s="70"/>
      <c r="K1123" s="70" t="s">
        <v>28</v>
      </c>
      <c r="L1123" s="143">
        <v>46293</v>
      </c>
    </row>
    <row r="1124" spans="1:12">
      <c r="A1124" s="72">
        <v>24892878</v>
      </c>
      <c r="B1124">
        <v>5212481146476</v>
      </c>
      <c r="C1124" s="69" t="s">
        <v>38</v>
      </c>
      <c r="D1124" s="70">
        <v>4480.25</v>
      </c>
      <c r="E1124" s="70"/>
      <c r="F1124" s="70">
        <v>1344.075</v>
      </c>
      <c r="G1124" s="70">
        <v>307.27000000000044</v>
      </c>
      <c r="H1124" s="69"/>
      <c r="I1124" s="69"/>
      <c r="J1124" s="70"/>
      <c r="K1124" s="70" t="s">
        <v>2179</v>
      </c>
      <c r="L1124" s="143">
        <v>46293</v>
      </c>
    </row>
    <row r="1125" spans="1:12">
      <c r="A1125" s="12">
        <v>24903402</v>
      </c>
      <c r="C1125" s="69" t="s">
        <v>54</v>
      </c>
      <c r="D1125" s="70">
        <v>10636.54</v>
      </c>
      <c r="E1125" s="70"/>
      <c r="F1125" s="70">
        <f t="shared" ref="F1125:F1127" si="165">D1125*0.3</f>
        <v>3190.962</v>
      </c>
      <c r="G1125" s="70">
        <f t="shared" ref="G1125:G1127" si="166">(IF(D1125&lt;4172.98,0,MIN(D1125*0.3,D1125-4172.98)))-E1125</f>
        <v>3190.962</v>
      </c>
      <c r="H1125" s="69"/>
      <c r="I1125" s="69"/>
      <c r="J1125" s="70"/>
      <c r="K1125" s="70" t="s">
        <v>2582</v>
      </c>
      <c r="L1125" s="143">
        <v>46294</v>
      </c>
    </row>
    <row r="1126" spans="1:12">
      <c r="A1126" s="12">
        <v>24903954</v>
      </c>
      <c r="C1126" s="69" t="s">
        <v>38</v>
      </c>
      <c r="D1126" s="70">
        <f>8538.81+2097.73</f>
        <v>10636.539999999999</v>
      </c>
      <c r="E1126" s="70">
        <v>2097.73</v>
      </c>
      <c r="F1126" s="70">
        <f t="shared" si="165"/>
        <v>3190.9619999999995</v>
      </c>
      <c r="G1126" s="70">
        <f t="shared" si="166"/>
        <v>1093.2319999999995</v>
      </c>
      <c r="H1126" s="71">
        <v>46997</v>
      </c>
      <c r="I1126" s="69" t="s">
        <v>75</v>
      </c>
      <c r="J1126" s="70">
        <v>2097.73</v>
      </c>
      <c r="K1126" s="70" t="s">
        <v>2179</v>
      </c>
      <c r="L1126" s="143">
        <v>46294</v>
      </c>
    </row>
    <row r="1127" spans="1:12">
      <c r="A1127" s="12">
        <v>24924920</v>
      </c>
      <c r="C1127" s="69" t="s">
        <v>54</v>
      </c>
      <c r="D1127" s="70">
        <v>19742.54</v>
      </c>
      <c r="E1127" s="70"/>
      <c r="F1127" s="70">
        <f t="shared" si="165"/>
        <v>5922.7619999999997</v>
      </c>
      <c r="G1127" s="70">
        <f t="shared" si="166"/>
        <v>5922.7619999999997</v>
      </c>
      <c r="H1127" s="69"/>
      <c r="I1127" s="69"/>
      <c r="J1127" s="70"/>
      <c r="K1127" s="70" t="s">
        <v>2576</v>
      </c>
      <c r="L1127" s="143">
        <v>46294</v>
      </c>
    </row>
    <row r="1128" spans="1:12">
      <c r="A1128" s="30">
        <v>24925874</v>
      </c>
      <c r="C1128" s="69" t="s">
        <v>54</v>
      </c>
      <c r="D1128" s="70">
        <v>16740.53</v>
      </c>
      <c r="E1128" s="70"/>
      <c r="F1128" s="70">
        <f>D1128*0.3</f>
        <v>5022.1589999999997</v>
      </c>
      <c r="G1128" s="70">
        <f>(IF(D1128&lt;4172.98,0,MIN(D1128*0.3,D1128-4172.98)))-E1128</f>
        <v>5022.1589999999997</v>
      </c>
      <c r="H1128" s="69"/>
      <c r="I1128" s="69"/>
      <c r="J1128" s="70"/>
      <c r="K1128" s="70" t="s">
        <v>1080</v>
      </c>
      <c r="L1128" s="143">
        <v>46294</v>
      </c>
    </row>
    <row r="1129" spans="1:12">
      <c r="A1129" s="72">
        <v>24901938</v>
      </c>
      <c r="B1129">
        <v>5219515043360</v>
      </c>
      <c r="C1129" s="69" t="s">
        <v>38</v>
      </c>
      <c r="D1129" s="70">
        <v>9081.52</v>
      </c>
      <c r="E1129" s="70">
        <v>1876.44</v>
      </c>
      <c r="F1129" s="70">
        <v>2724.4560000000001</v>
      </c>
      <c r="G1129" s="70">
        <v>848.01600000000008</v>
      </c>
      <c r="H1129" s="69">
        <v>46935</v>
      </c>
      <c r="I1129" s="69" t="s">
        <v>43</v>
      </c>
      <c r="J1129" s="70">
        <v>1876.44</v>
      </c>
      <c r="K1129" s="70" t="s">
        <v>2179</v>
      </c>
      <c r="L1129" s="143">
        <v>46294</v>
      </c>
    </row>
    <row r="1130" spans="1:12">
      <c r="A1130" s="30">
        <v>24900434</v>
      </c>
      <c r="C1130" s="69" t="s">
        <v>27</v>
      </c>
      <c r="D1130" s="70">
        <v>41561.24</v>
      </c>
      <c r="E1130" s="70">
        <v>12468.37</v>
      </c>
      <c r="F1130" s="70">
        <f>D1130*0.3</f>
        <v>12468.371999999999</v>
      </c>
      <c r="G1130" s="70">
        <f>(IF(D1130&lt;4172.98,0,MIN(D1130*0.3,D1130-4172.98)))-E1130</f>
        <v>1.9999999985884642E-3</v>
      </c>
      <c r="H1130" s="71">
        <v>46235</v>
      </c>
      <c r="I1130" s="69" t="s">
        <v>1430</v>
      </c>
      <c r="J1130" s="70">
        <v>1580</v>
      </c>
      <c r="K1130" s="70" t="s">
        <v>1080</v>
      </c>
      <c r="L1130" s="143">
        <v>46294</v>
      </c>
    </row>
    <row r="1131" spans="1:12">
      <c r="A1131" s="72">
        <v>24814862</v>
      </c>
      <c r="C1131" s="69" t="s">
        <v>38</v>
      </c>
      <c r="D1131" s="70"/>
      <c r="E1131" s="70"/>
      <c r="F1131" s="70">
        <f>D1131*0.3</f>
        <v>0</v>
      </c>
      <c r="G1131" s="70">
        <f>(IF(D1131&lt;4172.98,0,MIN(D1131*0.3,D1131-4172.98)))-E1131</f>
        <v>0</v>
      </c>
      <c r="H1131" s="69"/>
      <c r="I1131" s="69"/>
      <c r="J1131" s="70"/>
      <c r="K1131" s="70" t="s">
        <v>28</v>
      </c>
      <c r="L1131" s="143">
        <v>46294</v>
      </c>
    </row>
    <row r="1132" spans="1:12">
      <c r="A1132" s="30">
        <v>24931462</v>
      </c>
      <c r="C1132" s="69" t="s">
        <v>38</v>
      </c>
      <c r="D1132" s="70">
        <v>5617.63</v>
      </c>
      <c r="E1132" s="70">
        <v>594.01</v>
      </c>
      <c r="F1132" s="70">
        <f>D1132*0.3</f>
        <v>1685.289</v>
      </c>
      <c r="G1132" s="70">
        <f>(IF(D1132&lt;4172.98,0,MIN(D1132*0.3,D1132-4172.98)))-E1132</f>
        <v>850.64000000000055</v>
      </c>
      <c r="H1132" s="71">
        <v>46874</v>
      </c>
      <c r="I1132" s="69" t="s">
        <v>1669</v>
      </c>
      <c r="J1132" s="70">
        <v>594.01</v>
      </c>
      <c r="K1132" s="70" t="s">
        <v>2179</v>
      </c>
      <c r="L1132" s="143">
        <v>46294</v>
      </c>
    </row>
    <row r="1133" spans="1:12">
      <c r="A1133" s="240">
        <v>24926032</v>
      </c>
      <c r="B1133" s="241">
        <v>5219981629709</v>
      </c>
      <c r="C1133" s="242" t="s">
        <v>54</v>
      </c>
      <c r="D1133" s="243">
        <v>9135.7999999999993</v>
      </c>
      <c r="E1133" s="243"/>
      <c r="F1133" s="243">
        <v>2740.74</v>
      </c>
      <c r="G1133" s="243">
        <v>2740.74</v>
      </c>
      <c r="H1133" s="242"/>
      <c r="I1133" s="242"/>
      <c r="J1133" s="243"/>
      <c r="K1133" s="243" t="s">
        <v>1910</v>
      </c>
      <c r="L1133" s="244">
        <v>46294</v>
      </c>
    </row>
    <row r="1134" spans="1:12">
      <c r="A1134" s="12">
        <v>24931906</v>
      </c>
      <c r="B1134" s="241"/>
      <c r="C1134" s="242" t="s">
        <v>34</v>
      </c>
      <c r="D1134" s="243">
        <v>9081.52</v>
      </c>
      <c r="E1134" s="243">
        <v>2514.25</v>
      </c>
      <c r="F1134" s="243">
        <f>D1134*0.3</f>
        <v>2724.4560000000001</v>
      </c>
      <c r="G1134" s="243">
        <f>(IF(D1134&lt;4172.98,0,MIN(D1134*0.3,D1134-4172.98)))-E1134</f>
        <v>210.20600000000013</v>
      </c>
      <c r="H1134" s="245">
        <v>46631</v>
      </c>
      <c r="I1134" s="242" t="s">
        <v>141</v>
      </c>
      <c r="J1134" s="243">
        <v>2514.25</v>
      </c>
      <c r="K1134" s="243" t="s">
        <v>830</v>
      </c>
      <c r="L1134" s="244">
        <v>46294</v>
      </c>
    </row>
    <row r="1135" spans="1:12">
      <c r="A1135" s="30">
        <v>24932104</v>
      </c>
      <c r="C1135" s="69" t="s">
        <v>38</v>
      </c>
      <c r="D1135" s="70">
        <v>15165.19</v>
      </c>
      <c r="E1135" s="70">
        <v>3539.65</v>
      </c>
      <c r="F1135" s="70">
        <f>D1135*0.3</f>
        <v>4549.5569999999998</v>
      </c>
      <c r="G1135" s="70">
        <f>(IF(D1135&lt;4172.98,0,MIN(D1135*0.3,D1135-4172.98)))-E1135</f>
        <v>1009.9069999999997</v>
      </c>
      <c r="H1135" s="71">
        <v>46600</v>
      </c>
      <c r="I1135" s="69" t="s">
        <v>77</v>
      </c>
      <c r="J1135" s="70">
        <v>1874.45</v>
      </c>
      <c r="K1135" s="70" t="s">
        <v>2179</v>
      </c>
      <c r="L1135" s="143">
        <v>46294</v>
      </c>
    </row>
    <row r="1136" spans="1:12">
      <c r="A1136" s="72">
        <v>24930576</v>
      </c>
      <c r="B1136">
        <v>5213411596451</v>
      </c>
      <c r="C1136" s="69" t="s">
        <v>54</v>
      </c>
      <c r="D1136" s="70">
        <v>16437</v>
      </c>
      <c r="E1136" s="70">
        <v>2050</v>
      </c>
      <c r="F1136" s="70">
        <v>4931.0999999999995</v>
      </c>
      <c r="G1136" s="70">
        <v>2881.0999999999995</v>
      </c>
      <c r="H1136" s="69">
        <v>46508</v>
      </c>
      <c r="I1136" s="69" t="s">
        <v>75</v>
      </c>
      <c r="J1136" s="70">
        <v>2050</v>
      </c>
      <c r="K1136" s="70" t="s">
        <v>2576</v>
      </c>
      <c r="L1136" s="143">
        <v>46294</v>
      </c>
    </row>
    <row r="1137" spans="1:12">
      <c r="A1137" s="72">
        <v>24814380</v>
      </c>
      <c r="C1137" s="69" t="s">
        <v>38</v>
      </c>
      <c r="D1137" s="70"/>
      <c r="E1137" s="70"/>
      <c r="F1137" s="70">
        <f>D1137*0.3</f>
        <v>0</v>
      </c>
      <c r="G1137" s="70">
        <f>(IF(D1137&lt;4172.98,0,MIN(D1137*0.3,D1137-4172.98)))-E1137</f>
        <v>0</v>
      </c>
      <c r="H1137" s="69"/>
      <c r="I1137" s="69"/>
      <c r="J1137" s="70"/>
      <c r="K1137" s="70" t="s">
        <v>28</v>
      </c>
      <c r="L1137" s="143">
        <v>46294</v>
      </c>
    </row>
  </sheetData>
  <conditionalFormatting sqref="A1:A14">
    <cfRule type="cellIs" dxfId="1034" priority="1038" operator="equal">
      <formula>2</formula>
    </cfRule>
  </conditionalFormatting>
  <conditionalFormatting sqref="G1:G14">
    <cfRule type="cellIs" dxfId="1033" priority="1037" operator="between">
      <formula>300</formula>
      <formula>1200</formula>
    </cfRule>
  </conditionalFormatting>
  <conditionalFormatting sqref="G1:G14">
    <cfRule type="cellIs" dxfId="1032" priority="1036" operator="greaterThan">
      <formula>1200</formula>
    </cfRule>
  </conditionalFormatting>
  <conditionalFormatting sqref="A1:A14">
    <cfRule type="cellIs" dxfId="1031" priority="1035" operator="equal">
      <formula>1</formula>
    </cfRule>
  </conditionalFormatting>
  <conditionalFormatting sqref="G15:G40 G393:G394 G806:G814">
    <cfRule type="cellIs" dxfId="1030" priority="1034" operator="between">
      <formula>300</formula>
      <formula>1200</formula>
    </cfRule>
  </conditionalFormatting>
  <conditionalFormatting sqref="G15:G40 G393:G394 G806:G814">
    <cfRule type="cellIs" dxfId="1029" priority="1033" operator="greaterThan">
      <formula>1200</formula>
    </cfRule>
  </conditionalFormatting>
  <conditionalFormatting sqref="G41:G42">
    <cfRule type="cellIs" dxfId="1028" priority="1032" operator="between">
      <formula>300</formula>
      <formula>1200</formula>
    </cfRule>
  </conditionalFormatting>
  <conditionalFormatting sqref="G41:G42">
    <cfRule type="cellIs" dxfId="1027" priority="1031" operator="greaterThan">
      <formula>1200</formula>
    </cfRule>
  </conditionalFormatting>
  <conditionalFormatting sqref="A41:A42">
    <cfRule type="cellIs" dxfId="1026" priority="1030" operator="equal">
      <formula>2</formula>
    </cfRule>
  </conditionalFormatting>
  <conditionalFormatting sqref="A41:A42">
    <cfRule type="cellIs" dxfId="1025" priority="1029" operator="equal">
      <formula>1</formula>
    </cfRule>
  </conditionalFormatting>
  <conditionalFormatting sqref="G44">
    <cfRule type="cellIs" dxfId="1024" priority="1028" operator="between">
      <formula>300</formula>
      <formula>1200</formula>
    </cfRule>
  </conditionalFormatting>
  <conditionalFormatting sqref="G44">
    <cfRule type="cellIs" dxfId="1023" priority="1027" operator="greaterThan">
      <formula>1200</formula>
    </cfRule>
  </conditionalFormatting>
  <conditionalFormatting sqref="G45">
    <cfRule type="cellIs" dxfId="1022" priority="1026" operator="between">
      <formula>300</formula>
      <formula>1200</formula>
    </cfRule>
  </conditionalFormatting>
  <conditionalFormatting sqref="G45">
    <cfRule type="cellIs" dxfId="1021" priority="1025" operator="greaterThan">
      <formula>1200</formula>
    </cfRule>
  </conditionalFormatting>
  <conditionalFormatting sqref="G48:G49">
    <cfRule type="cellIs" dxfId="1020" priority="1024" operator="between">
      <formula>300</formula>
      <formula>1200</formula>
    </cfRule>
  </conditionalFormatting>
  <conditionalFormatting sqref="G48:G49">
    <cfRule type="cellIs" dxfId="1019" priority="1023" operator="greaterThan">
      <formula>1200</formula>
    </cfRule>
  </conditionalFormatting>
  <conditionalFormatting sqref="G52:G57">
    <cfRule type="cellIs" dxfId="1018" priority="1020" operator="between">
      <formula>300</formula>
      <formula>1200</formula>
    </cfRule>
  </conditionalFormatting>
  <conditionalFormatting sqref="G52:G57">
    <cfRule type="cellIs" dxfId="1017" priority="1019" operator="greaterThan">
      <formula>1200</formula>
    </cfRule>
  </conditionalFormatting>
  <conditionalFormatting sqref="G64:G66">
    <cfRule type="cellIs" dxfId="1016" priority="1018" operator="between">
      <formula>300</formula>
      <formula>1200</formula>
    </cfRule>
  </conditionalFormatting>
  <conditionalFormatting sqref="G64:G66">
    <cfRule type="cellIs" dxfId="1015" priority="1017" operator="greaterThan">
      <formula>1200</formula>
    </cfRule>
  </conditionalFormatting>
  <conditionalFormatting sqref="G68:G69">
    <cfRule type="cellIs" dxfId="1014" priority="1008" operator="between">
      <formula>300</formula>
      <formula>1200</formula>
    </cfRule>
  </conditionalFormatting>
  <conditionalFormatting sqref="G68:G69">
    <cfRule type="cellIs" dxfId="1013" priority="1007" operator="greaterThan">
      <formula>1200</formula>
    </cfRule>
  </conditionalFormatting>
  <conditionalFormatting sqref="G74">
    <cfRule type="cellIs" dxfId="1012" priority="1006" operator="between">
      <formula>300</formula>
      <formula>1200</formula>
    </cfRule>
  </conditionalFormatting>
  <conditionalFormatting sqref="G74">
    <cfRule type="cellIs" dxfId="1011" priority="1005" operator="greaterThan">
      <formula>1200</formula>
    </cfRule>
  </conditionalFormatting>
  <conditionalFormatting sqref="G77">
    <cfRule type="cellIs" dxfId="1010" priority="1004" operator="between">
      <formula>300</formula>
      <formula>1200</formula>
    </cfRule>
  </conditionalFormatting>
  <conditionalFormatting sqref="G77">
    <cfRule type="cellIs" dxfId="1009" priority="1003" operator="greaterThan">
      <formula>1200</formula>
    </cfRule>
  </conditionalFormatting>
  <conditionalFormatting sqref="G78:G80">
    <cfRule type="cellIs" dxfId="1008" priority="1002" operator="between">
      <formula>300</formula>
      <formula>1200</formula>
    </cfRule>
  </conditionalFormatting>
  <conditionalFormatting sqref="G78:G80">
    <cfRule type="cellIs" dxfId="1007" priority="1001" operator="greaterThan">
      <formula>1200</formula>
    </cfRule>
  </conditionalFormatting>
  <conditionalFormatting sqref="G88">
    <cfRule type="cellIs" dxfId="1006" priority="1000" operator="between">
      <formula>300</formula>
      <formula>1200</formula>
    </cfRule>
  </conditionalFormatting>
  <conditionalFormatting sqref="G88">
    <cfRule type="cellIs" dxfId="1005" priority="999" operator="greaterThan">
      <formula>1200</formula>
    </cfRule>
  </conditionalFormatting>
  <conditionalFormatting sqref="G89">
    <cfRule type="cellIs" dxfId="1004" priority="998" operator="between">
      <formula>300</formula>
      <formula>1200</formula>
    </cfRule>
  </conditionalFormatting>
  <conditionalFormatting sqref="G89">
    <cfRule type="cellIs" dxfId="1003" priority="997" operator="greaterThan">
      <formula>1200</formula>
    </cfRule>
  </conditionalFormatting>
  <conditionalFormatting sqref="G90">
    <cfRule type="cellIs" dxfId="1002" priority="996" operator="between">
      <formula>300</formula>
      <formula>1200</formula>
    </cfRule>
  </conditionalFormatting>
  <conditionalFormatting sqref="G90">
    <cfRule type="cellIs" dxfId="1001" priority="995" operator="greaterThan">
      <formula>1200</formula>
    </cfRule>
  </conditionalFormatting>
  <conditionalFormatting sqref="G91">
    <cfRule type="cellIs" dxfId="1000" priority="994" operator="between">
      <formula>300</formula>
      <formula>1200</formula>
    </cfRule>
  </conditionalFormatting>
  <conditionalFormatting sqref="G91">
    <cfRule type="cellIs" dxfId="999" priority="993" operator="greaterThan">
      <formula>1200</formula>
    </cfRule>
  </conditionalFormatting>
  <conditionalFormatting sqref="G93">
    <cfRule type="cellIs" dxfId="998" priority="992" operator="between">
      <formula>300</formula>
      <formula>1200</formula>
    </cfRule>
  </conditionalFormatting>
  <conditionalFormatting sqref="G93">
    <cfRule type="cellIs" dxfId="997" priority="991" operator="greaterThan">
      <formula>1200</formula>
    </cfRule>
  </conditionalFormatting>
  <conditionalFormatting sqref="G94">
    <cfRule type="cellIs" dxfId="996" priority="990" operator="between">
      <formula>300</formula>
      <formula>1200</formula>
    </cfRule>
  </conditionalFormatting>
  <conditionalFormatting sqref="G94">
    <cfRule type="cellIs" dxfId="995" priority="989" operator="greaterThan">
      <formula>1200</formula>
    </cfRule>
  </conditionalFormatting>
  <conditionalFormatting sqref="G95:G96">
    <cfRule type="cellIs" dxfId="994" priority="988" operator="between">
      <formula>300</formula>
      <formula>1200</formula>
    </cfRule>
  </conditionalFormatting>
  <conditionalFormatting sqref="G95:G96">
    <cfRule type="cellIs" dxfId="993" priority="987" operator="greaterThan">
      <formula>1200</formula>
    </cfRule>
  </conditionalFormatting>
  <conditionalFormatting sqref="G97">
    <cfRule type="cellIs" dxfId="992" priority="986" operator="between">
      <formula>300</formula>
      <formula>1200</formula>
    </cfRule>
  </conditionalFormatting>
  <conditionalFormatting sqref="G97">
    <cfRule type="cellIs" dxfId="991" priority="985" operator="greaterThan">
      <formula>1200</formula>
    </cfRule>
  </conditionalFormatting>
  <conditionalFormatting sqref="G98">
    <cfRule type="cellIs" dxfId="990" priority="984" operator="between">
      <formula>300</formula>
      <formula>1200</formula>
    </cfRule>
  </conditionalFormatting>
  <conditionalFormatting sqref="G98">
    <cfRule type="cellIs" dxfId="989" priority="983" operator="greaterThan">
      <formula>1200</formula>
    </cfRule>
  </conditionalFormatting>
  <conditionalFormatting sqref="G99">
    <cfRule type="cellIs" dxfId="988" priority="982" operator="between">
      <formula>300</formula>
      <formula>1200</formula>
    </cfRule>
  </conditionalFormatting>
  <conditionalFormatting sqref="G99">
    <cfRule type="cellIs" dxfId="987" priority="981" operator="greaterThan">
      <formula>1200</formula>
    </cfRule>
  </conditionalFormatting>
  <conditionalFormatting sqref="G100">
    <cfRule type="cellIs" dxfId="986" priority="978" operator="between">
      <formula>300</formula>
      <formula>1200</formula>
    </cfRule>
  </conditionalFormatting>
  <conditionalFormatting sqref="G100">
    <cfRule type="cellIs" dxfId="985" priority="977" operator="greaterThan">
      <formula>1200</formula>
    </cfRule>
  </conditionalFormatting>
  <conditionalFormatting sqref="G101">
    <cfRule type="cellIs" dxfId="984" priority="976" operator="between">
      <formula>300</formula>
      <formula>1200</formula>
    </cfRule>
  </conditionalFormatting>
  <conditionalFormatting sqref="G101">
    <cfRule type="cellIs" dxfId="983" priority="975" operator="greaterThan">
      <formula>1200</formula>
    </cfRule>
  </conditionalFormatting>
  <conditionalFormatting sqref="G102">
    <cfRule type="cellIs" dxfId="982" priority="974" operator="between">
      <formula>300</formula>
      <formula>1200</formula>
    </cfRule>
  </conditionalFormatting>
  <conditionalFormatting sqref="G102">
    <cfRule type="cellIs" dxfId="981" priority="973" operator="greaterThan">
      <formula>1200</formula>
    </cfRule>
  </conditionalFormatting>
  <conditionalFormatting sqref="G103">
    <cfRule type="cellIs" dxfId="980" priority="972" operator="between">
      <formula>300</formula>
      <formula>1200</formula>
    </cfRule>
  </conditionalFormatting>
  <conditionalFormatting sqref="G103">
    <cfRule type="cellIs" dxfId="979" priority="971" operator="greaterThan">
      <formula>1200</formula>
    </cfRule>
  </conditionalFormatting>
  <conditionalFormatting sqref="G104">
    <cfRule type="cellIs" dxfId="978" priority="970" operator="between">
      <formula>300</formula>
      <formula>1200</formula>
    </cfRule>
  </conditionalFormatting>
  <conditionalFormatting sqref="G104">
    <cfRule type="cellIs" dxfId="977" priority="969" operator="greaterThan">
      <formula>1200</formula>
    </cfRule>
  </conditionalFormatting>
  <conditionalFormatting sqref="G107">
    <cfRule type="cellIs" dxfId="976" priority="968" operator="between">
      <formula>300</formula>
      <formula>1200</formula>
    </cfRule>
  </conditionalFormatting>
  <conditionalFormatting sqref="G107">
    <cfRule type="cellIs" dxfId="975" priority="967" operator="greaterThan">
      <formula>1200</formula>
    </cfRule>
  </conditionalFormatting>
  <conditionalFormatting sqref="G111:G113">
    <cfRule type="cellIs" dxfId="974" priority="966" operator="between">
      <formula>300</formula>
      <formula>1200</formula>
    </cfRule>
  </conditionalFormatting>
  <conditionalFormatting sqref="G111:G113">
    <cfRule type="cellIs" dxfId="973" priority="965" operator="greaterThan">
      <formula>1200</formula>
    </cfRule>
  </conditionalFormatting>
  <conditionalFormatting sqref="G117">
    <cfRule type="cellIs" dxfId="972" priority="964" operator="between">
      <formula>300</formula>
      <formula>1200</formula>
    </cfRule>
  </conditionalFormatting>
  <conditionalFormatting sqref="G117">
    <cfRule type="cellIs" dxfId="971" priority="963" operator="greaterThan">
      <formula>1200</formula>
    </cfRule>
  </conditionalFormatting>
  <conditionalFormatting sqref="G118">
    <cfRule type="cellIs" dxfId="970" priority="962" operator="between">
      <formula>300</formula>
      <formula>1200</formula>
    </cfRule>
  </conditionalFormatting>
  <conditionalFormatting sqref="G118">
    <cfRule type="cellIs" dxfId="969" priority="961" operator="greaterThan">
      <formula>1200</formula>
    </cfRule>
  </conditionalFormatting>
  <conditionalFormatting sqref="G121">
    <cfRule type="cellIs" dxfId="968" priority="960" operator="between">
      <formula>300</formula>
      <formula>1200</formula>
    </cfRule>
  </conditionalFormatting>
  <conditionalFormatting sqref="G121">
    <cfRule type="cellIs" dxfId="967" priority="959" operator="greaterThan">
      <formula>1200</formula>
    </cfRule>
  </conditionalFormatting>
  <conditionalFormatting sqref="G122">
    <cfRule type="cellIs" dxfId="966" priority="958" operator="between">
      <formula>300</formula>
      <formula>1200</formula>
    </cfRule>
  </conditionalFormatting>
  <conditionalFormatting sqref="G122">
    <cfRule type="cellIs" dxfId="965" priority="957" operator="greaterThan">
      <formula>1200</formula>
    </cfRule>
  </conditionalFormatting>
  <conditionalFormatting sqref="G123">
    <cfRule type="cellIs" dxfId="964" priority="956" operator="between">
      <formula>300</formula>
      <formula>1200</formula>
    </cfRule>
  </conditionalFormatting>
  <conditionalFormatting sqref="G123">
    <cfRule type="cellIs" dxfId="963" priority="955" operator="greaterThan">
      <formula>1200</formula>
    </cfRule>
  </conditionalFormatting>
  <conditionalFormatting sqref="G124">
    <cfRule type="cellIs" dxfId="962" priority="954" operator="between">
      <formula>300</formula>
      <formula>1200</formula>
    </cfRule>
  </conditionalFormatting>
  <conditionalFormatting sqref="G124">
    <cfRule type="cellIs" dxfId="961" priority="953" operator="greaterThan">
      <formula>1200</formula>
    </cfRule>
  </conditionalFormatting>
  <conditionalFormatting sqref="G125">
    <cfRule type="cellIs" dxfId="960" priority="952" operator="between">
      <formula>300</formula>
      <formula>1200</formula>
    </cfRule>
  </conditionalFormatting>
  <conditionalFormatting sqref="G125">
    <cfRule type="cellIs" dxfId="959" priority="951" operator="greaterThan">
      <formula>1200</formula>
    </cfRule>
  </conditionalFormatting>
  <conditionalFormatting sqref="G126">
    <cfRule type="cellIs" dxfId="958" priority="950" operator="between">
      <formula>300</formula>
      <formula>1200</formula>
    </cfRule>
  </conditionalFormatting>
  <conditionalFormatting sqref="G126">
    <cfRule type="cellIs" dxfId="957" priority="949" operator="greaterThan">
      <formula>1200</formula>
    </cfRule>
  </conditionalFormatting>
  <conditionalFormatting sqref="G127">
    <cfRule type="cellIs" dxfId="956" priority="948" operator="between">
      <formula>300</formula>
      <formula>1200</formula>
    </cfRule>
  </conditionalFormatting>
  <conditionalFormatting sqref="G127">
    <cfRule type="cellIs" dxfId="955" priority="947" operator="greaterThan">
      <formula>1200</formula>
    </cfRule>
  </conditionalFormatting>
  <conditionalFormatting sqref="G128">
    <cfRule type="cellIs" dxfId="954" priority="946" operator="between">
      <formula>300</formula>
      <formula>1200</formula>
    </cfRule>
  </conditionalFormatting>
  <conditionalFormatting sqref="G128">
    <cfRule type="cellIs" dxfId="953" priority="945" operator="greaterThan">
      <formula>1200</formula>
    </cfRule>
  </conditionalFormatting>
  <conditionalFormatting sqref="G130">
    <cfRule type="cellIs" dxfId="952" priority="944" operator="between">
      <formula>300</formula>
      <formula>1200</formula>
    </cfRule>
  </conditionalFormatting>
  <conditionalFormatting sqref="G130">
    <cfRule type="cellIs" dxfId="951" priority="943" operator="greaterThan">
      <formula>1200</formula>
    </cfRule>
  </conditionalFormatting>
  <conditionalFormatting sqref="G134">
    <cfRule type="cellIs" dxfId="950" priority="942" operator="between">
      <formula>300</formula>
      <formula>1200</formula>
    </cfRule>
  </conditionalFormatting>
  <conditionalFormatting sqref="G134">
    <cfRule type="cellIs" dxfId="949" priority="941" operator="greaterThan">
      <formula>1200</formula>
    </cfRule>
  </conditionalFormatting>
  <conditionalFormatting sqref="G135">
    <cfRule type="cellIs" dxfId="948" priority="940" operator="between">
      <formula>300</formula>
      <formula>1200</formula>
    </cfRule>
  </conditionalFormatting>
  <conditionalFormatting sqref="G135">
    <cfRule type="cellIs" dxfId="947" priority="939" operator="greaterThan">
      <formula>1200</formula>
    </cfRule>
  </conditionalFormatting>
  <conditionalFormatting sqref="G136">
    <cfRule type="cellIs" dxfId="946" priority="938" operator="between">
      <formula>300</formula>
      <formula>1200</formula>
    </cfRule>
  </conditionalFormatting>
  <conditionalFormatting sqref="G136">
    <cfRule type="cellIs" dxfId="945" priority="937" operator="greaterThan">
      <formula>1200</formula>
    </cfRule>
  </conditionalFormatting>
  <conditionalFormatting sqref="G137">
    <cfRule type="cellIs" dxfId="944" priority="936" operator="between">
      <formula>300</formula>
      <formula>1200</formula>
    </cfRule>
  </conditionalFormatting>
  <conditionalFormatting sqref="G137">
    <cfRule type="cellIs" dxfId="943" priority="935" operator="greaterThan">
      <formula>1200</formula>
    </cfRule>
  </conditionalFormatting>
  <conditionalFormatting sqref="G138">
    <cfRule type="cellIs" dxfId="942" priority="934" operator="between">
      <formula>300</formula>
      <formula>1200</formula>
    </cfRule>
  </conditionalFormatting>
  <conditionalFormatting sqref="G138">
    <cfRule type="cellIs" dxfId="941" priority="933" operator="greaterThan">
      <formula>1200</formula>
    </cfRule>
  </conditionalFormatting>
  <conditionalFormatting sqref="G139">
    <cfRule type="cellIs" dxfId="940" priority="932" operator="between">
      <formula>300</formula>
      <formula>1200</formula>
    </cfRule>
  </conditionalFormatting>
  <conditionalFormatting sqref="G139">
    <cfRule type="cellIs" dxfId="939" priority="931" operator="greaterThan">
      <formula>1200</formula>
    </cfRule>
  </conditionalFormatting>
  <conditionalFormatting sqref="G140">
    <cfRule type="cellIs" dxfId="938" priority="930" operator="between">
      <formula>300</formula>
      <formula>1200</formula>
    </cfRule>
  </conditionalFormatting>
  <conditionalFormatting sqref="G140">
    <cfRule type="cellIs" dxfId="937" priority="929" operator="greaterThan">
      <formula>1200</formula>
    </cfRule>
  </conditionalFormatting>
  <conditionalFormatting sqref="G150">
    <cfRule type="cellIs" dxfId="936" priority="928" operator="between">
      <formula>300</formula>
      <formula>1200</formula>
    </cfRule>
  </conditionalFormatting>
  <conditionalFormatting sqref="G150">
    <cfRule type="cellIs" dxfId="935" priority="927" operator="greaterThan">
      <formula>1200</formula>
    </cfRule>
  </conditionalFormatting>
  <conditionalFormatting sqref="G152">
    <cfRule type="cellIs" dxfId="934" priority="926" operator="between">
      <formula>300</formula>
      <formula>1200</formula>
    </cfRule>
  </conditionalFormatting>
  <conditionalFormatting sqref="G152">
    <cfRule type="cellIs" dxfId="933" priority="925" operator="greaterThan">
      <formula>1200</formula>
    </cfRule>
  </conditionalFormatting>
  <conditionalFormatting sqref="G153">
    <cfRule type="cellIs" dxfId="932" priority="924" operator="between">
      <formula>300</formula>
      <formula>1200</formula>
    </cfRule>
  </conditionalFormatting>
  <conditionalFormatting sqref="G153">
    <cfRule type="cellIs" dxfId="931" priority="923" operator="greaterThan">
      <formula>1200</formula>
    </cfRule>
  </conditionalFormatting>
  <conditionalFormatting sqref="G154">
    <cfRule type="cellIs" dxfId="930" priority="922" operator="between">
      <formula>300</formula>
      <formula>1200</formula>
    </cfRule>
  </conditionalFormatting>
  <conditionalFormatting sqref="G154">
    <cfRule type="cellIs" dxfId="929" priority="921" operator="greaterThan">
      <formula>1200</formula>
    </cfRule>
  </conditionalFormatting>
  <conditionalFormatting sqref="G155:G157">
    <cfRule type="cellIs" dxfId="928" priority="920" operator="between">
      <formula>300</formula>
      <formula>1200</formula>
    </cfRule>
  </conditionalFormatting>
  <conditionalFormatting sqref="G155:G157">
    <cfRule type="cellIs" dxfId="927" priority="919" operator="greaterThan">
      <formula>1200</formula>
    </cfRule>
  </conditionalFormatting>
  <conditionalFormatting sqref="G158">
    <cfRule type="cellIs" dxfId="926" priority="918" operator="between">
      <formula>300</formula>
      <formula>1200</formula>
    </cfRule>
  </conditionalFormatting>
  <conditionalFormatting sqref="G158">
    <cfRule type="cellIs" dxfId="925" priority="917" operator="greaterThan">
      <formula>1200</formula>
    </cfRule>
  </conditionalFormatting>
  <conditionalFormatting sqref="G159">
    <cfRule type="cellIs" dxfId="924" priority="916" operator="between">
      <formula>300</formula>
      <formula>1200</formula>
    </cfRule>
  </conditionalFormatting>
  <conditionalFormatting sqref="G159">
    <cfRule type="cellIs" dxfId="923" priority="915" operator="greaterThan">
      <formula>1200</formula>
    </cfRule>
  </conditionalFormatting>
  <conditionalFormatting sqref="G160">
    <cfRule type="cellIs" dxfId="922" priority="914" operator="between">
      <formula>300</formula>
      <formula>1200</formula>
    </cfRule>
  </conditionalFormatting>
  <conditionalFormatting sqref="G160">
    <cfRule type="cellIs" dxfId="921" priority="913" operator="greaterThan">
      <formula>1200</formula>
    </cfRule>
  </conditionalFormatting>
  <conditionalFormatting sqref="G161:G162">
    <cfRule type="cellIs" dxfId="920" priority="912" operator="between">
      <formula>300</formula>
      <formula>1200</formula>
    </cfRule>
  </conditionalFormatting>
  <conditionalFormatting sqref="G161:G162">
    <cfRule type="cellIs" dxfId="919" priority="911" operator="greaterThan">
      <formula>1200</formula>
    </cfRule>
  </conditionalFormatting>
  <conditionalFormatting sqref="G163">
    <cfRule type="cellIs" dxfId="918" priority="910" operator="between">
      <formula>300</formula>
      <formula>1200</formula>
    </cfRule>
  </conditionalFormatting>
  <conditionalFormatting sqref="G163">
    <cfRule type="cellIs" dxfId="917" priority="909" operator="greaterThan">
      <formula>1200</formula>
    </cfRule>
  </conditionalFormatting>
  <conditionalFormatting sqref="G164">
    <cfRule type="cellIs" dxfId="916" priority="908" operator="between">
      <formula>300</formula>
      <formula>1200</formula>
    </cfRule>
  </conditionalFormatting>
  <conditionalFormatting sqref="G164">
    <cfRule type="cellIs" dxfId="915" priority="907" operator="greaterThan">
      <formula>1200</formula>
    </cfRule>
  </conditionalFormatting>
  <conditionalFormatting sqref="G165">
    <cfRule type="cellIs" dxfId="914" priority="906" operator="between">
      <formula>300</formula>
      <formula>1200</formula>
    </cfRule>
  </conditionalFormatting>
  <conditionalFormatting sqref="G165">
    <cfRule type="cellIs" dxfId="913" priority="905" operator="greaterThan">
      <formula>1200</formula>
    </cfRule>
  </conditionalFormatting>
  <conditionalFormatting sqref="G166">
    <cfRule type="cellIs" dxfId="912" priority="904" operator="between">
      <formula>300</formula>
      <formula>1200</formula>
    </cfRule>
  </conditionalFormatting>
  <conditionalFormatting sqref="G166">
    <cfRule type="cellIs" dxfId="911" priority="903" operator="greaterThan">
      <formula>1200</formula>
    </cfRule>
  </conditionalFormatting>
  <conditionalFormatting sqref="G167">
    <cfRule type="cellIs" dxfId="910" priority="902" operator="between">
      <formula>300</formula>
      <formula>1200</formula>
    </cfRule>
  </conditionalFormatting>
  <conditionalFormatting sqref="G167">
    <cfRule type="cellIs" dxfId="909" priority="901" operator="greaterThan">
      <formula>1200</formula>
    </cfRule>
  </conditionalFormatting>
  <conditionalFormatting sqref="G174">
    <cfRule type="cellIs" dxfId="908" priority="900" operator="between">
      <formula>300</formula>
      <formula>1200</formula>
    </cfRule>
  </conditionalFormatting>
  <conditionalFormatting sqref="G174">
    <cfRule type="cellIs" dxfId="907" priority="899" operator="greaterThan">
      <formula>1200</formula>
    </cfRule>
  </conditionalFormatting>
  <conditionalFormatting sqref="G176">
    <cfRule type="cellIs" dxfId="906" priority="898" operator="between">
      <formula>300</formula>
      <formula>1200</formula>
    </cfRule>
  </conditionalFormatting>
  <conditionalFormatting sqref="G176">
    <cfRule type="cellIs" dxfId="905" priority="897" operator="greaterThan">
      <formula>1200</formula>
    </cfRule>
  </conditionalFormatting>
  <conditionalFormatting sqref="G184">
    <cfRule type="cellIs" dxfId="904" priority="896" operator="between">
      <formula>300</formula>
      <formula>1200</formula>
    </cfRule>
  </conditionalFormatting>
  <conditionalFormatting sqref="G184">
    <cfRule type="cellIs" dxfId="903" priority="895" operator="greaterThan">
      <formula>1200</formula>
    </cfRule>
  </conditionalFormatting>
  <conditionalFormatting sqref="G185:G187">
    <cfRule type="cellIs" dxfId="902" priority="894" operator="between">
      <formula>300</formula>
      <formula>1200</formula>
    </cfRule>
  </conditionalFormatting>
  <conditionalFormatting sqref="G185:G187">
    <cfRule type="cellIs" dxfId="901" priority="893" operator="greaterThan">
      <formula>1200</formula>
    </cfRule>
  </conditionalFormatting>
  <conditionalFormatting sqref="G188">
    <cfRule type="cellIs" dxfId="900" priority="892" operator="between">
      <formula>300</formula>
      <formula>1200</formula>
    </cfRule>
  </conditionalFormatting>
  <conditionalFormatting sqref="G188">
    <cfRule type="cellIs" dxfId="899" priority="891" operator="greaterThan">
      <formula>1200</formula>
    </cfRule>
  </conditionalFormatting>
  <conditionalFormatting sqref="G193:G194">
    <cfRule type="cellIs" dxfId="898" priority="890" operator="between">
      <formula>300</formula>
      <formula>1200</formula>
    </cfRule>
  </conditionalFormatting>
  <conditionalFormatting sqref="G193:G194">
    <cfRule type="cellIs" dxfId="897" priority="889" operator="greaterThan">
      <formula>1200</formula>
    </cfRule>
  </conditionalFormatting>
  <conditionalFormatting sqref="G195">
    <cfRule type="cellIs" dxfId="896" priority="888" operator="between">
      <formula>300</formula>
      <formula>1200</formula>
    </cfRule>
  </conditionalFormatting>
  <conditionalFormatting sqref="G195">
    <cfRule type="cellIs" dxfId="895" priority="887" operator="greaterThan">
      <formula>1200</formula>
    </cfRule>
  </conditionalFormatting>
  <conditionalFormatting sqref="G196">
    <cfRule type="cellIs" dxfId="894" priority="886" operator="between">
      <formula>300</formula>
      <formula>1200</formula>
    </cfRule>
  </conditionalFormatting>
  <conditionalFormatting sqref="G196">
    <cfRule type="cellIs" dxfId="893" priority="885" operator="greaterThan">
      <formula>1200</formula>
    </cfRule>
  </conditionalFormatting>
  <conditionalFormatting sqref="G199">
    <cfRule type="cellIs" dxfId="892" priority="884" operator="between">
      <formula>300</formula>
      <formula>1200</formula>
    </cfRule>
  </conditionalFormatting>
  <conditionalFormatting sqref="G199">
    <cfRule type="cellIs" dxfId="891" priority="883" operator="greaterThan">
      <formula>1200</formula>
    </cfRule>
  </conditionalFormatting>
  <conditionalFormatting sqref="G200">
    <cfRule type="cellIs" dxfId="890" priority="882" operator="between">
      <formula>300</formula>
      <formula>1200</formula>
    </cfRule>
  </conditionalFormatting>
  <conditionalFormatting sqref="G200">
    <cfRule type="cellIs" dxfId="889" priority="881" operator="greaterThan">
      <formula>1200</formula>
    </cfRule>
  </conditionalFormatting>
  <conditionalFormatting sqref="G201">
    <cfRule type="cellIs" dxfId="888" priority="880" operator="between">
      <formula>300</formula>
      <formula>1200</formula>
    </cfRule>
  </conditionalFormatting>
  <conditionalFormatting sqref="G201">
    <cfRule type="cellIs" dxfId="887" priority="879" operator="greaterThan">
      <formula>1200</formula>
    </cfRule>
  </conditionalFormatting>
  <conditionalFormatting sqref="G202">
    <cfRule type="cellIs" dxfId="886" priority="878" operator="between">
      <formula>300</formula>
      <formula>1200</formula>
    </cfRule>
  </conditionalFormatting>
  <conditionalFormatting sqref="G202">
    <cfRule type="cellIs" dxfId="885" priority="877" operator="greaterThan">
      <formula>1200</formula>
    </cfRule>
  </conditionalFormatting>
  <conditionalFormatting sqref="G203">
    <cfRule type="cellIs" dxfId="884" priority="876" operator="between">
      <formula>300</formula>
      <formula>1200</formula>
    </cfRule>
  </conditionalFormatting>
  <conditionalFormatting sqref="G203">
    <cfRule type="cellIs" dxfId="883" priority="875" operator="greaterThan">
      <formula>1200</formula>
    </cfRule>
  </conditionalFormatting>
  <conditionalFormatting sqref="G204">
    <cfRule type="cellIs" dxfId="882" priority="874" operator="between">
      <formula>300</formula>
      <formula>1200</formula>
    </cfRule>
  </conditionalFormatting>
  <conditionalFormatting sqref="G204">
    <cfRule type="cellIs" dxfId="881" priority="873" operator="greaterThan">
      <formula>1200</formula>
    </cfRule>
  </conditionalFormatting>
  <conditionalFormatting sqref="G205">
    <cfRule type="cellIs" dxfId="880" priority="872" operator="between">
      <formula>300</formula>
      <formula>1200</formula>
    </cfRule>
  </conditionalFormatting>
  <conditionalFormatting sqref="G205">
    <cfRule type="cellIs" dxfId="879" priority="871" operator="greaterThan">
      <formula>1200</formula>
    </cfRule>
  </conditionalFormatting>
  <conditionalFormatting sqref="G206:G207">
    <cfRule type="cellIs" dxfId="878" priority="870" operator="between">
      <formula>300</formula>
      <formula>1200</formula>
    </cfRule>
  </conditionalFormatting>
  <conditionalFormatting sqref="G206:G207">
    <cfRule type="cellIs" dxfId="877" priority="869" operator="greaterThan">
      <formula>1200</formula>
    </cfRule>
  </conditionalFormatting>
  <conditionalFormatting sqref="G208">
    <cfRule type="cellIs" dxfId="876" priority="868" operator="between">
      <formula>300</formula>
      <formula>1200</formula>
    </cfRule>
  </conditionalFormatting>
  <conditionalFormatting sqref="G208">
    <cfRule type="cellIs" dxfId="875" priority="867" operator="greaterThan">
      <formula>1200</formula>
    </cfRule>
  </conditionalFormatting>
  <conditionalFormatting sqref="G209">
    <cfRule type="cellIs" dxfId="874" priority="866" operator="between">
      <formula>300</formula>
      <formula>1200</formula>
    </cfRule>
  </conditionalFormatting>
  <conditionalFormatting sqref="G209">
    <cfRule type="cellIs" dxfId="873" priority="865" operator="greaterThan">
      <formula>1200</formula>
    </cfRule>
  </conditionalFormatting>
  <conditionalFormatting sqref="G210">
    <cfRule type="cellIs" dxfId="872" priority="864" operator="between">
      <formula>300</formula>
      <formula>1200</formula>
    </cfRule>
  </conditionalFormatting>
  <conditionalFormatting sqref="G210">
    <cfRule type="cellIs" dxfId="871" priority="863" operator="greaterThan">
      <formula>1200</formula>
    </cfRule>
  </conditionalFormatting>
  <conditionalFormatting sqref="G211">
    <cfRule type="cellIs" dxfId="870" priority="862" operator="between">
      <formula>300</formula>
      <formula>1200</formula>
    </cfRule>
  </conditionalFormatting>
  <conditionalFormatting sqref="G211">
    <cfRule type="cellIs" dxfId="869" priority="861" operator="greaterThan">
      <formula>1200</formula>
    </cfRule>
  </conditionalFormatting>
  <conditionalFormatting sqref="G214">
    <cfRule type="cellIs" dxfId="868" priority="860" operator="between">
      <formula>300</formula>
      <formula>1200</formula>
    </cfRule>
  </conditionalFormatting>
  <conditionalFormatting sqref="G214">
    <cfRule type="cellIs" dxfId="867" priority="859" operator="greaterThan">
      <formula>1200</formula>
    </cfRule>
  </conditionalFormatting>
  <conditionalFormatting sqref="G215">
    <cfRule type="cellIs" dxfId="866" priority="858" operator="between">
      <formula>300</formula>
      <formula>1200</formula>
    </cfRule>
  </conditionalFormatting>
  <conditionalFormatting sqref="G215">
    <cfRule type="cellIs" dxfId="865" priority="857" operator="greaterThan">
      <formula>1200</formula>
    </cfRule>
  </conditionalFormatting>
  <conditionalFormatting sqref="G217">
    <cfRule type="cellIs" dxfId="864" priority="856" operator="between">
      <formula>300</formula>
      <formula>1200</formula>
    </cfRule>
  </conditionalFormatting>
  <conditionalFormatting sqref="G217">
    <cfRule type="cellIs" dxfId="863" priority="855" operator="greaterThan">
      <formula>1200</formula>
    </cfRule>
  </conditionalFormatting>
  <conditionalFormatting sqref="G218">
    <cfRule type="cellIs" dxfId="862" priority="854" operator="between">
      <formula>300</formula>
      <formula>1200</formula>
    </cfRule>
  </conditionalFormatting>
  <conditionalFormatting sqref="G218">
    <cfRule type="cellIs" dxfId="861" priority="853" operator="greaterThan">
      <formula>1200</formula>
    </cfRule>
  </conditionalFormatting>
  <conditionalFormatting sqref="G219">
    <cfRule type="cellIs" dxfId="860" priority="852" operator="between">
      <formula>300</formula>
      <formula>1200</formula>
    </cfRule>
  </conditionalFormatting>
  <conditionalFormatting sqref="G219">
    <cfRule type="cellIs" dxfId="859" priority="851" operator="greaterThan">
      <formula>1200</formula>
    </cfRule>
  </conditionalFormatting>
  <conditionalFormatting sqref="G221">
    <cfRule type="cellIs" dxfId="858" priority="850" operator="between">
      <formula>300</formula>
      <formula>1200</formula>
    </cfRule>
  </conditionalFormatting>
  <conditionalFormatting sqref="G221">
    <cfRule type="cellIs" dxfId="857" priority="849" operator="greaterThan">
      <formula>1200</formula>
    </cfRule>
  </conditionalFormatting>
  <conditionalFormatting sqref="G222">
    <cfRule type="cellIs" dxfId="856" priority="848" operator="between">
      <formula>300</formula>
      <formula>1200</formula>
    </cfRule>
  </conditionalFormatting>
  <conditionalFormatting sqref="G222">
    <cfRule type="cellIs" dxfId="855" priority="847" operator="greaterThan">
      <formula>1200</formula>
    </cfRule>
  </conditionalFormatting>
  <conditionalFormatting sqref="G223">
    <cfRule type="cellIs" dxfId="854" priority="846" operator="between">
      <formula>300</formula>
      <formula>1200</formula>
    </cfRule>
  </conditionalFormatting>
  <conditionalFormatting sqref="G223">
    <cfRule type="cellIs" dxfId="853" priority="845" operator="greaterThan">
      <formula>1200</formula>
    </cfRule>
  </conditionalFormatting>
  <conditionalFormatting sqref="G224">
    <cfRule type="cellIs" dxfId="852" priority="844" operator="between">
      <formula>300</formula>
      <formula>1200</formula>
    </cfRule>
  </conditionalFormatting>
  <conditionalFormatting sqref="G224">
    <cfRule type="cellIs" dxfId="851" priority="843" operator="greaterThan">
      <formula>1200</formula>
    </cfRule>
  </conditionalFormatting>
  <conditionalFormatting sqref="G225">
    <cfRule type="cellIs" dxfId="850" priority="842" operator="between">
      <formula>300</formula>
      <formula>1200</formula>
    </cfRule>
  </conditionalFormatting>
  <conditionalFormatting sqref="G225">
    <cfRule type="cellIs" dxfId="849" priority="841" operator="greaterThan">
      <formula>1200</formula>
    </cfRule>
  </conditionalFormatting>
  <conditionalFormatting sqref="G228">
    <cfRule type="cellIs" dxfId="848" priority="840" operator="between">
      <formula>300</formula>
      <formula>1200</formula>
    </cfRule>
  </conditionalFormatting>
  <conditionalFormatting sqref="G228">
    <cfRule type="cellIs" dxfId="847" priority="839" operator="greaterThan">
      <formula>1200</formula>
    </cfRule>
  </conditionalFormatting>
  <conditionalFormatting sqref="G229">
    <cfRule type="cellIs" dxfId="846" priority="838" operator="between">
      <formula>300</formula>
      <formula>1200</formula>
    </cfRule>
  </conditionalFormatting>
  <conditionalFormatting sqref="G229">
    <cfRule type="cellIs" dxfId="845" priority="837" operator="greaterThan">
      <formula>1200</formula>
    </cfRule>
  </conditionalFormatting>
  <conditionalFormatting sqref="G230">
    <cfRule type="cellIs" dxfId="844" priority="836" operator="between">
      <formula>300</formula>
      <formula>1200</formula>
    </cfRule>
  </conditionalFormatting>
  <conditionalFormatting sqref="G230">
    <cfRule type="cellIs" dxfId="843" priority="835" operator="greaterThan">
      <formula>1200</formula>
    </cfRule>
  </conditionalFormatting>
  <conditionalFormatting sqref="G231">
    <cfRule type="cellIs" dxfId="842" priority="834" operator="between">
      <formula>300</formula>
      <formula>1200</formula>
    </cfRule>
  </conditionalFormatting>
  <conditionalFormatting sqref="G231">
    <cfRule type="cellIs" dxfId="841" priority="833" operator="greaterThan">
      <formula>1200</formula>
    </cfRule>
  </conditionalFormatting>
  <conditionalFormatting sqref="G234">
    <cfRule type="cellIs" dxfId="840" priority="832" operator="between">
      <formula>300</formula>
      <formula>1200</formula>
    </cfRule>
  </conditionalFormatting>
  <conditionalFormatting sqref="G234">
    <cfRule type="cellIs" dxfId="839" priority="831" operator="greaterThan">
      <formula>1200</formula>
    </cfRule>
  </conditionalFormatting>
  <conditionalFormatting sqref="G235">
    <cfRule type="cellIs" dxfId="838" priority="830" operator="between">
      <formula>300</formula>
      <formula>1200</formula>
    </cfRule>
  </conditionalFormatting>
  <conditionalFormatting sqref="G235">
    <cfRule type="cellIs" dxfId="837" priority="829" operator="greaterThan">
      <formula>1200</formula>
    </cfRule>
  </conditionalFormatting>
  <conditionalFormatting sqref="G237">
    <cfRule type="cellIs" dxfId="836" priority="828" operator="between">
      <formula>300</formula>
      <formula>1200</formula>
    </cfRule>
  </conditionalFormatting>
  <conditionalFormatting sqref="G237">
    <cfRule type="cellIs" dxfId="835" priority="827" operator="greaterThan">
      <formula>1200</formula>
    </cfRule>
  </conditionalFormatting>
  <conditionalFormatting sqref="G238">
    <cfRule type="cellIs" dxfId="834" priority="826" operator="between">
      <formula>300</formula>
      <formula>1200</formula>
    </cfRule>
  </conditionalFormatting>
  <conditionalFormatting sqref="G238">
    <cfRule type="cellIs" dxfId="833" priority="825" operator="greaterThan">
      <formula>1200</formula>
    </cfRule>
  </conditionalFormatting>
  <conditionalFormatting sqref="G239">
    <cfRule type="cellIs" dxfId="832" priority="824" operator="between">
      <formula>300</formula>
      <formula>1200</formula>
    </cfRule>
  </conditionalFormatting>
  <conditionalFormatting sqref="G239">
    <cfRule type="cellIs" dxfId="831" priority="823" operator="greaterThan">
      <formula>1200</formula>
    </cfRule>
  </conditionalFormatting>
  <conditionalFormatting sqref="G240">
    <cfRule type="cellIs" dxfId="830" priority="822" operator="between">
      <formula>300</formula>
      <formula>1200</formula>
    </cfRule>
  </conditionalFormatting>
  <conditionalFormatting sqref="G240">
    <cfRule type="cellIs" dxfId="829" priority="821" operator="greaterThan">
      <formula>1200</formula>
    </cfRule>
  </conditionalFormatting>
  <conditionalFormatting sqref="G242">
    <cfRule type="cellIs" dxfId="828" priority="820" operator="between">
      <formula>300</formula>
      <formula>1200</formula>
    </cfRule>
  </conditionalFormatting>
  <conditionalFormatting sqref="G242">
    <cfRule type="cellIs" dxfId="827" priority="819" operator="greaterThan">
      <formula>1200</formula>
    </cfRule>
  </conditionalFormatting>
  <conditionalFormatting sqref="G243">
    <cfRule type="cellIs" dxfId="826" priority="818" operator="between">
      <formula>300</formula>
      <formula>1200</formula>
    </cfRule>
  </conditionalFormatting>
  <conditionalFormatting sqref="G243">
    <cfRule type="cellIs" dxfId="825" priority="817" operator="greaterThan">
      <formula>1200</formula>
    </cfRule>
  </conditionalFormatting>
  <conditionalFormatting sqref="G244">
    <cfRule type="cellIs" dxfId="824" priority="816" operator="between">
      <formula>300</formula>
      <formula>1200</formula>
    </cfRule>
  </conditionalFormatting>
  <conditionalFormatting sqref="G244">
    <cfRule type="cellIs" dxfId="823" priority="815" operator="greaterThan">
      <formula>1200</formula>
    </cfRule>
  </conditionalFormatting>
  <conditionalFormatting sqref="G254">
    <cfRule type="cellIs" dxfId="822" priority="814" operator="between">
      <formula>300</formula>
      <formula>1200</formula>
    </cfRule>
  </conditionalFormatting>
  <conditionalFormatting sqref="G254">
    <cfRule type="cellIs" dxfId="821" priority="813" operator="greaterThan">
      <formula>1200</formula>
    </cfRule>
  </conditionalFormatting>
  <conditionalFormatting sqref="G257">
    <cfRule type="cellIs" dxfId="820" priority="812" operator="between">
      <formula>300</formula>
      <formula>1200</formula>
    </cfRule>
  </conditionalFormatting>
  <conditionalFormatting sqref="G257">
    <cfRule type="cellIs" dxfId="819" priority="811" operator="greaterThan">
      <formula>1200</formula>
    </cfRule>
  </conditionalFormatting>
  <conditionalFormatting sqref="G258">
    <cfRule type="cellIs" dxfId="818" priority="810" operator="between">
      <formula>300</formula>
      <formula>1200</formula>
    </cfRule>
  </conditionalFormatting>
  <conditionalFormatting sqref="G258">
    <cfRule type="cellIs" dxfId="817" priority="809" operator="greaterThan">
      <formula>1200</formula>
    </cfRule>
  </conditionalFormatting>
  <conditionalFormatting sqref="G260">
    <cfRule type="cellIs" dxfId="816" priority="808" operator="between">
      <formula>300</formula>
      <formula>1200</formula>
    </cfRule>
  </conditionalFormatting>
  <conditionalFormatting sqref="G260">
    <cfRule type="cellIs" dxfId="815" priority="807" operator="greaterThan">
      <formula>1200</formula>
    </cfRule>
  </conditionalFormatting>
  <conditionalFormatting sqref="G261">
    <cfRule type="cellIs" dxfId="814" priority="806" operator="between">
      <formula>300</formula>
      <formula>1200</formula>
    </cfRule>
  </conditionalFormatting>
  <conditionalFormatting sqref="G261">
    <cfRule type="cellIs" dxfId="813" priority="805" operator="greaterThan">
      <formula>1200</formula>
    </cfRule>
  </conditionalFormatting>
  <conditionalFormatting sqref="G263">
    <cfRule type="cellIs" dxfId="812" priority="804" operator="between">
      <formula>300</formula>
      <formula>1200</formula>
    </cfRule>
  </conditionalFormatting>
  <conditionalFormatting sqref="G263">
    <cfRule type="cellIs" dxfId="811" priority="803" operator="greaterThan">
      <formula>1200</formula>
    </cfRule>
  </conditionalFormatting>
  <conditionalFormatting sqref="G265">
    <cfRule type="cellIs" dxfId="810" priority="802" operator="between">
      <formula>300</formula>
      <formula>1200</formula>
    </cfRule>
  </conditionalFormatting>
  <conditionalFormatting sqref="G265">
    <cfRule type="cellIs" dxfId="809" priority="801" operator="greaterThan">
      <formula>1200</formula>
    </cfRule>
  </conditionalFormatting>
  <conditionalFormatting sqref="G266">
    <cfRule type="cellIs" dxfId="808" priority="800" operator="between">
      <formula>300</formula>
      <formula>1200</formula>
    </cfRule>
  </conditionalFormatting>
  <conditionalFormatting sqref="G266">
    <cfRule type="cellIs" dxfId="807" priority="799" operator="greaterThan">
      <formula>1200</formula>
    </cfRule>
  </conditionalFormatting>
  <conditionalFormatting sqref="G270">
    <cfRule type="cellIs" dxfId="806" priority="798" operator="between">
      <formula>300</formula>
      <formula>1200</formula>
    </cfRule>
  </conditionalFormatting>
  <conditionalFormatting sqref="G270">
    <cfRule type="cellIs" dxfId="805" priority="797" operator="greaterThan">
      <formula>1200</formula>
    </cfRule>
  </conditionalFormatting>
  <conditionalFormatting sqref="G274">
    <cfRule type="cellIs" dxfId="804" priority="796" operator="between">
      <formula>300</formula>
      <formula>1200</formula>
    </cfRule>
  </conditionalFormatting>
  <conditionalFormatting sqref="G274">
    <cfRule type="cellIs" dxfId="803" priority="795" operator="greaterThan">
      <formula>1200</formula>
    </cfRule>
  </conditionalFormatting>
  <conditionalFormatting sqref="G277">
    <cfRule type="cellIs" dxfId="802" priority="794" operator="between">
      <formula>300</formula>
      <formula>1200</formula>
    </cfRule>
  </conditionalFormatting>
  <conditionalFormatting sqref="G277">
    <cfRule type="cellIs" dxfId="801" priority="793" operator="greaterThan">
      <formula>1200</formula>
    </cfRule>
  </conditionalFormatting>
  <conditionalFormatting sqref="G278">
    <cfRule type="cellIs" dxfId="800" priority="792" operator="between">
      <formula>300</formula>
      <formula>1200</formula>
    </cfRule>
  </conditionalFormatting>
  <conditionalFormatting sqref="G278">
    <cfRule type="cellIs" dxfId="799" priority="791" operator="greaterThan">
      <formula>1200</formula>
    </cfRule>
  </conditionalFormatting>
  <conditionalFormatting sqref="G285">
    <cfRule type="cellIs" dxfId="798" priority="790" operator="between">
      <formula>300</formula>
      <formula>1200</formula>
    </cfRule>
  </conditionalFormatting>
  <conditionalFormatting sqref="G285">
    <cfRule type="cellIs" dxfId="797" priority="789" operator="greaterThan">
      <formula>1200</formula>
    </cfRule>
  </conditionalFormatting>
  <conditionalFormatting sqref="G286">
    <cfRule type="cellIs" dxfId="796" priority="788" operator="between">
      <formula>300</formula>
      <formula>1200</formula>
    </cfRule>
  </conditionalFormatting>
  <conditionalFormatting sqref="G286">
    <cfRule type="cellIs" dxfId="795" priority="787" operator="greaterThan">
      <formula>1200</formula>
    </cfRule>
  </conditionalFormatting>
  <conditionalFormatting sqref="G287">
    <cfRule type="cellIs" dxfId="794" priority="786" operator="between">
      <formula>300</formula>
      <formula>1200</formula>
    </cfRule>
  </conditionalFormatting>
  <conditionalFormatting sqref="G287">
    <cfRule type="cellIs" dxfId="793" priority="785" operator="greaterThan">
      <formula>1200</formula>
    </cfRule>
  </conditionalFormatting>
  <conditionalFormatting sqref="G295">
    <cfRule type="cellIs" dxfId="792" priority="784" operator="between">
      <formula>300</formula>
      <formula>1200</formula>
    </cfRule>
  </conditionalFormatting>
  <conditionalFormatting sqref="G295">
    <cfRule type="cellIs" dxfId="791" priority="783" operator="greaterThan">
      <formula>1200</formula>
    </cfRule>
  </conditionalFormatting>
  <conditionalFormatting sqref="G297">
    <cfRule type="cellIs" dxfId="790" priority="782" operator="between">
      <formula>300</formula>
      <formula>1200</formula>
    </cfRule>
  </conditionalFormatting>
  <conditionalFormatting sqref="G297">
    <cfRule type="cellIs" dxfId="789" priority="781" operator="greaterThan">
      <formula>1200</formula>
    </cfRule>
  </conditionalFormatting>
  <conditionalFormatting sqref="G298">
    <cfRule type="cellIs" dxfId="788" priority="780" operator="between">
      <formula>300</formula>
      <formula>1200</formula>
    </cfRule>
  </conditionalFormatting>
  <conditionalFormatting sqref="G298">
    <cfRule type="cellIs" dxfId="787" priority="779" operator="greaterThan">
      <formula>1200</formula>
    </cfRule>
  </conditionalFormatting>
  <conditionalFormatting sqref="G299">
    <cfRule type="cellIs" dxfId="786" priority="778" operator="between">
      <formula>300</formula>
      <formula>1200</formula>
    </cfRule>
  </conditionalFormatting>
  <conditionalFormatting sqref="G299">
    <cfRule type="cellIs" dxfId="785" priority="777" operator="greaterThan">
      <formula>1200</formula>
    </cfRule>
  </conditionalFormatting>
  <conditionalFormatting sqref="G300">
    <cfRule type="cellIs" dxfId="784" priority="776" operator="between">
      <formula>300</formula>
      <formula>1200</formula>
    </cfRule>
  </conditionalFormatting>
  <conditionalFormatting sqref="G300">
    <cfRule type="cellIs" dxfId="783" priority="775" operator="greaterThan">
      <formula>1200</formula>
    </cfRule>
  </conditionalFormatting>
  <conditionalFormatting sqref="G302">
    <cfRule type="cellIs" dxfId="782" priority="774" operator="between">
      <formula>300</formula>
      <formula>1200</formula>
    </cfRule>
  </conditionalFormatting>
  <conditionalFormatting sqref="G302">
    <cfRule type="cellIs" dxfId="781" priority="773" operator="greaterThan">
      <formula>1200</formula>
    </cfRule>
  </conditionalFormatting>
  <conditionalFormatting sqref="G303">
    <cfRule type="cellIs" dxfId="780" priority="772" operator="between">
      <formula>300</formula>
      <formula>1200</formula>
    </cfRule>
  </conditionalFormatting>
  <conditionalFormatting sqref="G303">
    <cfRule type="cellIs" dxfId="779" priority="771" operator="greaterThan">
      <formula>1200</formula>
    </cfRule>
  </conditionalFormatting>
  <conditionalFormatting sqref="G304">
    <cfRule type="cellIs" dxfId="778" priority="770" operator="between">
      <formula>300</formula>
      <formula>1200</formula>
    </cfRule>
  </conditionalFormatting>
  <conditionalFormatting sqref="G304">
    <cfRule type="cellIs" dxfId="777" priority="769" operator="greaterThan">
      <formula>1200</formula>
    </cfRule>
  </conditionalFormatting>
  <conditionalFormatting sqref="G305">
    <cfRule type="cellIs" dxfId="776" priority="768" operator="between">
      <formula>300</formula>
      <formula>1200</formula>
    </cfRule>
  </conditionalFormatting>
  <conditionalFormatting sqref="G305">
    <cfRule type="cellIs" dxfId="775" priority="767" operator="greaterThan">
      <formula>1200</formula>
    </cfRule>
  </conditionalFormatting>
  <conditionalFormatting sqref="G306">
    <cfRule type="cellIs" dxfId="774" priority="766" operator="between">
      <formula>300</formula>
      <formula>1200</formula>
    </cfRule>
  </conditionalFormatting>
  <conditionalFormatting sqref="G306">
    <cfRule type="cellIs" dxfId="773" priority="765" operator="greaterThan">
      <formula>1200</formula>
    </cfRule>
  </conditionalFormatting>
  <conditionalFormatting sqref="G307">
    <cfRule type="cellIs" dxfId="772" priority="764" operator="between">
      <formula>300</formula>
      <formula>1200</formula>
    </cfRule>
  </conditionalFormatting>
  <conditionalFormatting sqref="G307">
    <cfRule type="cellIs" dxfId="771" priority="763" operator="greaterThan">
      <formula>1200</formula>
    </cfRule>
  </conditionalFormatting>
  <conditionalFormatting sqref="G309">
    <cfRule type="cellIs" dxfId="770" priority="762" operator="between">
      <formula>300</formula>
      <formula>1200</formula>
    </cfRule>
  </conditionalFormatting>
  <conditionalFormatting sqref="G309">
    <cfRule type="cellIs" dxfId="769" priority="761" operator="greaterThan">
      <formula>1200</formula>
    </cfRule>
  </conditionalFormatting>
  <conditionalFormatting sqref="G311">
    <cfRule type="cellIs" dxfId="768" priority="760" operator="between">
      <formula>300</formula>
      <formula>1200</formula>
    </cfRule>
  </conditionalFormatting>
  <conditionalFormatting sqref="G311">
    <cfRule type="cellIs" dxfId="767" priority="759" operator="greaterThan">
      <formula>1200</formula>
    </cfRule>
  </conditionalFormatting>
  <conditionalFormatting sqref="G316">
    <cfRule type="cellIs" dxfId="766" priority="758" operator="between">
      <formula>300</formula>
      <formula>1200</formula>
    </cfRule>
  </conditionalFormatting>
  <conditionalFormatting sqref="G316">
    <cfRule type="cellIs" dxfId="765" priority="757" operator="greaterThan">
      <formula>1200</formula>
    </cfRule>
  </conditionalFormatting>
  <conditionalFormatting sqref="G317">
    <cfRule type="cellIs" dxfId="764" priority="756" operator="between">
      <formula>300</formula>
      <formula>1200</formula>
    </cfRule>
  </conditionalFormatting>
  <conditionalFormatting sqref="G317">
    <cfRule type="cellIs" dxfId="763" priority="755" operator="greaterThan">
      <formula>1200</formula>
    </cfRule>
  </conditionalFormatting>
  <conditionalFormatting sqref="G318">
    <cfRule type="cellIs" dxfId="762" priority="754" operator="between">
      <formula>300</formula>
      <formula>1200</formula>
    </cfRule>
  </conditionalFormatting>
  <conditionalFormatting sqref="G318">
    <cfRule type="cellIs" dxfId="761" priority="753" operator="greaterThan">
      <formula>1200</formula>
    </cfRule>
  </conditionalFormatting>
  <conditionalFormatting sqref="G336">
    <cfRule type="cellIs" dxfId="760" priority="752" operator="between">
      <formula>300</formula>
      <formula>1200</formula>
    </cfRule>
  </conditionalFormatting>
  <conditionalFormatting sqref="G336">
    <cfRule type="cellIs" dxfId="759" priority="751" operator="greaterThan">
      <formula>1200</formula>
    </cfRule>
  </conditionalFormatting>
  <conditionalFormatting sqref="G337">
    <cfRule type="cellIs" dxfId="758" priority="750" operator="between">
      <formula>300</formula>
      <formula>1200</formula>
    </cfRule>
  </conditionalFormatting>
  <conditionalFormatting sqref="G337">
    <cfRule type="cellIs" dxfId="757" priority="749" operator="greaterThan">
      <formula>1200</formula>
    </cfRule>
  </conditionalFormatting>
  <conditionalFormatting sqref="G338">
    <cfRule type="cellIs" dxfId="756" priority="748" operator="between">
      <formula>300</formula>
      <formula>1200</formula>
    </cfRule>
  </conditionalFormatting>
  <conditionalFormatting sqref="G338">
    <cfRule type="cellIs" dxfId="755" priority="747" operator="greaterThan">
      <formula>1200</formula>
    </cfRule>
  </conditionalFormatting>
  <conditionalFormatting sqref="G339">
    <cfRule type="cellIs" dxfId="754" priority="746" operator="between">
      <formula>300</formula>
      <formula>1200</formula>
    </cfRule>
  </conditionalFormatting>
  <conditionalFormatting sqref="G339">
    <cfRule type="cellIs" dxfId="753" priority="745" operator="greaterThan">
      <formula>1200</formula>
    </cfRule>
  </conditionalFormatting>
  <conditionalFormatting sqref="G340">
    <cfRule type="cellIs" dxfId="752" priority="744" operator="between">
      <formula>300</formula>
      <formula>1200</formula>
    </cfRule>
  </conditionalFormatting>
  <conditionalFormatting sqref="G340">
    <cfRule type="cellIs" dxfId="751" priority="743" operator="greaterThan">
      <formula>1200</formula>
    </cfRule>
  </conditionalFormatting>
  <conditionalFormatting sqref="G341">
    <cfRule type="cellIs" dxfId="750" priority="742" operator="between">
      <formula>300</formula>
      <formula>1200</formula>
    </cfRule>
  </conditionalFormatting>
  <conditionalFormatting sqref="G341">
    <cfRule type="cellIs" dxfId="749" priority="741" operator="greaterThan">
      <formula>1200</formula>
    </cfRule>
  </conditionalFormatting>
  <conditionalFormatting sqref="G342">
    <cfRule type="cellIs" dxfId="748" priority="740" operator="between">
      <formula>300</formula>
      <formula>1200</formula>
    </cfRule>
  </conditionalFormatting>
  <conditionalFormatting sqref="G342">
    <cfRule type="cellIs" dxfId="747" priority="739" operator="greaterThan">
      <formula>1200</formula>
    </cfRule>
  </conditionalFormatting>
  <conditionalFormatting sqref="G347">
    <cfRule type="cellIs" dxfId="746" priority="738" operator="between">
      <formula>300</formula>
      <formula>1200</formula>
    </cfRule>
  </conditionalFormatting>
  <conditionalFormatting sqref="G347">
    <cfRule type="cellIs" dxfId="745" priority="737" operator="greaterThan">
      <formula>1200</formula>
    </cfRule>
  </conditionalFormatting>
  <conditionalFormatting sqref="G348">
    <cfRule type="cellIs" dxfId="744" priority="736" operator="between">
      <formula>300</formula>
      <formula>1200</formula>
    </cfRule>
  </conditionalFormatting>
  <conditionalFormatting sqref="G348">
    <cfRule type="cellIs" dxfId="743" priority="735" operator="greaterThan">
      <formula>1200</formula>
    </cfRule>
  </conditionalFormatting>
  <conditionalFormatting sqref="G349">
    <cfRule type="cellIs" dxfId="742" priority="734" operator="between">
      <formula>300</formula>
      <formula>1200</formula>
    </cfRule>
  </conditionalFormatting>
  <conditionalFormatting sqref="G349">
    <cfRule type="cellIs" dxfId="741" priority="733" operator="greaterThan">
      <formula>1200</formula>
    </cfRule>
  </conditionalFormatting>
  <conditionalFormatting sqref="G351">
    <cfRule type="cellIs" dxfId="740" priority="732" operator="between">
      <formula>300</formula>
      <formula>1200</formula>
    </cfRule>
  </conditionalFormatting>
  <conditionalFormatting sqref="G351">
    <cfRule type="cellIs" dxfId="739" priority="731" operator="greaterThan">
      <formula>1200</formula>
    </cfRule>
  </conditionalFormatting>
  <conditionalFormatting sqref="G353">
    <cfRule type="cellIs" dxfId="738" priority="730" operator="between">
      <formula>300</formula>
      <formula>1200</formula>
    </cfRule>
  </conditionalFormatting>
  <conditionalFormatting sqref="G353">
    <cfRule type="cellIs" dxfId="737" priority="729" operator="greaterThan">
      <formula>1200</formula>
    </cfRule>
  </conditionalFormatting>
  <conditionalFormatting sqref="G354">
    <cfRule type="cellIs" dxfId="736" priority="728" operator="between">
      <formula>300</formula>
      <formula>1200</formula>
    </cfRule>
  </conditionalFormatting>
  <conditionalFormatting sqref="G354">
    <cfRule type="cellIs" dxfId="735" priority="727" operator="greaterThan">
      <formula>1200</formula>
    </cfRule>
  </conditionalFormatting>
  <conditionalFormatting sqref="G355">
    <cfRule type="cellIs" dxfId="734" priority="726" operator="between">
      <formula>300</formula>
      <formula>1200</formula>
    </cfRule>
  </conditionalFormatting>
  <conditionalFormatting sqref="G355">
    <cfRule type="cellIs" dxfId="733" priority="725" operator="greaterThan">
      <formula>1200</formula>
    </cfRule>
  </conditionalFormatting>
  <conditionalFormatting sqref="G356">
    <cfRule type="cellIs" dxfId="732" priority="724" operator="between">
      <formula>300</formula>
      <formula>1200</formula>
    </cfRule>
  </conditionalFormatting>
  <conditionalFormatting sqref="G356">
    <cfRule type="cellIs" dxfId="731" priority="723" operator="greaterThan">
      <formula>1200</formula>
    </cfRule>
  </conditionalFormatting>
  <conditionalFormatting sqref="G357">
    <cfRule type="cellIs" dxfId="730" priority="722" operator="between">
      <formula>300</formula>
      <formula>1200</formula>
    </cfRule>
  </conditionalFormatting>
  <conditionalFormatting sqref="G357">
    <cfRule type="cellIs" dxfId="729" priority="721" operator="greaterThan">
      <formula>1200</formula>
    </cfRule>
  </conditionalFormatting>
  <conditionalFormatting sqref="G358">
    <cfRule type="cellIs" dxfId="728" priority="720" operator="between">
      <formula>300</formula>
      <formula>1200</formula>
    </cfRule>
  </conditionalFormatting>
  <conditionalFormatting sqref="G358">
    <cfRule type="cellIs" dxfId="727" priority="719" operator="greaterThan">
      <formula>1200</formula>
    </cfRule>
  </conditionalFormatting>
  <conditionalFormatting sqref="G359">
    <cfRule type="cellIs" dxfId="726" priority="718" operator="between">
      <formula>300</formula>
      <formula>1200</formula>
    </cfRule>
  </conditionalFormatting>
  <conditionalFormatting sqref="G359">
    <cfRule type="cellIs" dxfId="725" priority="717" operator="greaterThan">
      <formula>1200</formula>
    </cfRule>
  </conditionalFormatting>
  <conditionalFormatting sqref="G361">
    <cfRule type="cellIs" dxfId="724" priority="716" operator="between">
      <formula>300</formula>
      <formula>1200</formula>
    </cfRule>
  </conditionalFormatting>
  <conditionalFormatting sqref="G361">
    <cfRule type="cellIs" dxfId="723" priority="715" operator="greaterThan">
      <formula>1200</formula>
    </cfRule>
  </conditionalFormatting>
  <conditionalFormatting sqref="G362">
    <cfRule type="cellIs" dxfId="722" priority="714" operator="between">
      <formula>300</formula>
      <formula>1200</formula>
    </cfRule>
  </conditionalFormatting>
  <conditionalFormatting sqref="G362">
    <cfRule type="cellIs" dxfId="721" priority="713" operator="greaterThan">
      <formula>1200</formula>
    </cfRule>
  </conditionalFormatting>
  <conditionalFormatting sqref="G363">
    <cfRule type="cellIs" dxfId="720" priority="712" operator="between">
      <formula>300</formula>
      <formula>1200</formula>
    </cfRule>
  </conditionalFormatting>
  <conditionalFormatting sqref="G363">
    <cfRule type="cellIs" dxfId="719" priority="711" operator="greaterThan">
      <formula>1200</formula>
    </cfRule>
  </conditionalFormatting>
  <conditionalFormatting sqref="G364">
    <cfRule type="cellIs" dxfId="718" priority="710" operator="between">
      <formula>300</formula>
      <formula>1200</formula>
    </cfRule>
  </conditionalFormatting>
  <conditionalFormatting sqref="G364">
    <cfRule type="cellIs" dxfId="717" priority="709" operator="greaterThan">
      <formula>1200</formula>
    </cfRule>
  </conditionalFormatting>
  <conditionalFormatting sqref="G366">
    <cfRule type="cellIs" dxfId="716" priority="708" operator="between">
      <formula>300</formula>
      <formula>1200</formula>
    </cfRule>
  </conditionalFormatting>
  <conditionalFormatting sqref="G366">
    <cfRule type="cellIs" dxfId="715" priority="707" operator="greaterThan">
      <formula>1200</formula>
    </cfRule>
  </conditionalFormatting>
  <conditionalFormatting sqref="G368">
    <cfRule type="cellIs" dxfId="714" priority="706" operator="between">
      <formula>300</formula>
      <formula>1200</formula>
    </cfRule>
  </conditionalFormatting>
  <conditionalFormatting sqref="G368">
    <cfRule type="cellIs" dxfId="713" priority="705" operator="greaterThan">
      <formula>1200</formula>
    </cfRule>
  </conditionalFormatting>
  <conditionalFormatting sqref="G369">
    <cfRule type="cellIs" dxfId="712" priority="704" operator="between">
      <formula>300</formula>
      <formula>1200</formula>
    </cfRule>
  </conditionalFormatting>
  <conditionalFormatting sqref="G369">
    <cfRule type="cellIs" dxfId="711" priority="703" operator="greaterThan">
      <formula>1200</formula>
    </cfRule>
  </conditionalFormatting>
  <conditionalFormatting sqref="G370">
    <cfRule type="cellIs" dxfId="710" priority="702" operator="between">
      <formula>300</formula>
      <formula>1200</formula>
    </cfRule>
  </conditionalFormatting>
  <conditionalFormatting sqref="G370">
    <cfRule type="cellIs" dxfId="709" priority="701" operator="greaterThan">
      <formula>1200</formula>
    </cfRule>
  </conditionalFormatting>
  <conditionalFormatting sqref="G371">
    <cfRule type="cellIs" dxfId="708" priority="700" operator="between">
      <formula>300</formula>
      <formula>1200</formula>
    </cfRule>
  </conditionalFormatting>
  <conditionalFormatting sqref="G371">
    <cfRule type="cellIs" dxfId="707" priority="699" operator="greaterThan">
      <formula>1200</formula>
    </cfRule>
  </conditionalFormatting>
  <conditionalFormatting sqref="G372">
    <cfRule type="cellIs" dxfId="706" priority="698" operator="between">
      <formula>300</formula>
      <formula>1200</formula>
    </cfRule>
  </conditionalFormatting>
  <conditionalFormatting sqref="G372">
    <cfRule type="cellIs" dxfId="705" priority="697" operator="greaterThan">
      <formula>1200</formula>
    </cfRule>
  </conditionalFormatting>
  <conditionalFormatting sqref="G374">
    <cfRule type="cellIs" dxfId="704" priority="696" operator="between">
      <formula>300</formula>
      <formula>1200</formula>
    </cfRule>
  </conditionalFormatting>
  <conditionalFormatting sqref="G374">
    <cfRule type="cellIs" dxfId="703" priority="695" operator="greaterThan">
      <formula>1200</formula>
    </cfRule>
  </conditionalFormatting>
  <conditionalFormatting sqref="G375">
    <cfRule type="cellIs" dxfId="702" priority="694" operator="between">
      <formula>300</formula>
      <formula>1200</formula>
    </cfRule>
  </conditionalFormatting>
  <conditionalFormatting sqref="G375">
    <cfRule type="cellIs" dxfId="701" priority="693" operator="greaterThan">
      <formula>1200</formula>
    </cfRule>
  </conditionalFormatting>
  <conditionalFormatting sqref="G376">
    <cfRule type="cellIs" dxfId="700" priority="692" operator="between">
      <formula>300</formula>
      <formula>1200</formula>
    </cfRule>
  </conditionalFormatting>
  <conditionalFormatting sqref="G376">
    <cfRule type="cellIs" dxfId="699" priority="691" operator="greaterThan">
      <formula>1200</formula>
    </cfRule>
  </conditionalFormatting>
  <conditionalFormatting sqref="G377">
    <cfRule type="cellIs" dxfId="698" priority="690" operator="between">
      <formula>300</formula>
      <formula>1200</formula>
    </cfRule>
  </conditionalFormatting>
  <conditionalFormatting sqref="G377">
    <cfRule type="cellIs" dxfId="697" priority="689" operator="greaterThan">
      <formula>1200</formula>
    </cfRule>
  </conditionalFormatting>
  <conditionalFormatting sqref="G378">
    <cfRule type="cellIs" dxfId="696" priority="688" operator="between">
      <formula>300</formula>
      <formula>1200</formula>
    </cfRule>
  </conditionalFormatting>
  <conditionalFormatting sqref="G378">
    <cfRule type="cellIs" dxfId="695" priority="687" operator="greaterThan">
      <formula>1200</formula>
    </cfRule>
  </conditionalFormatting>
  <conditionalFormatting sqref="G379:G380">
    <cfRule type="cellIs" dxfId="694" priority="686" operator="between">
      <formula>300</formula>
      <formula>1200</formula>
    </cfRule>
  </conditionalFormatting>
  <conditionalFormatting sqref="G379:G380">
    <cfRule type="cellIs" dxfId="693" priority="685" operator="greaterThan">
      <formula>1200</formula>
    </cfRule>
  </conditionalFormatting>
  <conditionalFormatting sqref="G384">
    <cfRule type="cellIs" dxfId="692" priority="684" operator="between">
      <formula>300</formula>
      <formula>1200</formula>
    </cfRule>
  </conditionalFormatting>
  <conditionalFormatting sqref="G384">
    <cfRule type="cellIs" dxfId="691" priority="683" operator="greaterThan">
      <formula>1200</formula>
    </cfRule>
  </conditionalFormatting>
  <conditionalFormatting sqref="G385">
    <cfRule type="cellIs" dxfId="690" priority="682" operator="between">
      <formula>300</formula>
      <formula>1200</formula>
    </cfRule>
  </conditionalFormatting>
  <conditionalFormatting sqref="G385">
    <cfRule type="cellIs" dxfId="689" priority="681" operator="greaterThan">
      <formula>1200</formula>
    </cfRule>
  </conditionalFormatting>
  <conditionalFormatting sqref="G386">
    <cfRule type="cellIs" dxfId="688" priority="680" operator="between">
      <formula>300</formula>
      <formula>1200</formula>
    </cfRule>
  </conditionalFormatting>
  <conditionalFormatting sqref="G386">
    <cfRule type="cellIs" dxfId="687" priority="679" operator="greaterThan">
      <formula>1200</formula>
    </cfRule>
  </conditionalFormatting>
  <conditionalFormatting sqref="G387">
    <cfRule type="cellIs" dxfId="686" priority="678" operator="between">
      <formula>300</formula>
      <formula>1200</formula>
    </cfRule>
  </conditionalFormatting>
  <conditionalFormatting sqref="G387">
    <cfRule type="cellIs" dxfId="685" priority="677" operator="greaterThan">
      <formula>1200</formula>
    </cfRule>
  </conditionalFormatting>
  <conditionalFormatting sqref="G388">
    <cfRule type="cellIs" dxfId="684" priority="676" operator="between">
      <formula>300</formula>
      <formula>1200</formula>
    </cfRule>
  </conditionalFormatting>
  <conditionalFormatting sqref="G388">
    <cfRule type="cellIs" dxfId="683" priority="675" operator="greaterThan">
      <formula>1200</formula>
    </cfRule>
  </conditionalFormatting>
  <conditionalFormatting sqref="G389">
    <cfRule type="cellIs" dxfId="682" priority="674" operator="between">
      <formula>300</formula>
      <formula>1200</formula>
    </cfRule>
  </conditionalFormatting>
  <conditionalFormatting sqref="G389">
    <cfRule type="cellIs" dxfId="681" priority="673" operator="greaterThan">
      <formula>1200</formula>
    </cfRule>
  </conditionalFormatting>
  <conditionalFormatting sqref="G396">
    <cfRule type="cellIs" dxfId="680" priority="670" operator="between">
      <formula>300</formula>
      <formula>1200</formula>
    </cfRule>
  </conditionalFormatting>
  <conditionalFormatting sqref="G396">
    <cfRule type="cellIs" dxfId="679" priority="669" operator="greaterThan">
      <formula>1200</formula>
    </cfRule>
  </conditionalFormatting>
  <conditionalFormatting sqref="G399">
    <cfRule type="cellIs" dxfId="678" priority="668" operator="between">
      <formula>300</formula>
      <formula>1200</formula>
    </cfRule>
  </conditionalFormatting>
  <conditionalFormatting sqref="G399">
    <cfRule type="cellIs" dxfId="677" priority="667" operator="greaterThan">
      <formula>1200</formula>
    </cfRule>
  </conditionalFormatting>
  <conditionalFormatting sqref="G400">
    <cfRule type="cellIs" dxfId="676" priority="666" operator="between">
      <formula>300</formula>
      <formula>1200</formula>
    </cfRule>
  </conditionalFormatting>
  <conditionalFormatting sqref="G400">
    <cfRule type="cellIs" dxfId="675" priority="665" operator="greaterThan">
      <formula>1200</formula>
    </cfRule>
  </conditionalFormatting>
  <conditionalFormatting sqref="G403">
    <cfRule type="cellIs" dxfId="674" priority="664" operator="between">
      <formula>300</formula>
      <formula>1200</formula>
    </cfRule>
  </conditionalFormatting>
  <conditionalFormatting sqref="G403">
    <cfRule type="cellIs" dxfId="673" priority="663" operator="greaterThan">
      <formula>1200</formula>
    </cfRule>
  </conditionalFormatting>
  <conditionalFormatting sqref="G405">
    <cfRule type="cellIs" dxfId="672" priority="662" operator="between">
      <formula>300</formula>
      <formula>1200</formula>
    </cfRule>
  </conditionalFormatting>
  <conditionalFormatting sqref="G405">
    <cfRule type="cellIs" dxfId="671" priority="661" operator="greaterThan">
      <formula>1200</formula>
    </cfRule>
  </conditionalFormatting>
  <conditionalFormatting sqref="G406">
    <cfRule type="cellIs" dxfId="670" priority="660" operator="between">
      <formula>300</formula>
      <formula>1200</formula>
    </cfRule>
  </conditionalFormatting>
  <conditionalFormatting sqref="G406">
    <cfRule type="cellIs" dxfId="669" priority="659" operator="greaterThan">
      <formula>1200</formula>
    </cfRule>
  </conditionalFormatting>
  <conditionalFormatting sqref="G417">
    <cfRule type="cellIs" dxfId="668" priority="658" operator="between">
      <formula>300</formula>
      <formula>1200</formula>
    </cfRule>
  </conditionalFormatting>
  <conditionalFormatting sqref="G417">
    <cfRule type="cellIs" dxfId="667" priority="657" operator="greaterThan">
      <formula>1200</formula>
    </cfRule>
  </conditionalFormatting>
  <conditionalFormatting sqref="G418">
    <cfRule type="cellIs" dxfId="666" priority="656" operator="between">
      <formula>300</formula>
      <formula>1200</formula>
    </cfRule>
  </conditionalFormatting>
  <conditionalFormatting sqref="G418">
    <cfRule type="cellIs" dxfId="665" priority="655" operator="greaterThan">
      <formula>1200</formula>
    </cfRule>
  </conditionalFormatting>
  <conditionalFormatting sqref="G419">
    <cfRule type="cellIs" dxfId="664" priority="654" operator="between">
      <formula>300</formula>
      <formula>1200</formula>
    </cfRule>
  </conditionalFormatting>
  <conditionalFormatting sqref="G419">
    <cfRule type="cellIs" dxfId="663" priority="653" operator="greaterThan">
      <formula>1200</formula>
    </cfRule>
  </conditionalFormatting>
  <conditionalFormatting sqref="G421">
    <cfRule type="cellIs" dxfId="662" priority="652" operator="between">
      <formula>300</formula>
      <formula>1200</formula>
    </cfRule>
  </conditionalFormatting>
  <conditionalFormatting sqref="G421">
    <cfRule type="cellIs" dxfId="661" priority="651" operator="greaterThan">
      <formula>1200</formula>
    </cfRule>
  </conditionalFormatting>
  <conditionalFormatting sqref="G422">
    <cfRule type="cellIs" dxfId="660" priority="650" operator="between">
      <formula>300</formula>
      <formula>1200</formula>
    </cfRule>
  </conditionalFormatting>
  <conditionalFormatting sqref="G422">
    <cfRule type="cellIs" dxfId="659" priority="649" operator="greaterThan">
      <formula>1200</formula>
    </cfRule>
  </conditionalFormatting>
  <conditionalFormatting sqref="G424">
    <cfRule type="cellIs" dxfId="658" priority="648" operator="between">
      <formula>300</formula>
      <formula>1200</formula>
    </cfRule>
  </conditionalFormatting>
  <conditionalFormatting sqref="G424">
    <cfRule type="cellIs" dxfId="657" priority="647" operator="greaterThan">
      <formula>1200</formula>
    </cfRule>
  </conditionalFormatting>
  <conditionalFormatting sqref="G429">
    <cfRule type="cellIs" dxfId="656" priority="646" operator="between">
      <formula>300</formula>
      <formula>1200</formula>
    </cfRule>
  </conditionalFormatting>
  <conditionalFormatting sqref="G429">
    <cfRule type="cellIs" dxfId="655" priority="645" operator="greaterThan">
      <formula>1200</formula>
    </cfRule>
  </conditionalFormatting>
  <conditionalFormatting sqref="G431">
    <cfRule type="cellIs" dxfId="654" priority="644" operator="between">
      <formula>300</formula>
      <formula>1200</formula>
    </cfRule>
  </conditionalFormatting>
  <conditionalFormatting sqref="G431">
    <cfRule type="cellIs" dxfId="653" priority="643" operator="greaterThan">
      <formula>1200</formula>
    </cfRule>
  </conditionalFormatting>
  <conditionalFormatting sqref="G432">
    <cfRule type="cellIs" dxfId="652" priority="642" operator="between">
      <formula>300</formula>
      <formula>1200</formula>
    </cfRule>
  </conditionalFormatting>
  <conditionalFormatting sqref="G432">
    <cfRule type="cellIs" dxfId="651" priority="641" operator="greaterThan">
      <formula>1200</formula>
    </cfRule>
  </conditionalFormatting>
  <conditionalFormatting sqref="G434">
    <cfRule type="cellIs" dxfId="650" priority="640" operator="between">
      <formula>300</formula>
      <formula>1200</formula>
    </cfRule>
  </conditionalFormatting>
  <conditionalFormatting sqref="G434">
    <cfRule type="cellIs" dxfId="649" priority="639" operator="greaterThan">
      <formula>1200</formula>
    </cfRule>
  </conditionalFormatting>
  <conditionalFormatting sqref="G435">
    <cfRule type="cellIs" dxfId="648" priority="638" operator="between">
      <formula>300</formula>
      <formula>1200</formula>
    </cfRule>
  </conditionalFormatting>
  <conditionalFormatting sqref="G435">
    <cfRule type="cellIs" dxfId="647" priority="637" operator="greaterThan">
      <formula>1200</formula>
    </cfRule>
  </conditionalFormatting>
  <conditionalFormatting sqref="G436">
    <cfRule type="cellIs" dxfId="646" priority="636" operator="between">
      <formula>300</formula>
      <formula>1200</formula>
    </cfRule>
  </conditionalFormatting>
  <conditionalFormatting sqref="G436">
    <cfRule type="cellIs" dxfId="645" priority="635" operator="greaterThan">
      <formula>1200</formula>
    </cfRule>
  </conditionalFormatting>
  <conditionalFormatting sqref="G437">
    <cfRule type="cellIs" dxfId="644" priority="634" operator="between">
      <formula>300</formula>
      <formula>1200</formula>
    </cfRule>
  </conditionalFormatting>
  <conditionalFormatting sqref="G437">
    <cfRule type="cellIs" dxfId="643" priority="633" operator="greaterThan">
      <formula>1200</formula>
    </cfRule>
  </conditionalFormatting>
  <conditionalFormatting sqref="G438">
    <cfRule type="cellIs" dxfId="642" priority="632" operator="between">
      <formula>300</formula>
      <formula>1200</formula>
    </cfRule>
  </conditionalFormatting>
  <conditionalFormatting sqref="G438">
    <cfRule type="cellIs" dxfId="641" priority="631" operator="greaterThan">
      <formula>1200</formula>
    </cfRule>
  </conditionalFormatting>
  <conditionalFormatting sqref="G439">
    <cfRule type="cellIs" dxfId="640" priority="630" operator="between">
      <formula>300</formula>
      <formula>1200</formula>
    </cfRule>
  </conditionalFormatting>
  <conditionalFormatting sqref="G439">
    <cfRule type="cellIs" dxfId="639" priority="629" operator="greaterThan">
      <formula>1200</formula>
    </cfRule>
  </conditionalFormatting>
  <conditionalFormatting sqref="G440">
    <cfRule type="cellIs" dxfId="638" priority="628" operator="between">
      <formula>300</formula>
      <formula>1200</formula>
    </cfRule>
  </conditionalFormatting>
  <conditionalFormatting sqref="G440">
    <cfRule type="cellIs" dxfId="637" priority="627" operator="greaterThan">
      <formula>1200</formula>
    </cfRule>
  </conditionalFormatting>
  <conditionalFormatting sqref="G441">
    <cfRule type="cellIs" dxfId="636" priority="626" operator="between">
      <formula>300</formula>
      <formula>1200</formula>
    </cfRule>
  </conditionalFormatting>
  <conditionalFormatting sqref="G441">
    <cfRule type="cellIs" dxfId="635" priority="625" operator="greaterThan">
      <formula>1200</formula>
    </cfRule>
  </conditionalFormatting>
  <conditionalFormatting sqref="G444">
    <cfRule type="cellIs" dxfId="634" priority="624" operator="between">
      <formula>300</formula>
      <formula>1200</formula>
    </cfRule>
  </conditionalFormatting>
  <conditionalFormatting sqref="G444">
    <cfRule type="cellIs" dxfId="633" priority="623" operator="greaterThan">
      <formula>1200</formula>
    </cfRule>
  </conditionalFormatting>
  <conditionalFormatting sqref="G445">
    <cfRule type="cellIs" dxfId="632" priority="622" operator="between">
      <formula>300</formula>
      <formula>1200</formula>
    </cfRule>
  </conditionalFormatting>
  <conditionalFormatting sqref="G445">
    <cfRule type="cellIs" dxfId="631" priority="621" operator="greaterThan">
      <formula>1200</formula>
    </cfRule>
  </conditionalFormatting>
  <conditionalFormatting sqref="G446">
    <cfRule type="cellIs" dxfId="630" priority="620" operator="between">
      <formula>300</formula>
      <formula>1200</formula>
    </cfRule>
  </conditionalFormatting>
  <conditionalFormatting sqref="G446">
    <cfRule type="cellIs" dxfId="629" priority="619" operator="greaterThan">
      <formula>1200</formula>
    </cfRule>
  </conditionalFormatting>
  <conditionalFormatting sqref="G448">
    <cfRule type="cellIs" dxfId="628" priority="618" operator="between">
      <formula>300</formula>
      <formula>1200</formula>
    </cfRule>
  </conditionalFormatting>
  <conditionalFormatting sqref="G448">
    <cfRule type="cellIs" dxfId="627" priority="617" operator="greaterThan">
      <formula>1200</formula>
    </cfRule>
  </conditionalFormatting>
  <conditionalFormatting sqref="G451">
    <cfRule type="cellIs" dxfId="626" priority="616" operator="between">
      <formula>300</formula>
      <formula>1200</formula>
    </cfRule>
  </conditionalFormatting>
  <conditionalFormatting sqref="G451">
    <cfRule type="cellIs" dxfId="625" priority="615" operator="greaterThan">
      <formula>1200</formula>
    </cfRule>
  </conditionalFormatting>
  <conditionalFormatting sqref="G453">
    <cfRule type="cellIs" dxfId="624" priority="614" operator="between">
      <formula>300</formula>
      <formula>1200</formula>
    </cfRule>
  </conditionalFormatting>
  <conditionalFormatting sqref="G453">
    <cfRule type="cellIs" dxfId="623" priority="613" operator="greaterThan">
      <formula>1200</formula>
    </cfRule>
  </conditionalFormatting>
  <conditionalFormatting sqref="G456">
    <cfRule type="cellIs" dxfId="622" priority="612" operator="between">
      <formula>300</formula>
      <formula>1200</formula>
    </cfRule>
  </conditionalFormatting>
  <conditionalFormatting sqref="G456">
    <cfRule type="cellIs" dxfId="621" priority="611" operator="greaterThan">
      <formula>1200</formula>
    </cfRule>
  </conditionalFormatting>
  <conditionalFormatting sqref="G457">
    <cfRule type="cellIs" dxfId="620" priority="610" operator="between">
      <formula>300</formula>
      <formula>1200</formula>
    </cfRule>
  </conditionalFormatting>
  <conditionalFormatting sqref="G457">
    <cfRule type="cellIs" dxfId="619" priority="609" operator="greaterThan">
      <formula>1200</formula>
    </cfRule>
  </conditionalFormatting>
  <conditionalFormatting sqref="G458">
    <cfRule type="cellIs" dxfId="618" priority="608" operator="between">
      <formula>300</formula>
      <formula>1200</formula>
    </cfRule>
  </conditionalFormatting>
  <conditionalFormatting sqref="G458">
    <cfRule type="cellIs" dxfId="617" priority="607" operator="greaterThan">
      <formula>1200</formula>
    </cfRule>
  </conditionalFormatting>
  <conditionalFormatting sqref="G459">
    <cfRule type="cellIs" dxfId="616" priority="606" operator="between">
      <formula>300</formula>
      <formula>1200</formula>
    </cfRule>
  </conditionalFormatting>
  <conditionalFormatting sqref="G459">
    <cfRule type="cellIs" dxfId="615" priority="605" operator="greaterThan">
      <formula>1200</formula>
    </cfRule>
  </conditionalFormatting>
  <conditionalFormatting sqref="G460">
    <cfRule type="cellIs" dxfId="614" priority="604" operator="between">
      <formula>300</formula>
      <formula>1200</formula>
    </cfRule>
  </conditionalFormatting>
  <conditionalFormatting sqref="G460">
    <cfRule type="cellIs" dxfId="613" priority="603" operator="greaterThan">
      <formula>1200</formula>
    </cfRule>
  </conditionalFormatting>
  <conditionalFormatting sqref="G461">
    <cfRule type="cellIs" dxfId="612" priority="602" operator="between">
      <formula>300</formula>
      <formula>1200</formula>
    </cfRule>
  </conditionalFormatting>
  <conditionalFormatting sqref="G461">
    <cfRule type="cellIs" dxfId="611" priority="601" operator="greaterThan">
      <formula>1200</formula>
    </cfRule>
  </conditionalFormatting>
  <conditionalFormatting sqref="G474">
    <cfRule type="cellIs" dxfId="610" priority="600" operator="between">
      <formula>300</formula>
      <formula>1200</formula>
    </cfRule>
  </conditionalFormatting>
  <conditionalFormatting sqref="G474">
    <cfRule type="cellIs" dxfId="609" priority="599" operator="greaterThan">
      <formula>1200</formula>
    </cfRule>
  </conditionalFormatting>
  <conditionalFormatting sqref="G476">
    <cfRule type="cellIs" dxfId="608" priority="598" operator="between">
      <formula>300</formula>
      <formula>1200</formula>
    </cfRule>
  </conditionalFormatting>
  <conditionalFormatting sqref="G476">
    <cfRule type="cellIs" dxfId="607" priority="597" operator="greaterThan">
      <formula>1200</formula>
    </cfRule>
  </conditionalFormatting>
  <conditionalFormatting sqref="G480">
    <cfRule type="cellIs" dxfId="606" priority="596" operator="between">
      <formula>300</formula>
      <formula>1200</formula>
    </cfRule>
  </conditionalFormatting>
  <conditionalFormatting sqref="G480">
    <cfRule type="cellIs" dxfId="605" priority="595" operator="greaterThan">
      <formula>1200</formula>
    </cfRule>
  </conditionalFormatting>
  <conditionalFormatting sqref="G482">
    <cfRule type="cellIs" dxfId="604" priority="594" operator="between">
      <formula>300</formula>
      <formula>1200</formula>
    </cfRule>
  </conditionalFormatting>
  <conditionalFormatting sqref="G482">
    <cfRule type="cellIs" dxfId="603" priority="593" operator="greaterThan">
      <formula>1200</formula>
    </cfRule>
  </conditionalFormatting>
  <conditionalFormatting sqref="G484">
    <cfRule type="cellIs" dxfId="602" priority="592" operator="between">
      <formula>300</formula>
      <formula>1200</formula>
    </cfRule>
  </conditionalFormatting>
  <conditionalFormatting sqref="G484">
    <cfRule type="cellIs" dxfId="601" priority="591" operator="greaterThan">
      <formula>1200</formula>
    </cfRule>
  </conditionalFormatting>
  <conditionalFormatting sqref="G485">
    <cfRule type="cellIs" dxfId="600" priority="590" operator="between">
      <formula>300</formula>
      <formula>1200</formula>
    </cfRule>
  </conditionalFormatting>
  <conditionalFormatting sqref="G485">
    <cfRule type="cellIs" dxfId="599" priority="589" operator="greaterThan">
      <formula>1200</formula>
    </cfRule>
  </conditionalFormatting>
  <conditionalFormatting sqref="G487">
    <cfRule type="cellIs" dxfId="598" priority="588" operator="between">
      <formula>300</formula>
      <formula>1200</formula>
    </cfRule>
  </conditionalFormatting>
  <conditionalFormatting sqref="G487">
    <cfRule type="cellIs" dxfId="597" priority="587" operator="greaterThan">
      <formula>1200</formula>
    </cfRule>
  </conditionalFormatting>
  <conditionalFormatting sqref="G488">
    <cfRule type="cellIs" dxfId="596" priority="586" operator="between">
      <formula>300</formula>
      <formula>1200</formula>
    </cfRule>
  </conditionalFormatting>
  <conditionalFormatting sqref="G488">
    <cfRule type="cellIs" dxfId="595" priority="585" operator="greaterThan">
      <formula>1200</formula>
    </cfRule>
  </conditionalFormatting>
  <conditionalFormatting sqref="G495">
    <cfRule type="cellIs" dxfId="594" priority="584" operator="between">
      <formula>300</formula>
      <formula>1200</formula>
    </cfRule>
  </conditionalFormatting>
  <conditionalFormatting sqref="G495">
    <cfRule type="cellIs" dxfId="593" priority="583" operator="greaterThan">
      <formula>1200</formula>
    </cfRule>
  </conditionalFormatting>
  <conditionalFormatting sqref="G496">
    <cfRule type="cellIs" dxfId="592" priority="582" operator="between">
      <formula>300</formula>
      <formula>1200</formula>
    </cfRule>
  </conditionalFormatting>
  <conditionalFormatting sqref="G496">
    <cfRule type="cellIs" dxfId="591" priority="581" operator="greaterThan">
      <formula>1200</formula>
    </cfRule>
  </conditionalFormatting>
  <conditionalFormatting sqref="G497">
    <cfRule type="cellIs" dxfId="590" priority="580" operator="between">
      <formula>300</formula>
      <formula>1200</formula>
    </cfRule>
  </conditionalFormatting>
  <conditionalFormatting sqref="G497">
    <cfRule type="cellIs" dxfId="589" priority="579" operator="greaterThan">
      <formula>1200</formula>
    </cfRule>
  </conditionalFormatting>
  <conditionalFormatting sqref="G498">
    <cfRule type="cellIs" dxfId="588" priority="578" operator="between">
      <formula>300</formula>
      <formula>1200</formula>
    </cfRule>
  </conditionalFormatting>
  <conditionalFormatting sqref="G498">
    <cfRule type="cellIs" dxfId="587" priority="577" operator="greaterThan">
      <formula>1200</formula>
    </cfRule>
  </conditionalFormatting>
  <conditionalFormatting sqref="G499">
    <cfRule type="cellIs" dxfId="586" priority="576" operator="between">
      <formula>300</formula>
      <formula>1200</formula>
    </cfRule>
  </conditionalFormatting>
  <conditionalFormatting sqref="G499">
    <cfRule type="cellIs" dxfId="585" priority="575" operator="greaterThan">
      <formula>1200</formula>
    </cfRule>
  </conditionalFormatting>
  <conditionalFormatting sqref="G500">
    <cfRule type="cellIs" dxfId="584" priority="574" operator="between">
      <formula>300</formula>
      <formula>1200</formula>
    </cfRule>
  </conditionalFormatting>
  <conditionalFormatting sqref="G500">
    <cfRule type="cellIs" dxfId="583" priority="573" operator="greaterThan">
      <formula>1200</formula>
    </cfRule>
  </conditionalFormatting>
  <conditionalFormatting sqref="G505">
    <cfRule type="cellIs" dxfId="582" priority="572" operator="between">
      <formula>300</formula>
      <formula>1200</formula>
    </cfRule>
  </conditionalFormatting>
  <conditionalFormatting sqref="G505">
    <cfRule type="cellIs" dxfId="581" priority="571" operator="greaterThan">
      <formula>1200</formula>
    </cfRule>
  </conditionalFormatting>
  <conditionalFormatting sqref="G506">
    <cfRule type="cellIs" dxfId="580" priority="570" operator="between">
      <formula>300</formula>
      <formula>1200</formula>
    </cfRule>
  </conditionalFormatting>
  <conditionalFormatting sqref="G506">
    <cfRule type="cellIs" dxfId="579" priority="569" operator="greaterThan">
      <formula>1200</formula>
    </cfRule>
  </conditionalFormatting>
  <conditionalFormatting sqref="G507">
    <cfRule type="cellIs" dxfId="578" priority="568" operator="between">
      <formula>300</formula>
      <formula>1200</formula>
    </cfRule>
  </conditionalFormatting>
  <conditionalFormatting sqref="G507">
    <cfRule type="cellIs" dxfId="577" priority="567" operator="greaterThan">
      <formula>1200</formula>
    </cfRule>
  </conditionalFormatting>
  <conditionalFormatting sqref="G508">
    <cfRule type="cellIs" dxfId="576" priority="566" operator="between">
      <formula>300</formula>
      <formula>1200</formula>
    </cfRule>
  </conditionalFormatting>
  <conditionalFormatting sqref="G508">
    <cfRule type="cellIs" dxfId="575" priority="565" operator="greaterThan">
      <formula>1200</formula>
    </cfRule>
  </conditionalFormatting>
  <conditionalFormatting sqref="G509">
    <cfRule type="cellIs" dxfId="574" priority="564" operator="between">
      <formula>300</formula>
      <formula>1200</formula>
    </cfRule>
  </conditionalFormatting>
  <conditionalFormatting sqref="G509">
    <cfRule type="cellIs" dxfId="573" priority="563" operator="greaterThan">
      <formula>1200</formula>
    </cfRule>
  </conditionalFormatting>
  <conditionalFormatting sqref="G513">
    <cfRule type="cellIs" dxfId="572" priority="562" operator="between">
      <formula>300</formula>
      <formula>1200</formula>
    </cfRule>
  </conditionalFormatting>
  <conditionalFormatting sqref="G513">
    <cfRule type="cellIs" dxfId="571" priority="561" operator="greaterThan">
      <formula>1200</formula>
    </cfRule>
  </conditionalFormatting>
  <conditionalFormatting sqref="G514">
    <cfRule type="cellIs" dxfId="570" priority="560" operator="between">
      <formula>300</formula>
      <formula>1200</formula>
    </cfRule>
  </conditionalFormatting>
  <conditionalFormatting sqref="G514">
    <cfRule type="cellIs" dxfId="569" priority="559" operator="greaterThan">
      <formula>1200</formula>
    </cfRule>
  </conditionalFormatting>
  <conditionalFormatting sqref="G515">
    <cfRule type="cellIs" dxfId="568" priority="558" operator="between">
      <formula>300</formula>
      <formula>1200</formula>
    </cfRule>
  </conditionalFormatting>
  <conditionalFormatting sqref="G515">
    <cfRule type="cellIs" dxfId="567" priority="557" operator="greaterThan">
      <formula>1200</formula>
    </cfRule>
  </conditionalFormatting>
  <conditionalFormatting sqref="G524">
    <cfRule type="cellIs" dxfId="566" priority="556" operator="between">
      <formula>300</formula>
      <formula>1200</formula>
    </cfRule>
  </conditionalFormatting>
  <conditionalFormatting sqref="G524">
    <cfRule type="cellIs" dxfId="565" priority="555" operator="greaterThan">
      <formula>1200</formula>
    </cfRule>
  </conditionalFormatting>
  <conditionalFormatting sqref="G526">
    <cfRule type="cellIs" dxfId="564" priority="554" operator="between">
      <formula>300</formula>
      <formula>1200</formula>
    </cfRule>
  </conditionalFormatting>
  <conditionalFormatting sqref="G526">
    <cfRule type="cellIs" dxfId="563" priority="553" operator="greaterThan">
      <formula>1200</formula>
    </cfRule>
  </conditionalFormatting>
  <conditionalFormatting sqref="G531">
    <cfRule type="cellIs" dxfId="562" priority="552" operator="between">
      <formula>300</formula>
      <formula>1200</formula>
    </cfRule>
  </conditionalFormatting>
  <conditionalFormatting sqref="G531">
    <cfRule type="cellIs" dxfId="561" priority="551" operator="greaterThan">
      <formula>1200</formula>
    </cfRule>
  </conditionalFormatting>
  <conditionalFormatting sqref="G532">
    <cfRule type="cellIs" dxfId="560" priority="550" operator="between">
      <formula>300</formula>
      <formula>1200</formula>
    </cfRule>
  </conditionalFormatting>
  <conditionalFormatting sqref="G532">
    <cfRule type="cellIs" dxfId="559" priority="549" operator="greaterThan">
      <formula>1200</formula>
    </cfRule>
  </conditionalFormatting>
  <conditionalFormatting sqref="G534:G535">
    <cfRule type="cellIs" dxfId="558" priority="548" operator="between">
      <formula>300</formula>
      <formula>1200</formula>
    </cfRule>
  </conditionalFormatting>
  <conditionalFormatting sqref="G534:G535">
    <cfRule type="cellIs" dxfId="557" priority="547" operator="greaterThan">
      <formula>1200</formula>
    </cfRule>
  </conditionalFormatting>
  <conditionalFormatting sqref="G536">
    <cfRule type="cellIs" dxfId="556" priority="546" operator="between">
      <formula>300</formula>
      <formula>1200</formula>
    </cfRule>
  </conditionalFormatting>
  <conditionalFormatting sqref="G536">
    <cfRule type="cellIs" dxfId="555" priority="545" operator="greaterThan">
      <formula>1200</formula>
    </cfRule>
  </conditionalFormatting>
  <conditionalFormatting sqref="G537">
    <cfRule type="cellIs" dxfId="554" priority="544" operator="between">
      <formula>300</formula>
      <formula>1200</formula>
    </cfRule>
  </conditionalFormatting>
  <conditionalFormatting sqref="G537">
    <cfRule type="cellIs" dxfId="553" priority="543" operator="greaterThan">
      <formula>1200</formula>
    </cfRule>
  </conditionalFormatting>
  <conditionalFormatting sqref="G538">
    <cfRule type="cellIs" dxfId="552" priority="542" operator="between">
      <formula>300</formula>
      <formula>1200</formula>
    </cfRule>
  </conditionalFormatting>
  <conditionalFormatting sqref="G538">
    <cfRule type="cellIs" dxfId="551" priority="541" operator="greaterThan">
      <formula>1200</formula>
    </cfRule>
  </conditionalFormatting>
  <conditionalFormatting sqref="G541">
    <cfRule type="cellIs" dxfId="550" priority="540" operator="between">
      <formula>300</formula>
      <formula>1200</formula>
    </cfRule>
  </conditionalFormatting>
  <conditionalFormatting sqref="G541">
    <cfRule type="cellIs" dxfId="549" priority="539" operator="greaterThan">
      <formula>1200</formula>
    </cfRule>
  </conditionalFormatting>
  <conditionalFormatting sqref="G542">
    <cfRule type="cellIs" dxfId="548" priority="538" operator="between">
      <formula>300</formula>
      <formula>1200</formula>
    </cfRule>
  </conditionalFormatting>
  <conditionalFormatting sqref="G542">
    <cfRule type="cellIs" dxfId="547" priority="537" operator="greaterThan">
      <formula>1200</formula>
    </cfRule>
  </conditionalFormatting>
  <conditionalFormatting sqref="G550">
    <cfRule type="cellIs" dxfId="546" priority="536" operator="between">
      <formula>300</formula>
      <formula>1200</formula>
    </cfRule>
  </conditionalFormatting>
  <conditionalFormatting sqref="G550">
    <cfRule type="cellIs" dxfId="545" priority="535" operator="greaterThan">
      <formula>1200</formula>
    </cfRule>
  </conditionalFormatting>
  <conditionalFormatting sqref="G551">
    <cfRule type="cellIs" dxfId="544" priority="534" operator="between">
      <formula>300</formula>
      <formula>1200</formula>
    </cfRule>
  </conditionalFormatting>
  <conditionalFormatting sqref="G551">
    <cfRule type="cellIs" dxfId="543" priority="533" operator="greaterThan">
      <formula>1200</formula>
    </cfRule>
  </conditionalFormatting>
  <conditionalFormatting sqref="G552">
    <cfRule type="cellIs" dxfId="542" priority="532" operator="between">
      <formula>300</formula>
      <formula>1200</formula>
    </cfRule>
  </conditionalFormatting>
  <conditionalFormatting sqref="G552">
    <cfRule type="cellIs" dxfId="541" priority="531" operator="greaterThan">
      <formula>1200</formula>
    </cfRule>
  </conditionalFormatting>
  <conditionalFormatting sqref="G555">
    <cfRule type="cellIs" dxfId="540" priority="530" operator="between">
      <formula>300</formula>
      <formula>1200</formula>
    </cfRule>
  </conditionalFormatting>
  <conditionalFormatting sqref="G555">
    <cfRule type="cellIs" dxfId="539" priority="529" operator="greaterThan">
      <formula>1200</formula>
    </cfRule>
  </conditionalFormatting>
  <conditionalFormatting sqref="G556">
    <cfRule type="cellIs" dxfId="538" priority="528" operator="between">
      <formula>300</formula>
      <formula>1200</formula>
    </cfRule>
  </conditionalFormatting>
  <conditionalFormatting sqref="G556">
    <cfRule type="cellIs" dxfId="537" priority="527" operator="greaterThan">
      <formula>1200</formula>
    </cfRule>
  </conditionalFormatting>
  <conditionalFormatting sqref="G560">
    <cfRule type="cellIs" dxfId="536" priority="526" operator="between">
      <formula>300</formula>
      <formula>1200</formula>
    </cfRule>
  </conditionalFormatting>
  <conditionalFormatting sqref="G560">
    <cfRule type="cellIs" dxfId="535" priority="525" operator="greaterThan">
      <formula>1200</formula>
    </cfRule>
  </conditionalFormatting>
  <conditionalFormatting sqref="G564">
    <cfRule type="cellIs" dxfId="534" priority="524" operator="between">
      <formula>300</formula>
      <formula>1200</formula>
    </cfRule>
  </conditionalFormatting>
  <conditionalFormatting sqref="G564">
    <cfRule type="cellIs" dxfId="533" priority="523" operator="greaterThan">
      <formula>1200</formula>
    </cfRule>
  </conditionalFormatting>
  <conditionalFormatting sqref="G565">
    <cfRule type="cellIs" dxfId="532" priority="522" operator="between">
      <formula>300</formula>
      <formula>1200</formula>
    </cfRule>
  </conditionalFormatting>
  <conditionalFormatting sqref="G565">
    <cfRule type="cellIs" dxfId="531" priority="521" operator="greaterThan">
      <formula>1200</formula>
    </cfRule>
  </conditionalFormatting>
  <conditionalFormatting sqref="G571">
    <cfRule type="cellIs" dxfId="530" priority="520" operator="between">
      <formula>300</formula>
      <formula>1200</formula>
    </cfRule>
  </conditionalFormatting>
  <conditionalFormatting sqref="G571">
    <cfRule type="cellIs" dxfId="529" priority="519" operator="greaterThan">
      <formula>1200</formula>
    </cfRule>
  </conditionalFormatting>
  <conditionalFormatting sqref="G577">
    <cfRule type="cellIs" dxfId="528" priority="518" operator="between">
      <formula>300</formula>
      <formula>1200</formula>
    </cfRule>
  </conditionalFormatting>
  <conditionalFormatting sqref="G577">
    <cfRule type="cellIs" dxfId="527" priority="517" operator="greaterThan">
      <formula>1200</formula>
    </cfRule>
  </conditionalFormatting>
  <conditionalFormatting sqref="G581">
    <cfRule type="cellIs" dxfId="526" priority="516" operator="between">
      <formula>300</formula>
      <formula>1200</formula>
    </cfRule>
  </conditionalFormatting>
  <conditionalFormatting sqref="G581">
    <cfRule type="cellIs" dxfId="525" priority="515" operator="greaterThan">
      <formula>1200</formula>
    </cfRule>
  </conditionalFormatting>
  <conditionalFormatting sqref="G582">
    <cfRule type="cellIs" dxfId="524" priority="514" operator="between">
      <formula>300</formula>
      <formula>1200</formula>
    </cfRule>
  </conditionalFormatting>
  <conditionalFormatting sqref="G582">
    <cfRule type="cellIs" dxfId="523" priority="513" operator="greaterThan">
      <formula>1200</formula>
    </cfRule>
  </conditionalFormatting>
  <conditionalFormatting sqref="G583">
    <cfRule type="cellIs" dxfId="522" priority="512" operator="between">
      <formula>300</formula>
      <formula>1200</formula>
    </cfRule>
  </conditionalFormatting>
  <conditionalFormatting sqref="G583">
    <cfRule type="cellIs" dxfId="521" priority="511" operator="greaterThan">
      <formula>1200</formula>
    </cfRule>
  </conditionalFormatting>
  <conditionalFormatting sqref="G584">
    <cfRule type="cellIs" dxfId="520" priority="510" operator="between">
      <formula>300</formula>
      <formula>1200</formula>
    </cfRule>
  </conditionalFormatting>
  <conditionalFormatting sqref="G584">
    <cfRule type="cellIs" dxfId="519" priority="509" operator="greaterThan">
      <formula>1200</formula>
    </cfRule>
  </conditionalFormatting>
  <conditionalFormatting sqref="G585">
    <cfRule type="cellIs" dxfId="518" priority="508" operator="between">
      <formula>300</formula>
      <formula>1200</formula>
    </cfRule>
  </conditionalFormatting>
  <conditionalFormatting sqref="G585">
    <cfRule type="cellIs" dxfId="517" priority="507" operator="greaterThan">
      <formula>1200</formula>
    </cfRule>
  </conditionalFormatting>
  <conditionalFormatting sqref="G586">
    <cfRule type="cellIs" dxfId="516" priority="506" operator="between">
      <formula>300</formula>
      <formula>1200</formula>
    </cfRule>
  </conditionalFormatting>
  <conditionalFormatting sqref="G586">
    <cfRule type="cellIs" dxfId="515" priority="505" operator="greaterThan">
      <formula>1200</formula>
    </cfRule>
  </conditionalFormatting>
  <conditionalFormatting sqref="G587">
    <cfRule type="cellIs" dxfId="514" priority="504" operator="between">
      <formula>300</formula>
      <formula>1200</formula>
    </cfRule>
  </conditionalFormatting>
  <conditionalFormatting sqref="G587">
    <cfRule type="cellIs" dxfId="513" priority="503" operator="greaterThan">
      <formula>1200</formula>
    </cfRule>
  </conditionalFormatting>
  <conditionalFormatting sqref="G590">
    <cfRule type="cellIs" dxfId="512" priority="502" operator="between">
      <formula>300</formula>
      <formula>1200</formula>
    </cfRule>
  </conditionalFormatting>
  <conditionalFormatting sqref="G590">
    <cfRule type="cellIs" dxfId="511" priority="501" operator="greaterThan">
      <formula>1200</formula>
    </cfRule>
  </conditionalFormatting>
  <conditionalFormatting sqref="G591">
    <cfRule type="cellIs" dxfId="510" priority="500" operator="between">
      <formula>300</formula>
      <formula>1200</formula>
    </cfRule>
  </conditionalFormatting>
  <conditionalFormatting sqref="G591">
    <cfRule type="cellIs" dxfId="509" priority="499" operator="greaterThan">
      <formula>1200</formula>
    </cfRule>
  </conditionalFormatting>
  <conditionalFormatting sqref="G594">
    <cfRule type="cellIs" dxfId="508" priority="498" operator="between">
      <formula>300</formula>
      <formula>1200</formula>
    </cfRule>
  </conditionalFormatting>
  <conditionalFormatting sqref="G594">
    <cfRule type="cellIs" dxfId="507" priority="497" operator="greaterThan">
      <formula>1200</formula>
    </cfRule>
  </conditionalFormatting>
  <conditionalFormatting sqref="G595">
    <cfRule type="cellIs" dxfId="506" priority="496" operator="between">
      <formula>300</formula>
      <formula>1200</formula>
    </cfRule>
  </conditionalFormatting>
  <conditionalFormatting sqref="G595">
    <cfRule type="cellIs" dxfId="505" priority="495" operator="greaterThan">
      <formula>1200</formula>
    </cfRule>
  </conditionalFormatting>
  <conditionalFormatting sqref="G597">
    <cfRule type="cellIs" dxfId="504" priority="494" operator="between">
      <formula>300</formula>
      <formula>1200</formula>
    </cfRule>
  </conditionalFormatting>
  <conditionalFormatting sqref="G597">
    <cfRule type="cellIs" dxfId="503" priority="493" operator="greaterThan">
      <formula>1200</formula>
    </cfRule>
  </conditionalFormatting>
  <conditionalFormatting sqref="G598">
    <cfRule type="cellIs" dxfId="502" priority="492" operator="between">
      <formula>300</formula>
      <formula>1200</formula>
    </cfRule>
  </conditionalFormatting>
  <conditionalFormatting sqref="G598">
    <cfRule type="cellIs" dxfId="501" priority="491" operator="greaterThan">
      <formula>1200</formula>
    </cfRule>
  </conditionalFormatting>
  <conditionalFormatting sqref="G599:G609">
    <cfRule type="cellIs" dxfId="500" priority="490" operator="between">
      <formula>300</formula>
      <formula>1200</formula>
    </cfRule>
  </conditionalFormatting>
  <conditionalFormatting sqref="G599:G609">
    <cfRule type="cellIs" dxfId="499" priority="489" operator="greaterThan">
      <formula>1200</formula>
    </cfRule>
  </conditionalFormatting>
  <conditionalFormatting sqref="G626:G632">
    <cfRule type="cellIs" dxfId="498" priority="488" operator="between">
      <formula>300</formula>
      <formula>1200</formula>
    </cfRule>
  </conditionalFormatting>
  <conditionalFormatting sqref="G626:G632">
    <cfRule type="cellIs" dxfId="497" priority="487" operator="greaterThan">
      <formula>1200</formula>
    </cfRule>
  </conditionalFormatting>
  <conditionalFormatting sqref="G634">
    <cfRule type="cellIs" dxfId="496" priority="486" operator="between">
      <formula>300</formula>
      <formula>1200</formula>
    </cfRule>
  </conditionalFormatting>
  <conditionalFormatting sqref="G634">
    <cfRule type="cellIs" dxfId="495" priority="485" operator="greaterThan">
      <formula>1200</formula>
    </cfRule>
  </conditionalFormatting>
  <conditionalFormatting sqref="G637">
    <cfRule type="cellIs" dxfId="494" priority="484" operator="between">
      <formula>300</formula>
      <formula>1200</formula>
    </cfRule>
  </conditionalFormatting>
  <conditionalFormatting sqref="G637">
    <cfRule type="cellIs" dxfId="493" priority="483" operator="greaterThan">
      <formula>1200</formula>
    </cfRule>
  </conditionalFormatting>
  <conditionalFormatting sqref="G638">
    <cfRule type="cellIs" dxfId="492" priority="482" operator="between">
      <formula>300</formula>
      <formula>1200</formula>
    </cfRule>
  </conditionalFormatting>
  <conditionalFormatting sqref="G638">
    <cfRule type="cellIs" dxfId="491" priority="481" operator="greaterThan">
      <formula>1200</formula>
    </cfRule>
  </conditionalFormatting>
  <conditionalFormatting sqref="G642">
    <cfRule type="cellIs" dxfId="490" priority="480" operator="between">
      <formula>300</formula>
      <formula>1200</formula>
    </cfRule>
  </conditionalFormatting>
  <conditionalFormatting sqref="G642">
    <cfRule type="cellIs" dxfId="489" priority="479" operator="greaterThan">
      <formula>1200</formula>
    </cfRule>
  </conditionalFormatting>
  <conditionalFormatting sqref="G645">
    <cfRule type="cellIs" dxfId="488" priority="478" operator="between">
      <formula>300</formula>
      <formula>1200</formula>
    </cfRule>
  </conditionalFormatting>
  <conditionalFormatting sqref="G645">
    <cfRule type="cellIs" dxfId="487" priority="477" operator="greaterThan">
      <formula>1200</formula>
    </cfRule>
  </conditionalFormatting>
  <conditionalFormatting sqref="G646">
    <cfRule type="cellIs" dxfId="486" priority="476" operator="between">
      <formula>300</formula>
      <formula>1200</formula>
    </cfRule>
  </conditionalFormatting>
  <conditionalFormatting sqref="G646">
    <cfRule type="cellIs" dxfId="485" priority="475" operator="greaterThan">
      <formula>1200</formula>
    </cfRule>
  </conditionalFormatting>
  <conditionalFormatting sqref="G647">
    <cfRule type="cellIs" dxfId="484" priority="474" operator="between">
      <formula>300</formula>
      <formula>1200</formula>
    </cfRule>
  </conditionalFormatting>
  <conditionalFormatting sqref="G647">
    <cfRule type="cellIs" dxfId="483" priority="473" operator="greaterThan">
      <formula>1200</formula>
    </cfRule>
  </conditionalFormatting>
  <conditionalFormatting sqref="G648">
    <cfRule type="cellIs" dxfId="482" priority="472" operator="between">
      <formula>300</formula>
      <formula>1200</formula>
    </cfRule>
  </conditionalFormatting>
  <conditionalFormatting sqref="G648">
    <cfRule type="cellIs" dxfId="481" priority="471" operator="greaterThan">
      <formula>1200</formula>
    </cfRule>
  </conditionalFormatting>
  <conditionalFormatting sqref="G652">
    <cfRule type="cellIs" dxfId="480" priority="470" operator="between">
      <formula>300</formula>
      <formula>1200</formula>
    </cfRule>
  </conditionalFormatting>
  <conditionalFormatting sqref="G652">
    <cfRule type="cellIs" dxfId="479" priority="469" operator="greaterThan">
      <formula>1200</formula>
    </cfRule>
  </conditionalFormatting>
  <conditionalFormatting sqref="G654">
    <cfRule type="cellIs" dxfId="478" priority="468" operator="between">
      <formula>300</formula>
      <formula>1200</formula>
    </cfRule>
  </conditionalFormatting>
  <conditionalFormatting sqref="G654">
    <cfRule type="cellIs" dxfId="477" priority="467" operator="greaterThan">
      <formula>1200</formula>
    </cfRule>
  </conditionalFormatting>
  <conditionalFormatting sqref="G655">
    <cfRule type="cellIs" dxfId="476" priority="466" operator="between">
      <formula>300</formula>
      <formula>1200</formula>
    </cfRule>
  </conditionalFormatting>
  <conditionalFormatting sqref="G655">
    <cfRule type="cellIs" dxfId="475" priority="465" operator="greaterThan">
      <formula>1200</formula>
    </cfRule>
  </conditionalFormatting>
  <conditionalFormatting sqref="G657">
    <cfRule type="cellIs" dxfId="474" priority="464" operator="between">
      <formula>300</formula>
      <formula>1200</formula>
    </cfRule>
  </conditionalFormatting>
  <conditionalFormatting sqref="G657">
    <cfRule type="cellIs" dxfId="473" priority="463" operator="greaterThan">
      <formula>1200</formula>
    </cfRule>
  </conditionalFormatting>
  <conditionalFormatting sqref="G658">
    <cfRule type="cellIs" dxfId="472" priority="462" operator="between">
      <formula>300</formula>
      <formula>1200</formula>
    </cfRule>
  </conditionalFormatting>
  <conditionalFormatting sqref="G658">
    <cfRule type="cellIs" dxfId="471" priority="461" operator="greaterThan">
      <formula>1200</formula>
    </cfRule>
  </conditionalFormatting>
  <conditionalFormatting sqref="G663">
    <cfRule type="cellIs" dxfId="470" priority="460" operator="between">
      <formula>300</formula>
      <formula>1200</formula>
    </cfRule>
  </conditionalFormatting>
  <conditionalFormatting sqref="G663">
    <cfRule type="cellIs" dxfId="469" priority="459" operator="greaterThan">
      <formula>1200</formula>
    </cfRule>
  </conditionalFormatting>
  <conditionalFormatting sqref="G664">
    <cfRule type="cellIs" dxfId="468" priority="458" operator="between">
      <formula>300</formula>
      <formula>1200</formula>
    </cfRule>
  </conditionalFormatting>
  <conditionalFormatting sqref="G664">
    <cfRule type="cellIs" dxfId="467" priority="457" operator="greaterThan">
      <formula>1200</formula>
    </cfRule>
  </conditionalFormatting>
  <conditionalFormatting sqref="G665">
    <cfRule type="cellIs" dxfId="466" priority="456" operator="between">
      <formula>300</formula>
      <formula>1200</formula>
    </cfRule>
  </conditionalFormatting>
  <conditionalFormatting sqref="G665">
    <cfRule type="cellIs" dxfId="465" priority="455" operator="greaterThan">
      <formula>1200</formula>
    </cfRule>
  </conditionalFormatting>
  <conditionalFormatting sqref="G666">
    <cfRule type="cellIs" dxfId="464" priority="454" operator="between">
      <formula>300</formula>
      <formula>1200</formula>
    </cfRule>
  </conditionalFormatting>
  <conditionalFormatting sqref="G666">
    <cfRule type="cellIs" dxfId="463" priority="453" operator="greaterThan">
      <formula>1200</formula>
    </cfRule>
  </conditionalFormatting>
  <conditionalFormatting sqref="G667">
    <cfRule type="cellIs" dxfId="462" priority="452" operator="between">
      <formula>300</formula>
      <formula>1200</formula>
    </cfRule>
  </conditionalFormatting>
  <conditionalFormatting sqref="G667">
    <cfRule type="cellIs" dxfId="461" priority="451" operator="greaterThan">
      <formula>1200</formula>
    </cfRule>
  </conditionalFormatting>
  <conditionalFormatting sqref="G669">
    <cfRule type="cellIs" dxfId="460" priority="450" operator="between">
      <formula>300</formula>
      <formula>1200</formula>
    </cfRule>
  </conditionalFormatting>
  <conditionalFormatting sqref="G669">
    <cfRule type="cellIs" dxfId="459" priority="449" operator="greaterThan">
      <formula>1200</formula>
    </cfRule>
  </conditionalFormatting>
  <conditionalFormatting sqref="G672:G676">
    <cfRule type="cellIs" dxfId="458" priority="448" operator="between">
      <formula>300</formula>
      <formula>1200</formula>
    </cfRule>
  </conditionalFormatting>
  <conditionalFormatting sqref="G672:G676">
    <cfRule type="cellIs" dxfId="457" priority="447" operator="greaterThan">
      <formula>1200</formula>
    </cfRule>
  </conditionalFormatting>
  <conditionalFormatting sqref="G679">
    <cfRule type="cellIs" dxfId="456" priority="446" operator="between">
      <formula>300</formula>
      <formula>1200</formula>
    </cfRule>
  </conditionalFormatting>
  <conditionalFormatting sqref="G679">
    <cfRule type="cellIs" dxfId="455" priority="445" operator="greaterThan">
      <formula>1200</formula>
    </cfRule>
  </conditionalFormatting>
  <conditionalFormatting sqref="G680">
    <cfRule type="cellIs" dxfId="454" priority="444" operator="between">
      <formula>300</formula>
      <formula>1200</formula>
    </cfRule>
  </conditionalFormatting>
  <conditionalFormatting sqref="G680">
    <cfRule type="cellIs" dxfId="453" priority="443" operator="greaterThan">
      <formula>1200</formula>
    </cfRule>
  </conditionalFormatting>
  <conditionalFormatting sqref="G687">
    <cfRule type="cellIs" dxfId="452" priority="442" operator="between">
      <formula>300</formula>
      <formula>1200</formula>
    </cfRule>
  </conditionalFormatting>
  <conditionalFormatting sqref="G687">
    <cfRule type="cellIs" dxfId="451" priority="441" operator="greaterThan">
      <formula>1200</formula>
    </cfRule>
  </conditionalFormatting>
  <conditionalFormatting sqref="G688">
    <cfRule type="cellIs" dxfId="450" priority="440" operator="between">
      <formula>300</formula>
      <formula>1200</formula>
    </cfRule>
  </conditionalFormatting>
  <conditionalFormatting sqref="G688">
    <cfRule type="cellIs" dxfId="449" priority="439" operator="greaterThan">
      <formula>1200</formula>
    </cfRule>
  </conditionalFormatting>
  <conditionalFormatting sqref="G690">
    <cfRule type="cellIs" dxfId="448" priority="438" operator="between">
      <formula>300</formula>
      <formula>1200</formula>
    </cfRule>
  </conditionalFormatting>
  <conditionalFormatting sqref="G690">
    <cfRule type="cellIs" dxfId="447" priority="437" operator="greaterThan">
      <formula>1200</formula>
    </cfRule>
  </conditionalFormatting>
  <conditionalFormatting sqref="G691">
    <cfRule type="cellIs" dxfId="446" priority="436" operator="between">
      <formula>300</formula>
      <formula>1200</formula>
    </cfRule>
  </conditionalFormatting>
  <conditionalFormatting sqref="G691">
    <cfRule type="cellIs" dxfId="445" priority="435" operator="greaterThan">
      <formula>1200</formula>
    </cfRule>
  </conditionalFormatting>
  <conditionalFormatting sqref="G693">
    <cfRule type="cellIs" dxfId="444" priority="434" operator="between">
      <formula>300</formula>
      <formula>1200</formula>
    </cfRule>
  </conditionalFormatting>
  <conditionalFormatting sqref="G693">
    <cfRule type="cellIs" dxfId="443" priority="433" operator="greaterThan">
      <formula>1200</formula>
    </cfRule>
  </conditionalFormatting>
  <conditionalFormatting sqref="G694">
    <cfRule type="cellIs" dxfId="442" priority="432" operator="between">
      <formula>300</formula>
      <formula>1200</formula>
    </cfRule>
  </conditionalFormatting>
  <conditionalFormatting sqref="G694">
    <cfRule type="cellIs" dxfId="441" priority="431" operator="greaterThan">
      <formula>1200</formula>
    </cfRule>
  </conditionalFormatting>
  <conditionalFormatting sqref="G695">
    <cfRule type="cellIs" dxfId="440" priority="430" operator="between">
      <formula>300</formula>
      <formula>1200</formula>
    </cfRule>
  </conditionalFormatting>
  <conditionalFormatting sqref="G695">
    <cfRule type="cellIs" dxfId="439" priority="429" operator="greaterThan">
      <formula>1200</formula>
    </cfRule>
  </conditionalFormatting>
  <conditionalFormatting sqref="G696">
    <cfRule type="cellIs" dxfId="438" priority="428" operator="between">
      <formula>300</formula>
      <formula>1200</formula>
    </cfRule>
  </conditionalFormatting>
  <conditionalFormatting sqref="G696">
    <cfRule type="cellIs" dxfId="437" priority="427" operator="greaterThan">
      <formula>1200</formula>
    </cfRule>
  </conditionalFormatting>
  <conditionalFormatting sqref="G697">
    <cfRule type="cellIs" dxfId="436" priority="426" operator="between">
      <formula>300</formula>
      <formula>1200</formula>
    </cfRule>
  </conditionalFormatting>
  <conditionalFormatting sqref="G697">
    <cfRule type="cellIs" dxfId="435" priority="425" operator="greaterThan">
      <formula>1200</formula>
    </cfRule>
  </conditionalFormatting>
  <conditionalFormatting sqref="G698">
    <cfRule type="cellIs" dxfId="434" priority="424" operator="between">
      <formula>300</formula>
      <formula>1200</formula>
    </cfRule>
  </conditionalFormatting>
  <conditionalFormatting sqref="G698">
    <cfRule type="cellIs" dxfId="433" priority="423" operator="greaterThan">
      <formula>1200</formula>
    </cfRule>
  </conditionalFormatting>
  <conditionalFormatting sqref="G714">
    <cfRule type="cellIs" dxfId="432" priority="422" operator="between">
      <formula>300</formula>
      <formula>1200</formula>
    </cfRule>
  </conditionalFormatting>
  <conditionalFormatting sqref="G714">
    <cfRule type="cellIs" dxfId="431" priority="421" operator="greaterThan">
      <formula>1200</formula>
    </cfRule>
  </conditionalFormatting>
  <conditionalFormatting sqref="G715">
    <cfRule type="cellIs" dxfId="430" priority="420" operator="between">
      <formula>300</formula>
      <formula>1200</formula>
    </cfRule>
  </conditionalFormatting>
  <conditionalFormatting sqref="G715">
    <cfRule type="cellIs" dxfId="429" priority="419" operator="greaterThan">
      <formula>1200</formula>
    </cfRule>
  </conditionalFormatting>
  <conditionalFormatting sqref="G716">
    <cfRule type="cellIs" dxfId="428" priority="418" operator="between">
      <formula>300</formula>
      <formula>1200</formula>
    </cfRule>
  </conditionalFormatting>
  <conditionalFormatting sqref="G716">
    <cfRule type="cellIs" dxfId="427" priority="417" operator="greaterThan">
      <formula>1200</formula>
    </cfRule>
  </conditionalFormatting>
  <conditionalFormatting sqref="G717">
    <cfRule type="cellIs" dxfId="426" priority="416" operator="between">
      <formula>300</formula>
      <formula>1200</formula>
    </cfRule>
  </conditionalFormatting>
  <conditionalFormatting sqref="G717">
    <cfRule type="cellIs" dxfId="425" priority="415" operator="greaterThan">
      <formula>1200</formula>
    </cfRule>
  </conditionalFormatting>
  <conditionalFormatting sqref="G718">
    <cfRule type="cellIs" dxfId="424" priority="414" operator="between">
      <formula>300</formula>
      <formula>1200</formula>
    </cfRule>
  </conditionalFormatting>
  <conditionalFormatting sqref="G718">
    <cfRule type="cellIs" dxfId="423" priority="413" operator="greaterThan">
      <formula>1200</formula>
    </cfRule>
  </conditionalFormatting>
  <conditionalFormatting sqref="G719">
    <cfRule type="cellIs" dxfId="422" priority="412" operator="between">
      <formula>300</formula>
      <formula>1200</formula>
    </cfRule>
  </conditionalFormatting>
  <conditionalFormatting sqref="G719">
    <cfRule type="cellIs" dxfId="421" priority="411" operator="greaterThan">
      <formula>1200</formula>
    </cfRule>
  </conditionalFormatting>
  <conditionalFormatting sqref="G720">
    <cfRule type="cellIs" dxfId="420" priority="410" operator="between">
      <formula>300</formula>
      <formula>1200</formula>
    </cfRule>
  </conditionalFormatting>
  <conditionalFormatting sqref="G720">
    <cfRule type="cellIs" dxfId="419" priority="409" operator="greaterThan">
      <formula>1200</formula>
    </cfRule>
  </conditionalFormatting>
  <conditionalFormatting sqref="G721">
    <cfRule type="cellIs" dxfId="418" priority="408" operator="between">
      <formula>300</formula>
      <formula>1200</formula>
    </cfRule>
  </conditionalFormatting>
  <conditionalFormatting sqref="G721">
    <cfRule type="cellIs" dxfId="417" priority="407" operator="greaterThan">
      <formula>1200</formula>
    </cfRule>
  </conditionalFormatting>
  <conditionalFormatting sqref="G722">
    <cfRule type="cellIs" dxfId="416" priority="406" operator="between">
      <formula>300</formula>
      <formula>1200</formula>
    </cfRule>
  </conditionalFormatting>
  <conditionalFormatting sqref="G722">
    <cfRule type="cellIs" dxfId="415" priority="405" operator="greaterThan">
      <formula>1200</formula>
    </cfRule>
  </conditionalFormatting>
  <conditionalFormatting sqref="G723">
    <cfRule type="cellIs" dxfId="414" priority="404" operator="between">
      <formula>300</formula>
      <formula>1200</formula>
    </cfRule>
  </conditionalFormatting>
  <conditionalFormatting sqref="G723">
    <cfRule type="cellIs" dxfId="413" priority="403" operator="greaterThan">
      <formula>1200</formula>
    </cfRule>
  </conditionalFormatting>
  <conditionalFormatting sqref="G724">
    <cfRule type="cellIs" dxfId="412" priority="402" operator="between">
      <formula>300</formula>
      <formula>1200</formula>
    </cfRule>
  </conditionalFormatting>
  <conditionalFormatting sqref="G724">
    <cfRule type="cellIs" dxfId="411" priority="401" operator="greaterThan">
      <formula>1200</formula>
    </cfRule>
  </conditionalFormatting>
  <conditionalFormatting sqref="G725">
    <cfRule type="cellIs" dxfId="410" priority="400" operator="between">
      <formula>300</formula>
      <formula>1200</formula>
    </cfRule>
  </conditionalFormatting>
  <conditionalFormatting sqref="G725">
    <cfRule type="cellIs" dxfId="409" priority="399" operator="greaterThan">
      <formula>1200</formula>
    </cfRule>
  </conditionalFormatting>
  <conditionalFormatting sqref="G726">
    <cfRule type="cellIs" dxfId="408" priority="398" operator="between">
      <formula>300</formula>
      <formula>1200</formula>
    </cfRule>
  </conditionalFormatting>
  <conditionalFormatting sqref="G726">
    <cfRule type="cellIs" dxfId="407" priority="397" operator="greaterThan">
      <formula>1200</formula>
    </cfRule>
  </conditionalFormatting>
  <conditionalFormatting sqref="G727">
    <cfRule type="cellIs" dxfId="406" priority="396" operator="between">
      <formula>300</formula>
      <formula>1200</formula>
    </cfRule>
  </conditionalFormatting>
  <conditionalFormatting sqref="G727">
    <cfRule type="cellIs" dxfId="405" priority="395" operator="greaterThan">
      <formula>1200</formula>
    </cfRule>
  </conditionalFormatting>
  <conditionalFormatting sqref="G728">
    <cfRule type="cellIs" dxfId="404" priority="394" operator="between">
      <formula>300</formula>
      <formula>1200</formula>
    </cfRule>
  </conditionalFormatting>
  <conditionalFormatting sqref="G728">
    <cfRule type="cellIs" dxfId="403" priority="393" operator="greaterThan">
      <formula>1200</formula>
    </cfRule>
  </conditionalFormatting>
  <conditionalFormatting sqref="G731">
    <cfRule type="cellIs" dxfId="402" priority="392" operator="between">
      <formula>300</formula>
      <formula>1200</formula>
    </cfRule>
  </conditionalFormatting>
  <conditionalFormatting sqref="G731">
    <cfRule type="cellIs" dxfId="401" priority="391" operator="greaterThan">
      <formula>1200</formula>
    </cfRule>
  </conditionalFormatting>
  <conditionalFormatting sqref="G734">
    <cfRule type="cellIs" dxfId="400" priority="390" operator="between">
      <formula>300</formula>
      <formula>1200</formula>
    </cfRule>
  </conditionalFormatting>
  <conditionalFormatting sqref="G734">
    <cfRule type="cellIs" dxfId="399" priority="389" operator="greaterThan">
      <formula>1200</formula>
    </cfRule>
  </conditionalFormatting>
  <conditionalFormatting sqref="G735">
    <cfRule type="cellIs" dxfId="398" priority="388" operator="between">
      <formula>300</formula>
      <formula>1200</formula>
    </cfRule>
  </conditionalFormatting>
  <conditionalFormatting sqref="G735">
    <cfRule type="cellIs" dxfId="397" priority="387" operator="greaterThan">
      <formula>1200</formula>
    </cfRule>
  </conditionalFormatting>
  <conditionalFormatting sqref="G740">
    <cfRule type="cellIs" dxfId="396" priority="386" operator="between">
      <formula>300</formula>
      <formula>1200</formula>
    </cfRule>
  </conditionalFormatting>
  <conditionalFormatting sqref="G740">
    <cfRule type="cellIs" dxfId="395" priority="385" operator="greaterThan">
      <formula>1200</formula>
    </cfRule>
  </conditionalFormatting>
  <conditionalFormatting sqref="G741">
    <cfRule type="cellIs" dxfId="394" priority="384" operator="between">
      <formula>300</formula>
      <formula>1200</formula>
    </cfRule>
  </conditionalFormatting>
  <conditionalFormatting sqref="G741">
    <cfRule type="cellIs" dxfId="393" priority="383" operator="greaterThan">
      <formula>1200</formula>
    </cfRule>
  </conditionalFormatting>
  <conditionalFormatting sqref="G743">
    <cfRule type="cellIs" dxfId="392" priority="382" operator="between">
      <formula>300</formula>
      <formula>1200</formula>
    </cfRule>
  </conditionalFormatting>
  <conditionalFormatting sqref="G743">
    <cfRule type="cellIs" dxfId="391" priority="381" operator="greaterThan">
      <formula>1200</formula>
    </cfRule>
  </conditionalFormatting>
  <conditionalFormatting sqref="G752">
    <cfRule type="cellIs" dxfId="390" priority="380" operator="between">
      <formula>300</formula>
      <formula>1200</formula>
    </cfRule>
  </conditionalFormatting>
  <conditionalFormatting sqref="G752">
    <cfRule type="cellIs" dxfId="389" priority="379" operator="greaterThan">
      <formula>1200</formula>
    </cfRule>
  </conditionalFormatting>
  <conditionalFormatting sqref="G753">
    <cfRule type="cellIs" dxfId="388" priority="378" operator="between">
      <formula>300</formula>
      <formula>1200</formula>
    </cfRule>
  </conditionalFormatting>
  <conditionalFormatting sqref="G753">
    <cfRule type="cellIs" dxfId="387" priority="377" operator="greaterThan">
      <formula>1200</formula>
    </cfRule>
  </conditionalFormatting>
  <conditionalFormatting sqref="G756">
    <cfRule type="cellIs" dxfId="386" priority="376" operator="between">
      <formula>300</formula>
      <formula>1200</formula>
    </cfRule>
  </conditionalFormatting>
  <conditionalFormatting sqref="G756">
    <cfRule type="cellIs" dxfId="385" priority="375" operator="greaterThan">
      <formula>1200</formula>
    </cfRule>
  </conditionalFormatting>
  <conditionalFormatting sqref="G758">
    <cfRule type="cellIs" dxfId="384" priority="374" operator="between">
      <formula>300</formula>
      <formula>1200</formula>
    </cfRule>
  </conditionalFormatting>
  <conditionalFormatting sqref="G758">
    <cfRule type="cellIs" dxfId="383" priority="373" operator="greaterThan">
      <formula>1200</formula>
    </cfRule>
  </conditionalFormatting>
  <conditionalFormatting sqref="G759">
    <cfRule type="cellIs" dxfId="382" priority="372" operator="between">
      <formula>300</formula>
      <formula>1200</formula>
    </cfRule>
  </conditionalFormatting>
  <conditionalFormatting sqref="G759">
    <cfRule type="cellIs" dxfId="381" priority="371" operator="greaterThan">
      <formula>1200</formula>
    </cfRule>
  </conditionalFormatting>
  <conditionalFormatting sqref="G761">
    <cfRule type="cellIs" dxfId="380" priority="370" operator="between">
      <formula>300</formula>
      <formula>1200</formula>
    </cfRule>
  </conditionalFormatting>
  <conditionalFormatting sqref="G761">
    <cfRule type="cellIs" dxfId="379" priority="369" operator="greaterThan">
      <formula>1200</formula>
    </cfRule>
  </conditionalFormatting>
  <conditionalFormatting sqref="G762">
    <cfRule type="cellIs" dxfId="378" priority="368" operator="between">
      <formula>300</formula>
      <formula>1200</formula>
    </cfRule>
  </conditionalFormatting>
  <conditionalFormatting sqref="G762">
    <cfRule type="cellIs" dxfId="377" priority="367" operator="greaterThan">
      <formula>1200</formula>
    </cfRule>
  </conditionalFormatting>
  <conditionalFormatting sqref="G764">
    <cfRule type="cellIs" dxfId="376" priority="366" operator="between">
      <formula>300</formula>
      <formula>1200</formula>
    </cfRule>
  </conditionalFormatting>
  <conditionalFormatting sqref="G764">
    <cfRule type="cellIs" dxfId="375" priority="365" operator="greaterThan">
      <formula>1200</formula>
    </cfRule>
  </conditionalFormatting>
  <conditionalFormatting sqref="G765:G768">
    <cfRule type="cellIs" dxfId="374" priority="364" operator="between">
      <formula>300</formula>
      <formula>1200</formula>
    </cfRule>
  </conditionalFormatting>
  <conditionalFormatting sqref="G765:G768">
    <cfRule type="cellIs" dxfId="373" priority="363" operator="greaterThan">
      <formula>1200</formula>
    </cfRule>
  </conditionalFormatting>
  <conditionalFormatting sqref="G769">
    <cfRule type="cellIs" dxfId="372" priority="362" operator="between">
      <formula>300</formula>
      <formula>1200</formula>
    </cfRule>
  </conditionalFormatting>
  <conditionalFormatting sqref="G769">
    <cfRule type="cellIs" dxfId="371" priority="361" operator="greaterThan">
      <formula>1200</formula>
    </cfRule>
  </conditionalFormatting>
  <conditionalFormatting sqref="G770">
    <cfRule type="cellIs" dxfId="370" priority="360" operator="between">
      <formula>300</formula>
      <formula>1200</formula>
    </cfRule>
  </conditionalFormatting>
  <conditionalFormatting sqref="G770">
    <cfRule type="cellIs" dxfId="369" priority="359" operator="greaterThan">
      <formula>1200</formula>
    </cfRule>
  </conditionalFormatting>
  <conditionalFormatting sqref="G771">
    <cfRule type="cellIs" dxfId="368" priority="358" operator="between">
      <formula>300</formula>
      <formula>1200</formula>
    </cfRule>
  </conditionalFormatting>
  <conditionalFormatting sqref="G771">
    <cfRule type="cellIs" dxfId="367" priority="357" operator="greaterThan">
      <formula>1200</formula>
    </cfRule>
  </conditionalFormatting>
  <conditionalFormatting sqref="G772:G774">
    <cfRule type="cellIs" dxfId="366" priority="356" operator="between">
      <formula>300</formula>
      <formula>1200</formula>
    </cfRule>
  </conditionalFormatting>
  <conditionalFormatting sqref="G772:G774">
    <cfRule type="cellIs" dxfId="365" priority="355" operator="greaterThan">
      <formula>1200</formula>
    </cfRule>
  </conditionalFormatting>
  <conditionalFormatting sqref="G775">
    <cfRule type="cellIs" dxfId="364" priority="354" operator="between">
      <formula>300</formula>
      <formula>1200</formula>
    </cfRule>
  </conditionalFormatting>
  <conditionalFormatting sqref="G775">
    <cfRule type="cellIs" dxfId="363" priority="353" operator="greaterThan">
      <formula>1200</formula>
    </cfRule>
  </conditionalFormatting>
  <conditionalFormatting sqref="G776">
    <cfRule type="cellIs" dxfId="362" priority="352" operator="between">
      <formula>300</formula>
      <formula>1200</formula>
    </cfRule>
  </conditionalFormatting>
  <conditionalFormatting sqref="G776">
    <cfRule type="cellIs" dxfId="361" priority="351" operator="greaterThan">
      <formula>1200</formula>
    </cfRule>
  </conditionalFormatting>
  <conditionalFormatting sqref="G779:G780">
    <cfRule type="cellIs" dxfId="360" priority="350" operator="between">
      <formula>300</formula>
      <formula>1200</formula>
    </cfRule>
  </conditionalFormatting>
  <conditionalFormatting sqref="G779:G780">
    <cfRule type="cellIs" dxfId="359" priority="349" operator="greaterThan">
      <formula>1200</formula>
    </cfRule>
  </conditionalFormatting>
  <conditionalFormatting sqref="G782:G783">
    <cfRule type="cellIs" dxfId="358" priority="348" operator="between">
      <formula>300</formula>
      <formula>1200</formula>
    </cfRule>
  </conditionalFormatting>
  <conditionalFormatting sqref="G782:G783">
    <cfRule type="cellIs" dxfId="357" priority="347" operator="greaterThan">
      <formula>1200</formula>
    </cfRule>
  </conditionalFormatting>
  <conditionalFormatting sqref="G784">
    <cfRule type="cellIs" dxfId="356" priority="346" operator="between">
      <formula>300</formula>
      <formula>1200</formula>
    </cfRule>
  </conditionalFormatting>
  <conditionalFormatting sqref="G784">
    <cfRule type="cellIs" dxfId="355" priority="345" operator="greaterThan">
      <formula>1200</formula>
    </cfRule>
  </conditionalFormatting>
  <conditionalFormatting sqref="G786">
    <cfRule type="cellIs" dxfId="354" priority="344" operator="between">
      <formula>300</formula>
      <formula>1200</formula>
    </cfRule>
  </conditionalFormatting>
  <conditionalFormatting sqref="G786">
    <cfRule type="cellIs" dxfId="353" priority="343" operator="greaterThan">
      <formula>1200</formula>
    </cfRule>
  </conditionalFormatting>
  <conditionalFormatting sqref="G787">
    <cfRule type="cellIs" dxfId="352" priority="342" operator="between">
      <formula>300</formula>
      <formula>1200</formula>
    </cfRule>
  </conditionalFormatting>
  <conditionalFormatting sqref="G787">
    <cfRule type="cellIs" dxfId="351" priority="341" operator="greaterThan">
      <formula>1200</formula>
    </cfRule>
  </conditionalFormatting>
  <conditionalFormatting sqref="G788">
    <cfRule type="cellIs" dxfId="350" priority="340" operator="between">
      <formula>300</formula>
      <formula>1200</formula>
    </cfRule>
  </conditionalFormatting>
  <conditionalFormatting sqref="G788">
    <cfRule type="cellIs" dxfId="349" priority="339" operator="greaterThan">
      <formula>1200</formula>
    </cfRule>
  </conditionalFormatting>
  <conditionalFormatting sqref="G791">
    <cfRule type="cellIs" dxfId="348" priority="338" operator="between">
      <formula>300</formula>
      <formula>1200</formula>
    </cfRule>
  </conditionalFormatting>
  <conditionalFormatting sqref="G791">
    <cfRule type="cellIs" dxfId="347" priority="337" operator="greaterThan">
      <formula>1200</formula>
    </cfRule>
  </conditionalFormatting>
  <conditionalFormatting sqref="G793">
    <cfRule type="cellIs" dxfId="346" priority="336" operator="between">
      <formula>300</formula>
      <formula>1200</formula>
    </cfRule>
  </conditionalFormatting>
  <conditionalFormatting sqref="G793">
    <cfRule type="cellIs" dxfId="345" priority="335" operator="greaterThan">
      <formula>1200</formula>
    </cfRule>
  </conditionalFormatting>
  <conditionalFormatting sqref="G794">
    <cfRule type="cellIs" dxfId="344" priority="334" operator="between">
      <formula>300</formula>
      <formula>1200</formula>
    </cfRule>
  </conditionalFormatting>
  <conditionalFormatting sqref="G794">
    <cfRule type="cellIs" dxfId="343" priority="333" operator="greaterThan">
      <formula>1200</formula>
    </cfRule>
  </conditionalFormatting>
  <conditionalFormatting sqref="G795">
    <cfRule type="cellIs" dxfId="342" priority="332" operator="between">
      <formula>300</formula>
      <formula>1200</formula>
    </cfRule>
  </conditionalFormatting>
  <conditionalFormatting sqref="G795">
    <cfRule type="cellIs" dxfId="341" priority="331" operator="greaterThan">
      <formula>1200</formula>
    </cfRule>
  </conditionalFormatting>
  <conditionalFormatting sqref="G796:G797">
    <cfRule type="cellIs" dxfId="340" priority="330" operator="between">
      <formula>300</formula>
      <formula>1200</formula>
    </cfRule>
  </conditionalFormatting>
  <conditionalFormatting sqref="G796:G797">
    <cfRule type="cellIs" dxfId="339" priority="329" operator="greaterThan">
      <formula>1200</formula>
    </cfRule>
  </conditionalFormatting>
  <conditionalFormatting sqref="G804">
    <cfRule type="cellIs" dxfId="338" priority="328" operator="between">
      <formula>300</formula>
      <formula>1200</formula>
    </cfRule>
  </conditionalFormatting>
  <conditionalFormatting sqref="G804">
    <cfRule type="cellIs" dxfId="337" priority="327" operator="greaterThan">
      <formula>1200</formula>
    </cfRule>
  </conditionalFormatting>
  <conditionalFormatting sqref="G805">
    <cfRule type="cellIs" dxfId="336" priority="326" operator="between">
      <formula>300</formula>
      <formula>1200</formula>
    </cfRule>
  </conditionalFormatting>
  <conditionalFormatting sqref="G805">
    <cfRule type="cellIs" dxfId="335" priority="325" operator="greaterThan">
      <formula>1200</formula>
    </cfRule>
  </conditionalFormatting>
  <conditionalFormatting sqref="G828:G829">
    <cfRule type="cellIs" dxfId="334" priority="322" operator="between">
      <formula>300</formula>
      <formula>1200</formula>
    </cfRule>
  </conditionalFormatting>
  <conditionalFormatting sqref="G828:G829">
    <cfRule type="cellIs" dxfId="333" priority="321" operator="greaterThan">
      <formula>1200</formula>
    </cfRule>
  </conditionalFormatting>
  <conditionalFormatting sqref="G844:G845">
    <cfRule type="cellIs" dxfId="332" priority="320" operator="between">
      <formula>300</formula>
      <formula>1200</formula>
    </cfRule>
  </conditionalFormatting>
  <conditionalFormatting sqref="G844:G845">
    <cfRule type="cellIs" dxfId="331" priority="319" operator="greaterThan">
      <formula>1200</formula>
    </cfRule>
  </conditionalFormatting>
  <conditionalFormatting sqref="G846">
    <cfRule type="cellIs" dxfId="330" priority="318" operator="between">
      <formula>300</formula>
      <formula>1200</formula>
    </cfRule>
  </conditionalFormatting>
  <conditionalFormatting sqref="G846">
    <cfRule type="cellIs" dxfId="329" priority="317" operator="greaterThan">
      <formula>1200</formula>
    </cfRule>
  </conditionalFormatting>
  <conditionalFormatting sqref="G847">
    <cfRule type="cellIs" dxfId="328" priority="316" operator="between">
      <formula>300</formula>
      <formula>1200</formula>
    </cfRule>
  </conditionalFormatting>
  <conditionalFormatting sqref="G847">
    <cfRule type="cellIs" dxfId="327" priority="315" operator="greaterThan">
      <formula>1200</formula>
    </cfRule>
  </conditionalFormatting>
  <conditionalFormatting sqref="G848">
    <cfRule type="cellIs" dxfId="326" priority="314" operator="between">
      <formula>300</formula>
      <formula>1200</formula>
    </cfRule>
  </conditionalFormatting>
  <conditionalFormatting sqref="G848">
    <cfRule type="cellIs" dxfId="325" priority="313" operator="greaterThan">
      <formula>1200</formula>
    </cfRule>
  </conditionalFormatting>
  <conditionalFormatting sqref="G849">
    <cfRule type="cellIs" dxfId="324" priority="312" operator="between">
      <formula>300</formula>
      <formula>1200</formula>
    </cfRule>
  </conditionalFormatting>
  <conditionalFormatting sqref="G849">
    <cfRule type="cellIs" dxfId="323" priority="311" operator="greaterThan">
      <formula>1200</formula>
    </cfRule>
  </conditionalFormatting>
  <conditionalFormatting sqref="G850">
    <cfRule type="cellIs" dxfId="322" priority="310" operator="between">
      <formula>300</formula>
      <formula>1200</formula>
    </cfRule>
  </conditionalFormatting>
  <conditionalFormatting sqref="G850">
    <cfRule type="cellIs" dxfId="321" priority="309" operator="greaterThan">
      <formula>1200</formula>
    </cfRule>
  </conditionalFormatting>
  <conditionalFormatting sqref="G851">
    <cfRule type="cellIs" dxfId="320" priority="308" operator="between">
      <formula>300</formula>
      <formula>1200</formula>
    </cfRule>
  </conditionalFormatting>
  <conditionalFormatting sqref="G851">
    <cfRule type="cellIs" dxfId="319" priority="307" operator="greaterThan">
      <formula>1200</formula>
    </cfRule>
  </conditionalFormatting>
  <conditionalFormatting sqref="G852">
    <cfRule type="cellIs" dxfId="318" priority="306" operator="between">
      <formula>300</formula>
      <formula>1200</formula>
    </cfRule>
  </conditionalFormatting>
  <conditionalFormatting sqref="G852">
    <cfRule type="cellIs" dxfId="317" priority="305" operator="greaterThan">
      <formula>1200</formula>
    </cfRule>
  </conditionalFormatting>
  <conditionalFormatting sqref="G853">
    <cfRule type="cellIs" dxfId="316" priority="304" operator="between">
      <formula>300</formula>
      <formula>1200</formula>
    </cfRule>
  </conditionalFormatting>
  <conditionalFormatting sqref="G853">
    <cfRule type="cellIs" dxfId="315" priority="303" operator="greaterThan">
      <formula>1200</formula>
    </cfRule>
  </conditionalFormatting>
  <conditionalFormatting sqref="G854">
    <cfRule type="cellIs" dxfId="314" priority="302" operator="between">
      <formula>300</formula>
      <formula>1200</formula>
    </cfRule>
  </conditionalFormatting>
  <conditionalFormatting sqref="G854">
    <cfRule type="cellIs" dxfId="313" priority="301" operator="greaterThan">
      <formula>1200</formula>
    </cfRule>
  </conditionalFormatting>
  <conditionalFormatting sqref="G855">
    <cfRule type="cellIs" dxfId="312" priority="300" operator="between">
      <formula>300</formula>
      <formula>1200</formula>
    </cfRule>
  </conditionalFormatting>
  <conditionalFormatting sqref="G855">
    <cfRule type="cellIs" dxfId="311" priority="299" operator="greaterThan">
      <formula>1200</formula>
    </cfRule>
  </conditionalFormatting>
  <conditionalFormatting sqref="G856">
    <cfRule type="cellIs" dxfId="310" priority="298" operator="between">
      <formula>300</formula>
      <formula>1200</formula>
    </cfRule>
  </conditionalFormatting>
  <conditionalFormatting sqref="G856">
    <cfRule type="cellIs" dxfId="309" priority="297" operator="greaterThan">
      <formula>1200</formula>
    </cfRule>
  </conditionalFormatting>
  <conditionalFormatting sqref="G857">
    <cfRule type="cellIs" dxfId="308" priority="296" operator="between">
      <formula>300</formula>
      <formula>1200</formula>
    </cfRule>
  </conditionalFormatting>
  <conditionalFormatting sqref="G857">
    <cfRule type="cellIs" dxfId="307" priority="295" operator="greaterThan">
      <formula>1200</formula>
    </cfRule>
  </conditionalFormatting>
  <conditionalFormatting sqref="G859">
    <cfRule type="cellIs" dxfId="306" priority="294" operator="between">
      <formula>300</formula>
      <formula>1200</formula>
    </cfRule>
  </conditionalFormatting>
  <conditionalFormatting sqref="G859">
    <cfRule type="cellIs" dxfId="305" priority="293" operator="greaterThan">
      <formula>1200</formula>
    </cfRule>
  </conditionalFormatting>
  <conditionalFormatting sqref="G860">
    <cfRule type="cellIs" dxfId="304" priority="292" operator="between">
      <formula>300</formula>
      <formula>1200</formula>
    </cfRule>
  </conditionalFormatting>
  <conditionalFormatting sqref="G860">
    <cfRule type="cellIs" dxfId="303" priority="291" operator="greaterThan">
      <formula>1200</formula>
    </cfRule>
  </conditionalFormatting>
  <conditionalFormatting sqref="G861">
    <cfRule type="cellIs" dxfId="302" priority="290" operator="between">
      <formula>300</formula>
      <formula>1200</formula>
    </cfRule>
  </conditionalFormatting>
  <conditionalFormatting sqref="G861">
    <cfRule type="cellIs" dxfId="301" priority="289" operator="greaterThan">
      <formula>1200</formula>
    </cfRule>
  </conditionalFormatting>
  <conditionalFormatting sqref="G862">
    <cfRule type="cellIs" dxfId="300" priority="288" operator="between">
      <formula>300</formula>
      <formula>1200</formula>
    </cfRule>
  </conditionalFormatting>
  <conditionalFormatting sqref="G862">
    <cfRule type="cellIs" dxfId="299" priority="287" operator="greaterThan">
      <formula>1200</formula>
    </cfRule>
  </conditionalFormatting>
  <conditionalFormatting sqref="G863">
    <cfRule type="cellIs" dxfId="298" priority="286" operator="between">
      <formula>300</formula>
      <formula>1200</formula>
    </cfRule>
  </conditionalFormatting>
  <conditionalFormatting sqref="G863">
    <cfRule type="cellIs" dxfId="297" priority="285" operator="greaterThan">
      <formula>1200</formula>
    </cfRule>
  </conditionalFormatting>
  <conditionalFormatting sqref="G864">
    <cfRule type="cellIs" dxfId="296" priority="284" operator="between">
      <formula>300</formula>
      <formula>1200</formula>
    </cfRule>
  </conditionalFormatting>
  <conditionalFormatting sqref="G864">
    <cfRule type="cellIs" dxfId="295" priority="283" operator="greaterThan">
      <formula>1200</formula>
    </cfRule>
  </conditionalFormatting>
  <conditionalFormatting sqref="G865">
    <cfRule type="cellIs" dxfId="294" priority="282" operator="between">
      <formula>300</formula>
      <formula>1200</formula>
    </cfRule>
  </conditionalFormatting>
  <conditionalFormatting sqref="G865">
    <cfRule type="cellIs" dxfId="293" priority="281" operator="greaterThan">
      <formula>1200</formula>
    </cfRule>
  </conditionalFormatting>
  <conditionalFormatting sqref="G866">
    <cfRule type="cellIs" dxfId="292" priority="280" operator="between">
      <formula>300</formula>
      <formula>1200</formula>
    </cfRule>
  </conditionalFormatting>
  <conditionalFormatting sqref="G866">
    <cfRule type="cellIs" dxfId="291" priority="279" operator="greaterThan">
      <formula>1200</formula>
    </cfRule>
  </conditionalFormatting>
  <conditionalFormatting sqref="G867">
    <cfRule type="cellIs" dxfId="290" priority="278" operator="between">
      <formula>300</formula>
      <formula>1200</formula>
    </cfRule>
  </conditionalFormatting>
  <conditionalFormatting sqref="G867">
    <cfRule type="cellIs" dxfId="289" priority="277" operator="greaterThan">
      <formula>1200</formula>
    </cfRule>
  </conditionalFormatting>
  <conditionalFormatting sqref="G868">
    <cfRule type="cellIs" dxfId="288" priority="276" operator="between">
      <formula>300</formula>
      <formula>1200</formula>
    </cfRule>
  </conditionalFormatting>
  <conditionalFormatting sqref="G868">
    <cfRule type="cellIs" dxfId="287" priority="275" operator="greaterThan">
      <formula>1200</formula>
    </cfRule>
  </conditionalFormatting>
  <conditionalFormatting sqref="G869">
    <cfRule type="cellIs" dxfId="286" priority="274" operator="between">
      <formula>300</formula>
      <formula>1200</formula>
    </cfRule>
  </conditionalFormatting>
  <conditionalFormatting sqref="G869">
    <cfRule type="cellIs" dxfId="285" priority="273" operator="greaterThan">
      <formula>1200</formula>
    </cfRule>
  </conditionalFormatting>
  <conditionalFormatting sqref="G870">
    <cfRule type="cellIs" dxfId="284" priority="272" operator="between">
      <formula>300</formula>
      <formula>1200</formula>
    </cfRule>
  </conditionalFormatting>
  <conditionalFormatting sqref="G870">
    <cfRule type="cellIs" dxfId="283" priority="271" operator="greaterThan">
      <formula>1200</formula>
    </cfRule>
  </conditionalFormatting>
  <conditionalFormatting sqref="G871">
    <cfRule type="cellIs" dxfId="282" priority="270" operator="between">
      <formula>300</formula>
      <formula>1200</formula>
    </cfRule>
  </conditionalFormatting>
  <conditionalFormatting sqref="G871">
    <cfRule type="cellIs" dxfId="281" priority="269" operator="greaterThan">
      <formula>1200</formula>
    </cfRule>
  </conditionalFormatting>
  <conditionalFormatting sqref="G872">
    <cfRule type="cellIs" dxfId="280" priority="268" operator="between">
      <formula>300</formula>
      <formula>1200</formula>
    </cfRule>
  </conditionalFormatting>
  <conditionalFormatting sqref="G872">
    <cfRule type="cellIs" dxfId="279" priority="267" operator="greaterThan">
      <formula>1200</formula>
    </cfRule>
  </conditionalFormatting>
  <conditionalFormatting sqref="G873">
    <cfRule type="cellIs" dxfId="278" priority="266" operator="between">
      <formula>300</formula>
      <formula>1200</formula>
    </cfRule>
  </conditionalFormatting>
  <conditionalFormatting sqref="G873">
    <cfRule type="cellIs" dxfId="277" priority="265" operator="greaterThan">
      <formula>1200</formula>
    </cfRule>
  </conditionalFormatting>
  <conditionalFormatting sqref="G874">
    <cfRule type="cellIs" dxfId="276" priority="264" operator="between">
      <formula>300</formula>
      <formula>1200</formula>
    </cfRule>
  </conditionalFormatting>
  <conditionalFormatting sqref="G874">
    <cfRule type="cellIs" dxfId="275" priority="263" operator="greaterThan">
      <formula>1200</formula>
    </cfRule>
  </conditionalFormatting>
  <conditionalFormatting sqref="G875">
    <cfRule type="cellIs" dxfId="274" priority="260" operator="between">
      <formula>300</formula>
      <formula>1200</formula>
    </cfRule>
  </conditionalFormatting>
  <conditionalFormatting sqref="G875">
    <cfRule type="cellIs" dxfId="273" priority="259" operator="greaterThan">
      <formula>1200</formula>
    </cfRule>
  </conditionalFormatting>
  <conditionalFormatting sqref="G876">
    <cfRule type="cellIs" dxfId="272" priority="258" operator="between">
      <formula>300</formula>
      <formula>1200</formula>
    </cfRule>
  </conditionalFormatting>
  <conditionalFormatting sqref="G876">
    <cfRule type="cellIs" dxfId="271" priority="257" operator="greaterThan">
      <formula>1200</formula>
    </cfRule>
  </conditionalFormatting>
  <conditionalFormatting sqref="G877">
    <cfRule type="cellIs" dxfId="270" priority="256" operator="between">
      <formula>300</formula>
      <formula>1200</formula>
    </cfRule>
  </conditionalFormatting>
  <conditionalFormatting sqref="G877">
    <cfRule type="cellIs" dxfId="269" priority="255" operator="greaterThan">
      <formula>1200</formula>
    </cfRule>
  </conditionalFormatting>
  <conditionalFormatting sqref="G878">
    <cfRule type="cellIs" dxfId="268" priority="254" operator="between">
      <formula>300</formula>
      <formula>1200</formula>
    </cfRule>
  </conditionalFormatting>
  <conditionalFormatting sqref="G878">
    <cfRule type="cellIs" dxfId="267" priority="253" operator="greaterThan">
      <formula>1200</formula>
    </cfRule>
  </conditionalFormatting>
  <conditionalFormatting sqref="G879">
    <cfRule type="cellIs" dxfId="266" priority="252" operator="between">
      <formula>300</formula>
      <formula>1200</formula>
    </cfRule>
  </conditionalFormatting>
  <conditionalFormatting sqref="G879">
    <cfRule type="cellIs" dxfId="265" priority="251" operator="greaterThan">
      <formula>1200</formula>
    </cfRule>
  </conditionalFormatting>
  <conditionalFormatting sqref="G894">
    <cfRule type="cellIs" dxfId="264" priority="250" operator="between">
      <formula>300</formula>
      <formula>1200</formula>
    </cfRule>
  </conditionalFormatting>
  <conditionalFormatting sqref="G894">
    <cfRule type="cellIs" dxfId="263" priority="249" operator="greaterThan">
      <formula>1200</formula>
    </cfRule>
  </conditionalFormatting>
  <conditionalFormatting sqref="G895">
    <cfRule type="cellIs" dxfId="262" priority="248" operator="between">
      <formula>300</formula>
      <formula>1200</formula>
    </cfRule>
  </conditionalFormatting>
  <conditionalFormatting sqref="G895">
    <cfRule type="cellIs" dxfId="261" priority="247" operator="greaterThan">
      <formula>1200</formula>
    </cfRule>
  </conditionalFormatting>
  <conditionalFormatting sqref="G896">
    <cfRule type="cellIs" dxfId="260" priority="246" operator="between">
      <formula>300</formula>
      <formula>1200</formula>
    </cfRule>
  </conditionalFormatting>
  <conditionalFormatting sqref="G896">
    <cfRule type="cellIs" dxfId="259" priority="245" operator="greaterThan">
      <formula>1200</formula>
    </cfRule>
  </conditionalFormatting>
  <conditionalFormatting sqref="G897">
    <cfRule type="cellIs" dxfId="258" priority="244" operator="between">
      <formula>300</formula>
      <formula>1200</formula>
    </cfRule>
  </conditionalFormatting>
  <conditionalFormatting sqref="G897">
    <cfRule type="cellIs" dxfId="257" priority="243" operator="greaterThan">
      <formula>1200</formula>
    </cfRule>
  </conditionalFormatting>
  <conditionalFormatting sqref="G898">
    <cfRule type="cellIs" dxfId="256" priority="242" operator="between">
      <formula>300</formula>
      <formula>1200</formula>
    </cfRule>
  </conditionalFormatting>
  <conditionalFormatting sqref="G898">
    <cfRule type="cellIs" dxfId="255" priority="241" operator="greaterThan">
      <formula>1200</formula>
    </cfRule>
  </conditionalFormatting>
  <conditionalFormatting sqref="G902">
    <cfRule type="cellIs" dxfId="254" priority="240" operator="between">
      <formula>300</formula>
      <formula>1200</formula>
    </cfRule>
  </conditionalFormatting>
  <conditionalFormatting sqref="G902">
    <cfRule type="cellIs" dxfId="253" priority="239" operator="greaterThan">
      <formula>1200</formula>
    </cfRule>
  </conditionalFormatting>
  <conditionalFormatting sqref="G905">
    <cfRule type="cellIs" dxfId="252" priority="238" operator="between">
      <formula>300</formula>
      <formula>1200</formula>
    </cfRule>
  </conditionalFormatting>
  <conditionalFormatting sqref="G905">
    <cfRule type="cellIs" dxfId="251" priority="237" operator="greaterThan">
      <formula>1200</formula>
    </cfRule>
  </conditionalFormatting>
  <conditionalFormatting sqref="G906">
    <cfRule type="cellIs" dxfId="250" priority="236" operator="between">
      <formula>300</formula>
      <formula>1200</formula>
    </cfRule>
  </conditionalFormatting>
  <conditionalFormatting sqref="G906">
    <cfRule type="cellIs" dxfId="249" priority="235" operator="greaterThan">
      <formula>1200</formula>
    </cfRule>
  </conditionalFormatting>
  <conditionalFormatting sqref="G909">
    <cfRule type="cellIs" dxfId="248" priority="234" operator="between">
      <formula>300</formula>
      <formula>1200</formula>
    </cfRule>
  </conditionalFormatting>
  <conditionalFormatting sqref="G909">
    <cfRule type="cellIs" dxfId="247" priority="233" operator="greaterThan">
      <formula>1200</formula>
    </cfRule>
  </conditionalFormatting>
  <conditionalFormatting sqref="G910">
    <cfRule type="cellIs" dxfId="246" priority="232" operator="between">
      <formula>300</formula>
      <formula>1200</formula>
    </cfRule>
  </conditionalFormatting>
  <conditionalFormatting sqref="G910">
    <cfRule type="cellIs" dxfId="245" priority="231" operator="greaterThan">
      <formula>1200</formula>
    </cfRule>
  </conditionalFormatting>
  <conditionalFormatting sqref="G911">
    <cfRule type="cellIs" dxfId="244" priority="230" operator="between">
      <formula>300</formula>
      <formula>1200</formula>
    </cfRule>
  </conditionalFormatting>
  <conditionalFormatting sqref="G911">
    <cfRule type="cellIs" dxfId="243" priority="229" operator="greaterThan">
      <formula>1200</formula>
    </cfRule>
  </conditionalFormatting>
  <conditionalFormatting sqref="G912">
    <cfRule type="cellIs" dxfId="242" priority="228" operator="between">
      <formula>300</formula>
      <formula>1200</formula>
    </cfRule>
  </conditionalFormatting>
  <conditionalFormatting sqref="G912">
    <cfRule type="cellIs" dxfId="241" priority="227" operator="greaterThan">
      <formula>1200</formula>
    </cfRule>
  </conditionalFormatting>
  <conditionalFormatting sqref="G915">
    <cfRule type="cellIs" dxfId="240" priority="226" operator="between">
      <formula>300</formula>
      <formula>1200</formula>
    </cfRule>
  </conditionalFormatting>
  <conditionalFormatting sqref="G915">
    <cfRule type="cellIs" dxfId="239" priority="225" operator="greaterThan">
      <formula>1200</formula>
    </cfRule>
  </conditionalFormatting>
  <conditionalFormatting sqref="G917">
    <cfRule type="cellIs" dxfId="238" priority="224" operator="between">
      <formula>300</formula>
      <formula>1200</formula>
    </cfRule>
  </conditionalFormatting>
  <conditionalFormatting sqref="G917">
    <cfRule type="cellIs" dxfId="237" priority="223" operator="greaterThan">
      <formula>1200</formula>
    </cfRule>
  </conditionalFormatting>
  <conditionalFormatting sqref="G919">
    <cfRule type="cellIs" dxfId="236" priority="222" operator="between">
      <formula>300</formula>
      <formula>1200</formula>
    </cfRule>
  </conditionalFormatting>
  <conditionalFormatting sqref="G919">
    <cfRule type="cellIs" dxfId="235" priority="221" operator="greaterThan">
      <formula>1200</formula>
    </cfRule>
  </conditionalFormatting>
  <conditionalFormatting sqref="G921">
    <cfRule type="cellIs" dxfId="234" priority="220" operator="between">
      <formula>300</formula>
      <formula>1200</formula>
    </cfRule>
  </conditionalFormatting>
  <conditionalFormatting sqref="G921">
    <cfRule type="cellIs" dxfId="233" priority="219" operator="greaterThan">
      <formula>1200</formula>
    </cfRule>
  </conditionalFormatting>
  <conditionalFormatting sqref="G925">
    <cfRule type="cellIs" dxfId="232" priority="218" operator="between">
      <formula>300</formula>
      <formula>1200</formula>
    </cfRule>
  </conditionalFormatting>
  <conditionalFormatting sqref="G925">
    <cfRule type="cellIs" dxfId="231" priority="217" operator="greaterThan">
      <formula>1200</formula>
    </cfRule>
  </conditionalFormatting>
  <conditionalFormatting sqref="G926">
    <cfRule type="cellIs" dxfId="230" priority="216" operator="between">
      <formula>300</formula>
      <formula>1200</formula>
    </cfRule>
  </conditionalFormatting>
  <conditionalFormatting sqref="G926">
    <cfRule type="cellIs" dxfId="229" priority="215" operator="greaterThan">
      <formula>1200</formula>
    </cfRule>
  </conditionalFormatting>
  <conditionalFormatting sqref="G927">
    <cfRule type="cellIs" dxfId="228" priority="214" operator="between">
      <formula>300</formula>
      <formula>1200</formula>
    </cfRule>
  </conditionalFormatting>
  <conditionalFormatting sqref="G927">
    <cfRule type="cellIs" dxfId="227" priority="213" operator="greaterThan">
      <formula>1200</formula>
    </cfRule>
  </conditionalFormatting>
  <conditionalFormatting sqref="G928">
    <cfRule type="cellIs" dxfId="226" priority="212" operator="between">
      <formula>300</formula>
      <formula>1200</formula>
    </cfRule>
  </conditionalFormatting>
  <conditionalFormatting sqref="G928">
    <cfRule type="cellIs" dxfId="225" priority="211" operator="greaterThan">
      <formula>1200</formula>
    </cfRule>
  </conditionalFormatting>
  <conditionalFormatting sqref="G930">
    <cfRule type="cellIs" dxfId="224" priority="210" operator="between">
      <formula>300</formula>
      <formula>1200</formula>
    </cfRule>
  </conditionalFormatting>
  <conditionalFormatting sqref="G930">
    <cfRule type="cellIs" dxfId="223" priority="209" operator="greaterThan">
      <formula>1200</formula>
    </cfRule>
  </conditionalFormatting>
  <conditionalFormatting sqref="G931">
    <cfRule type="cellIs" dxfId="222" priority="208" operator="between">
      <formula>300</formula>
      <formula>1200</formula>
    </cfRule>
  </conditionalFormatting>
  <conditionalFormatting sqref="G931">
    <cfRule type="cellIs" dxfId="221" priority="207" operator="greaterThan">
      <formula>1200</formula>
    </cfRule>
  </conditionalFormatting>
  <conditionalFormatting sqref="G932">
    <cfRule type="cellIs" dxfId="220" priority="206" operator="between">
      <formula>300</formula>
      <formula>1200</formula>
    </cfRule>
  </conditionalFormatting>
  <conditionalFormatting sqref="G932">
    <cfRule type="cellIs" dxfId="219" priority="205" operator="greaterThan">
      <formula>1200</formula>
    </cfRule>
  </conditionalFormatting>
  <conditionalFormatting sqref="G934">
    <cfRule type="cellIs" dxfId="218" priority="204" operator="between">
      <formula>300</formula>
      <formula>1200</formula>
    </cfRule>
  </conditionalFormatting>
  <conditionalFormatting sqref="G934">
    <cfRule type="cellIs" dxfId="217" priority="203" operator="greaterThan">
      <formula>1200</formula>
    </cfRule>
  </conditionalFormatting>
  <conditionalFormatting sqref="G935">
    <cfRule type="cellIs" dxfId="216" priority="202" operator="between">
      <formula>300</formula>
      <formula>1200</formula>
    </cfRule>
  </conditionalFormatting>
  <conditionalFormatting sqref="G935">
    <cfRule type="cellIs" dxfId="215" priority="201" operator="greaterThan">
      <formula>1200</formula>
    </cfRule>
  </conditionalFormatting>
  <conditionalFormatting sqref="G936">
    <cfRule type="cellIs" dxfId="214" priority="200" operator="between">
      <formula>300</formula>
      <formula>1200</formula>
    </cfRule>
  </conditionalFormatting>
  <conditionalFormatting sqref="G936">
    <cfRule type="cellIs" dxfId="213" priority="199" operator="greaterThan">
      <formula>1200</formula>
    </cfRule>
  </conditionalFormatting>
  <conditionalFormatting sqref="G937">
    <cfRule type="cellIs" dxfId="212" priority="198" operator="between">
      <formula>300</formula>
      <formula>1200</formula>
    </cfRule>
  </conditionalFormatting>
  <conditionalFormatting sqref="G937">
    <cfRule type="cellIs" dxfId="211" priority="197" operator="greaterThan">
      <formula>1200</formula>
    </cfRule>
  </conditionalFormatting>
  <conditionalFormatting sqref="G940">
    <cfRule type="cellIs" dxfId="210" priority="196" operator="between">
      <formula>300</formula>
      <formula>1200</formula>
    </cfRule>
  </conditionalFormatting>
  <conditionalFormatting sqref="G940">
    <cfRule type="cellIs" dxfId="209" priority="195" operator="greaterThan">
      <formula>1200</formula>
    </cfRule>
  </conditionalFormatting>
  <conditionalFormatting sqref="G941">
    <cfRule type="cellIs" dxfId="208" priority="194" operator="between">
      <formula>300</formula>
      <formula>1200</formula>
    </cfRule>
  </conditionalFormatting>
  <conditionalFormatting sqref="G941">
    <cfRule type="cellIs" dxfId="207" priority="193" operator="greaterThan">
      <formula>1200</formula>
    </cfRule>
  </conditionalFormatting>
  <conditionalFormatting sqref="G942">
    <cfRule type="cellIs" dxfId="206" priority="192" operator="between">
      <formula>300</formula>
      <formula>1200</formula>
    </cfRule>
  </conditionalFormatting>
  <conditionalFormatting sqref="G942">
    <cfRule type="cellIs" dxfId="205" priority="191" operator="greaterThan">
      <formula>1200</formula>
    </cfRule>
  </conditionalFormatting>
  <conditionalFormatting sqref="G943:G945">
    <cfRule type="cellIs" dxfId="204" priority="190" operator="between">
      <formula>300</formula>
      <formula>1200</formula>
    </cfRule>
  </conditionalFormatting>
  <conditionalFormatting sqref="G943:G945">
    <cfRule type="cellIs" dxfId="203" priority="189" operator="greaterThan">
      <formula>1200</formula>
    </cfRule>
  </conditionalFormatting>
  <conditionalFormatting sqref="G947">
    <cfRule type="cellIs" dxfId="202" priority="188" operator="between">
      <formula>300</formula>
      <formula>1200</formula>
    </cfRule>
  </conditionalFormatting>
  <conditionalFormatting sqref="G947">
    <cfRule type="cellIs" dxfId="201" priority="187" operator="greaterThan">
      <formula>1200</formula>
    </cfRule>
  </conditionalFormatting>
  <conditionalFormatting sqref="G948">
    <cfRule type="cellIs" dxfId="200" priority="186" operator="between">
      <formula>300</formula>
      <formula>1200</formula>
    </cfRule>
  </conditionalFormatting>
  <conditionalFormatting sqref="G948">
    <cfRule type="cellIs" dxfId="199" priority="185" operator="greaterThan">
      <formula>1200</formula>
    </cfRule>
  </conditionalFormatting>
  <conditionalFormatting sqref="G950">
    <cfRule type="cellIs" dxfId="198" priority="184" operator="between">
      <formula>300</formula>
      <formula>1200</formula>
    </cfRule>
  </conditionalFormatting>
  <conditionalFormatting sqref="G950">
    <cfRule type="cellIs" dxfId="197" priority="183" operator="greaterThan">
      <formula>1200</formula>
    </cfRule>
  </conditionalFormatting>
  <conditionalFormatting sqref="G951">
    <cfRule type="cellIs" dxfId="196" priority="182" operator="between">
      <formula>300</formula>
      <formula>1200</formula>
    </cfRule>
  </conditionalFormatting>
  <conditionalFormatting sqref="G951">
    <cfRule type="cellIs" dxfId="195" priority="181" operator="greaterThan">
      <formula>1200</formula>
    </cfRule>
  </conditionalFormatting>
  <conditionalFormatting sqref="G959">
    <cfRule type="cellIs" dxfId="194" priority="180" operator="between">
      <formula>300</formula>
      <formula>1200</formula>
    </cfRule>
  </conditionalFormatting>
  <conditionalFormatting sqref="G959">
    <cfRule type="cellIs" dxfId="193" priority="179" operator="greaterThan">
      <formula>1200</formula>
    </cfRule>
  </conditionalFormatting>
  <conditionalFormatting sqref="G960">
    <cfRule type="cellIs" dxfId="192" priority="178" operator="between">
      <formula>300</formula>
      <formula>1200</formula>
    </cfRule>
  </conditionalFormatting>
  <conditionalFormatting sqref="G960">
    <cfRule type="cellIs" dxfId="191" priority="177" operator="greaterThan">
      <formula>1200</formula>
    </cfRule>
  </conditionalFormatting>
  <conditionalFormatting sqref="G961">
    <cfRule type="cellIs" dxfId="190" priority="176" operator="between">
      <formula>300</formula>
      <formula>1200</formula>
    </cfRule>
  </conditionalFormatting>
  <conditionalFormatting sqref="G961">
    <cfRule type="cellIs" dxfId="189" priority="175" operator="greaterThan">
      <formula>1200</formula>
    </cfRule>
  </conditionalFormatting>
  <conditionalFormatting sqref="G963">
    <cfRule type="cellIs" dxfId="188" priority="174" operator="between">
      <formula>300</formula>
      <formula>1200</formula>
    </cfRule>
  </conditionalFormatting>
  <conditionalFormatting sqref="G963">
    <cfRule type="cellIs" dxfId="187" priority="173" operator="greaterThan">
      <formula>1200</formula>
    </cfRule>
  </conditionalFormatting>
  <conditionalFormatting sqref="G966">
    <cfRule type="cellIs" dxfId="186" priority="172" operator="between">
      <formula>300</formula>
      <formula>1200</formula>
    </cfRule>
  </conditionalFormatting>
  <conditionalFormatting sqref="G966">
    <cfRule type="cellIs" dxfId="185" priority="171" operator="greaterThan">
      <formula>1200</formula>
    </cfRule>
  </conditionalFormatting>
  <conditionalFormatting sqref="G968">
    <cfRule type="cellIs" dxfId="184" priority="170" operator="between">
      <formula>300</formula>
      <formula>1200</formula>
    </cfRule>
  </conditionalFormatting>
  <conditionalFormatting sqref="G968">
    <cfRule type="cellIs" dxfId="183" priority="169" operator="greaterThan">
      <formula>1200</formula>
    </cfRule>
  </conditionalFormatting>
  <conditionalFormatting sqref="G969">
    <cfRule type="cellIs" dxfId="182" priority="168" operator="between">
      <formula>300</formula>
      <formula>1200</formula>
    </cfRule>
  </conditionalFormatting>
  <conditionalFormatting sqref="G969">
    <cfRule type="cellIs" dxfId="181" priority="167" operator="greaterThan">
      <formula>1200</formula>
    </cfRule>
  </conditionalFormatting>
  <conditionalFormatting sqref="G970">
    <cfRule type="cellIs" dxfId="180" priority="166" operator="between">
      <formula>300</formula>
      <formula>1200</formula>
    </cfRule>
  </conditionalFormatting>
  <conditionalFormatting sqref="G970">
    <cfRule type="cellIs" dxfId="179" priority="165" operator="greaterThan">
      <formula>1200</formula>
    </cfRule>
  </conditionalFormatting>
  <conditionalFormatting sqref="G975">
    <cfRule type="cellIs" dxfId="178" priority="164" operator="between">
      <formula>300</formula>
      <formula>1200</formula>
    </cfRule>
  </conditionalFormatting>
  <conditionalFormatting sqref="G975">
    <cfRule type="cellIs" dxfId="177" priority="163" operator="greaterThan">
      <formula>1200</formula>
    </cfRule>
  </conditionalFormatting>
  <conditionalFormatting sqref="G977">
    <cfRule type="cellIs" dxfId="176" priority="162" operator="between">
      <formula>300</formula>
      <formula>1200</formula>
    </cfRule>
  </conditionalFormatting>
  <conditionalFormatting sqref="G977">
    <cfRule type="cellIs" dxfId="175" priority="161" operator="greaterThan">
      <formula>1200</formula>
    </cfRule>
  </conditionalFormatting>
  <conditionalFormatting sqref="G979">
    <cfRule type="cellIs" dxfId="174" priority="160" operator="between">
      <formula>300</formula>
      <formula>1200</formula>
    </cfRule>
  </conditionalFormatting>
  <conditionalFormatting sqref="G979">
    <cfRule type="cellIs" dxfId="173" priority="159" operator="greaterThan">
      <formula>1200</formula>
    </cfRule>
  </conditionalFormatting>
  <conditionalFormatting sqref="G980">
    <cfRule type="cellIs" dxfId="172" priority="158" operator="between">
      <formula>300</formula>
      <formula>1200</formula>
    </cfRule>
  </conditionalFormatting>
  <conditionalFormatting sqref="G980">
    <cfRule type="cellIs" dxfId="171" priority="157" operator="greaterThan">
      <formula>1200</formula>
    </cfRule>
  </conditionalFormatting>
  <conditionalFormatting sqref="G981">
    <cfRule type="cellIs" dxfId="170" priority="156" operator="between">
      <formula>300</formula>
      <formula>1200</formula>
    </cfRule>
  </conditionalFormatting>
  <conditionalFormatting sqref="G981">
    <cfRule type="cellIs" dxfId="169" priority="155" operator="greaterThan">
      <formula>1200</formula>
    </cfRule>
  </conditionalFormatting>
  <conditionalFormatting sqref="G982:G983">
    <cfRule type="cellIs" dxfId="168" priority="154" operator="between">
      <formula>300</formula>
      <formula>1200</formula>
    </cfRule>
  </conditionalFormatting>
  <conditionalFormatting sqref="G982:G983">
    <cfRule type="cellIs" dxfId="167" priority="153" operator="greaterThan">
      <formula>1200</formula>
    </cfRule>
  </conditionalFormatting>
  <conditionalFormatting sqref="G984">
    <cfRule type="cellIs" dxfId="166" priority="152" operator="between">
      <formula>300</formula>
      <formula>1200</formula>
    </cfRule>
  </conditionalFormatting>
  <conditionalFormatting sqref="G984">
    <cfRule type="cellIs" dxfId="165" priority="151" operator="greaterThan">
      <formula>1200</formula>
    </cfRule>
  </conditionalFormatting>
  <conditionalFormatting sqref="G985:G986">
    <cfRule type="cellIs" dxfId="164" priority="150" operator="between">
      <formula>300</formula>
      <formula>1200</formula>
    </cfRule>
  </conditionalFormatting>
  <conditionalFormatting sqref="G985:G986">
    <cfRule type="cellIs" dxfId="163" priority="149" operator="greaterThan">
      <formula>1200</formula>
    </cfRule>
  </conditionalFormatting>
  <conditionalFormatting sqref="G987">
    <cfRule type="cellIs" dxfId="162" priority="148" operator="between">
      <formula>300</formula>
      <formula>1200</formula>
    </cfRule>
  </conditionalFormatting>
  <conditionalFormatting sqref="G987">
    <cfRule type="cellIs" dxfId="161" priority="147" operator="greaterThan">
      <formula>1200</formula>
    </cfRule>
  </conditionalFormatting>
  <conditionalFormatting sqref="G988">
    <cfRule type="cellIs" dxfId="160" priority="146" operator="between">
      <formula>300</formula>
      <formula>1200</formula>
    </cfRule>
  </conditionalFormatting>
  <conditionalFormatting sqref="G988">
    <cfRule type="cellIs" dxfId="159" priority="145" operator="greaterThan">
      <formula>1200</formula>
    </cfRule>
  </conditionalFormatting>
  <conditionalFormatting sqref="G989">
    <cfRule type="cellIs" dxfId="158" priority="144" operator="between">
      <formula>300</formula>
      <formula>1200</formula>
    </cfRule>
  </conditionalFormatting>
  <conditionalFormatting sqref="G989">
    <cfRule type="cellIs" dxfId="157" priority="143" operator="greaterThan">
      <formula>1200</formula>
    </cfRule>
  </conditionalFormatting>
  <conditionalFormatting sqref="G990">
    <cfRule type="cellIs" dxfId="156" priority="142" operator="between">
      <formula>300</formula>
      <formula>1200</formula>
    </cfRule>
  </conditionalFormatting>
  <conditionalFormatting sqref="G990">
    <cfRule type="cellIs" dxfId="155" priority="141" operator="greaterThan">
      <formula>1200</formula>
    </cfRule>
  </conditionalFormatting>
  <conditionalFormatting sqref="G991">
    <cfRule type="cellIs" dxfId="154" priority="140" operator="between">
      <formula>300</formula>
      <formula>1200</formula>
    </cfRule>
  </conditionalFormatting>
  <conditionalFormatting sqref="G991">
    <cfRule type="cellIs" dxfId="153" priority="139" operator="greaterThan">
      <formula>1200</formula>
    </cfRule>
  </conditionalFormatting>
  <conditionalFormatting sqref="G992">
    <cfRule type="cellIs" dxfId="152" priority="138" operator="between">
      <formula>300</formula>
      <formula>1200</formula>
    </cfRule>
  </conditionalFormatting>
  <conditionalFormatting sqref="G992">
    <cfRule type="cellIs" dxfId="151" priority="137" operator="greaterThan">
      <formula>1200</formula>
    </cfRule>
  </conditionalFormatting>
  <conditionalFormatting sqref="G993">
    <cfRule type="cellIs" dxfId="150" priority="136" operator="between">
      <formula>300</formula>
      <formula>1200</formula>
    </cfRule>
  </conditionalFormatting>
  <conditionalFormatting sqref="G993">
    <cfRule type="cellIs" dxfId="149" priority="135" operator="greaterThan">
      <formula>1200</formula>
    </cfRule>
  </conditionalFormatting>
  <conditionalFormatting sqref="G1002">
    <cfRule type="cellIs" dxfId="148" priority="134" operator="between">
      <formula>300</formula>
      <formula>1200</formula>
    </cfRule>
  </conditionalFormatting>
  <conditionalFormatting sqref="G1002">
    <cfRule type="cellIs" dxfId="147" priority="133" operator="greaterThan">
      <formula>1200</formula>
    </cfRule>
  </conditionalFormatting>
  <conditionalFormatting sqref="G1003">
    <cfRule type="cellIs" dxfId="146" priority="132" operator="between">
      <formula>300</formula>
      <formula>1200</formula>
    </cfRule>
  </conditionalFormatting>
  <conditionalFormatting sqref="G1003">
    <cfRule type="cellIs" dxfId="145" priority="131" operator="greaterThan">
      <formula>1200</formula>
    </cfRule>
  </conditionalFormatting>
  <conditionalFormatting sqref="G1004">
    <cfRule type="cellIs" dxfId="144" priority="130" operator="between">
      <formula>300</formula>
      <formula>1200</formula>
    </cfRule>
  </conditionalFormatting>
  <conditionalFormatting sqref="G1004">
    <cfRule type="cellIs" dxfId="143" priority="129" operator="greaterThan">
      <formula>1200</formula>
    </cfRule>
  </conditionalFormatting>
  <conditionalFormatting sqref="G1006">
    <cfRule type="cellIs" dxfId="142" priority="128" operator="between">
      <formula>300</formula>
      <formula>1200</formula>
    </cfRule>
  </conditionalFormatting>
  <conditionalFormatting sqref="G1006">
    <cfRule type="cellIs" dxfId="141" priority="127" operator="greaterThan">
      <formula>1200</formula>
    </cfRule>
  </conditionalFormatting>
  <conditionalFormatting sqref="G1007">
    <cfRule type="cellIs" dxfId="140" priority="126" operator="between">
      <formula>300</formula>
      <formula>1200</formula>
    </cfRule>
  </conditionalFormatting>
  <conditionalFormatting sqref="G1007">
    <cfRule type="cellIs" dxfId="139" priority="125" operator="greaterThan">
      <formula>1200</formula>
    </cfRule>
  </conditionalFormatting>
  <conditionalFormatting sqref="G1009">
    <cfRule type="cellIs" dxfId="138" priority="124" operator="between">
      <formula>300</formula>
      <formula>1200</formula>
    </cfRule>
  </conditionalFormatting>
  <conditionalFormatting sqref="G1009">
    <cfRule type="cellIs" dxfId="137" priority="123" operator="greaterThan">
      <formula>1200</formula>
    </cfRule>
  </conditionalFormatting>
  <conditionalFormatting sqref="G1010">
    <cfRule type="cellIs" dxfId="136" priority="122" operator="between">
      <formula>300</formula>
      <formula>1200</formula>
    </cfRule>
  </conditionalFormatting>
  <conditionalFormatting sqref="G1010">
    <cfRule type="cellIs" dxfId="135" priority="121" operator="greaterThan">
      <formula>1200</formula>
    </cfRule>
  </conditionalFormatting>
  <conditionalFormatting sqref="G1011">
    <cfRule type="cellIs" dxfId="134" priority="120" operator="between">
      <formula>300</formula>
      <formula>1200</formula>
    </cfRule>
  </conditionalFormatting>
  <conditionalFormatting sqref="G1011">
    <cfRule type="cellIs" dxfId="133" priority="119" operator="greaterThan">
      <formula>1200</formula>
    </cfRule>
  </conditionalFormatting>
  <conditionalFormatting sqref="G1013">
    <cfRule type="cellIs" dxfId="132" priority="118" operator="between">
      <formula>300</formula>
      <formula>1200</formula>
    </cfRule>
  </conditionalFormatting>
  <conditionalFormatting sqref="G1013">
    <cfRule type="cellIs" dxfId="131" priority="117" operator="greaterThan">
      <formula>1200</formula>
    </cfRule>
  </conditionalFormatting>
  <conditionalFormatting sqref="G1017:G1018">
    <cfRule type="cellIs" dxfId="130" priority="114" operator="between">
      <formula>300</formula>
      <formula>1200</formula>
    </cfRule>
  </conditionalFormatting>
  <conditionalFormatting sqref="G1017:G1018">
    <cfRule type="cellIs" dxfId="129" priority="113" operator="greaterThan">
      <formula>1200</formula>
    </cfRule>
  </conditionalFormatting>
  <conditionalFormatting sqref="G1019">
    <cfRule type="cellIs" dxfId="128" priority="112" operator="between">
      <formula>300</formula>
      <formula>1200</formula>
    </cfRule>
  </conditionalFormatting>
  <conditionalFormatting sqref="G1019">
    <cfRule type="cellIs" dxfId="127" priority="111" operator="greaterThan">
      <formula>1200</formula>
    </cfRule>
  </conditionalFormatting>
  <conditionalFormatting sqref="G1020:G1024">
    <cfRule type="cellIs" dxfId="126" priority="110" operator="between">
      <formula>300</formula>
      <formula>1200</formula>
    </cfRule>
  </conditionalFormatting>
  <conditionalFormatting sqref="G1020:G1024">
    <cfRule type="cellIs" dxfId="125" priority="109" operator="greaterThan">
      <formula>1200</formula>
    </cfRule>
  </conditionalFormatting>
  <conditionalFormatting sqref="G1025">
    <cfRule type="cellIs" dxfId="124" priority="108" operator="between">
      <formula>300</formula>
      <formula>1200</formula>
    </cfRule>
  </conditionalFormatting>
  <conditionalFormatting sqref="G1025">
    <cfRule type="cellIs" dxfId="123" priority="107" operator="greaterThan">
      <formula>1200</formula>
    </cfRule>
  </conditionalFormatting>
  <conditionalFormatting sqref="G1027">
    <cfRule type="cellIs" dxfId="122" priority="106" operator="between">
      <formula>300</formula>
      <formula>1200</formula>
    </cfRule>
  </conditionalFormatting>
  <conditionalFormatting sqref="G1027">
    <cfRule type="cellIs" dxfId="121" priority="105" operator="greaterThan">
      <formula>1200</formula>
    </cfRule>
  </conditionalFormatting>
  <conditionalFormatting sqref="G1028">
    <cfRule type="cellIs" dxfId="120" priority="104" operator="between">
      <formula>300</formula>
      <formula>1200</formula>
    </cfRule>
  </conditionalFormatting>
  <conditionalFormatting sqref="G1028">
    <cfRule type="cellIs" dxfId="119" priority="103" operator="greaterThan">
      <formula>1200</formula>
    </cfRule>
  </conditionalFormatting>
  <conditionalFormatting sqref="G1030">
    <cfRule type="cellIs" dxfId="118" priority="102" operator="between">
      <formula>300</formula>
      <formula>1200</formula>
    </cfRule>
  </conditionalFormatting>
  <conditionalFormatting sqref="G1030">
    <cfRule type="cellIs" dxfId="117" priority="101" operator="greaterThan">
      <formula>1200</formula>
    </cfRule>
  </conditionalFormatting>
  <conditionalFormatting sqref="G1031">
    <cfRule type="cellIs" dxfId="116" priority="100" operator="between">
      <formula>300</formula>
      <formula>1200</formula>
    </cfRule>
  </conditionalFormatting>
  <conditionalFormatting sqref="G1031">
    <cfRule type="cellIs" dxfId="115" priority="99" operator="greaterThan">
      <formula>1200</formula>
    </cfRule>
  </conditionalFormatting>
  <conditionalFormatting sqref="G1032">
    <cfRule type="cellIs" dxfId="114" priority="98" operator="between">
      <formula>300</formula>
      <formula>1200</formula>
    </cfRule>
  </conditionalFormatting>
  <conditionalFormatting sqref="G1032">
    <cfRule type="cellIs" dxfId="113" priority="97" operator="greaterThan">
      <formula>1200</formula>
    </cfRule>
  </conditionalFormatting>
  <conditionalFormatting sqref="G1033">
    <cfRule type="cellIs" dxfId="112" priority="96" operator="between">
      <formula>300</formula>
      <formula>1200</formula>
    </cfRule>
  </conditionalFormatting>
  <conditionalFormatting sqref="G1033">
    <cfRule type="cellIs" dxfId="111" priority="95" operator="greaterThan">
      <formula>1200</formula>
    </cfRule>
  </conditionalFormatting>
  <conditionalFormatting sqref="G1035">
    <cfRule type="cellIs" dxfId="110" priority="94" operator="between">
      <formula>300</formula>
      <formula>1200</formula>
    </cfRule>
  </conditionalFormatting>
  <conditionalFormatting sqref="G1035">
    <cfRule type="cellIs" dxfId="109" priority="93" operator="greaterThan">
      <formula>1200</formula>
    </cfRule>
  </conditionalFormatting>
  <conditionalFormatting sqref="G1036">
    <cfRule type="cellIs" dxfId="108" priority="92" operator="between">
      <formula>300</formula>
      <formula>1200</formula>
    </cfRule>
  </conditionalFormatting>
  <conditionalFormatting sqref="G1036">
    <cfRule type="cellIs" dxfId="107" priority="91" operator="greaterThan">
      <formula>1200</formula>
    </cfRule>
  </conditionalFormatting>
  <conditionalFormatting sqref="G1038">
    <cfRule type="cellIs" dxfId="106" priority="90" operator="between">
      <formula>300</formula>
      <formula>1200</formula>
    </cfRule>
  </conditionalFormatting>
  <conditionalFormatting sqref="G1038">
    <cfRule type="cellIs" dxfId="105" priority="89" operator="greaterThan">
      <formula>1200</formula>
    </cfRule>
  </conditionalFormatting>
  <conditionalFormatting sqref="G1039">
    <cfRule type="cellIs" dxfId="104" priority="88" operator="between">
      <formula>300</formula>
      <formula>1200</formula>
    </cfRule>
  </conditionalFormatting>
  <conditionalFormatting sqref="G1039">
    <cfRule type="cellIs" dxfId="103" priority="87" operator="greaterThan">
      <formula>1200</formula>
    </cfRule>
  </conditionalFormatting>
  <conditionalFormatting sqref="G1040">
    <cfRule type="cellIs" dxfId="102" priority="86" operator="between">
      <formula>300</formula>
      <formula>1200</formula>
    </cfRule>
  </conditionalFormatting>
  <conditionalFormatting sqref="G1040">
    <cfRule type="cellIs" dxfId="101" priority="85" operator="greaterThan">
      <formula>1200</formula>
    </cfRule>
  </conditionalFormatting>
  <conditionalFormatting sqref="G1042">
    <cfRule type="cellIs" dxfId="100" priority="84" operator="between">
      <formula>300</formula>
      <formula>1200</formula>
    </cfRule>
  </conditionalFormatting>
  <conditionalFormatting sqref="G1042">
    <cfRule type="cellIs" dxfId="99" priority="83" operator="greaterThan">
      <formula>1200</formula>
    </cfRule>
  </conditionalFormatting>
  <conditionalFormatting sqref="A1044">
    <cfRule type="cellIs" dxfId="98" priority="82" operator="equal">
      <formula>2</formula>
    </cfRule>
  </conditionalFormatting>
  <conditionalFormatting sqref="G1044">
    <cfRule type="cellIs" dxfId="97" priority="81" operator="between">
      <formula>300</formula>
      <formula>1200</formula>
    </cfRule>
  </conditionalFormatting>
  <conditionalFormatting sqref="G1044">
    <cfRule type="cellIs" dxfId="96" priority="80" operator="greaterThan">
      <formula>1200</formula>
    </cfRule>
  </conditionalFormatting>
  <conditionalFormatting sqref="A1044">
    <cfRule type="cellIs" dxfId="95" priority="79" operator="equal">
      <formula>1</formula>
    </cfRule>
  </conditionalFormatting>
  <conditionalFormatting sqref="G1048:G1055">
    <cfRule type="cellIs" dxfId="94" priority="78" operator="between">
      <formula>300</formula>
      <formula>1200</formula>
    </cfRule>
  </conditionalFormatting>
  <conditionalFormatting sqref="G1048:G1055">
    <cfRule type="cellIs" dxfId="93" priority="77" operator="greaterThan">
      <formula>1200</formula>
    </cfRule>
  </conditionalFormatting>
  <conditionalFormatting sqref="G1056">
    <cfRule type="cellIs" dxfId="92" priority="76" operator="between">
      <formula>300</formula>
      <formula>1200</formula>
    </cfRule>
  </conditionalFormatting>
  <conditionalFormatting sqref="G1056">
    <cfRule type="cellIs" dxfId="91" priority="75" operator="greaterThan">
      <formula>1200</formula>
    </cfRule>
  </conditionalFormatting>
  <conditionalFormatting sqref="G1057">
    <cfRule type="cellIs" dxfId="90" priority="74" operator="between">
      <formula>300</formula>
      <formula>1200</formula>
    </cfRule>
  </conditionalFormatting>
  <conditionalFormatting sqref="G1057">
    <cfRule type="cellIs" dxfId="89" priority="73" operator="greaterThan">
      <formula>1200</formula>
    </cfRule>
  </conditionalFormatting>
  <conditionalFormatting sqref="G1058">
    <cfRule type="cellIs" dxfId="88" priority="72" operator="between">
      <formula>300</formula>
      <formula>1200</formula>
    </cfRule>
  </conditionalFormatting>
  <conditionalFormatting sqref="G1058">
    <cfRule type="cellIs" dxfId="87" priority="71" operator="greaterThan">
      <formula>1200</formula>
    </cfRule>
  </conditionalFormatting>
  <conditionalFormatting sqref="G1059">
    <cfRule type="cellIs" dxfId="86" priority="70" operator="between">
      <formula>300</formula>
      <formula>1200</formula>
    </cfRule>
  </conditionalFormatting>
  <conditionalFormatting sqref="G1059">
    <cfRule type="cellIs" dxfId="85" priority="69" operator="greaterThan">
      <formula>1200</formula>
    </cfRule>
  </conditionalFormatting>
  <conditionalFormatting sqref="G1060">
    <cfRule type="cellIs" dxfId="84" priority="68" operator="between">
      <formula>300</formula>
      <formula>1200</formula>
    </cfRule>
  </conditionalFormatting>
  <conditionalFormatting sqref="G1060">
    <cfRule type="cellIs" dxfId="83" priority="67" operator="greaterThan">
      <formula>1200</formula>
    </cfRule>
  </conditionalFormatting>
  <conditionalFormatting sqref="G1061">
    <cfRule type="cellIs" dxfId="82" priority="66" operator="between">
      <formula>300</formula>
      <formula>1200</formula>
    </cfRule>
  </conditionalFormatting>
  <conditionalFormatting sqref="G1061">
    <cfRule type="cellIs" dxfId="81" priority="65" operator="greaterThan">
      <formula>1200</formula>
    </cfRule>
  </conditionalFormatting>
  <conditionalFormatting sqref="G1062">
    <cfRule type="cellIs" dxfId="80" priority="64" operator="between">
      <formula>300</formula>
      <formula>1200</formula>
    </cfRule>
  </conditionalFormatting>
  <conditionalFormatting sqref="G1062">
    <cfRule type="cellIs" dxfId="79" priority="63" operator="greaterThan">
      <formula>1200</formula>
    </cfRule>
  </conditionalFormatting>
  <conditionalFormatting sqref="G1063">
    <cfRule type="cellIs" dxfId="78" priority="62" operator="between">
      <formula>300</formula>
      <formula>1200</formula>
    </cfRule>
  </conditionalFormatting>
  <conditionalFormatting sqref="G1063">
    <cfRule type="cellIs" dxfId="77" priority="61" operator="greaterThan">
      <formula>1200</formula>
    </cfRule>
  </conditionalFormatting>
  <conditionalFormatting sqref="G1064">
    <cfRule type="cellIs" dxfId="76" priority="60" operator="between">
      <formula>300</formula>
      <formula>1200</formula>
    </cfRule>
  </conditionalFormatting>
  <conditionalFormatting sqref="G1064">
    <cfRule type="cellIs" dxfId="75" priority="59" operator="greaterThan">
      <formula>1200</formula>
    </cfRule>
  </conditionalFormatting>
  <conditionalFormatting sqref="G1065">
    <cfRule type="cellIs" dxfId="74" priority="58" operator="between">
      <formula>300</formula>
      <formula>1200</formula>
    </cfRule>
  </conditionalFormatting>
  <conditionalFormatting sqref="G1065">
    <cfRule type="cellIs" dxfId="73" priority="57" operator="greaterThan">
      <formula>1200</formula>
    </cfRule>
  </conditionalFormatting>
  <conditionalFormatting sqref="G1066">
    <cfRule type="cellIs" dxfId="72" priority="56" operator="between">
      <formula>300</formula>
      <formula>1200</formula>
    </cfRule>
  </conditionalFormatting>
  <conditionalFormatting sqref="G1066">
    <cfRule type="cellIs" dxfId="71" priority="55" operator="greaterThan">
      <formula>1200</formula>
    </cfRule>
  </conditionalFormatting>
  <conditionalFormatting sqref="G1067">
    <cfRule type="cellIs" dxfId="70" priority="54" operator="between">
      <formula>300</formula>
      <formula>1200</formula>
    </cfRule>
  </conditionalFormatting>
  <conditionalFormatting sqref="G1067">
    <cfRule type="cellIs" dxfId="69" priority="53" operator="greaterThan">
      <formula>1200</formula>
    </cfRule>
  </conditionalFormatting>
  <conditionalFormatting sqref="G1068">
    <cfRule type="cellIs" dxfId="68" priority="52" operator="between">
      <formula>300</formula>
      <formula>1200</formula>
    </cfRule>
  </conditionalFormatting>
  <conditionalFormatting sqref="G1068">
    <cfRule type="cellIs" dxfId="67" priority="51" operator="greaterThan">
      <formula>1200</formula>
    </cfRule>
  </conditionalFormatting>
  <conditionalFormatting sqref="G1083">
    <cfRule type="cellIs" dxfId="66" priority="50" operator="between">
      <formula>300</formula>
      <formula>1200</formula>
    </cfRule>
  </conditionalFormatting>
  <conditionalFormatting sqref="G1083">
    <cfRule type="cellIs" dxfId="65" priority="49" operator="greaterThan">
      <formula>1200</formula>
    </cfRule>
  </conditionalFormatting>
  <conditionalFormatting sqref="G1084:G1093">
    <cfRule type="cellIs" dxfId="64" priority="48" operator="between">
      <formula>300</formula>
      <formula>1200</formula>
    </cfRule>
  </conditionalFormatting>
  <conditionalFormatting sqref="G1084:G1093">
    <cfRule type="cellIs" dxfId="63" priority="47" operator="greaterThan">
      <formula>1200</formula>
    </cfRule>
  </conditionalFormatting>
  <conditionalFormatting sqref="G1098">
    <cfRule type="cellIs" dxfId="62" priority="46" operator="between">
      <formula>300</formula>
      <formula>1200</formula>
    </cfRule>
  </conditionalFormatting>
  <conditionalFormatting sqref="G1098">
    <cfRule type="cellIs" dxfId="61" priority="45" operator="greaterThan">
      <formula>1200</formula>
    </cfRule>
  </conditionalFormatting>
  <conditionalFormatting sqref="G1099">
    <cfRule type="cellIs" dxfId="60" priority="44" operator="between">
      <formula>300</formula>
      <formula>1200</formula>
    </cfRule>
  </conditionalFormatting>
  <conditionalFormatting sqref="G1099">
    <cfRule type="cellIs" dxfId="59" priority="43" operator="greaterThan">
      <formula>1200</formula>
    </cfRule>
  </conditionalFormatting>
  <conditionalFormatting sqref="G1100">
    <cfRule type="cellIs" dxfId="58" priority="42" operator="between">
      <formula>300</formula>
      <formula>1200</formula>
    </cfRule>
  </conditionalFormatting>
  <conditionalFormatting sqref="G1100">
    <cfRule type="cellIs" dxfId="57" priority="41" operator="greaterThan">
      <formula>1200</formula>
    </cfRule>
  </conditionalFormatting>
  <conditionalFormatting sqref="G1103">
    <cfRule type="cellIs" dxfId="56" priority="40" operator="between">
      <formula>300</formula>
      <formula>1200</formula>
    </cfRule>
  </conditionalFormatting>
  <conditionalFormatting sqref="G1103">
    <cfRule type="cellIs" dxfId="55" priority="39" operator="greaterThan">
      <formula>1200</formula>
    </cfRule>
  </conditionalFormatting>
  <conditionalFormatting sqref="G1107">
    <cfRule type="cellIs" dxfId="54" priority="38" operator="between">
      <formula>300</formula>
      <formula>1200</formula>
    </cfRule>
  </conditionalFormatting>
  <conditionalFormatting sqref="G1107">
    <cfRule type="cellIs" dxfId="53" priority="37" operator="greaterThan">
      <formula>1200</formula>
    </cfRule>
  </conditionalFormatting>
  <conditionalFormatting sqref="G1109">
    <cfRule type="cellIs" dxfId="52" priority="36" operator="between">
      <formula>300</formula>
      <formula>1200</formula>
    </cfRule>
  </conditionalFormatting>
  <conditionalFormatting sqref="G1109">
    <cfRule type="cellIs" dxfId="51" priority="35" operator="greaterThan">
      <formula>1200</formula>
    </cfRule>
  </conditionalFormatting>
  <conditionalFormatting sqref="G1113">
    <cfRule type="cellIs" dxfId="50" priority="34" operator="between">
      <formula>300</formula>
      <formula>1200</formula>
    </cfRule>
  </conditionalFormatting>
  <conditionalFormatting sqref="G1113">
    <cfRule type="cellIs" dxfId="49" priority="33" operator="greaterThan">
      <formula>1200</formula>
    </cfRule>
  </conditionalFormatting>
  <conditionalFormatting sqref="G1114">
    <cfRule type="cellIs" dxfId="48" priority="32" operator="between">
      <formula>300</formula>
      <formula>1200</formula>
    </cfRule>
  </conditionalFormatting>
  <conditionalFormatting sqref="G1114">
    <cfRule type="cellIs" dxfId="47" priority="31" operator="greaterThan">
      <formula>1200</formula>
    </cfRule>
  </conditionalFormatting>
  <conditionalFormatting sqref="G1115">
    <cfRule type="cellIs" dxfId="46" priority="30" operator="between">
      <formula>300</formula>
      <formula>1200</formula>
    </cfRule>
  </conditionalFormatting>
  <conditionalFormatting sqref="G1115">
    <cfRule type="cellIs" dxfId="45" priority="29" operator="greaterThan">
      <formula>1200</formula>
    </cfRule>
  </conditionalFormatting>
  <conditionalFormatting sqref="G1116">
    <cfRule type="cellIs" dxfId="44" priority="28" operator="between">
      <formula>300</formula>
      <formula>1200</formula>
    </cfRule>
  </conditionalFormatting>
  <conditionalFormatting sqref="G1116">
    <cfRule type="cellIs" dxfId="43" priority="27" operator="greaterThan">
      <formula>1200</formula>
    </cfRule>
  </conditionalFormatting>
  <conditionalFormatting sqref="G1117">
    <cfRule type="cellIs" dxfId="42" priority="26" operator="between">
      <formula>300</formula>
      <formula>1200</formula>
    </cfRule>
  </conditionalFormatting>
  <conditionalFormatting sqref="G1117">
    <cfRule type="cellIs" dxfId="41" priority="25" operator="greaterThan">
      <formula>1200</formula>
    </cfRule>
  </conditionalFormatting>
  <conditionalFormatting sqref="G1119">
    <cfRule type="cellIs" dxfId="40" priority="24" operator="between">
      <formula>300</formula>
      <formula>1200</formula>
    </cfRule>
  </conditionalFormatting>
  <conditionalFormatting sqref="G1119">
    <cfRule type="cellIs" dxfId="39" priority="23" operator="greaterThan">
      <formula>1200</formula>
    </cfRule>
  </conditionalFormatting>
  <conditionalFormatting sqref="G1120">
    <cfRule type="cellIs" dxfId="38" priority="22" operator="between">
      <formula>300</formula>
      <formula>1200</formula>
    </cfRule>
  </conditionalFormatting>
  <conditionalFormatting sqref="G1120">
    <cfRule type="cellIs" dxfId="37" priority="21" operator="greaterThan">
      <formula>1200</formula>
    </cfRule>
  </conditionalFormatting>
  <conditionalFormatting sqref="G1121">
    <cfRule type="cellIs" dxfId="36" priority="20" operator="between">
      <formula>300</formula>
      <formula>1200</formula>
    </cfRule>
  </conditionalFormatting>
  <conditionalFormatting sqref="G1121">
    <cfRule type="cellIs" dxfId="35" priority="19" operator="greaterThan">
      <formula>1200</formula>
    </cfRule>
  </conditionalFormatting>
  <conditionalFormatting sqref="G1122">
    <cfRule type="cellIs" dxfId="34" priority="18" operator="between">
      <formula>300</formula>
      <formula>1200</formula>
    </cfRule>
  </conditionalFormatting>
  <conditionalFormatting sqref="G1122">
    <cfRule type="cellIs" dxfId="33" priority="17" operator="greaterThan">
      <formula>1200</formula>
    </cfRule>
  </conditionalFormatting>
  <conditionalFormatting sqref="G1125">
    <cfRule type="cellIs" dxfId="32" priority="16" operator="between">
      <formula>300</formula>
      <formula>1200</formula>
    </cfRule>
  </conditionalFormatting>
  <conditionalFormatting sqref="G1125">
    <cfRule type="cellIs" dxfId="31" priority="15" operator="greaterThan">
      <formula>1200</formula>
    </cfRule>
  </conditionalFormatting>
  <conditionalFormatting sqref="G1126">
    <cfRule type="cellIs" dxfId="30" priority="14" operator="between">
      <formula>300</formula>
      <formula>1200</formula>
    </cfRule>
  </conditionalFormatting>
  <conditionalFormatting sqref="G1126">
    <cfRule type="cellIs" dxfId="29" priority="13" operator="greaterThan">
      <formula>1200</formula>
    </cfRule>
  </conditionalFormatting>
  <conditionalFormatting sqref="G1127">
    <cfRule type="cellIs" dxfId="28" priority="12" operator="between">
      <formula>300</formula>
      <formula>1200</formula>
    </cfRule>
  </conditionalFormatting>
  <conditionalFormatting sqref="G1127">
    <cfRule type="cellIs" dxfId="27" priority="11" operator="greaterThan">
      <formula>1200</formula>
    </cfRule>
  </conditionalFormatting>
  <conditionalFormatting sqref="G1128">
    <cfRule type="cellIs" dxfId="26" priority="10" operator="between">
      <formula>300</formula>
      <formula>1200</formula>
    </cfRule>
  </conditionalFormatting>
  <conditionalFormatting sqref="G1128">
    <cfRule type="cellIs" dxfId="25" priority="9" operator="greaterThan">
      <formula>1200</formula>
    </cfRule>
  </conditionalFormatting>
  <conditionalFormatting sqref="G1130">
    <cfRule type="cellIs" dxfId="24" priority="8" operator="between">
      <formula>300</formula>
      <formula>1200</formula>
    </cfRule>
  </conditionalFormatting>
  <conditionalFormatting sqref="G1130">
    <cfRule type="cellIs" dxfId="23" priority="7" operator="greaterThan">
      <formula>1200</formula>
    </cfRule>
  </conditionalFormatting>
  <conditionalFormatting sqref="G1132">
    <cfRule type="cellIs" dxfId="22" priority="6" operator="between">
      <formula>300</formula>
      <formula>1200</formula>
    </cfRule>
  </conditionalFormatting>
  <conditionalFormatting sqref="G1132">
    <cfRule type="cellIs" dxfId="21" priority="5" operator="greaterThan">
      <formula>1200</formula>
    </cfRule>
  </conditionalFormatting>
  <conditionalFormatting sqref="G1134">
    <cfRule type="cellIs" dxfId="20" priority="4" operator="between">
      <formula>300</formula>
      <formula>1200</formula>
    </cfRule>
  </conditionalFormatting>
  <conditionalFormatting sqref="G1134">
    <cfRule type="cellIs" dxfId="19" priority="3" operator="greaterThan">
      <formula>1200</formula>
    </cfRule>
  </conditionalFormatting>
  <conditionalFormatting sqref="G1135">
    <cfRule type="cellIs" dxfId="18" priority="2" operator="between">
      <formula>300</formula>
      <formula>1200</formula>
    </cfRule>
  </conditionalFormatting>
  <conditionalFormatting sqref="G1135">
    <cfRule type="cellIs" dxfId="17" priority="1" operator="greaterThan">
      <formula>1200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8964D9-8586-4E0D-9CCF-67BADBF0E576}">
          <x14:formula1>
            <xm:f>LISTA!$A$1:$A$13</xm:f>
          </x14:formula1>
          <xm:sqref>C15:C24 C26:C40 C44:C45 C48:C49 C52:C57 C65:C66 C68:C69 C74 C78:C80 C88:C91 C107 C111:C113 C117:C118 C93:C104 C121:C128 C130 C134:C140 C150 C152:C167 C174 C176 C184:C188 C193:C196 C199:C211 C214:C215 C217:C219 C221:C225 C228:C231 C234:C235 C237:C240 C242:C244 C254 C257:C258 C260:C261 C263 C265:C266 C270 C274 C277:C278 C285:C287 C295 C297:C300 C302:C307 C309 C311 C316:C318 C336:C342 C347:C349 C351 C353:C359 C361:C364 C366 C368:C372 C374:C380 C384:C389 C396 C393:C394 C399:C400 C403 C405:C406 C417:C419 C421:C422 C424 C429 C431:C432 C434:C441 C444:C446 C448 C451 C453 C456:C461 C474 C476 C480 C482 C484:C485 C487:C488 C495:C500 C505:C509 C513:C515 C524 C526 C531:C532 C534:C538 C541:C542 C550:C552 C555:C556 C560 C564:C565 C571 C577 C581:C587 C590:C591 C594:C595 C597:C609 C626:C632 C634 C637:C638 C642 C645:C648 C652 C654:C655 C657:C658 C663:C667 C669 C672:C676 C679:C680 C687:C688 C690:C691 C693:C698 C714:C728 C731 C734:C735 C740:C741 C743 C752:C753 C756 C758:C759 C761:C762 C764:C776 C779:C780 C782:C784 C786:C788 C791 C793:C797 C804:C814 C828:C829 C844:C857 C859:C879 C895:C898 C902 C905:C906 C909:C912 C915 C917 C919 C921 C925:C928 C930:C932 C934:C937 C940:C945 C947:C948 C950:C951 C959:C961 C963 C966 C968:C970 C975 C977 C979:C993 C1002:C1004 C1006:C1007 C1009:C1011 C1013 C1017:C1025 C1027:C1028 C1030:C1033 C1035:C1036 C1038:C1040 C1042 C1048:C1068 C1083:C1093 C1098:C1100 C1103 C1107 C1109 C1113:C1117 C1119:C1123 C1125:C1128 C1130 C1132 C1134:C1135 C1137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1B72-A983-435D-87EC-5DCBE103EE57}">
  <dimension ref="A1:A13"/>
  <sheetViews>
    <sheetView workbookViewId="0"/>
  </sheetViews>
  <sheetFormatPr defaultRowHeight="15"/>
  <cols>
    <col min="1" max="1" width="22.7109375" customWidth="1"/>
  </cols>
  <sheetData>
    <row r="1" spans="1:1">
      <c r="A1" s="5" t="s">
        <v>54</v>
      </c>
    </row>
    <row r="2" spans="1:1">
      <c r="A2" s="5" t="s">
        <v>32</v>
      </c>
    </row>
    <row r="3" spans="1:1">
      <c r="A3" s="5" t="s">
        <v>30</v>
      </c>
    </row>
    <row r="4" spans="1:1">
      <c r="A4" s="5" t="s">
        <v>27</v>
      </c>
    </row>
    <row r="5" spans="1:1">
      <c r="A5" s="5" t="s">
        <v>38</v>
      </c>
    </row>
    <row r="6" spans="1:1">
      <c r="A6" s="5" t="s">
        <v>58</v>
      </c>
    </row>
    <row r="7" spans="1:1">
      <c r="A7" s="5" t="s">
        <v>34</v>
      </c>
    </row>
    <row r="8" spans="1:1">
      <c r="A8" s="5" t="s">
        <v>107</v>
      </c>
    </row>
    <row r="9" spans="1:1">
      <c r="A9" s="5" t="s">
        <v>51</v>
      </c>
    </row>
    <row r="10" spans="1:1">
      <c r="A10" s="5" t="s">
        <v>189</v>
      </c>
    </row>
    <row r="11" spans="1:1">
      <c r="A11" s="5" t="s">
        <v>2831</v>
      </c>
    </row>
    <row r="12" spans="1:1">
      <c r="A12" s="5" t="s">
        <v>2832</v>
      </c>
    </row>
    <row r="13" spans="1:1">
      <c r="A13" t="s">
        <v>1891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993F-B5DE-4610-9BC0-ED41AC69BAE4}">
  <dimension ref="A1:JZ46"/>
  <sheetViews>
    <sheetView topLeftCell="JK1" workbookViewId="0">
      <selection activeCell="JW16" sqref="JW16"/>
    </sheetView>
  </sheetViews>
  <sheetFormatPr defaultRowHeight="15"/>
  <cols>
    <col min="1" max="1" width="10.85546875" bestFit="1" customWidth="1"/>
    <col min="3" max="3" width="12.5703125" bestFit="1" customWidth="1"/>
    <col min="8" max="8" width="9.85546875" bestFit="1" customWidth="1"/>
    <col min="9" max="9" width="11.140625" bestFit="1" customWidth="1"/>
    <col min="10" max="10" width="9.28515625" bestFit="1" customWidth="1"/>
    <col min="14" max="14" width="9.85546875" bestFit="1" customWidth="1"/>
    <col min="15" max="15" width="11.42578125" bestFit="1" customWidth="1"/>
    <col min="16" max="16" width="9.28515625" bestFit="1" customWidth="1"/>
    <col min="20" max="20" width="9.85546875" bestFit="1" customWidth="1"/>
    <col min="21" max="21" width="11.42578125" bestFit="1" customWidth="1"/>
    <col min="22" max="22" width="9.28515625" bestFit="1" customWidth="1"/>
    <col min="26" max="26" width="9.85546875" bestFit="1" customWidth="1"/>
    <col min="27" max="27" width="11.42578125" bestFit="1" customWidth="1"/>
    <col min="28" max="28" width="9.28515625" bestFit="1" customWidth="1"/>
    <col min="33" max="33" width="11.140625" bestFit="1" customWidth="1"/>
    <col min="38" max="38" width="9.85546875" bestFit="1" customWidth="1"/>
    <col min="39" max="39" width="11.140625" bestFit="1" customWidth="1"/>
    <col min="44" max="44" width="9.85546875" bestFit="1" customWidth="1"/>
    <col min="45" max="45" width="11.42578125" bestFit="1" customWidth="1"/>
    <col min="46" max="46" width="9.28515625" bestFit="1" customWidth="1"/>
    <col min="50" max="50" width="9.85546875" bestFit="1" customWidth="1"/>
    <col min="51" max="51" width="11.42578125" bestFit="1" customWidth="1"/>
    <col min="52" max="52" width="9.28515625" bestFit="1" customWidth="1"/>
    <col min="55" max="56" width="9.85546875" bestFit="1" customWidth="1"/>
    <col min="57" max="57" width="11.42578125" bestFit="1" customWidth="1"/>
    <col min="58" max="58" width="9.28515625" bestFit="1" customWidth="1"/>
    <col min="62" max="62" width="9.85546875" bestFit="1" customWidth="1"/>
    <col min="63" max="63" width="11.42578125" bestFit="1" customWidth="1"/>
    <col min="64" max="64" width="9.28515625" bestFit="1" customWidth="1"/>
    <col min="68" max="68" width="9.85546875" bestFit="1" customWidth="1"/>
    <col min="69" max="69" width="11.42578125" bestFit="1" customWidth="1"/>
    <col min="70" max="70" width="9.28515625" bestFit="1" customWidth="1"/>
    <col min="75" max="75" width="11.140625" bestFit="1" customWidth="1"/>
    <col min="81" max="81" width="11.140625" bestFit="1" customWidth="1"/>
    <col min="86" max="86" width="9.85546875" bestFit="1" customWidth="1"/>
    <col min="87" max="87" width="11.42578125" bestFit="1" customWidth="1"/>
    <col min="88" max="88" width="9.28515625" bestFit="1" customWidth="1"/>
    <col min="92" max="92" width="9.85546875" bestFit="1" customWidth="1"/>
    <col min="93" max="93" width="11.42578125" bestFit="1" customWidth="1"/>
    <col min="94" max="94" width="9.28515625" bestFit="1" customWidth="1"/>
    <col min="98" max="98" width="9.85546875" bestFit="1" customWidth="1"/>
    <col min="99" max="99" width="11.42578125" bestFit="1" customWidth="1"/>
    <col min="100" max="100" width="9.28515625" bestFit="1" customWidth="1"/>
    <col min="105" max="105" width="11.140625" bestFit="1" customWidth="1"/>
    <col min="111" max="111" width="11.42578125" bestFit="1" customWidth="1"/>
    <col min="112" max="112" width="9.28515625" bestFit="1" customWidth="1"/>
    <col min="117" max="117" width="11.140625" bestFit="1" customWidth="1"/>
    <col min="122" max="122" width="9.85546875" bestFit="1" customWidth="1"/>
    <col min="123" max="123" width="9.85546875" customWidth="1"/>
    <col min="124" max="124" width="11.42578125" bestFit="1" customWidth="1"/>
    <col min="125" max="125" width="9.28515625" bestFit="1" customWidth="1"/>
    <col min="131" max="131" width="11.42578125" bestFit="1" customWidth="1"/>
    <col min="132" max="132" width="9.28515625" bestFit="1" customWidth="1"/>
    <col min="136" max="136" width="9.85546875" bestFit="1" customWidth="1"/>
    <col min="138" max="138" width="11.42578125" bestFit="1" customWidth="1"/>
    <col min="143" max="143" width="9.85546875" bestFit="1" customWidth="1"/>
    <col min="144" max="145" width="11.42578125" bestFit="1" customWidth="1"/>
    <col min="146" max="146" width="9.28515625" bestFit="1" customWidth="1"/>
    <col min="150" max="150" width="9.85546875" bestFit="1" customWidth="1"/>
    <col min="151" max="151" width="9.28515625" bestFit="1" customWidth="1"/>
    <col min="152" max="152" width="11.42578125" bestFit="1" customWidth="1"/>
    <col min="153" max="153" width="9.28515625" bestFit="1" customWidth="1"/>
    <col min="158" max="158" width="9.28515625" bestFit="1" customWidth="1"/>
    <col min="159" max="159" width="11.42578125" bestFit="1" customWidth="1"/>
    <col min="166" max="166" width="11.42578125" bestFit="1" customWidth="1"/>
    <col min="173" max="173" width="11.140625" bestFit="1" customWidth="1"/>
    <col min="179" max="179" width="9.28515625" bestFit="1" customWidth="1"/>
    <col min="180" max="180" width="11.42578125" bestFit="1" customWidth="1"/>
    <col min="186" max="186" width="9.28515625" bestFit="1" customWidth="1"/>
    <col min="187" max="187" width="11.42578125" bestFit="1" customWidth="1"/>
    <col min="192" max="192" width="9.85546875" bestFit="1" customWidth="1"/>
    <col min="193" max="193" width="9.28515625" bestFit="1" customWidth="1"/>
    <col min="194" max="194" width="11.42578125" bestFit="1" customWidth="1"/>
    <col min="195" max="195" width="9.28515625" bestFit="1" customWidth="1"/>
    <col min="201" max="201" width="11.140625" bestFit="1" customWidth="1"/>
    <col min="206" max="206" width="9.85546875" bestFit="1" customWidth="1"/>
    <col min="207" max="207" width="9.28515625" bestFit="1" customWidth="1"/>
    <col min="208" max="208" width="11.42578125" bestFit="1" customWidth="1"/>
    <col min="209" max="209" width="9.28515625" bestFit="1" customWidth="1"/>
    <col min="215" max="215" width="11.42578125" bestFit="1" customWidth="1"/>
    <col min="216" max="216" width="9.28515625" bestFit="1" customWidth="1"/>
    <col min="220" max="220" width="9.85546875" bestFit="1" customWidth="1"/>
    <col min="221" max="221" width="9.28515625" bestFit="1" customWidth="1"/>
    <col min="222" max="222" width="11.42578125" bestFit="1" customWidth="1"/>
    <col min="223" max="223" width="9.28515625" bestFit="1" customWidth="1"/>
    <col min="229" max="229" width="11.140625" bestFit="1" customWidth="1"/>
    <col min="234" max="234" width="9.85546875" bestFit="1" customWidth="1"/>
    <col min="235" max="235" width="9.28515625" bestFit="1" customWidth="1"/>
    <col min="236" max="236" width="11.42578125" bestFit="1" customWidth="1"/>
    <col min="237" max="237" width="9.28515625" bestFit="1" customWidth="1"/>
    <col min="242" max="242" width="9.28515625" bestFit="1" customWidth="1"/>
    <col min="243" max="243" width="11.42578125" bestFit="1" customWidth="1"/>
    <col min="244" max="244" width="9.28515625" bestFit="1" customWidth="1"/>
    <col min="250" max="250" width="11.140625" bestFit="1" customWidth="1"/>
    <col min="257" max="257" width="11.140625" bestFit="1" customWidth="1"/>
    <col min="263" max="263" width="9.28515625" bestFit="1" customWidth="1"/>
    <col min="264" max="264" width="11.42578125" bestFit="1" customWidth="1"/>
    <col min="265" max="265" width="9.28515625" bestFit="1" customWidth="1"/>
    <col min="271" max="271" width="11.140625" bestFit="1" customWidth="1"/>
    <col min="277" max="277" width="9.28515625" bestFit="1" customWidth="1"/>
    <col min="278" max="278" width="11.42578125" bestFit="1" customWidth="1"/>
    <col min="279" max="279" width="9.28515625" bestFit="1" customWidth="1"/>
    <col min="283" max="283" width="9.85546875" bestFit="1" customWidth="1"/>
    <col min="284" max="284" width="9.28515625" bestFit="1" customWidth="1"/>
    <col min="285" max="285" width="11.42578125" bestFit="1" customWidth="1"/>
    <col min="286" max="286" width="9.28515625" bestFit="1" customWidth="1"/>
  </cols>
  <sheetData>
    <row r="1" spans="1:286">
      <c r="A1" t="s">
        <v>2833</v>
      </c>
      <c r="C1" s="55">
        <v>46237</v>
      </c>
      <c r="G1" t="s">
        <v>2833</v>
      </c>
      <c r="I1" s="55">
        <v>46238</v>
      </c>
      <c r="M1" t="s">
        <v>2833</v>
      </c>
      <c r="O1" s="55">
        <v>46239</v>
      </c>
      <c r="S1" t="s">
        <v>2833</v>
      </c>
      <c r="U1" s="55">
        <v>46240</v>
      </c>
      <c r="Y1" t="s">
        <v>2833</v>
      </c>
      <c r="AA1" s="55">
        <v>46241</v>
      </c>
      <c r="AE1" t="s">
        <v>2833</v>
      </c>
      <c r="AG1" s="55">
        <v>46242</v>
      </c>
      <c r="AK1" t="s">
        <v>2833</v>
      </c>
      <c r="AM1" s="55">
        <v>46244</v>
      </c>
      <c r="AQ1" t="s">
        <v>2833</v>
      </c>
      <c r="AS1" s="55">
        <v>46245</v>
      </c>
      <c r="AW1" t="s">
        <v>2833</v>
      </c>
      <c r="AY1" s="55">
        <v>46246</v>
      </c>
      <c r="BC1" t="s">
        <v>2833</v>
      </c>
      <c r="BE1" s="55">
        <v>46247</v>
      </c>
      <c r="BI1" t="s">
        <v>2833</v>
      </c>
      <c r="BK1" s="55">
        <v>46248</v>
      </c>
      <c r="BO1" t="s">
        <v>2833</v>
      </c>
      <c r="BQ1" s="55">
        <v>46249</v>
      </c>
      <c r="BU1" t="s">
        <v>2833</v>
      </c>
      <c r="BW1" s="55">
        <v>46250</v>
      </c>
      <c r="CA1" t="s">
        <v>2833</v>
      </c>
      <c r="CC1" s="55">
        <v>46251</v>
      </c>
      <c r="CG1" t="s">
        <v>2833</v>
      </c>
      <c r="CI1" s="55">
        <v>46252</v>
      </c>
      <c r="CM1" t="s">
        <v>2833</v>
      </c>
      <c r="CO1" s="55">
        <v>46253</v>
      </c>
      <c r="CS1" t="s">
        <v>2833</v>
      </c>
      <c r="CU1" s="55">
        <v>46254</v>
      </c>
      <c r="CY1" t="s">
        <v>2833</v>
      </c>
      <c r="DA1" s="55">
        <v>46255</v>
      </c>
      <c r="DE1" t="s">
        <v>2833</v>
      </c>
      <c r="DG1" s="55">
        <v>46256</v>
      </c>
      <c r="DK1" t="s">
        <v>2833</v>
      </c>
      <c r="DM1" s="55">
        <v>46258</v>
      </c>
      <c r="DQ1" t="s">
        <v>2833</v>
      </c>
      <c r="DT1" s="55">
        <v>46265</v>
      </c>
      <c r="DX1" t="s">
        <v>2833</v>
      </c>
      <c r="EA1" s="55">
        <v>46266</v>
      </c>
      <c r="EE1" t="s">
        <v>2833</v>
      </c>
      <c r="EH1" s="55">
        <v>46267</v>
      </c>
      <c r="EL1" t="s">
        <v>2833</v>
      </c>
      <c r="EN1" s="55"/>
      <c r="EO1" s="55">
        <v>46268</v>
      </c>
      <c r="ES1" t="s">
        <v>2833</v>
      </c>
      <c r="EU1" s="55"/>
      <c r="EV1" s="55">
        <v>46269</v>
      </c>
      <c r="EZ1" t="s">
        <v>2833</v>
      </c>
      <c r="FB1" s="55"/>
      <c r="FC1" s="55">
        <v>46270</v>
      </c>
      <c r="FG1" t="s">
        <v>2833</v>
      </c>
      <c r="FI1" s="55"/>
      <c r="FJ1" s="55">
        <v>46272</v>
      </c>
      <c r="FN1" t="s">
        <v>2833</v>
      </c>
      <c r="FP1" s="55"/>
      <c r="FQ1" s="55">
        <v>46273</v>
      </c>
      <c r="FU1" t="s">
        <v>2833</v>
      </c>
      <c r="FW1" s="55"/>
      <c r="FX1" s="55">
        <v>46274</v>
      </c>
      <c r="GB1" t="s">
        <v>2833</v>
      </c>
      <c r="GD1" s="55"/>
      <c r="GE1" s="55">
        <v>46275</v>
      </c>
      <c r="GI1" t="s">
        <v>2833</v>
      </c>
      <c r="GK1" s="55"/>
      <c r="GL1" s="55">
        <v>46276</v>
      </c>
      <c r="GP1" t="s">
        <v>2833</v>
      </c>
      <c r="GR1" s="55"/>
      <c r="GS1" s="55">
        <v>46277</v>
      </c>
      <c r="GW1" t="s">
        <v>2833</v>
      </c>
      <c r="GY1" s="55"/>
      <c r="GZ1" s="55">
        <v>46279</v>
      </c>
      <c r="HD1" t="s">
        <v>2833</v>
      </c>
      <c r="HF1" s="55"/>
      <c r="HG1" s="55">
        <v>46280</v>
      </c>
      <c r="HK1" t="s">
        <v>2833</v>
      </c>
      <c r="HM1" s="55"/>
      <c r="HN1" s="55">
        <v>46282</v>
      </c>
      <c r="HR1" t="s">
        <v>2833</v>
      </c>
      <c r="HT1" s="55"/>
      <c r="HU1" s="55">
        <v>46283</v>
      </c>
      <c r="HY1" t="s">
        <v>2833</v>
      </c>
      <c r="IA1" s="55"/>
      <c r="IB1" s="55">
        <v>46286</v>
      </c>
      <c r="IF1" t="s">
        <v>2833</v>
      </c>
      <c r="IH1" s="55"/>
      <c r="II1" s="55">
        <v>46287</v>
      </c>
      <c r="IM1" t="s">
        <v>2833</v>
      </c>
      <c r="IO1" s="55"/>
      <c r="IP1" s="55">
        <v>46288</v>
      </c>
      <c r="IT1" t="s">
        <v>2833</v>
      </c>
      <c r="IV1" s="55"/>
      <c r="IW1" s="55">
        <v>46289</v>
      </c>
      <c r="JA1" t="s">
        <v>2833</v>
      </c>
      <c r="JC1" s="55"/>
      <c r="JD1" s="55">
        <v>46290</v>
      </c>
      <c r="JH1" t="s">
        <v>2833</v>
      </c>
      <c r="JJ1" s="55"/>
      <c r="JK1" s="55">
        <v>46292</v>
      </c>
      <c r="JO1" t="s">
        <v>2833</v>
      </c>
      <c r="JQ1" s="55"/>
      <c r="JR1" s="55">
        <v>46293</v>
      </c>
      <c r="JV1" t="s">
        <v>2833</v>
      </c>
      <c r="JX1" s="55"/>
      <c r="JY1" s="55">
        <v>46294</v>
      </c>
    </row>
    <row r="2" spans="1:286">
      <c r="A2" t="s">
        <v>2834</v>
      </c>
      <c r="B2" t="s">
        <v>2815</v>
      </c>
      <c r="C2" t="s">
        <v>2835</v>
      </c>
      <c r="D2" t="s">
        <v>2836</v>
      </c>
      <c r="G2" t="s">
        <v>2834</v>
      </c>
      <c r="H2" t="s">
        <v>2815</v>
      </c>
      <c r="I2" t="s">
        <v>2835</v>
      </c>
      <c r="J2" t="s">
        <v>2836</v>
      </c>
      <c r="M2" t="s">
        <v>2834</v>
      </c>
      <c r="N2" t="s">
        <v>2815</v>
      </c>
      <c r="O2" t="s">
        <v>2835</v>
      </c>
      <c r="P2" t="s">
        <v>2836</v>
      </c>
      <c r="S2" t="s">
        <v>2834</v>
      </c>
      <c r="T2" t="s">
        <v>2815</v>
      </c>
      <c r="U2" t="s">
        <v>2835</v>
      </c>
      <c r="V2" t="s">
        <v>2836</v>
      </c>
      <c r="Y2" t="s">
        <v>2834</v>
      </c>
      <c r="Z2" t="s">
        <v>2815</v>
      </c>
      <c r="AA2" t="s">
        <v>2835</v>
      </c>
      <c r="AB2" t="s">
        <v>2836</v>
      </c>
      <c r="AE2" t="s">
        <v>2834</v>
      </c>
      <c r="AF2" t="s">
        <v>2815</v>
      </c>
      <c r="AG2" t="s">
        <v>2835</v>
      </c>
      <c r="AH2" t="s">
        <v>2836</v>
      </c>
      <c r="AK2" t="s">
        <v>2834</v>
      </c>
      <c r="AL2" t="s">
        <v>2815</v>
      </c>
      <c r="AM2" t="s">
        <v>2835</v>
      </c>
      <c r="AN2" t="s">
        <v>2836</v>
      </c>
      <c r="AQ2" t="s">
        <v>2834</v>
      </c>
      <c r="AR2" t="s">
        <v>2815</v>
      </c>
      <c r="AS2" t="s">
        <v>2835</v>
      </c>
      <c r="AT2" t="s">
        <v>2836</v>
      </c>
      <c r="AW2" t="s">
        <v>2834</v>
      </c>
      <c r="AX2" t="s">
        <v>2815</v>
      </c>
      <c r="AY2" t="s">
        <v>2835</v>
      </c>
      <c r="AZ2" t="s">
        <v>2836</v>
      </c>
      <c r="BC2" t="s">
        <v>2834</v>
      </c>
      <c r="BD2" t="s">
        <v>2815</v>
      </c>
      <c r="BE2" t="s">
        <v>2835</v>
      </c>
      <c r="BF2" t="s">
        <v>2836</v>
      </c>
      <c r="BI2" t="s">
        <v>2834</v>
      </c>
      <c r="BJ2" t="s">
        <v>2815</v>
      </c>
      <c r="BK2" t="s">
        <v>2835</v>
      </c>
      <c r="BL2" t="s">
        <v>2836</v>
      </c>
      <c r="BO2" t="s">
        <v>2834</v>
      </c>
      <c r="BP2" t="s">
        <v>2815</v>
      </c>
      <c r="BQ2" t="s">
        <v>2835</v>
      </c>
      <c r="BR2" t="s">
        <v>2836</v>
      </c>
      <c r="BU2" t="s">
        <v>2834</v>
      </c>
      <c r="BV2" t="s">
        <v>2815</v>
      </c>
      <c r="BW2" t="s">
        <v>2835</v>
      </c>
      <c r="BX2" t="s">
        <v>2836</v>
      </c>
      <c r="CA2" t="s">
        <v>2834</v>
      </c>
      <c r="CB2" t="s">
        <v>2815</v>
      </c>
      <c r="CC2" t="s">
        <v>2835</v>
      </c>
      <c r="CD2" t="s">
        <v>2836</v>
      </c>
      <c r="CG2" t="s">
        <v>2834</v>
      </c>
      <c r="CH2" t="s">
        <v>2815</v>
      </c>
      <c r="CI2" t="s">
        <v>2835</v>
      </c>
      <c r="CJ2" t="s">
        <v>2836</v>
      </c>
      <c r="CM2" t="s">
        <v>2834</v>
      </c>
      <c r="CN2" t="s">
        <v>2815</v>
      </c>
      <c r="CO2" t="s">
        <v>2835</v>
      </c>
      <c r="CP2" t="s">
        <v>2836</v>
      </c>
      <c r="CS2" t="s">
        <v>2834</v>
      </c>
      <c r="CT2" t="s">
        <v>2815</v>
      </c>
      <c r="CU2" t="s">
        <v>2835</v>
      </c>
      <c r="CV2" t="s">
        <v>2836</v>
      </c>
      <c r="CY2" t="s">
        <v>2834</v>
      </c>
      <c r="CZ2" t="s">
        <v>2815</v>
      </c>
      <c r="DA2" t="s">
        <v>2835</v>
      </c>
      <c r="DB2" t="s">
        <v>2836</v>
      </c>
      <c r="DE2" t="s">
        <v>2834</v>
      </c>
      <c r="DF2" t="s">
        <v>2815</v>
      </c>
      <c r="DG2" t="s">
        <v>2835</v>
      </c>
      <c r="DH2" t="s">
        <v>2836</v>
      </c>
      <c r="DK2" t="s">
        <v>2834</v>
      </c>
      <c r="DL2" t="s">
        <v>2815</v>
      </c>
      <c r="DM2" t="s">
        <v>2835</v>
      </c>
      <c r="DN2" t="s">
        <v>2836</v>
      </c>
      <c r="DQ2" t="s">
        <v>2834</v>
      </c>
      <c r="DR2" t="s">
        <v>2815</v>
      </c>
      <c r="DS2" t="s">
        <v>2837</v>
      </c>
      <c r="DT2" t="s">
        <v>2835</v>
      </c>
      <c r="DU2" t="s">
        <v>2836</v>
      </c>
      <c r="DX2" t="s">
        <v>2834</v>
      </c>
      <c r="DY2" t="s">
        <v>2815</v>
      </c>
      <c r="DZ2" t="s">
        <v>2837</v>
      </c>
      <c r="EA2" t="s">
        <v>2835</v>
      </c>
      <c r="EB2" t="s">
        <v>2836</v>
      </c>
      <c r="EE2" t="s">
        <v>2834</v>
      </c>
      <c r="EF2" t="s">
        <v>2815</v>
      </c>
      <c r="EG2" t="s">
        <v>2837</v>
      </c>
      <c r="EH2" t="s">
        <v>2835</v>
      </c>
      <c r="EI2" t="s">
        <v>2836</v>
      </c>
      <c r="EL2" t="s">
        <v>2834</v>
      </c>
      <c r="EM2" t="s">
        <v>2815</v>
      </c>
      <c r="EN2" t="s">
        <v>2838</v>
      </c>
      <c r="EO2" t="s">
        <v>2835</v>
      </c>
      <c r="EP2" t="s">
        <v>2836</v>
      </c>
      <c r="ES2" t="s">
        <v>2834</v>
      </c>
      <c r="ET2" t="s">
        <v>2815</v>
      </c>
      <c r="EU2" t="s">
        <v>2838</v>
      </c>
      <c r="EV2" t="s">
        <v>2835</v>
      </c>
      <c r="EW2" t="s">
        <v>2836</v>
      </c>
      <c r="EZ2" t="s">
        <v>2834</v>
      </c>
      <c r="FA2" t="s">
        <v>2815</v>
      </c>
      <c r="FB2" t="s">
        <v>2838</v>
      </c>
      <c r="FC2" t="s">
        <v>2835</v>
      </c>
      <c r="FD2" t="s">
        <v>2836</v>
      </c>
      <c r="FG2" t="s">
        <v>2834</v>
      </c>
      <c r="FH2" t="s">
        <v>2815</v>
      </c>
      <c r="FI2" t="s">
        <v>2838</v>
      </c>
      <c r="FJ2" t="s">
        <v>2835</v>
      </c>
      <c r="FK2" t="s">
        <v>2836</v>
      </c>
      <c r="FN2" t="s">
        <v>2834</v>
      </c>
      <c r="FO2" t="s">
        <v>2815</v>
      </c>
      <c r="FP2" t="s">
        <v>2838</v>
      </c>
      <c r="FQ2" t="s">
        <v>2835</v>
      </c>
      <c r="FR2" t="s">
        <v>2836</v>
      </c>
      <c r="FU2" t="s">
        <v>2834</v>
      </c>
      <c r="FV2" t="s">
        <v>2815</v>
      </c>
      <c r="FW2" t="s">
        <v>2838</v>
      </c>
      <c r="FX2" t="s">
        <v>2835</v>
      </c>
      <c r="FY2" t="s">
        <v>2836</v>
      </c>
      <c r="GB2" t="s">
        <v>2834</v>
      </c>
      <c r="GC2" t="s">
        <v>2815</v>
      </c>
      <c r="GD2" t="s">
        <v>2838</v>
      </c>
      <c r="GE2" t="s">
        <v>2835</v>
      </c>
      <c r="GF2" t="s">
        <v>2836</v>
      </c>
      <c r="GI2" t="s">
        <v>2834</v>
      </c>
      <c r="GJ2" t="s">
        <v>2815</v>
      </c>
      <c r="GK2" t="s">
        <v>2838</v>
      </c>
      <c r="GL2" t="s">
        <v>2835</v>
      </c>
      <c r="GM2" t="s">
        <v>2836</v>
      </c>
      <c r="GP2" t="s">
        <v>2834</v>
      </c>
      <c r="GQ2" t="s">
        <v>2815</v>
      </c>
      <c r="GR2" t="s">
        <v>2838</v>
      </c>
      <c r="GS2" t="s">
        <v>2835</v>
      </c>
      <c r="GT2" t="s">
        <v>2836</v>
      </c>
      <c r="GW2" t="s">
        <v>2834</v>
      </c>
      <c r="GX2" t="s">
        <v>2815</v>
      </c>
      <c r="GY2" t="s">
        <v>2838</v>
      </c>
      <c r="GZ2" t="s">
        <v>2835</v>
      </c>
      <c r="HA2" t="s">
        <v>2836</v>
      </c>
      <c r="HD2" t="s">
        <v>2834</v>
      </c>
      <c r="HE2" t="s">
        <v>2815</v>
      </c>
      <c r="HF2" t="s">
        <v>2838</v>
      </c>
      <c r="HG2" t="s">
        <v>2835</v>
      </c>
      <c r="HH2" t="s">
        <v>2836</v>
      </c>
      <c r="HK2" t="s">
        <v>2834</v>
      </c>
      <c r="HL2" t="s">
        <v>2815</v>
      </c>
      <c r="HM2" t="s">
        <v>2838</v>
      </c>
      <c r="HN2" t="s">
        <v>2835</v>
      </c>
      <c r="HO2" t="s">
        <v>2836</v>
      </c>
      <c r="HR2" t="s">
        <v>2834</v>
      </c>
      <c r="HS2" t="s">
        <v>2815</v>
      </c>
      <c r="HT2" t="s">
        <v>2838</v>
      </c>
      <c r="HU2" t="s">
        <v>2835</v>
      </c>
      <c r="HV2" t="s">
        <v>2836</v>
      </c>
      <c r="HY2" t="s">
        <v>2834</v>
      </c>
      <c r="HZ2" t="s">
        <v>2815</v>
      </c>
      <c r="IA2" t="s">
        <v>2838</v>
      </c>
      <c r="IB2" t="s">
        <v>2835</v>
      </c>
      <c r="IC2" t="s">
        <v>2836</v>
      </c>
      <c r="IF2" t="s">
        <v>2834</v>
      </c>
      <c r="IG2" t="s">
        <v>2815</v>
      </c>
      <c r="IH2" t="s">
        <v>2838</v>
      </c>
      <c r="II2" t="s">
        <v>2835</v>
      </c>
      <c r="IJ2" t="s">
        <v>2836</v>
      </c>
      <c r="IM2" t="s">
        <v>2834</v>
      </c>
      <c r="IN2" t="s">
        <v>2815</v>
      </c>
      <c r="IO2" t="s">
        <v>2838</v>
      </c>
      <c r="IP2" t="s">
        <v>2835</v>
      </c>
      <c r="IQ2" t="s">
        <v>2836</v>
      </c>
      <c r="IT2" t="s">
        <v>2834</v>
      </c>
      <c r="IU2" t="s">
        <v>2815</v>
      </c>
      <c r="IV2" t="s">
        <v>2838</v>
      </c>
      <c r="IW2" t="s">
        <v>2835</v>
      </c>
      <c r="IX2" t="s">
        <v>2836</v>
      </c>
      <c r="JA2" t="s">
        <v>2834</v>
      </c>
      <c r="JB2" t="s">
        <v>2815</v>
      </c>
      <c r="JC2" t="s">
        <v>2838</v>
      </c>
      <c r="JD2" t="s">
        <v>2835</v>
      </c>
      <c r="JE2" t="s">
        <v>2836</v>
      </c>
      <c r="JH2" t="s">
        <v>2834</v>
      </c>
      <c r="JI2" t="s">
        <v>2815</v>
      </c>
      <c r="JJ2" t="s">
        <v>2838</v>
      </c>
      <c r="JK2" t="s">
        <v>2835</v>
      </c>
      <c r="JL2" t="s">
        <v>2836</v>
      </c>
      <c r="JO2" t="s">
        <v>2834</v>
      </c>
      <c r="JP2" t="s">
        <v>2815</v>
      </c>
      <c r="JQ2" t="s">
        <v>2838</v>
      </c>
      <c r="JR2" t="s">
        <v>2835</v>
      </c>
      <c r="JS2" t="s">
        <v>2836</v>
      </c>
      <c r="JV2" t="s">
        <v>2834</v>
      </c>
      <c r="JW2" t="s">
        <v>2815</v>
      </c>
      <c r="JX2" t="s">
        <v>2838</v>
      </c>
      <c r="JY2" t="s">
        <v>2835</v>
      </c>
      <c r="JZ2" t="s">
        <v>2836</v>
      </c>
    </row>
    <row r="3" spans="1:286">
      <c r="A3" t="s">
        <v>2839</v>
      </c>
      <c r="B3">
        <v>23298744</v>
      </c>
      <c r="C3" s="51">
        <v>0.5444444444444444</v>
      </c>
      <c r="D3" s="51">
        <v>0.54652777777777772</v>
      </c>
      <c r="G3" t="s">
        <v>2839</v>
      </c>
      <c r="H3">
        <v>23352780</v>
      </c>
      <c r="I3" s="51">
        <v>0.45</v>
      </c>
      <c r="J3" s="51">
        <v>0.45069444444444445</v>
      </c>
      <c r="M3" t="s">
        <v>2839</v>
      </c>
      <c r="N3">
        <v>23376448</v>
      </c>
      <c r="O3" s="51">
        <v>0.40208333333333335</v>
      </c>
      <c r="P3" s="51">
        <v>0.40416666666666667</v>
      </c>
      <c r="S3" t="s">
        <v>2839</v>
      </c>
      <c r="T3">
        <v>23408734</v>
      </c>
      <c r="U3" s="51">
        <v>0.3923611111111111</v>
      </c>
      <c r="V3" s="51">
        <v>0.39444444444444443</v>
      </c>
      <c r="Y3" t="s">
        <v>2840</v>
      </c>
      <c r="Z3">
        <v>23435326</v>
      </c>
      <c r="AA3" s="51">
        <v>0.39652777777777776</v>
      </c>
      <c r="AB3" s="51">
        <v>0.3972222222222222</v>
      </c>
      <c r="AE3" t="s">
        <v>2840</v>
      </c>
      <c r="AF3">
        <v>23461252</v>
      </c>
      <c r="AG3" s="51">
        <v>0.39791666666666664</v>
      </c>
      <c r="AH3" s="51">
        <v>0.39930555555555558</v>
      </c>
      <c r="AK3" t="s">
        <v>2840</v>
      </c>
      <c r="AL3">
        <v>23490340</v>
      </c>
      <c r="AM3" s="51">
        <v>0.41180555555555554</v>
      </c>
      <c r="AN3" s="51">
        <v>0.41319444444444442</v>
      </c>
      <c r="AQ3" t="s">
        <v>2841</v>
      </c>
      <c r="AR3">
        <v>23525578</v>
      </c>
      <c r="AS3" s="51">
        <v>0.43055555555555558</v>
      </c>
      <c r="AT3" s="51">
        <v>0.43958333333333333</v>
      </c>
      <c r="AW3" t="s">
        <v>2842</v>
      </c>
      <c r="AX3">
        <v>23552710</v>
      </c>
      <c r="AY3" s="51">
        <v>0.40347222222222223</v>
      </c>
      <c r="AZ3" s="51">
        <v>0.40972222222222221</v>
      </c>
      <c r="BC3" t="s">
        <v>2843</v>
      </c>
      <c r="BD3">
        <v>23581752</v>
      </c>
      <c r="BE3" s="51">
        <v>0.40069444444444446</v>
      </c>
      <c r="BF3" s="51">
        <v>0.40555555555555556</v>
      </c>
      <c r="BI3" t="s">
        <v>2842</v>
      </c>
      <c r="BJ3">
        <v>23615044</v>
      </c>
      <c r="BK3" s="51">
        <v>0.40138888888888891</v>
      </c>
      <c r="BL3" s="51">
        <v>0.40555555555555556</v>
      </c>
      <c r="BO3" t="s">
        <v>2844</v>
      </c>
      <c r="BP3">
        <v>23648218</v>
      </c>
      <c r="BQ3" s="51">
        <v>0.3888888888888889</v>
      </c>
      <c r="BR3" s="51">
        <v>0.39652777777777776</v>
      </c>
      <c r="BU3" t="s">
        <v>2845</v>
      </c>
      <c r="BV3">
        <v>23657810</v>
      </c>
      <c r="BW3" s="51">
        <v>0.59236111111111112</v>
      </c>
      <c r="BX3" s="51">
        <v>0.62083333333333335</v>
      </c>
      <c r="CA3" t="s">
        <v>2840</v>
      </c>
      <c r="CB3">
        <v>23677584</v>
      </c>
      <c r="CC3" s="51">
        <v>0.42083333333333334</v>
      </c>
      <c r="CD3" s="51">
        <v>0.42152777777777778</v>
      </c>
      <c r="CG3" t="s">
        <v>2843</v>
      </c>
      <c r="CH3">
        <v>23708962</v>
      </c>
      <c r="CI3" s="51">
        <v>0.40069444444444446</v>
      </c>
      <c r="CJ3" s="51">
        <v>0.40277777777777779</v>
      </c>
      <c r="CL3" s="172" t="s">
        <v>2846</v>
      </c>
      <c r="CM3" t="s">
        <v>2847</v>
      </c>
      <c r="CN3">
        <v>23756661</v>
      </c>
      <c r="CO3" s="51">
        <v>0.47083333333333333</v>
      </c>
      <c r="CP3" s="51">
        <v>0.47916666666666669</v>
      </c>
      <c r="CR3" s="172" t="s">
        <v>2846</v>
      </c>
      <c r="CS3" t="s">
        <v>2847</v>
      </c>
      <c r="CT3">
        <v>23766352</v>
      </c>
      <c r="CU3" s="51">
        <v>0.3888888888888889</v>
      </c>
      <c r="CV3" s="51">
        <v>0.40069444444444446</v>
      </c>
      <c r="CX3" s="172" t="s">
        <v>2846</v>
      </c>
      <c r="CY3" t="s">
        <v>2848</v>
      </c>
      <c r="CZ3">
        <v>23737228</v>
      </c>
      <c r="DA3" s="51">
        <v>0.44513888888888886</v>
      </c>
      <c r="DB3" s="51">
        <v>0.4465277777777778</v>
      </c>
      <c r="DD3" s="172" t="s">
        <v>2846</v>
      </c>
      <c r="DE3" t="s">
        <v>2849</v>
      </c>
      <c r="DF3">
        <v>23673046</v>
      </c>
      <c r="DG3" s="51">
        <v>0.56388888888888888</v>
      </c>
      <c r="DH3" s="51">
        <v>0.56666666666666665</v>
      </c>
      <c r="DJ3" s="172" t="s">
        <v>2846</v>
      </c>
      <c r="DK3" t="s">
        <v>2840</v>
      </c>
      <c r="DL3">
        <v>23812196</v>
      </c>
      <c r="DM3" s="51">
        <v>0.40833333333333333</v>
      </c>
      <c r="DN3" s="51">
        <v>0.40972222222222221</v>
      </c>
      <c r="DP3" s="172" t="s">
        <v>2846</v>
      </c>
      <c r="DQ3" t="s">
        <v>2840</v>
      </c>
      <c r="DR3">
        <v>24117438</v>
      </c>
      <c r="DS3" s="51">
        <v>0.40625</v>
      </c>
      <c r="DT3" s="51">
        <v>0.41736111111111113</v>
      </c>
      <c r="DU3" s="51">
        <v>0.41805555555555557</v>
      </c>
      <c r="DW3" s="172" t="s">
        <v>2846</v>
      </c>
      <c r="DX3" t="s">
        <v>2843</v>
      </c>
      <c r="DY3">
        <v>24153432</v>
      </c>
      <c r="DZ3" s="51">
        <v>0.4375</v>
      </c>
      <c r="EA3" s="51">
        <v>0.44097222222222221</v>
      </c>
      <c r="EB3" s="51">
        <v>0.44305555555555554</v>
      </c>
      <c r="ED3" s="172" t="s">
        <v>2846</v>
      </c>
      <c r="EE3" t="s">
        <v>2850</v>
      </c>
      <c r="EF3">
        <v>24151366</v>
      </c>
      <c r="EG3" s="51">
        <v>0.43958333333333333</v>
      </c>
      <c r="EH3" s="51">
        <v>0.44305555555555554</v>
      </c>
      <c r="EI3" s="51">
        <v>0.45</v>
      </c>
      <c r="EK3" s="172" t="s">
        <v>2846</v>
      </c>
      <c r="EL3" t="s">
        <v>2851</v>
      </c>
      <c r="EM3">
        <v>24209764</v>
      </c>
      <c r="EN3" s="51">
        <v>0.45</v>
      </c>
      <c r="EO3" s="51">
        <v>0.45347222222222222</v>
      </c>
      <c r="EP3" s="51">
        <v>0.46041666666666664</v>
      </c>
      <c r="ES3" t="s">
        <v>39</v>
      </c>
      <c r="ET3">
        <v>24223350</v>
      </c>
      <c r="EU3" s="51">
        <v>0.39861111111111114</v>
      </c>
      <c r="EV3" s="51">
        <v>0.40833333333333333</v>
      </c>
      <c r="EW3" s="51">
        <v>0.41041666666666665</v>
      </c>
      <c r="EZ3" t="s">
        <v>1091</v>
      </c>
      <c r="FA3">
        <v>24254260</v>
      </c>
      <c r="FB3" s="51">
        <v>0.78819444444444442</v>
      </c>
      <c r="FC3" s="51">
        <v>0.4375</v>
      </c>
      <c r="FD3" s="51">
        <v>0.43888888888888888</v>
      </c>
      <c r="FG3" t="s">
        <v>35</v>
      </c>
      <c r="FH3">
        <v>24257186</v>
      </c>
      <c r="FI3" s="51">
        <v>0.38819444444444445</v>
      </c>
      <c r="FJ3" s="51">
        <v>0.41736111111111113</v>
      </c>
      <c r="FK3" s="51">
        <v>0.41805555555555557</v>
      </c>
      <c r="FN3" t="s">
        <v>39</v>
      </c>
      <c r="FO3">
        <v>24314542</v>
      </c>
      <c r="FP3" s="51">
        <v>0.40069444444444446</v>
      </c>
      <c r="FQ3" s="51">
        <v>0.40347222222222223</v>
      </c>
      <c r="FR3" s="51">
        <v>0.40486111111111112</v>
      </c>
      <c r="FU3" t="s">
        <v>1080</v>
      </c>
      <c r="FV3">
        <v>24328262</v>
      </c>
      <c r="FW3" s="51">
        <v>0.35833333333333334</v>
      </c>
      <c r="FX3" s="51">
        <v>0.40486111111111112</v>
      </c>
      <c r="FY3" s="51">
        <v>0.41180555555555554</v>
      </c>
      <c r="GB3" t="s">
        <v>90</v>
      </c>
      <c r="GC3">
        <v>24372336</v>
      </c>
      <c r="GD3" s="51">
        <v>0.49513888888888891</v>
      </c>
      <c r="GE3" s="51">
        <v>0.50624999999999998</v>
      </c>
      <c r="GF3" s="51">
        <v>0.50694444444444442</v>
      </c>
      <c r="GI3" t="s">
        <v>266</v>
      </c>
      <c r="GJ3">
        <v>24383414</v>
      </c>
      <c r="GK3" s="51">
        <v>0.41805555555555557</v>
      </c>
      <c r="GL3" s="51">
        <v>0.42708333333333331</v>
      </c>
      <c r="GM3" s="51">
        <v>0.4284722222222222</v>
      </c>
      <c r="GP3" t="s">
        <v>358</v>
      </c>
      <c r="GQ3">
        <v>24393582</v>
      </c>
      <c r="GR3" s="51">
        <v>0.35902777777777778</v>
      </c>
      <c r="GS3" s="51">
        <v>0.36319444444444443</v>
      </c>
      <c r="GT3" s="51">
        <v>0.36388888888888887</v>
      </c>
      <c r="GW3" t="s">
        <v>1808</v>
      </c>
      <c r="GX3">
        <v>24424018</v>
      </c>
      <c r="GY3" s="51">
        <v>0.37777777777777777</v>
      </c>
      <c r="GZ3" s="51">
        <v>0.39166666666666666</v>
      </c>
      <c r="HA3" s="51">
        <v>0.39305555555555555</v>
      </c>
      <c r="HD3" t="s">
        <v>2059</v>
      </c>
      <c r="HE3">
        <v>24433794</v>
      </c>
      <c r="HF3" s="51">
        <v>0.40208333333333335</v>
      </c>
      <c r="HG3" s="51">
        <v>0.41597222222222224</v>
      </c>
      <c r="HH3" s="51">
        <v>0.44374999999999998</v>
      </c>
      <c r="HK3" t="s">
        <v>1091</v>
      </c>
      <c r="HL3">
        <v>24490714</v>
      </c>
      <c r="HM3" s="51">
        <v>0.33888888888888891</v>
      </c>
      <c r="HN3" s="51">
        <v>0.34305555555555556</v>
      </c>
      <c r="HO3" s="51">
        <v>0.34375</v>
      </c>
      <c r="HR3" t="s">
        <v>1946</v>
      </c>
      <c r="HS3">
        <v>24283370</v>
      </c>
      <c r="HT3" s="51">
        <v>0.39513888888888887</v>
      </c>
      <c r="HU3" s="51">
        <v>0.40347222222222223</v>
      </c>
      <c r="HV3" s="51">
        <v>0.41597222222222224</v>
      </c>
      <c r="HY3" t="s">
        <v>28</v>
      </c>
      <c r="HZ3">
        <v>24150820</v>
      </c>
      <c r="IA3" s="51">
        <v>0.44444444444444442</v>
      </c>
      <c r="IB3" s="51">
        <v>0.45555555555555555</v>
      </c>
      <c r="IC3" s="51">
        <v>0.45763888888888887</v>
      </c>
      <c r="IF3" t="s">
        <v>62</v>
      </c>
      <c r="IG3">
        <v>24680220</v>
      </c>
      <c r="IH3" s="51">
        <v>0.36180555555555555</v>
      </c>
      <c r="II3" s="51">
        <v>0.36319444444444443</v>
      </c>
      <c r="IJ3" s="51">
        <v>0.36458333333333331</v>
      </c>
      <c r="IM3" t="s">
        <v>39</v>
      </c>
      <c r="IN3">
        <v>24749710</v>
      </c>
      <c r="IO3" s="51">
        <v>0.39513888888888887</v>
      </c>
      <c r="IP3" s="51">
        <v>0.39791666666666664</v>
      </c>
      <c r="IQ3" s="51">
        <v>0.41388888888888886</v>
      </c>
      <c r="IT3" t="s">
        <v>1091</v>
      </c>
      <c r="IU3">
        <v>24800070</v>
      </c>
      <c r="IV3" s="51">
        <v>0.60555555555555551</v>
      </c>
      <c r="IW3" s="51">
        <v>0.61388888888888893</v>
      </c>
      <c r="IX3" s="51">
        <v>0.61527777777777781</v>
      </c>
      <c r="JA3" t="s">
        <v>830</v>
      </c>
      <c r="JB3">
        <v>24832784</v>
      </c>
      <c r="JC3" s="51">
        <v>0.44097222222222221</v>
      </c>
      <c r="JD3" s="51">
        <v>0.44305555555555554</v>
      </c>
      <c r="JE3" s="51">
        <v>0.45</v>
      </c>
      <c r="JH3" t="s">
        <v>2827</v>
      </c>
      <c r="JI3">
        <v>24747080</v>
      </c>
      <c r="JJ3" s="51">
        <v>0.63402777777777775</v>
      </c>
      <c r="JK3" s="51">
        <v>0.63680555555555551</v>
      </c>
      <c r="JL3" t="s">
        <v>1966</v>
      </c>
      <c r="JO3" t="s">
        <v>830</v>
      </c>
      <c r="JP3">
        <v>24855346</v>
      </c>
      <c r="JQ3" s="51">
        <v>0.43125000000000002</v>
      </c>
      <c r="JR3" s="51">
        <v>0.44236111111111109</v>
      </c>
      <c r="JS3" s="51">
        <v>0.47152777777777777</v>
      </c>
      <c r="JV3" t="s">
        <v>2179</v>
      </c>
      <c r="JW3">
        <v>24901938</v>
      </c>
      <c r="JX3" s="51">
        <v>0.35972222222222222</v>
      </c>
      <c r="JY3" s="51">
        <v>0.36041666666666666</v>
      </c>
      <c r="JZ3" s="51">
        <v>0.36180555555555555</v>
      </c>
    </row>
    <row r="4" spans="1:286">
      <c r="A4" t="s">
        <v>2839</v>
      </c>
      <c r="B4">
        <v>23300706</v>
      </c>
      <c r="C4" s="51">
        <v>0.54791666666666672</v>
      </c>
      <c r="D4" s="51">
        <v>0.54861111111111116</v>
      </c>
      <c r="G4" t="s">
        <v>2849</v>
      </c>
      <c r="H4">
        <v>23353384</v>
      </c>
      <c r="I4" s="51">
        <v>0.4548611111111111</v>
      </c>
      <c r="J4" s="51">
        <v>0.45833333333333331</v>
      </c>
      <c r="M4" t="s">
        <v>2849</v>
      </c>
      <c r="N4">
        <v>23377394</v>
      </c>
      <c r="O4" s="51">
        <v>0.40555555555555556</v>
      </c>
      <c r="P4" s="51">
        <v>0.41111111111111109</v>
      </c>
      <c r="S4" t="s">
        <v>2843</v>
      </c>
      <c r="T4">
        <v>23409174</v>
      </c>
      <c r="U4" s="51">
        <v>0.39374999999999999</v>
      </c>
      <c r="V4" s="51">
        <v>0.39861111111111114</v>
      </c>
      <c r="Y4" t="s">
        <v>2852</v>
      </c>
      <c r="Z4">
        <v>23436306</v>
      </c>
      <c r="AA4" s="51">
        <v>0.40486111111111112</v>
      </c>
      <c r="AB4" s="51">
        <v>0.40694444444444444</v>
      </c>
      <c r="AE4" t="s">
        <v>2852</v>
      </c>
      <c r="AF4">
        <v>23461636</v>
      </c>
      <c r="AG4" s="51">
        <v>0.40277777777777779</v>
      </c>
      <c r="AH4" s="51">
        <v>0.40555555555555556</v>
      </c>
      <c r="AK4" t="s">
        <v>2843</v>
      </c>
      <c r="AL4">
        <v>23494530</v>
      </c>
      <c r="AM4" s="51">
        <v>0.41458333333333336</v>
      </c>
      <c r="AN4" s="51">
        <v>0.41597222222222224</v>
      </c>
      <c r="AQ4" t="s">
        <v>2840</v>
      </c>
      <c r="AR4">
        <v>23527758</v>
      </c>
      <c r="AS4" s="51">
        <v>0.43333333333333335</v>
      </c>
      <c r="AT4" s="51">
        <v>0.43472222222222223</v>
      </c>
      <c r="AW4" t="s">
        <v>2841</v>
      </c>
      <c r="AX4">
        <v>23567382</v>
      </c>
      <c r="AY4" s="51">
        <v>0.40694444444444444</v>
      </c>
      <c r="AZ4" s="51">
        <v>0.41319444444444442</v>
      </c>
      <c r="BC4" t="s">
        <v>2853</v>
      </c>
      <c r="BD4">
        <v>23581914</v>
      </c>
      <c r="BE4" s="51">
        <v>0.40277777777777779</v>
      </c>
      <c r="BF4" s="51">
        <v>0.40416666666666667</v>
      </c>
      <c r="BI4" t="s">
        <v>2853</v>
      </c>
      <c r="BJ4">
        <v>23615376</v>
      </c>
      <c r="BK4" s="51">
        <v>0.40625</v>
      </c>
      <c r="BL4" s="51">
        <v>0.40763888888888888</v>
      </c>
      <c r="BO4" t="s">
        <v>2844</v>
      </c>
      <c r="BP4">
        <v>23652612</v>
      </c>
      <c r="BQ4" s="51">
        <v>0.4</v>
      </c>
      <c r="BR4" s="51">
        <v>0.40972222222222221</v>
      </c>
      <c r="BU4" t="s">
        <v>2841</v>
      </c>
      <c r="BV4">
        <v>23613822</v>
      </c>
      <c r="BW4" s="51">
        <v>0.67291666666666672</v>
      </c>
      <c r="BX4" s="51">
        <v>0.6743055555555556</v>
      </c>
      <c r="CA4" t="s">
        <v>2843</v>
      </c>
      <c r="CB4">
        <v>23679708</v>
      </c>
      <c r="CC4" s="51">
        <v>0.42222222222222222</v>
      </c>
      <c r="CD4" s="51">
        <v>0.4236111111111111</v>
      </c>
      <c r="CG4" t="s">
        <v>2843</v>
      </c>
      <c r="CH4">
        <v>23708740</v>
      </c>
      <c r="CI4" s="51">
        <v>0.40208333333333335</v>
      </c>
      <c r="CJ4" s="51">
        <v>0.40347222222222223</v>
      </c>
      <c r="CL4" s="172" t="s">
        <v>2846</v>
      </c>
      <c r="CM4" t="s">
        <v>2848</v>
      </c>
      <c r="CN4">
        <v>23706370</v>
      </c>
      <c r="CO4" s="51">
        <v>0.47986111111111113</v>
      </c>
      <c r="CP4" s="51">
        <v>0.48125000000000001</v>
      </c>
      <c r="CR4" s="172" t="s">
        <v>2846</v>
      </c>
      <c r="CS4" t="s">
        <v>2848</v>
      </c>
      <c r="CT4">
        <v>23775160</v>
      </c>
      <c r="CU4" s="51">
        <v>0.44305555555555554</v>
      </c>
      <c r="CV4" s="51">
        <v>0.44444444444444442</v>
      </c>
      <c r="CX4" s="172" t="s">
        <v>2846</v>
      </c>
      <c r="CY4" t="s">
        <v>2850</v>
      </c>
      <c r="CZ4">
        <v>23774532</v>
      </c>
      <c r="DA4" s="51">
        <v>0.4513888888888889</v>
      </c>
      <c r="DB4" s="51">
        <v>0.45694444444444443</v>
      </c>
      <c r="DP4" s="172" t="s">
        <v>2846</v>
      </c>
      <c r="DQ4" t="s">
        <v>2853</v>
      </c>
      <c r="DR4">
        <v>24114178</v>
      </c>
      <c r="DS4" s="51">
        <v>0.5444444444444444</v>
      </c>
      <c r="DT4" s="51">
        <v>0.54583333333333328</v>
      </c>
      <c r="DU4" s="51">
        <v>0.54722222222222228</v>
      </c>
      <c r="DW4" s="172" t="s">
        <v>2846</v>
      </c>
      <c r="DX4" t="s">
        <v>2839</v>
      </c>
      <c r="DY4">
        <v>24130534</v>
      </c>
      <c r="DZ4" s="51">
        <v>0.47013888888888888</v>
      </c>
      <c r="EA4" s="51">
        <v>0.47430555555555554</v>
      </c>
      <c r="EB4" s="51">
        <v>0.47499999999999998</v>
      </c>
      <c r="ED4" s="172" t="s">
        <v>2846</v>
      </c>
      <c r="EE4" t="s">
        <v>2854</v>
      </c>
      <c r="EF4">
        <v>23261044</v>
      </c>
      <c r="EG4" s="51">
        <v>0.44444444444444442</v>
      </c>
      <c r="EH4" s="51">
        <v>0.44722222222222224</v>
      </c>
      <c r="EI4" s="51">
        <v>0.45694444444444443</v>
      </c>
      <c r="EK4" s="172" t="s">
        <v>2846</v>
      </c>
      <c r="EL4" t="s">
        <v>2855</v>
      </c>
      <c r="EM4">
        <v>24215758</v>
      </c>
      <c r="EN4" s="51">
        <v>0.4513888888888889</v>
      </c>
      <c r="EO4" s="51">
        <v>0.4548611111111111</v>
      </c>
      <c r="EP4" s="51">
        <v>0.45833333333333331</v>
      </c>
      <c r="ES4" t="s">
        <v>39</v>
      </c>
      <c r="ET4">
        <v>24214946</v>
      </c>
      <c r="EU4" s="51">
        <v>0.43611111111111112</v>
      </c>
      <c r="EV4" s="51">
        <v>0.44027777777777777</v>
      </c>
      <c r="EW4" s="51">
        <v>0.44374999999999998</v>
      </c>
      <c r="EZ4" t="s">
        <v>35</v>
      </c>
      <c r="FA4">
        <v>24255814</v>
      </c>
      <c r="FB4" s="51">
        <v>0.46736111111111112</v>
      </c>
      <c r="FC4" s="51">
        <v>0.47013888888888888</v>
      </c>
      <c r="FD4" s="51">
        <v>0.47916666666666669</v>
      </c>
      <c r="FG4" t="s">
        <v>266</v>
      </c>
      <c r="FH4">
        <v>24267112</v>
      </c>
      <c r="FI4" s="51">
        <v>0.41319444444444442</v>
      </c>
      <c r="FJ4" s="51">
        <v>0.42083333333333334</v>
      </c>
      <c r="FK4" s="51">
        <v>0.42430555555555555</v>
      </c>
      <c r="FN4" t="s">
        <v>271</v>
      </c>
      <c r="FO4">
        <v>24302978</v>
      </c>
      <c r="FP4" s="51">
        <v>0.77500000000000002</v>
      </c>
      <c r="FQ4" s="51">
        <v>0.40486111111111112</v>
      </c>
      <c r="FR4" s="51">
        <v>0.41249999999999998</v>
      </c>
      <c r="FU4" t="s">
        <v>62</v>
      </c>
      <c r="FV4">
        <v>24332524</v>
      </c>
      <c r="FW4" s="51">
        <v>0.38124999999999998</v>
      </c>
      <c r="FX4" s="51">
        <v>0.40416666666666667</v>
      </c>
      <c r="FY4" s="51">
        <v>0.40486111111111112</v>
      </c>
      <c r="FZ4" s="51"/>
      <c r="GB4" t="s">
        <v>266</v>
      </c>
      <c r="GC4">
        <v>24359330</v>
      </c>
      <c r="GD4" s="51">
        <v>0.5</v>
      </c>
      <c r="GE4" s="51">
        <v>0.50208333333333333</v>
      </c>
      <c r="GF4" s="51">
        <v>0.50416666666666665</v>
      </c>
      <c r="GI4" t="s">
        <v>271</v>
      </c>
      <c r="GJ4">
        <v>24395670</v>
      </c>
      <c r="GK4" s="51">
        <v>0.42499999999999999</v>
      </c>
      <c r="GL4" s="51">
        <v>0.42916666666666664</v>
      </c>
      <c r="GM4" s="51">
        <v>0.43402777777777779</v>
      </c>
      <c r="GP4" t="s">
        <v>358</v>
      </c>
      <c r="GQ4">
        <v>24409818</v>
      </c>
      <c r="GR4" s="51">
        <v>0.4548611111111111</v>
      </c>
      <c r="GS4" s="51">
        <v>0.79027777777777775</v>
      </c>
      <c r="GT4" s="51">
        <v>0.45833333333333331</v>
      </c>
      <c r="GW4" t="s">
        <v>1910</v>
      </c>
      <c r="GX4">
        <v>24428180</v>
      </c>
      <c r="GY4" s="51">
        <v>0.37708333333333333</v>
      </c>
      <c r="GZ4" s="51">
        <v>0.39097222222222222</v>
      </c>
      <c r="HA4" s="51">
        <v>0.39305555555555555</v>
      </c>
      <c r="HD4" t="s">
        <v>39</v>
      </c>
      <c r="HE4">
        <v>24371460</v>
      </c>
      <c r="HF4" s="51">
        <v>0.45208333333333334</v>
      </c>
      <c r="HG4" s="51">
        <v>0.45694444444444443</v>
      </c>
      <c r="HH4" s="51">
        <v>0.46666666666666667</v>
      </c>
      <c r="HK4" t="s">
        <v>886</v>
      </c>
      <c r="HL4">
        <v>24488246</v>
      </c>
      <c r="HM4" s="51">
        <v>0.34583333333333333</v>
      </c>
      <c r="HN4" s="51">
        <v>0.3527777777777778</v>
      </c>
      <c r="HO4" s="51">
        <v>0.36388888888888887</v>
      </c>
      <c r="HR4" t="s">
        <v>266</v>
      </c>
      <c r="HS4">
        <v>24562834</v>
      </c>
      <c r="HT4" s="51">
        <v>0.43472222222222223</v>
      </c>
      <c r="HU4" s="51">
        <v>0.43680555555555556</v>
      </c>
      <c r="HV4" s="51">
        <v>0.43888888888888888</v>
      </c>
      <c r="HY4" t="s">
        <v>266</v>
      </c>
      <c r="HZ4">
        <v>24662326</v>
      </c>
      <c r="IA4" s="51">
        <v>0.35625000000000001</v>
      </c>
      <c r="IB4" s="51">
        <v>0.36249999999999999</v>
      </c>
      <c r="IC4" s="51">
        <v>0.36319444444444443</v>
      </c>
      <c r="IF4" t="s">
        <v>95</v>
      </c>
      <c r="IG4">
        <v>24737898</v>
      </c>
      <c r="IH4" s="51">
        <v>0.42222222222222222</v>
      </c>
      <c r="II4" s="51">
        <v>0.42569444444444443</v>
      </c>
      <c r="IJ4" s="51">
        <v>0.43541666666666667</v>
      </c>
      <c r="IM4" t="s">
        <v>39</v>
      </c>
      <c r="IN4">
        <v>24708476</v>
      </c>
      <c r="IO4" s="51">
        <v>0.45277777777777778</v>
      </c>
      <c r="IP4" s="51">
        <v>0.4548611111111111</v>
      </c>
      <c r="IQ4" s="51">
        <v>0.45624999999999999</v>
      </c>
      <c r="IT4" t="s">
        <v>327</v>
      </c>
      <c r="IU4">
        <v>24802282</v>
      </c>
      <c r="IV4" s="51">
        <v>0.6069444444444444</v>
      </c>
      <c r="IW4" s="51">
        <v>0.61875000000000002</v>
      </c>
      <c r="IX4" s="51">
        <v>0.62916666666666665</v>
      </c>
      <c r="JA4" t="s">
        <v>39</v>
      </c>
      <c r="JB4">
        <v>24268712</v>
      </c>
      <c r="JC4" s="51">
        <v>0.52013888888888893</v>
      </c>
      <c r="JD4" s="51">
        <v>0.52152777777777781</v>
      </c>
      <c r="JE4" s="51">
        <v>0.52708333333333335</v>
      </c>
      <c r="JH4" t="s">
        <v>2582</v>
      </c>
      <c r="JI4">
        <v>24855266</v>
      </c>
      <c r="JJ4" s="51">
        <v>0.64236111111111116</v>
      </c>
      <c r="JK4" s="51">
        <v>0.64444444444444449</v>
      </c>
      <c r="JL4" s="51">
        <v>0.65138888888888891</v>
      </c>
      <c r="JO4" t="s">
        <v>1946</v>
      </c>
      <c r="JP4">
        <v>24868248</v>
      </c>
      <c r="JQ4" s="51">
        <v>0.35069444444444442</v>
      </c>
      <c r="JR4" s="51">
        <v>0.35555555555555557</v>
      </c>
      <c r="JS4" s="51">
        <v>0.37013888888888891</v>
      </c>
      <c r="JV4" t="s">
        <v>28</v>
      </c>
      <c r="JW4">
        <v>24814862</v>
      </c>
      <c r="JY4" s="51">
        <v>0.44374999999999998</v>
      </c>
      <c r="JZ4" s="51">
        <v>0.44444444444444442</v>
      </c>
    </row>
    <row r="5" spans="1:286">
      <c r="A5" t="s">
        <v>2843</v>
      </c>
      <c r="B5">
        <v>23301606</v>
      </c>
      <c r="C5" s="51">
        <v>0.54652777777777772</v>
      </c>
      <c r="D5" s="51">
        <v>0.55000000000000004</v>
      </c>
      <c r="G5" t="s">
        <v>2849</v>
      </c>
      <c r="H5">
        <v>23353032</v>
      </c>
      <c r="I5" s="51">
        <v>0.46805555555555556</v>
      </c>
      <c r="J5" s="51">
        <v>0.47083333333333333</v>
      </c>
      <c r="M5" t="s">
        <v>2854</v>
      </c>
      <c r="N5">
        <v>23377656</v>
      </c>
      <c r="O5" s="51">
        <v>0.41180555555555554</v>
      </c>
      <c r="P5" s="51">
        <v>0.41319444444444442</v>
      </c>
      <c r="S5" t="s">
        <v>2852</v>
      </c>
      <c r="T5">
        <v>23409884</v>
      </c>
      <c r="U5" s="51">
        <v>0.39583333333333331</v>
      </c>
      <c r="V5" s="51">
        <v>0.39791666666666664</v>
      </c>
      <c r="Y5" t="s">
        <v>2841</v>
      </c>
      <c r="Z5">
        <v>23436420</v>
      </c>
      <c r="AA5" s="51">
        <v>0.41249999999999998</v>
      </c>
      <c r="AB5" s="51">
        <v>0.41458333333333336</v>
      </c>
      <c r="AE5" t="s">
        <v>2854</v>
      </c>
      <c r="AF5">
        <v>23461806</v>
      </c>
      <c r="AG5" s="51">
        <v>0.40694444444444444</v>
      </c>
      <c r="AH5" s="51">
        <v>0.41041666666666665</v>
      </c>
      <c r="AK5" t="s">
        <v>2841</v>
      </c>
      <c r="AL5">
        <v>23475308</v>
      </c>
      <c r="AM5" s="51">
        <v>0.4201388888888889</v>
      </c>
      <c r="AN5" s="51">
        <v>0.42430555555555555</v>
      </c>
      <c r="AQ5" t="s">
        <v>2843</v>
      </c>
      <c r="AR5">
        <v>23527266</v>
      </c>
      <c r="AS5" s="51">
        <v>0.43611111111111112</v>
      </c>
      <c r="AT5" s="51">
        <v>0.4375</v>
      </c>
      <c r="AW5" t="s">
        <v>2853</v>
      </c>
      <c r="AX5">
        <v>23564056</v>
      </c>
      <c r="AY5" s="51">
        <v>0.41388888888888886</v>
      </c>
      <c r="AZ5" s="51">
        <v>0.41597222222222224</v>
      </c>
      <c r="BC5" t="s">
        <v>2842</v>
      </c>
      <c r="BD5">
        <v>23596692</v>
      </c>
      <c r="BE5" s="51">
        <v>0.40486111111111112</v>
      </c>
      <c r="BF5" s="51">
        <v>0.40625</v>
      </c>
      <c r="BI5" t="s">
        <v>2839</v>
      </c>
      <c r="BJ5">
        <v>23615368</v>
      </c>
      <c r="BK5" s="51">
        <v>0.41388888888888886</v>
      </c>
      <c r="BL5" s="51">
        <v>0.41736111111111113</v>
      </c>
      <c r="BO5" t="s">
        <v>2856</v>
      </c>
      <c r="BP5">
        <v>23646300</v>
      </c>
      <c r="BQ5" s="51">
        <v>0.40694444444444444</v>
      </c>
      <c r="BR5" s="51">
        <v>0.40902777777777777</v>
      </c>
      <c r="BU5" t="s">
        <v>2841</v>
      </c>
      <c r="BV5">
        <v>23659672</v>
      </c>
      <c r="BW5" s="51">
        <v>0.71458333333333335</v>
      </c>
      <c r="BX5" s="51">
        <v>0.7631944444444444</v>
      </c>
      <c r="CA5" t="s">
        <v>2851</v>
      </c>
      <c r="CB5">
        <v>23678318</v>
      </c>
      <c r="CC5" s="51">
        <v>0.42499999999999999</v>
      </c>
      <c r="CD5" s="51">
        <v>0.42638888888888887</v>
      </c>
      <c r="CG5" t="s">
        <v>2850</v>
      </c>
      <c r="CH5">
        <v>23709224</v>
      </c>
      <c r="CI5" s="51">
        <v>0.42291666666666666</v>
      </c>
      <c r="CJ5" s="51">
        <v>0.42499999999999999</v>
      </c>
      <c r="CL5" s="172" t="s">
        <v>2846</v>
      </c>
      <c r="CM5" t="s">
        <v>2849</v>
      </c>
      <c r="CN5">
        <v>23726144</v>
      </c>
      <c r="CO5" s="51">
        <v>0.43611111111111112</v>
      </c>
      <c r="CP5" s="51">
        <v>0.43680555555555556</v>
      </c>
      <c r="CR5" s="172" t="s">
        <v>2846</v>
      </c>
      <c r="CS5" t="s">
        <v>2856</v>
      </c>
      <c r="CT5">
        <v>23064204</v>
      </c>
      <c r="CU5" s="51">
        <v>0.4861111111111111</v>
      </c>
      <c r="CV5" s="51">
        <v>0.48888888888888887</v>
      </c>
      <c r="CX5" s="172" t="s">
        <v>2846</v>
      </c>
      <c r="CY5" t="s">
        <v>2856</v>
      </c>
      <c r="CZ5">
        <v>23662598</v>
      </c>
      <c r="DA5" s="51">
        <v>0.6479166666666667</v>
      </c>
      <c r="DP5" s="172" t="s">
        <v>2846</v>
      </c>
      <c r="DQ5" t="s">
        <v>2839</v>
      </c>
      <c r="DR5">
        <v>24115106</v>
      </c>
      <c r="DS5" s="51">
        <v>0.54583333333333328</v>
      </c>
      <c r="DT5" s="51">
        <v>0.5541666666666667</v>
      </c>
      <c r="DU5" s="51">
        <v>0.55486111111111114</v>
      </c>
      <c r="DW5" s="172" t="s">
        <v>2846</v>
      </c>
      <c r="DX5" t="s">
        <v>2854</v>
      </c>
      <c r="DY5">
        <v>24150794</v>
      </c>
      <c r="DZ5" s="51">
        <v>0.47222222222222221</v>
      </c>
      <c r="EA5" s="51">
        <v>0.47569444444444442</v>
      </c>
      <c r="EB5" s="51">
        <v>0.4861111111111111</v>
      </c>
      <c r="ED5" s="172" t="s">
        <v>2846</v>
      </c>
      <c r="EE5" t="s">
        <v>2856</v>
      </c>
      <c r="EF5">
        <v>24179372</v>
      </c>
      <c r="EG5" s="51">
        <v>0.45416666666666666</v>
      </c>
      <c r="EH5" s="51">
        <v>0.45694444444444443</v>
      </c>
      <c r="EI5" s="51">
        <v>0.46250000000000002</v>
      </c>
      <c r="EK5" s="172" t="s">
        <v>2846</v>
      </c>
      <c r="EL5" t="s">
        <v>2856</v>
      </c>
      <c r="EM5">
        <v>24217048</v>
      </c>
      <c r="EN5" s="51">
        <v>0.46805555555555556</v>
      </c>
      <c r="EO5" s="51">
        <v>0.49722222222222223</v>
      </c>
      <c r="EP5" s="51">
        <v>0.49861111111111112</v>
      </c>
      <c r="ES5" t="s">
        <v>1091</v>
      </c>
      <c r="ET5">
        <v>23125936</v>
      </c>
      <c r="EU5" s="51">
        <v>0.43472222222222223</v>
      </c>
      <c r="EV5" s="51">
        <v>0.45069444444444445</v>
      </c>
      <c r="EW5" s="51">
        <v>0.45208333333333334</v>
      </c>
      <c r="EZ5" t="s">
        <v>879</v>
      </c>
      <c r="FA5">
        <v>24230042</v>
      </c>
      <c r="FB5" s="51">
        <v>0.48819444444444443</v>
      </c>
      <c r="FC5" s="51">
        <v>0.49444444444444446</v>
      </c>
      <c r="FD5" s="51">
        <v>0.50347222222222221</v>
      </c>
      <c r="FG5" t="s">
        <v>39</v>
      </c>
      <c r="FH5">
        <v>24272816</v>
      </c>
      <c r="FI5" s="51">
        <v>0.39930555555555558</v>
      </c>
      <c r="FJ5" s="51">
        <v>0.42222222222222222</v>
      </c>
      <c r="FK5" s="51">
        <v>0.42291666666666666</v>
      </c>
      <c r="FN5" t="s">
        <v>55</v>
      </c>
      <c r="FO5">
        <v>24302664</v>
      </c>
      <c r="FP5" s="51">
        <v>0.7729166666666667</v>
      </c>
      <c r="FQ5" s="51">
        <v>0.40694444444444444</v>
      </c>
      <c r="FR5" s="51">
        <v>0.40902777777777777</v>
      </c>
      <c r="FU5" t="s">
        <v>95</v>
      </c>
      <c r="FV5">
        <v>24324502</v>
      </c>
      <c r="FW5" s="51">
        <v>0.46180555555555558</v>
      </c>
      <c r="FX5" s="51">
        <v>0.47361111111111109</v>
      </c>
      <c r="FY5" s="51">
        <v>0.47638888888888886</v>
      </c>
      <c r="GB5" t="s">
        <v>1946</v>
      </c>
      <c r="GC5">
        <v>24315204</v>
      </c>
      <c r="GD5" s="51">
        <v>0.51249999999999996</v>
      </c>
      <c r="GE5" s="51">
        <v>0.51597222222222228</v>
      </c>
      <c r="GF5" s="51">
        <v>0.52361111111111114</v>
      </c>
      <c r="GI5" t="s">
        <v>62</v>
      </c>
      <c r="GJ5">
        <v>24392654</v>
      </c>
      <c r="GK5" s="51">
        <v>0.43611111111111112</v>
      </c>
      <c r="GL5" s="51">
        <v>0.43958333333333333</v>
      </c>
      <c r="GM5" s="51">
        <v>0.44097222222222221</v>
      </c>
      <c r="GP5" t="s">
        <v>1946</v>
      </c>
      <c r="GQ5">
        <v>24408688</v>
      </c>
      <c r="GR5" s="51">
        <v>0.79027777777777775</v>
      </c>
      <c r="GS5" s="51">
        <v>0.46180555555555558</v>
      </c>
      <c r="GT5" s="51">
        <v>0.47708333333333336</v>
      </c>
      <c r="GW5" t="s">
        <v>271</v>
      </c>
      <c r="GX5">
        <v>24418318</v>
      </c>
      <c r="GY5" s="51">
        <v>0.43402777777777779</v>
      </c>
      <c r="GZ5" s="51">
        <v>0.43541666666666667</v>
      </c>
      <c r="HA5" s="51">
        <v>0.43819444444444444</v>
      </c>
      <c r="HD5" t="s">
        <v>39</v>
      </c>
      <c r="HE5">
        <v>24471826</v>
      </c>
      <c r="HF5" s="51">
        <v>0.46944444444444444</v>
      </c>
      <c r="HG5" s="51">
        <v>0.47152777777777777</v>
      </c>
      <c r="HH5" s="51">
        <v>0.47291666666666665</v>
      </c>
      <c r="HK5" t="s">
        <v>886</v>
      </c>
      <c r="HL5">
        <v>24463860</v>
      </c>
      <c r="HM5" s="51">
        <v>0.34583333333333333</v>
      </c>
      <c r="HN5" s="51">
        <v>0.35</v>
      </c>
      <c r="HO5" s="51">
        <v>0.35347222222222224</v>
      </c>
      <c r="HR5" t="s">
        <v>1091</v>
      </c>
      <c r="HS5">
        <v>24558084</v>
      </c>
      <c r="HT5" s="51">
        <v>0.44027777777777777</v>
      </c>
      <c r="HU5" s="51">
        <v>0.44305555555555554</v>
      </c>
      <c r="HV5" s="51">
        <v>0.44444444444444442</v>
      </c>
      <c r="HY5" t="s">
        <v>62</v>
      </c>
      <c r="HZ5">
        <v>24663178</v>
      </c>
      <c r="IA5" s="51">
        <v>0.35833333333333334</v>
      </c>
      <c r="IB5" s="51">
        <v>0.36805555555555558</v>
      </c>
      <c r="IC5" s="51">
        <v>0.37291666666666667</v>
      </c>
      <c r="IF5" t="s">
        <v>2179</v>
      </c>
      <c r="IG5">
        <v>24696360</v>
      </c>
      <c r="IH5" s="51">
        <v>0.46319444444444446</v>
      </c>
      <c r="II5" s="51">
        <v>0.46597222222222223</v>
      </c>
      <c r="IJ5" s="51">
        <v>0.46527777777777779</v>
      </c>
      <c r="IM5" t="s">
        <v>98</v>
      </c>
      <c r="IN5">
        <v>24781244</v>
      </c>
      <c r="IO5" s="51">
        <v>0.49236111111111114</v>
      </c>
      <c r="IP5" s="51">
        <v>0.49861111111111112</v>
      </c>
      <c r="IQ5" s="51">
        <v>0.50486111111111109</v>
      </c>
      <c r="IT5" t="s">
        <v>266</v>
      </c>
      <c r="IU5">
        <v>24810288</v>
      </c>
      <c r="IV5" s="51">
        <v>0.60902777777777772</v>
      </c>
      <c r="IW5" s="51">
        <v>0.62291666666666667</v>
      </c>
      <c r="IX5" s="51">
        <v>0.625</v>
      </c>
      <c r="JA5" t="s">
        <v>2179</v>
      </c>
      <c r="JB5">
        <v>24841244</v>
      </c>
      <c r="JC5" s="51">
        <v>0.66041666666666665</v>
      </c>
      <c r="JD5" s="51">
        <v>0.66388888888888886</v>
      </c>
      <c r="JE5" s="51">
        <v>0.66527777777777775</v>
      </c>
      <c r="JH5" t="s">
        <v>2576</v>
      </c>
      <c r="JI5">
        <v>24855670</v>
      </c>
      <c r="JJ5" s="51">
        <v>0.64375000000000004</v>
      </c>
      <c r="JK5" s="51">
        <v>0.64583333333333337</v>
      </c>
      <c r="JL5" s="51">
        <v>0.67777777777777781</v>
      </c>
      <c r="JO5" t="s">
        <v>35</v>
      </c>
      <c r="JP5">
        <v>24859664</v>
      </c>
      <c r="JQ5" s="51">
        <v>0.35208333333333336</v>
      </c>
      <c r="JR5" s="51">
        <v>0.35347222222222224</v>
      </c>
      <c r="JS5" s="51">
        <v>0.35486111111111113</v>
      </c>
      <c r="JV5" t="s">
        <v>1910</v>
      </c>
      <c r="JW5">
        <v>24926032</v>
      </c>
      <c r="JX5" s="51">
        <v>0.52430555555555558</v>
      </c>
      <c r="JY5" s="51">
        <v>0.52847222222222223</v>
      </c>
      <c r="JZ5" s="51">
        <v>0.53055555555555556</v>
      </c>
    </row>
    <row r="6" spans="1:286">
      <c r="A6" t="s">
        <v>2852</v>
      </c>
      <c r="B6">
        <v>23303760</v>
      </c>
      <c r="C6" s="51">
        <v>0.54861111111111116</v>
      </c>
      <c r="D6" s="51">
        <v>0.56597222222222221</v>
      </c>
      <c r="G6" t="s">
        <v>2849</v>
      </c>
      <c r="H6">
        <v>23353820</v>
      </c>
      <c r="I6" s="51">
        <v>0.47222222222222221</v>
      </c>
      <c r="J6" s="51">
        <v>0.47499999999999998</v>
      </c>
      <c r="M6" t="s">
        <v>2849</v>
      </c>
      <c r="N6">
        <v>23391100</v>
      </c>
      <c r="O6" s="51">
        <v>0.41249999999999998</v>
      </c>
      <c r="P6" s="51">
        <v>0.41388888888888886</v>
      </c>
      <c r="S6" t="s">
        <v>2854</v>
      </c>
      <c r="T6">
        <v>23408896</v>
      </c>
      <c r="U6" s="51">
        <v>0.39791666666666664</v>
      </c>
      <c r="V6" s="51">
        <v>0.4</v>
      </c>
      <c r="Y6" t="s">
        <v>2840</v>
      </c>
      <c r="Z6">
        <v>23440238</v>
      </c>
      <c r="AA6" s="51">
        <v>0.41666666666666669</v>
      </c>
      <c r="AB6" s="51">
        <v>0.41805555555555557</v>
      </c>
      <c r="AE6" t="s">
        <v>2852</v>
      </c>
      <c r="AF6">
        <v>23463790</v>
      </c>
      <c r="AG6" s="51">
        <v>0.41597222222222224</v>
      </c>
      <c r="AH6" s="51">
        <v>0.4201388888888889</v>
      </c>
      <c r="AK6" t="s">
        <v>2852</v>
      </c>
      <c r="AL6">
        <v>23492964</v>
      </c>
      <c r="AM6" s="51">
        <v>0.42152777777777778</v>
      </c>
      <c r="AN6" s="51">
        <v>0.42638888888888887</v>
      </c>
      <c r="AQ6" t="s">
        <v>2851</v>
      </c>
      <c r="AR6">
        <v>23528922</v>
      </c>
      <c r="AS6" s="51">
        <v>0.43819444444444444</v>
      </c>
      <c r="AT6" s="51">
        <v>0.44027777777777777</v>
      </c>
      <c r="AW6" t="s">
        <v>2847</v>
      </c>
      <c r="AX6">
        <v>23556026</v>
      </c>
      <c r="AY6" s="51">
        <v>0.42499999999999999</v>
      </c>
      <c r="AZ6" s="51">
        <v>0.44722222222222224</v>
      </c>
      <c r="BC6" t="s">
        <v>2841</v>
      </c>
      <c r="BD6">
        <v>23581862</v>
      </c>
      <c r="BE6" s="51">
        <v>0.40763888888888888</v>
      </c>
      <c r="BF6" s="51">
        <v>0.40902777777777777</v>
      </c>
      <c r="BI6" t="s">
        <v>2856</v>
      </c>
      <c r="BJ6">
        <v>23631334</v>
      </c>
      <c r="BK6" s="51">
        <v>0.41666666666666669</v>
      </c>
      <c r="BL6" s="51">
        <v>0.41944444444444445</v>
      </c>
      <c r="BO6" t="s">
        <v>2856</v>
      </c>
      <c r="BP6">
        <v>23649522</v>
      </c>
      <c r="BQ6" s="51">
        <v>0.41041666666666665</v>
      </c>
      <c r="BR6" s="51">
        <v>0.45069444444444445</v>
      </c>
      <c r="BU6" t="s">
        <v>2857</v>
      </c>
      <c r="BV6">
        <v>23660004</v>
      </c>
      <c r="BW6" s="51">
        <v>0.61944444444444446</v>
      </c>
      <c r="BX6" s="51">
        <v>0.62847222222222221</v>
      </c>
      <c r="CA6" t="s">
        <v>2854</v>
      </c>
      <c r="CB6">
        <v>23677200</v>
      </c>
      <c r="CC6" s="51">
        <v>0.42986111111111114</v>
      </c>
      <c r="CD6" s="51">
        <v>0.43194444444444446</v>
      </c>
      <c r="CG6" t="s">
        <v>2850</v>
      </c>
      <c r="CH6">
        <v>23712674</v>
      </c>
      <c r="CI6" s="51">
        <v>0.42430555555555555</v>
      </c>
      <c r="CJ6" s="51">
        <v>0.42569444444444443</v>
      </c>
      <c r="CL6" s="172" t="s">
        <v>2846</v>
      </c>
      <c r="CM6" t="s">
        <v>2847</v>
      </c>
      <c r="CN6">
        <v>23761287</v>
      </c>
      <c r="CO6" s="51">
        <v>0.48819444444444443</v>
      </c>
      <c r="CP6" s="51">
        <v>0.49236111111111114</v>
      </c>
      <c r="CR6" s="172" t="s">
        <v>2846</v>
      </c>
      <c r="CS6" t="s">
        <v>2845</v>
      </c>
      <c r="CT6">
        <v>23795674</v>
      </c>
      <c r="CU6" s="51">
        <v>0.5708333333333333</v>
      </c>
      <c r="CV6" s="51">
        <v>0.57430555555555551</v>
      </c>
      <c r="CX6" s="172" t="s">
        <v>2846</v>
      </c>
      <c r="CY6" t="s">
        <v>2854</v>
      </c>
      <c r="CZ6">
        <v>23819870</v>
      </c>
      <c r="DA6" s="51">
        <v>0.64652777777777781</v>
      </c>
      <c r="DB6" s="51">
        <v>0.64930555555555558</v>
      </c>
      <c r="DP6" s="172" t="s">
        <v>2846</v>
      </c>
      <c r="DQ6" t="s">
        <v>2858</v>
      </c>
      <c r="DR6">
        <v>24120922</v>
      </c>
      <c r="DS6" s="51">
        <v>0.60416666666666663</v>
      </c>
      <c r="DT6" s="51">
        <v>0.60763888888888884</v>
      </c>
      <c r="DU6" s="51">
        <v>0.62430555555555556</v>
      </c>
      <c r="DW6" s="172" t="s">
        <v>2846</v>
      </c>
      <c r="DX6" t="s">
        <v>2849</v>
      </c>
      <c r="DY6">
        <v>23637202</v>
      </c>
      <c r="DZ6" s="51">
        <v>0.47291666666666665</v>
      </c>
      <c r="EA6" s="51">
        <v>0.47708333333333336</v>
      </c>
      <c r="EB6" s="51">
        <v>0.53263888888888888</v>
      </c>
      <c r="ED6" s="172" t="s">
        <v>2846</v>
      </c>
      <c r="EE6" t="s">
        <v>2839</v>
      </c>
      <c r="EF6">
        <v>24174758</v>
      </c>
      <c r="EG6" s="51">
        <v>0.46180555555555558</v>
      </c>
      <c r="EH6" s="51">
        <v>0.46319444444444446</v>
      </c>
      <c r="EI6" s="51">
        <v>0.46527777777777779</v>
      </c>
      <c r="EK6" s="172" t="s">
        <v>2846</v>
      </c>
      <c r="EL6" t="s">
        <v>2859</v>
      </c>
      <c r="EM6">
        <v>24156074</v>
      </c>
      <c r="EN6" s="51">
        <v>0.50138888888888888</v>
      </c>
      <c r="EO6" s="51">
        <v>0.50902777777777775</v>
      </c>
      <c r="EP6" s="51">
        <v>0.51041666666666663</v>
      </c>
      <c r="ES6" t="s">
        <v>98</v>
      </c>
      <c r="ET6">
        <v>24230346</v>
      </c>
      <c r="EU6" s="51">
        <v>0.43194444444444446</v>
      </c>
      <c r="EV6" s="51">
        <v>0.4597222222222222</v>
      </c>
      <c r="EW6" s="51">
        <v>0.46319444444444446</v>
      </c>
      <c r="EZ6" t="s">
        <v>39</v>
      </c>
      <c r="FA6">
        <v>19289310</v>
      </c>
      <c r="FB6" s="51">
        <v>0.48958333333333331</v>
      </c>
      <c r="FC6" s="51">
        <v>0.49930555555555556</v>
      </c>
      <c r="FD6" s="51">
        <v>0.50069444444444444</v>
      </c>
      <c r="FG6" t="s">
        <v>266</v>
      </c>
      <c r="FH6">
        <v>24282484</v>
      </c>
      <c r="FI6" s="51">
        <v>0.39374999999999999</v>
      </c>
      <c r="FJ6" s="51">
        <v>0.4236111111111111</v>
      </c>
      <c r="FK6" s="51">
        <v>0.42638888888888887</v>
      </c>
      <c r="FN6" t="s">
        <v>35</v>
      </c>
      <c r="FO6">
        <v>24303880</v>
      </c>
      <c r="FP6" s="51">
        <v>0.40138888888888891</v>
      </c>
      <c r="FQ6" s="51">
        <v>0.40972222222222221</v>
      </c>
      <c r="FR6" s="51">
        <v>0.42499999999999999</v>
      </c>
      <c r="FU6" t="s">
        <v>62</v>
      </c>
      <c r="FV6">
        <v>24346560</v>
      </c>
      <c r="FW6" s="51">
        <v>0.47430555555555554</v>
      </c>
      <c r="FX6" s="51">
        <v>0.4777777777777778</v>
      </c>
      <c r="FY6" s="51">
        <v>0.47916666666666669</v>
      </c>
      <c r="GB6" t="s">
        <v>62</v>
      </c>
      <c r="GC6">
        <v>24369920</v>
      </c>
      <c r="GD6" s="51">
        <v>0.55694444444444446</v>
      </c>
      <c r="GE6" s="51">
        <v>0.56319444444444444</v>
      </c>
      <c r="GF6" s="51">
        <v>0.56388888888888888</v>
      </c>
      <c r="GI6" t="s">
        <v>271</v>
      </c>
      <c r="GJ6">
        <v>24386144</v>
      </c>
      <c r="GK6" s="51">
        <v>0.47499999999999998</v>
      </c>
      <c r="GL6" s="51">
        <v>0.4777777777777778</v>
      </c>
      <c r="GM6" s="51">
        <v>0.47916666666666669</v>
      </c>
      <c r="GP6" t="s">
        <v>358</v>
      </c>
      <c r="GQ6">
        <v>24406980</v>
      </c>
      <c r="GR6" s="51">
        <v>0.49791666666666667</v>
      </c>
      <c r="GS6" s="51">
        <v>0.50277777777777777</v>
      </c>
      <c r="GT6" s="51">
        <v>0.50416666666666665</v>
      </c>
      <c r="GW6" t="s">
        <v>35</v>
      </c>
      <c r="GX6">
        <v>24444508</v>
      </c>
      <c r="GY6" s="51">
        <v>0.45208333333333334</v>
      </c>
      <c r="GZ6" s="51">
        <v>0.45833333333333331</v>
      </c>
      <c r="HA6" s="51">
        <v>0.46388888888888891</v>
      </c>
      <c r="HD6" t="s">
        <v>2059</v>
      </c>
      <c r="HE6">
        <v>24456608</v>
      </c>
      <c r="HF6" s="51">
        <v>0.47013888888888888</v>
      </c>
      <c r="HG6" s="51">
        <v>0.47291666666666665</v>
      </c>
      <c r="HH6" s="51">
        <v>0.47499999999999998</v>
      </c>
      <c r="HK6" t="s">
        <v>2059</v>
      </c>
      <c r="HL6">
        <v>24497374</v>
      </c>
      <c r="HM6" s="51">
        <v>0.38055555555555554</v>
      </c>
      <c r="HN6" s="51">
        <v>0.39444444444444443</v>
      </c>
      <c r="HO6" s="51">
        <v>0.39583333333333331</v>
      </c>
      <c r="HR6" t="s">
        <v>886</v>
      </c>
      <c r="HS6">
        <v>24636432</v>
      </c>
      <c r="HT6" s="51">
        <v>0.49444444444444446</v>
      </c>
      <c r="HU6" s="51">
        <v>0.49652777777777779</v>
      </c>
      <c r="HV6" s="51">
        <v>0.50069444444444444</v>
      </c>
      <c r="HY6" t="s">
        <v>90</v>
      </c>
      <c r="HZ6">
        <v>24663452</v>
      </c>
      <c r="IA6" s="51">
        <v>0.41180555555555554</v>
      </c>
      <c r="IB6" s="51">
        <v>0.41388888888888886</v>
      </c>
      <c r="IC6" s="51">
        <v>0.41805555555555557</v>
      </c>
      <c r="IF6" t="s">
        <v>35</v>
      </c>
      <c r="IG6">
        <v>24712390</v>
      </c>
      <c r="IH6" s="51">
        <v>0.47569444444444442</v>
      </c>
      <c r="II6" s="51">
        <v>0.47916666666666669</v>
      </c>
      <c r="IJ6" s="51">
        <v>0.48333333333333334</v>
      </c>
      <c r="IM6" t="s">
        <v>1091</v>
      </c>
      <c r="IN6">
        <v>24754280</v>
      </c>
      <c r="IO6" s="51">
        <v>0.49652777777777779</v>
      </c>
      <c r="IP6" s="51">
        <v>0.50069444444444444</v>
      </c>
      <c r="IQ6" s="51">
        <v>0.50208333333333333</v>
      </c>
      <c r="IT6" t="s">
        <v>266</v>
      </c>
      <c r="IU6">
        <v>24488398</v>
      </c>
      <c r="IV6" s="51">
        <v>0.61041666666666672</v>
      </c>
      <c r="IW6" s="51">
        <v>0.62430555555555556</v>
      </c>
      <c r="IX6" s="51">
        <v>0.62569444444444444</v>
      </c>
      <c r="JA6" t="s">
        <v>1808</v>
      </c>
      <c r="JB6">
        <v>24834106</v>
      </c>
      <c r="JC6" s="51">
        <v>0.69097222222222221</v>
      </c>
      <c r="JD6" s="51">
        <v>0.69444444444444442</v>
      </c>
      <c r="JE6" s="51">
        <v>0.69652777777777775</v>
      </c>
      <c r="JH6" t="s">
        <v>1091</v>
      </c>
      <c r="JI6">
        <v>24854068</v>
      </c>
      <c r="JJ6" s="51">
        <v>0.63263888888888886</v>
      </c>
      <c r="JK6" s="51">
        <v>0.64861111111111114</v>
      </c>
      <c r="JL6" s="51">
        <v>0.64930555555555558</v>
      </c>
      <c r="JO6" t="s">
        <v>2179</v>
      </c>
      <c r="JP6">
        <v>24870536</v>
      </c>
      <c r="JQ6" s="51">
        <v>0.3527777777777778</v>
      </c>
      <c r="JR6" s="51">
        <v>0.3576388888888889</v>
      </c>
      <c r="JS6" s="51">
        <v>0.35972222222222222</v>
      </c>
      <c r="JV6" t="s">
        <v>2576</v>
      </c>
      <c r="JW6">
        <v>24930576</v>
      </c>
      <c r="JX6" s="51">
        <v>0.55972222222222223</v>
      </c>
      <c r="JY6" s="51">
        <v>0.56666666666666665</v>
      </c>
    </row>
    <row r="7" spans="1:286">
      <c r="A7" t="s">
        <v>2847</v>
      </c>
      <c r="B7">
        <v>23304336</v>
      </c>
      <c r="C7" s="51">
        <v>0.55277777777777781</v>
      </c>
      <c r="D7" s="51">
        <v>0.56874999999999998</v>
      </c>
      <c r="G7" t="s">
        <v>2843</v>
      </c>
      <c r="H7">
        <v>23320698</v>
      </c>
      <c r="I7" s="51">
        <v>0.49791666666666667</v>
      </c>
      <c r="J7" s="51">
        <v>0.50069444444444444</v>
      </c>
      <c r="M7" t="s">
        <v>2843</v>
      </c>
      <c r="N7">
        <v>23378100</v>
      </c>
      <c r="O7" s="51">
        <v>0.41666666666666669</v>
      </c>
      <c r="P7" s="51">
        <v>0.41875000000000001</v>
      </c>
      <c r="S7" t="s">
        <v>2847</v>
      </c>
      <c r="T7">
        <v>23410168</v>
      </c>
      <c r="U7" s="51">
        <v>0.40069444444444446</v>
      </c>
      <c r="V7" s="51">
        <v>0.40416666666666667</v>
      </c>
      <c r="Y7" t="s">
        <v>2856</v>
      </c>
      <c r="Z7">
        <v>23446224</v>
      </c>
      <c r="AA7" s="51">
        <v>0.4236111111111111</v>
      </c>
      <c r="AB7" s="51">
        <v>0.42569444444444443</v>
      </c>
      <c r="AE7" t="s">
        <v>2856</v>
      </c>
      <c r="AF7">
        <v>23463744</v>
      </c>
      <c r="AG7" s="51">
        <v>0.41944444444444445</v>
      </c>
      <c r="AH7" s="51">
        <v>0.42083333333333334</v>
      </c>
      <c r="AK7" t="s">
        <v>2840</v>
      </c>
      <c r="AL7">
        <v>23495726</v>
      </c>
      <c r="AM7" s="51">
        <v>0.42499999999999999</v>
      </c>
      <c r="AN7" s="51">
        <v>0.42499999999999999</v>
      </c>
      <c r="AQ7" t="s">
        <v>2851</v>
      </c>
      <c r="AR7">
        <v>23533786</v>
      </c>
      <c r="AS7" s="51">
        <v>0.43958333333333333</v>
      </c>
      <c r="AT7" s="51">
        <v>0.44027777777777777</v>
      </c>
      <c r="AW7" t="s">
        <v>2851</v>
      </c>
      <c r="AX7">
        <v>23562988</v>
      </c>
      <c r="AY7" s="51">
        <v>0.43819444444444444</v>
      </c>
      <c r="AZ7" s="51">
        <v>0.43888888888888888</v>
      </c>
      <c r="BC7" t="s">
        <v>2843</v>
      </c>
      <c r="BD7">
        <v>23599104</v>
      </c>
      <c r="BE7" s="51">
        <v>0.41180555555555554</v>
      </c>
      <c r="BF7" s="51">
        <v>0.41319444444444442</v>
      </c>
      <c r="BI7" t="s">
        <v>2842</v>
      </c>
      <c r="BJ7">
        <v>23617738</v>
      </c>
      <c r="BK7" s="51">
        <v>0.41805555555555557</v>
      </c>
      <c r="BL7" s="51">
        <v>0.42152777777777778</v>
      </c>
      <c r="BO7" t="s">
        <v>1702</v>
      </c>
      <c r="BP7">
        <v>23646692</v>
      </c>
      <c r="BQ7" s="51">
        <v>0.41805555555555557</v>
      </c>
      <c r="BR7" s="51">
        <v>0.42083333333333334</v>
      </c>
      <c r="BU7" t="s">
        <v>2850</v>
      </c>
      <c r="BV7">
        <v>23660262</v>
      </c>
      <c r="BW7" s="51">
        <v>0.70486111111111116</v>
      </c>
      <c r="BX7" s="51">
        <v>0.71319444444444446</v>
      </c>
      <c r="CA7" t="s">
        <v>2840</v>
      </c>
      <c r="CB7">
        <v>23680836</v>
      </c>
      <c r="CC7" s="51">
        <v>0.43333333333333335</v>
      </c>
      <c r="CD7" s="51">
        <v>0.43402777777777779</v>
      </c>
      <c r="CG7" t="s">
        <v>2843</v>
      </c>
      <c r="CH7">
        <v>23725514</v>
      </c>
      <c r="CI7" s="51">
        <v>0.42638888888888887</v>
      </c>
      <c r="CJ7" s="51">
        <v>0.4284722222222222</v>
      </c>
      <c r="CL7" s="172" t="s">
        <v>2846</v>
      </c>
      <c r="CM7" t="s">
        <v>2850</v>
      </c>
      <c r="CN7">
        <v>23762769</v>
      </c>
      <c r="CO7" s="51">
        <v>0.49930555555555556</v>
      </c>
      <c r="CP7" s="51">
        <v>0.50138888888888888</v>
      </c>
      <c r="CR7" s="172" t="s">
        <v>2846</v>
      </c>
      <c r="CS7" t="s">
        <v>2845</v>
      </c>
      <c r="CT7">
        <v>23694574</v>
      </c>
      <c r="CU7" s="51">
        <v>0.57222222222222219</v>
      </c>
      <c r="CV7" s="51">
        <v>0.57499999999999996</v>
      </c>
      <c r="CX7" s="172" t="s">
        <v>2846</v>
      </c>
      <c r="CY7" t="s">
        <v>2851</v>
      </c>
      <c r="CZ7">
        <v>23813562</v>
      </c>
      <c r="DA7" s="51">
        <v>0.69374999999999998</v>
      </c>
      <c r="DB7" s="51">
        <v>0.7055555555555556</v>
      </c>
      <c r="DP7" s="172" t="s">
        <v>2846</v>
      </c>
      <c r="DQ7" t="s">
        <v>2855</v>
      </c>
      <c r="DR7">
        <v>24118172</v>
      </c>
      <c r="DS7" s="51">
        <v>0.60416666666666663</v>
      </c>
      <c r="DT7" s="51">
        <v>0.61111111111111116</v>
      </c>
      <c r="DU7" s="51">
        <v>0.61250000000000004</v>
      </c>
      <c r="DW7" s="172" t="s">
        <v>2846</v>
      </c>
      <c r="DX7" t="s">
        <v>2850</v>
      </c>
      <c r="DY7">
        <v>24143942</v>
      </c>
      <c r="DZ7" s="51">
        <v>0.62222222222222223</v>
      </c>
      <c r="EA7" s="51">
        <v>0.62361111111111112</v>
      </c>
      <c r="EB7" s="51">
        <v>0.62777777777777777</v>
      </c>
      <c r="ED7" s="172" t="s">
        <v>2846</v>
      </c>
      <c r="EE7" t="s">
        <v>2852</v>
      </c>
      <c r="EF7">
        <v>24135746</v>
      </c>
      <c r="EG7" s="51">
        <v>0.46319444444444446</v>
      </c>
      <c r="EH7" s="51">
        <v>0.46597222222222223</v>
      </c>
      <c r="EI7" s="51">
        <v>0.46805555555555556</v>
      </c>
      <c r="EK7" s="172" t="s">
        <v>2846</v>
      </c>
      <c r="EL7" t="s">
        <v>2859</v>
      </c>
      <c r="EM7">
        <v>24194094</v>
      </c>
      <c r="EN7" s="51">
        <v>0.5229166666666667</v>
      </c>
      <c r="EO7" s="51">
        <v>0.52777777777777779</v>
      </c>
      <c r="EP7" s="51">
        <v>0.53680555555555554</v>
      </c>
      <c r="ES7" t="s">
        <v>35</v>
      </c>
      <c r="ET7">
        <v>24244176</v>
      </c>
      <c r="EU7" s="51">
        <v>0.47916666666666669</v>
      </c>
      <c r="EV7" s="51">
        <v>0.4826388888888889</v>
      </c>
      <c r="EW7" s="51">
        <v>0.48472222222222222</v>
      </c>
      <c r="EZ7" t="s">
        <v>39</v>
      </c>
      <c r="FA7">
        <v>24259562</v>
      </c>
      <c r="FB7" s="51">
        <v>0.51111111111111107</v>
      </c>
      <c r="FC7" s="51">
        <v>0.51388888888888884</v>
      </c>
      <c r="FD7" s="51">
        <v>0.51875000000000004</v>
      </c>
      <c r="FG7" t="s">
        <v>266</v>
      </c>
      <c r="FH7">
        <v>24248096</v>
      </c>
      <c r="FI7" s="51">
        <v>0.38958333333333334</v>
      </c>
      <c r="FJ7" s="51">
        <v>0.42569444444444443</v>
      </c>
      <c r="FK7" s="51">
        <v>0.42777777777777776</v>
      </c>
      <c r="FN7" t="s">
        <v>90</v>
      </c>
      <c r="FO7">
        <v>24306106</v>
      </c>
      <c r="FP7" s="51">
        <v>0.45416666666666666</v>
      </c>
      <c r="FQ7" s="51">
        <v>0.46527777777777779</v>
      </c>
      <c r="FR7" s="51">
        <v>0.46666666666666667</v>
      </c>
      <c r="FU7" t="s">
        <v>95</v>
      </c>
      <c r="FV7">
        <v>24341216</v>
      </c>
      <c r="FW7" s="51">
        <v>0.4777777777777778</v>
      </c>
      <c r="FX7" s="51">
        <v>0.47986111111111113</v>
      </c>
      <c r="FY7" s="51">
        <v>0.48541666666666666</v>
      </c>
      <c r="GB7" t="s">
        <v>266</v>
      </c>
      <c r="GC7">
        <v>24361422</v>
      </c>
      <c r="GD7" s="51">
        <v>0.61111111111111116</v>
      </c>
      <c r="GE7" s="51">
        <v>0.61597222222222225</v>
      </c>
      <c r="GF7" s="51">
        <v>0.61875000000000002</v>
      </c>
      <c r="GI7" t="s">
        <v>1080</v>
      </c>
      <c r="GJ7">
        <v>24386248</v>
      </c>
      <c r="GK7" s="51">
        <v>0.47708333333333336</v>
      </c>
      <c r="GL7" s="51">
        <v>0.48055555555555557</v>
      </c>
      <c r="GM7" s="51">
        <v>0.4861111111111111</v>
      </c>
      <c r="GP7" t="s">
        <v>1921</v>
      </c>
      <c r="GQ7">
        <v>24403818</v>
      </c>
      <c r="GR7" s="51">
        <v>0.51111111111111107</v>
      </c>
      <c r="GS7" s="51">
        <v>0.5131944444444444</v>
      </c>
      <c r="GT7" s="51">
        <v>0.51666666666666672</v>
      </c>
      <c r="GW7" t="s">
        <v>90</v>
      </c>
      <c r="GX7">
        <v>24436594</v>
      </c>
      <c r="GY7" s="51">
        <v>0.44722222222222224</v>
      </c>
      <c r="GZ7" s="51">
        <v>0.46041666666666664</v>
      </c>
      <c r="HA7" s="51">
        <v>0.46180555555555558</v>
      </c>
      <c r="HD7" t="s">
        <v>1946</v>
      </c>
      <c r="HE7">
        <v>24140424</v>
      </c>
      <c r="HF7" s="51">
        <v>0.50277777777777777</v>
      </c>
      <c r="HG7" s="51">
        <v>0.50416666666666665</v>
      </c>
      <c r="HH7" s="51">
        <v>0.50972222222222219</v>
      </c>
      <c r="HK7" t="s">
        <v>266</v>
      </c>
      <c r="HL7">
        <v>24496366</v>
      </c>
      <c r="HM7" s="51">
        <v>0.34652777777777777</v>
      </c>
      <c r="HN7" s="51">
        <v>0.35347222222222224</v>
      </c>
      <c r="HO7" s="51">
        <v>0.35486111111111113</v>
      </c>
      <c r="HR7" t="s">
        <v>1946</v>
      </c>
      <c r="HS7">
        <v>24636206</v>
      </c>
      <c r="HT7" s="51">
        <v>0.51666666666666672</v>
      </c>
      <c r="HU7" s="51">
        <v>0.52083333333333337</v>
      </c>
      <c r="HV7" s="51">
        <v>0.53263888888888888</v>
      </c>
      <c r="HY7" t="s">
        <v>1808</v>
      </c>
      <c r="HZ7">
        <v>24663042</v>
      </c>
      <c r="IA7" s="51">
        <v>0.36249999999999999</v>
      </c>
      <c r="IB7" s="51">
        <v>0.36458333333333331</v>
      </c>
      <c r="IC7" s="51">
        <v>0.36527777777777776</v>
      </c>
      <c r="IF7" t="s">
        <v>2059</v>
      </c>
      <c r="IG7">
        <v>24708666</v>
      </c>
      <c r="IH7" s="51">
        <v>0.53611111111111109</v>
      </c>
      <c r="II7" s="51">
        <v>0.5395833333333333</v>
      </c>
      <c r="IJ7" s="51">
        <v>0.54305555555555551</v>
      </c>
      <c r="IM7" t="s">
        <v>266</v>
      </c>
      <c r="IN7">
        <v>24780510</v>
      </c>
      <c r="IO7" s="51">
        <v>0.49861111111111112</v>
      </c>
      <c r="IP7" s="51">
        <v>0.50138888888888888</v>
      </c>
      <c r="IQ7" s="51">
        <v>0.50416666666666665</v>
      </c>
      <c r="IT7" t="s">
        <v>830</v>
      </c>
      <c r="IU7">
        <v>24811230</v>
      </c>
      <c r="IV7" s="51">
        <v>0.61944444444444446</v>
      </c>
      <c r="IW7" s="51">
        <v>0.62638888888888888</v>
      </c>
      <c r="IX7" s="51">
        <v>0.63055555555555554</v>
      </c>
      <c r="JA7" t="s">
        <v>2626</v>
      </c>
      <c r="JB7">
        <v>24843042</v>
      </c>
      <c r="JC7" s="51">
        <v>0.75763888888888886</v>
      </c>
      <c r="JD7" s="51">
        <v>0.75972222222222219</v>
      </c>
      <c r="JE7" s="51">
        <v>0.76458333333333328</v>
      </c>
      <c r="JH7" t="s">
        <v>2827</v>
      </c>
      <c r="JI7">
        <v>24832226</v>
      </c>
      <c r="JJ7" s="51">
        <v>0.64513888888888893</v>
      </c>
      <c r="JK7" s="51">
        <v>0.65069444444444446</v>
      </c>
      <c r="JL7" t="s">
        <v>1966</v>
      </c>
      <c r="JO7" t="s">
        <v>1910</v>
      </c>
      <c r="JP7">
        <v>24872360</v>
      </c>
      <c r="JQ7" s="51">
        <v>0.35486111111111113</v>
      </c>
      <c r="JR7" s="51">
        <v>0.36041666666666666</v>
      </c>
      <c r="JS7" s="51">
        <v>0.36180555555555555</v>
      </c>
      <c r="JV7" t="s">
        <v>28</v>
      </c>
      <c r="JW7">
        <v>24814380</v>
      </c>
      <c r="JY7" s="51">
        <v>0.54722222222222228</v>
      </c>
      <c r="JZ7" s="51">
        <v>0.58819444444444446</v>
      </c>
    </row>
    <row r="8" spans="1:286">
      <c r="A8" t="s">
        <v>2860</v>
      </c>
      <c r="B8">
        <v>23315970</v>
      </c>
      <c r="C8" s="51">
        <v>0.5541666666666667</v>
      </c>
      <c r="D8" s="51">
        <v>0.55833333333333335</v>
      </c>
      <c r="G8" t="s">
        <v>2847</v>
      </c>
      <c r="H8">
        <v>23354314</v>
      </c>
      <c r="I8" s="51">
        <v>0.50486111111111109</v>
      </c>
      <c r="J8" s="51">
        <v>0.51388888888888884</v>
      </c>
      <c r="M8" t="s">
        <v>2852</v>
      </c>
      <c r="N8">
        <v>23366516</v>
      </c>
      <c r="O8" s="51">
        <v>0.42291666666666666</v>
      </c>
      <c r="P8" s="51">
        <v>0.43194444444444446</v>
      </c>
      <c r="S8" t="s">
        <v>2860</v>
      </c>
      <c r="T8">
        <v>23411696</v>
      </c>
      <c r="U8" s="51">
        <v>0.40486111111111112</v>
      </c>
      <c r="V8" s="51">
        <v>0.40694444444444444</v>
      </c>
      <c r="Y8" t="s">
        <v>2852</v>
      </c>
      <c r="Z8">
        <v>23447794</v>
      </c>
      <c r="AA8" s="51">
        <v>0.43055555555555558</v>
      </c>
      <c r="AB8" s="51">
        <v>0.43541666666666667</v>
      </c>
      <c r="AE8" t="s">
        <v>2856</v>
      </c>
      <c r="AF8">
        <v>23465238</v>
      </c>
      <c r="AG8" s="51">
        <v>0.42083333333333334</v>
      </c>
      <c r="AH8" s="51">
        <v>0.42708333333333331</v>
      </c>
      <c r="AK8" t="s">
        <v>2852</v>
      </c>
      <c r="AL8">
        <v>23496572</v>
      </c>
      <c r="AM8" s="51">
        <v>0.43055555555555558</v>
      </c>
      <c r="AN8" s="51">
        <v>0.43402777777777779</v>
      </c>
      <c r="AQ8" t="s">
        <v>2856</v>
      </c>
      <c r="AR8">
        <v>23537976</v>
      </c>
      <c r="AS8" s="51">
        <v>0.44236111111111109</v>
      </c>
      <c r="AT8" s="51">
        <v>0.44374999999999998</v>
      </c>
      <c r="AW8" t="s">
        <v>2842</v>
      </c>
      <c r="AX8">
        <v>23571958</v>
      </c>
      <c r="AY8" s="51">
        <v>0.53194444444444444</v>
      </c>
      <c r="AZ8" s="51">
        <v>0.53333333333333333</v>
      </c>
      <c r="BC8" t="s">
        <v>2844</v>
      </c>
      <c r="BD8">
        <v>23585834</v>
      </c>
      <c r="BE8" s="51">
        <v>0.43194444444444446</v>
      </c>
      <c r="BF8" s="51">
        <v>0.44791666666666669</v>
      </c>
      <c r="BI8" t="s">
        <v>2841</v>
      </c>
      <c r="BJ8">
        <v>23630392</v>
      </c>
      <c r="BK8" s="51">
        <v>0.4201388888888889</v>
      </c>
      <c r="BL8" s="51">
        <v>0.42222222222222222</v>
      </c>
      <c r="BO8" t="s">
        <v>2857</v>
      </c>
      <c r="BP8">
        <v>23646872</v>
      </c>
      <c r="BQ8" s="51">
        <v>0.42430555555555555</v>
      </c>
      <c r="BR8" s="51">
        <v>0.42986111111111114</v>
      </c>
      <c r="BU8" t="s">
        <v>2855</v>
      </c>
      <c r="BV8">
        <v>23661830</v>
      </c>
      <c r="BW8" s="51">
        <v>0.71111111111111114</v>
      </c>
      <c r="BX8" s="51">
        <v>0.71388888888888891</v>
      </c>
      <c r="CA8" t="s">
        <v>2854</v>
      </c>
      <c r="CB8">
        <v>23677662</v>
      </c>
      <c r="CC8" s="51">
        <v>0.43888888888888888</v>
      </c>
      <c r="CD8" s="51">
        <v>0.43958333333333333</v>
      </c>
      <c r="CG8" t="s">
        <v>2852</v>
      </c>
      <c r="CH8">
        <v>23727870</v>
      </c>
      <c r="CI8" s="51">
        <v>0.47013888888888888</v>
      </c>
      <c r="CJ8" s="51">
        <v>0.47222222222222221</v>
      </c>
      <c r="CL8" s="172" t="s">
        <v>2846</v>
      </c>
      <c r="CM8" t="s">
        <v>2859</v>
      </c>
      <c r="CN8">
        <v>23742131</v>
      </c>
      <c r="CO8" s="51">
        <v>0.56041666666666667</v>
      </c>
      <c r="CP8" s="51">
        <v>0.5625</v>
      </c>
      <c r="CR8" s="172" t="s">
        <v>2846</v>
      </c>
      <c r="CS8" t="s">
        <v>2851</v>
      </c>
      <c r="CT8">
        <v>23798624</v>
      </c>
      <c r="CU8" s="51">
        <v>0.57499999999999996</v>
      </c>
      <c r="CV8" s="51">
        <v>0.57777777777777772</v>
      </c>
      <c r="DP8" s="172" t="s">
        <v>2846</v>
      </c>
      <c r="DQ8" t="s">
        <v>2849</v>
      </c>
      <c r="DR8">
        <v>24112100</v>
      </c>
      <c r="DS8" s="51">
        <v>0.6166666666666667</v>
      </c>
      <c r="DT8" s="51">
        <v>0.62013888888888891</v>
      </c>
      <c r="DU8" s="51">
        <v>0.63263888888888886</v>
      </c>
      <c r="DW8" s="172" t="s">
        <v>2846</v>
      </c>
      <c r="DX8" t="s">
        <v>2855</v>
      </c>
      <c r="DY8">
        <v>24155416</v>
      </c>
      <c r="DZ8" s="51">
        <v>0.62638888888888888</v>
      </c>
      <c r="EA8" s="51">
        <v>0.6479166666666667</v>
      </c>
      <c r="EB8" s="51">
        <v>0.65138888888888891</v>
      </c>
      <c r="ED8" s="172" t="s">
        <v>2846</v>
      </c>
      <c r="EE8" t="s">
        <v>2843</v>
      </c>
      <c r="EF8">
        <v>24189214</v>
      </c>
      <c r="EG8" s="51">
        <v>0.46388888888888891</v>
      </c>
      <c r="EH8" s="51">
        <v>0.46736111111111112</v>
      </c>
      <c r="EI8" s="51">
        <v>0.47013888888888888</v>
      </c>
      <c r="EK8" s="172" t="s">
        <v>2846</v>
      </c>
      <c r="EL8" t="s">
        <v>2850</v>
      </c>
      <c r="EM8">
        <v>24156734</v>
      </c>
      <c r="EN8" s="51">
        <v>0.52361111111111114</v>
      </c>
      <c r="EO8" s="51">
        <v>0.52638888888888891</v>
      </c>
      <c r="EP8" s="51">
        <v>0.54027777777777775</v>
      </c>
      <c r="ES8" t="s">
        <v>1091</v>
      </c>
      <c r="ET8">
        <v>24244458</v>
      </c>
      <c r="EU8" s="51">
        <v>0.48333333333333334</v>
      </c>
      <c r="EV8" s="51">
        <v>0.4861111111111111</v>
      </c>
      <c r="EW8" s="51">
        <v>0.48749999999999999</v>
      </c>
      <c r="EZ8" t="s">
        <v>35</v>
      </c>
      <c r="FA8">
        <v>24258488</v>
      </c>
      <c r="FB8" s="51">
        <v>0.51249999999999996</v>
      </c>
      <c r="FC8" s="51">
        <v>0.51527777777777772</v>
      </c>
      <c r="FD8" s="51">
        <v>0.52430555555555558</v>
      </c>
      <c r="FG8" t="s">
        <v>39</v>
      </c>
      <c r="FH8">
        <v>24264720</v>
      </c>
      <c r="FI8" s="51">
        <v>0.42916666666666664</v>
      </c>
      <c r="FJ8" s="51">
        <v>0.43263888888888891</v>
      </c>
      <c r="FK8" s="51">
        <v>0.43402777777777779</v>
      </c>
      <c r="FN8" t="s">
        <v>327</v>
      </c>
      <c r="FO8">
        <v>24282658</v>
      </c>
      <c r="FP8" s="51">
        <v>0.48541666666666666</v>
      </c>
      <c r="FQ8" s="51">
        <v>0.4909722222222222</v>
      </c>
      <c r="FR8" s="51">
        <v>0.49861111111111112</v>
      </c>
      <c r="FU8" t="s">
        <v>266</v>
      </c>
      <c r="FV8">
        <v>24342088</v>
      </c>
      <c r="FW8" s="51">
        <v>0.47916666666666669</v>
      </c>
      <c r="FX8" s="51">
        <v>0.48333333333333334</v>
      </c>
      <c r="FY8" s="51">
        <v>0.48472222222222222</v>
      </c>
      <c r="GB8" t="s">
        <v>95</v>
      </c>
      <c r="GC8">
        <v>24375688</v>
      </c>
      <c r="GD8" s="51">
        <v>0.62638888888888888</v>
      </c>
      <c r="GE8" s="51">
        <v>0.63541666666666663</v>
      </c>
      <c r="GF8" s="51">
        <v>0.64236111111111116</v>
      </c>
      <c r="GI8" t="s">
        <v>39</v>
      </c>
      <c r="GJ8">
        <v>24397608</v>
      </c>
      <c r="GK8" s="51">
        <v>0.47291666666666665</v>
      </c>
      <c r="GL8" s="51">
        <v>0.48333333333333334</v>
      </c>
      <c r="GM8" s="51">
        <v>0.48541666666666666</v>
      </c>
      <c r="GP8" t="s">
        <v>1946</v>
      </c>
      <c r="GQ8">
        <v>23808686</v>
      </c>
      <c r="GR8" s="51">
        <v>0.54791666666666672</v>
      </c>
      <c r="GS8" s="51">
        <v>0.54791666666666672</v>
      </c>
      <c r="GT8" s="51">
        <v>0.55486111111111114</v>
      </c>
      <c r="GW8" t="s">
        <v>62</v>
      </c>
      <c r="GX8">
        <v>24436100</v>
      </c>
      <c r="GY8" s="51">
        <v>0.47013888888888888</v>
      </c>
      <c r="GZ8" s="51">
        <v>0.47222222222222221</v>
      </c>
      <c r="HA8" s="51">
        <v>0.47361111111111109</v>
      </c>
      <c r="HD8" t="s">
        <v>35</v>
      </c>
      <c r="HE8">
        <v>24194850</v>
      </c>
      <c r="HF8" s="51">
        <v>0.50416666666666665</v>
      </c>
      <c r="HG8" s="51">
        <v>0.50694444444444442</v>
      </c>
      <c r="HH8" s="51">
        <v>0.51597222222222228</v>
      </c>
      <c r="HK8" t="s">
        <v>266</v>
      </c>
      <c r="HL8">
        <v>24508078</v>
      </c>
      <c r="HM8" s="51">
        <v>0.34722222222222221</v>
      </c>
      <c r="HN8" s="51">
        <v>0.35694444444444445</v>
      </c>
      <c r="HO8" s="51">
        <v>0.35902777777777778</v>
      </c>
      <c r="HR8" t="s">
        <v>266</v>
      </c>
      <c r="HS8">
        <v>24506056</v>
      </c>
      <c r="HT8" s="51">
        <v>0.54166666666666663</v>
      </c>
      <c r="HU8" s="51">
        <v>0.5444444444444444</v>
      </c>
      <c r="HV8" s="51">
        <v>0.54652777777777772</v>
      </c>
      <c r="HY8" t="s">
        <v>28</v>
      </c>
      <c r="HZ8">
        <v>24560966</v>
      </c>
      <c r="IA8" s="51">
        <v>0.37569444444444444</v>
      </c>
      <c r="IB8" s="51">
        <v>0.37638888888888888</v>
      </c>
      <c r="IC8" s="51">
        <v>0.37708333333333333</v>
      </c>
      <c r="IF8" t="s">
        <v>358</v>
      </c>
      <c r="IG8">
        <v>24739472</v>
      </c>
      <c r="IH8" s="51">
        <v>0.56666666666666665</v>
      </c>
      <c r="II8" s="51">
        <v>0.57291666666666663</v>
      </c>
      <c r="IJ8" s="51">
        <v>0.57430555555555551</v>
      </c>
      <c r="IM8" t="s">
        <v>1946</v>
      </c>
      <c r="IN8">
        <v>24746116</v>
      </c>
      <c r="IO8" s="51">
        <v>0.5</v>
      </c>
      <c r="IP8" s="51">
        <v>0.50347222222222221</v>
      </c>
      <c r="IQ8" s="51">
        <v>0.50555555555555554</v>
      </c>
      <c r="IT8" t="s">
        <v>95</v>
      </c>
      <c r="IU8">
        <v>24798358</v>
      </c>
      <c r="IV8" s="51">
        <v>0.6118055555555556</v>
      </c>
      <c r="IW8" s="51">
        <v>0.62916666666666665</v>
      </c>
      <c r="IX8" s="51">
        <v>0.63055555555555554</v>
      </c>
      <c r="JA8" t="s">
        <v>62</v>
      </c>
      <c r="JB8">
        <v>24842778</v>
      </c>
      <c r="JC8" s="51">
        <v>0.78333333333333333</v>
      </c>
      <c r="JD8" s="51">
        <v>0.78472222222222221</v>
      </c>
      <c r="JE8" s="51">
        <v>0.78680555555555554</v>
      </c>
      <c r="JH8" t="s">
        <v>28</v>
      </c>
      <c r="JI8">
        <v>24845400</v>
      </c>
      <c r="JJ8" s="51">
        <v>0.64027777777777772</v>
      </c>
      <c r="JK8" s="51">
        <v>0.65277777777777779</v>
      </c>
      <c r="JL8" s="51">
        <v>0.65555555555555556</v>
      </c>
      <c r="JO8" t="s">
        <v>2582</v>
      </c>
      <c r="JP8">
        <v>24863224</v>
      </c>
      <c r="JQ8" s="51">
        <v>0.44097222222222221</v>
      </c>
      <c r="JR8" s="51">
        <v>0.44374999999999998</v>
      </c>
      <c r="JS8" s="51">
        <v>0.48819444444444443</v>
      </c>
    </row>
    <row r="9" spans="1:286">
      <c r="A9" t="s">
        <v>2853</v>
      </c>
      <c r="B9">
        <v>23316886</v>
      </c>
      <c r="C9" s="51">
        <v>0.55625000000000002</v>
      </c>
      <c r="D9" s="51">
        <v>0.5625</v>
      </c>
      <c r="G9" t="s">
        <v>2860</v>
      </c>
      <c r="H9">
        <v>23354946</v>
      </c>
      <c r="I9" s="51">
        <v>0.50763888888888886</v>
      </c>
      <c r="J9" s="51">
        <v>0.50902777777777775</v>
      </c>
      <c r="M9" t="s">
        <v>2849</v>
      </c>
      <c r="N9">
        <v>23387140</v>
      </c>
      <c r="O9" s="51">
        <v>0.42430555555555555</v>
      </c>
      <c r="P9" s="51">
        <v>0.42986111111111114</v>
      </c>
      <c r="S9" t="s">
        <v>2853</v>
      </c>
      <c r="T9">
        <v>23413818</v>
      </c>
      <c r="U9" s="51">
        <v>0.40972222222222221</v>
      </c>
      <c r="V9" s="51">
        <v>0.41180555555555554</v>
      </c>
      <c r="Y9" t="s">
        <v>2851</v>
      </c>
      <c r="Z9">
        <v>23449984</v>
      </c>
      <c r="AA9" s="51">
        <v>0.43333333333333335</v>
      </c>
      <c r="AB9" s="51">
        <v>0.43611111111111112</v>
      </c>
      <c r="AE9" t="s">
        <v>2841</v>
      </c>
      <c r="AF9">
        <v>23449594</v>
      </c>
      <c r="AG9" s="51">
        <v>0.42291666666666666</v>
      </c>
      <c r="AH9" s="51">
        <v>0.42777777777777776</v>
      </c>
      <c r="AK9" t="s">
        <v>2843</v>
      </c>
      <c r="AL9">
        <v>23505370</v>
      </c>
      <c r="AM9" s="51">
        <v>0.43819444444444444</v>
      </c>
      <c r="AN9" s="51">
        <v>0.44027777777777777</v>
      </c>
      <c r="AQ9" t="s">
        <v>2852</v>
      </c>
      <c r="AR9">
        <v>23529192</v>
      </c>
      <c r="AS9" s="51">
        <v>0.44374999999999998</v>
      </c>
      <c r="AT9" s="51">
        <v>0.44513888888888886</v>
      </c>
      <c r="AW9" t="s">
        <v>2847</v>
      </c>
      <c r="AX9">
        <v>23572276</v>
      </c>
      <c r="AY9" s="51">
        <v>0.53819444444444442</v>
      </c>
      <c r="AZ9" s="51">
        <v>0.55138888888888893</v>
      </c>
      <c r="BC9" t="s">
        <v>2851</v>
      </c>
      <c r="BD9">
        <v>22128172</v>
      </c>
      <c r="BE9" s="51">
        <v>0.43541666666666667</v>
      </c>
      <c r="BF9" s="51">
        <v>0.43680555555555556</v>
      </c>
      <c r="BI9" t="s">
        <v>2853</v>
      </c>
      <c r="BJ9">
        <v>23628198</v>
      </c>
      <c r="BK9" s="51">
        <v>0.42291666666666666</v>
      </c>
      <c r="BL9" s="51">
        <v>0.4236111111111111</v>
      </c>
      <c r="BO9" t="s">
        <v>2857</v>
      </c>
      <c r="BP9">
        <v>23645820</v>
      </c>
      <c r="BQ9" s="51">
        <v>0.42986111111111114</v>
      </c>
      <c r="BR9" s="51">
        <v>0.43611111111111112</v>
      </c>
      <c r="BU9" t="s">
        <v>2854</v>
      </c>
      <c r="BV9">
        <v>23663152</v>
      </c>
      <c r="BW9" s="51">
        <v>0.71388888888888891</v>
      </c>
      <c r="BX9" s="51">
        <v>0.35972222222222222</v>
      </c>
      <c r="CA9" t="s">
        <v>2851</v>
      </c>
      <c r="CB9">
        <v>23682400</v>
      </c>
      <c r="CC9" s="51">
        <v>0.44236111111111109</v>
      </c>
      <c r="CD9" s="51">
        <v>0.44374999999999998</v>
      </c>
      <c r="CG9" t="s">
        <v>2850</v>
      </c>
      <c r="CH9">
        <v>23727890</v>
      </c>
      <c r="CI9" s="51">
        <v>0.47569444444444442</v>
      </c>
      <c r="CJ9" s="51">
        <v>0.47847222222222224</v>
      </c>
      <c r="CL9" s="172" t="s">
        <v>2846</v>
      </c>
      <c r="CM9" t="s">
        <v>2848</v>
      </c>
      <c r="CN9">
        <v>23757641</v>
      </c>
      <c r="CO9" s="51">
        <v>0.5625</v>
      </c>
      <c r="CP9" s="51">
        <v>0.56527777777777777</v>
      </c>
      <c r="CR9" s="172" t="s">
        <v>2846</v>
      </c>
      <c r="CS9" t="s">
        <v>2859</v>
      </c>
      <c r="CT9">
        <v>23795136</v>
      </c>
      <c r="CU9" s="51">
        <v>0.57847222222222228</v>
      </c>
      <c r="CV9" s="51">
        <v>0.58333333333333337</v>
      </c>
      <c r="DP9" s="172" t="s">
        <v>2846</v>
      </c>
      <c r="DQ9" t="s">
        <v>2858</v>
      </c>
      <c r="DR9">
        <v>24123358</v>
      </c>
      <c r="DS9" s="51">
        <v>0.62777777777777777</v>
      </c>
      <c r="DT9" s="51">
        <v>0.65277777777777779</v>
      </c>
      <c r="DU9" s="51">
        <v>0.66666666666666663</v>
      </c>
      <c r="DW9" s="172" t="s">
        <v>2846</v>
      </c>
      <c r="DX9" t="s">
        <v>2849</v>
      </c>
      <c r="DY9">
        <v>24150934</v>
      </c>
      <c r="DZ9" s="51">
        <v>0.62708333333333333</v>
      </c>
      <c r="EA9" s="51">
        <v>0.64930555555555558</v>
      </c>
      <c r="EB9" s="51">
        <v>0.65138888888888891</v>
      </c>
      <c r="ED9" s="172" t="s">
        <v>2846</v>
      </c>
      <c r="EE9" t="s">
        <v>2849</v>
      </c>
      <c r="EF9">
        <v>24175378</v>
      </c>
      <c r="EG9" s="51">
        <v>0.47569444444444442</v>
      </c>
      <c r="EH9" s="51">
        <v>0.47708333333333336</v>
      </c>
      <c r="EI9" s="51">
        <v>0.48541666666666666</v>
      </c>
      <c r="EK9" s="172" t="s">
        <v>2846</v>
      </c>
      <c r="EL9" t="s">
        <v>2840</v>
      </c>
      <c r="EM9">
        <v>23617548</v>
      </c>
      <c r="EN9" s="51">
        <v>0.54097222222222219</v>
      </c>
      <c r="EO9" s="51">
        <v>0.54791666666666672</v>
      </c>
      <c r="EP9" s="51">
        <v>0.5493055555555556</v>
      </c>
      <c r="ES9" t="s">
        <v>271</v>
      </c>
      <c r="ET9">
        <v>24206152</v>
      </c>
      <c r="EU9" s="51">
        <v>0.4861111111111111</v>
      </c>
      <c r="EV9" s="51">
        <v>0.4909722222222222</v>
      </c>
      <c r="EW9" s="51">
        <v>0.49375000000000002</v>
      </c>
      <c r="EZ9" t="s">
        <v>271</v>
      </c>
      <c r="FA9">
        <v>24251922</v>
      </c>
      <c r="FB9" s="51">
        <v>0.74236111111111114</v>
      </c>
      <c r="FC9" s="51">
        <v>0.50208333333333333</v>
      </c>
      <c r="FD9" s="51">
        <v>0.53402777777777777</v>
      </c>
      <c r="FG9" t="s">
        <v>35</v>
      </c>
      <c r="FH9">
        <v>24274398</v>
      </c>
      <c r="FI9" s="51">
        <v>0.42569444444444443</v>
      </c>
      <c r="FJ9" s="51">
        <v>0.4375</v>
      </c>
      <c r="FK9" s="51">
        <v>0.44374999999999998</v>
      </c>
      <c r="FN9" t="s">
        <v>39</v>
      </c>
      <c r="FO9">
        <v>24285520</v>
      </c>
      <c r="FP9" s="51">
        <v>0.49583333333333335</v>
      </c>
      <c r="FQ9" s="51">
        <v>0.50208333333333333</v>
      </c>
      <c r="FR9" s="51">
        <v>0.50555555555555554</v>
      </c>
      <c r="FU9" t="s">
        <v>1080</v>
      </c>
      <c r="FV9">
        <v>24346820</v>
      </c>
      <c r="FW9" s="51">
        <v>0.47986111111111113</v>
      </c>
      <c r="FX9" s="51">
        <v>0.48749999999999999</v>
      </c>
      <c r="FY9" s="51">
        <v>0.48819444444444443</v>
      </c>
      <c r="GB9" t="s">
        <v>271</v>
      </c>
      <c r="GC9">
        <v>24376962</v>
      </c>
      <c r="GD9" s="51">
        <v>0.63958333333333328</v>
      </c>
      <c r="GE9" s="51">
        <v>0.64513888888888893</v>
      </c>
      <c r="GF9" s="51">
        <v>0.6479166666666667</v>
      </c>
      <c r="GI9" t="s">
        <v>95</v>
      </c>
      <c r="GJ9">
        <v>24397820</v>
      </c>
      <c r="GK9" s="51">
        <v>0.48472222222222222</v>
      </c>
      <c r="GL9" s="51">
        <v>0.48958333333333331</v>
      </c>
      <c r="GM9" s="51">
        <v>0.49444444444444446</v>
      </c>
      <c r="GW9" t="s">
        <v>28</v>
      </c>
      <c r="GX9">
        <v>24436222</v>
      </c>
      <c r="GY9" s="51">
        <v>0.47083333333333333</v>
      </c>
      <c r="GZ9" s="51">
        <v>0.47499999999999998</v>
      </c>
      <c r="HA9" s="51">
        <v>0.47638888888888886</v>
      </c>
      <c r="HD9" t="s">
        <v>1091</v>
      </c>
      <c r="HE9">
        <v>24377376</v>
      </c>
      <c r="HF9" s="51">
        <v>0.51180555555555551</v>
      </c>
      <c r="HG9" s="51">
        <v>0.52013888888888893</v>
      </c>
      <c r="HH9" s="51">
        <v>0.52152777777777781</v>
      </c>
      <c r="HK9" t="s">
        <v>879</v>
      </c>
      <c r="HL9">
        <v>24505658</v>
      </c>
      <c r="HM9" s="51">
        <v>0.34861111111111109</v>
      </c>
      <c r="HN9" s="51">
        <v>0.35555555555555557</v>
      </c>
      <c r="HO9" s="51">
        <v>0.36041666666666666</v>
      </c>
      <c r="HR9" t="s">
        <v>39</v>
      </c>
      <c r="HS9">
        <v>24639144</v>
      </c>
      <c r="HT9" s="51">
        <v>0.54513888888888884</v>
      </c>
      <c r="HU9" s="51">
        <v>0.54791666666666672</v>
      </c>
      <c r="HV9" s="51">
        <v>0.55000000000000004</v>
      </c>
      <c r="HY9" t="s">
        <v>886</v>
      </c>
      <c r="HZ9">
        <v>24648992</v>
      </c>
      <c r="IA9" s="51">
        <v>0.37222222222222223</v>
      </c>
      <c r="IB9" s="51">
        <v>0.37291666666666667</v>
      </c>
      <c r="IC9" s="51">
        <v>0.375</v>
      </c>
      <c r="IF9" t="s">
        <v>62</v>
      </c>
      <c r="IG9">
        <v>24733372</v>
      </c>
      <c r="IH9" s="51">
        <v>0.56527777777777777</v>
      </c>
      <c r="II9" s="51">
        <v>0.57430555555555551</v>
      </c>
      <c r="IJ9" s="51">
        <v>0.5756944444444444</v>
      </c>
      <c r="IM9" t="s">
        <v>2059</v>
      </c>
      <c r="IN9">
        <v>23555868</v>
      </c>
      <c r="IO9" s="51">
        <v>0.53402777777777777</v>
      </c>
      <c r="IP9" s="51">
        <v>0.53611111111111109</v>
      </c>
      <c r="IQ9" s="51">
        <v>0.53680555555555554</v>
      </c>
      <c r="IT9" t="s">
        <v>62</v>
      </c>
      <c r="IU9">
        <v>24512994</v>
      </c>
      <c r="IV9" s="51">
        <v>0.61597222222222225</v>
      </c>
      <c r="IW9" s="51">
        <v>0.63124999999999998</v>
      </c>
      <c r="IX9" s="51">
        <v>0.6333333333333333</v>
      </c>
      <c r="JH9" t="s">
        <v>2582</v>
      </c>
      <c r="JI9">
        <v>24848912</v>
      </c>
      <c r="JJ9" s="51">
        <v>0.64722222222222225</v>
      </c>
      <c r="JK9" s="51">
        <v>0.65555555555555556</v>
      </c>
      <c r="JL9" s="51">
        <v>0.66805555555555551</v>
      </c>
      <c r="JO9" t="s">
        <v>90</v>
      </c>
      <c r="JP9">
        <v>24874688</v>
      </c>
      <c r="JQ9" s="51">
        <v>0.45763888888888887</v>
      </c>
      <c r="JR9" s="51">
        <v>0.47986111111111113</v>
      </c>
      <c r="JS9" s="51">
        <v>0.48055555555555557</v>
      </c>
    </row>
    <row r="10" spans="1:286">
      <c r="A10" t="s">
        <v>2860</v>
      </c>
      <c r="B10">
        <v>23317238</v>
      </c>
      <c r="C10" s="51">
        <v>0.61319444444444449</v>
      </c>
      <c r="D10" s="51">
        <v>0.61388888888888893</v>
      </c>
      <c r="G10" t="s">
        <v>2853</v>
      </c>
      <c r="H10">
        <v>23356506</v>
      </c>
      <c r="I10" s="51">
        <v>0.52569444444444446</v>
      </c>
      <c r="J10" s="51">
        <v>0.52777777777777779</v>
      </c>
      <c r="M10" t="s">
        <v>2847</v>
      </c>
      <c r="N10">
        <v>23395518</v>
      </c>
      <c r="O10" s="51">
        <v>0.45</v>
      </c>
      <c r="P10" s="51">
        <v>0.45555555555555555</v>
      </c>
      <c r="S10" t="s">
        <v>2856</v>
      </c>
      <c r="T10">
        <v>23411008</v>
      </c>
      <c r="U10" s="51">
        <v>0.41597222222222224</v>
      </c>
      <c r="V10" s="51">
        <v>0.42499999999999999</v>
      </c>
      <c r="Y10" t="s">
        <v>2843</v>
      </c>
      <c r="Z10">
        <v>23448778</v>
      </c>
      <c r="AA10" s="51">
        <v>0.43958333333333333</v>
      </c>
      <c r="AB10" s="51">
        <v>0.44722222222222224</v>
      </c>
      <c r="AE10" t="s">
        <v>2840</v>
      </c>
      <c r="AF10">
        <v>23472988</v>
      </c>
      <c r="AG10" s="51">
        <v>0.49583333333333335</v>
      </c>
      <c r="AH10" s="51">
        <v>0.49791666666666667</v>
      </c>
      <c r="AK10" t="s">
        <v>2840</v>
      </c>
      <c r="AL10">
        <v>23496458</v>
      </c>
      <c r="AM10" s="51">
        <v>0.45</v>
      </c>
      <c r="AN10" s="51">
        <v>0.45208333333333334</v>
      </c>
      <c r="AQ10" t="s">
        <v>2854</v>
      </c>
      <c r="AR10">
        <v>23529120</v>
      </c>
      <c r="AS10" s="51">
        <v>0.4597222222222222</v>
      </c>
      <c r="AT10" s="51">
        <v>0.46111111111111114</v>
      </c>
      <c r="AW10" t="s">
        <v>2856</v>
      </c>
      <c r="AX10">
        <v>23574330</v>
      </c>
      <c r="AY10" s="51">
        <v>0.59652777777777777</v>
      </c>
      <c r="AZ10" s="51">
        <v>0.59930555555555554</v>
      </c>
      <c r="BC10" t="s">
        <v>2853</v>
      </c>
      <c r="BD10">
        <v>23603210</v>
      </c>
      <c r="BE10" s="51">
        <v>0.44930555555555557</v>
      </c>
      <c r="BF10" s="51">
        <v>0.45347222222222222</v>
      </c>
      <c r="BI10" t="s">
        <v>2839</v>
      </c>
      <c r="BJ10">
        <v>23633758</v>
      </c>
      <c r="BK10" s="51">
        <v>0.4597222222222222</v>
      </c>
      <c r="BL10" s="51">
        <v>0.46111111111111114</v>
      </c>
      <c r="BO10" t="s">
        <v>1702</v>
      </c>
      <c r="BP10">
        <v>23645718</v>
      </c>
      <c r="BQ10" s="51">
        <v>0.43472222222222223</v>
      </c>
      <c r="BR10" s="51">
        <v>0.4513888888888889</v>
      </c>
      <c r="BU10" t="s">
        <v>2850</v>
      </c>
      <c r="BV10">
        <v>23663760</v>
      </c>
      <c r="BW10" s="51">
        <v>0.63402777777777775</v>
      </c>
      <c r="BX10" s="51">
        <v>0.63611111111111107</v>
      </c>
      <c r="CA10" t="s">
        <v>2850</v>
      </c>
      <c r="CB10">
        <v>23677336</v>
      </c>
      <c r="CC10" s="51">
        <v>0.44583333333333336</v>
      </c>
      <c r="CD10" s="51">
        <v>0.44861111111111113</v>
      </c>
      <c r="CG10" t="s">
        <v>2849</v>
      </c>
      <c r="CH10">
        <v>23728198</v>
      </c>
      <c r="CI10" s="51">
        <v>0.49166666666666664</v>
      </c>
      <c r="CJ10" s="51">
        <v>0.49444444444444446</v>
      </c>
      <c r="CL10" s="172" t="s">
        <v>2846</v>
      </c>
      <c r="CM10" t="s">
        <v>2849</v>
      </c>
      <c r="CN10">
        <v>23766780</v>
      </c>
      <c r="CO10" s="51">
        <v>0.60138888888888886</v>
      </c>
      <c r="CP10" s="51">
        <v>0.63958333333333328</v>
      </c>
      <c r="CR10" s="172" t="s">
        <v>2846</v>
      </c>
      <c r="CS10" t="s">
        <v>2849</v>
      </c>
      <c r="CT10">
        <v>23729930</v>
      </c>
      <c r="CU10" s="51">
        <v>0.58125000000000004</v>
      </c>
      <c r="CV10" s="51">
        <v>0.58263888888888893</v>
      </c>
      <c r="DP10" s="172" t="s">
        <v>2846</v>
      </c>
      <c r="DQ10" t="s">
        <v>2839</v>
      </c>
      <c r="DR10">
        <v>24118148</v>
      </c>
      <c r="DS10" s="51">
        <v>0.65138888888888891</v>
      </c>
      <c r="DT10" s="51">
        <v>0.65833333333333333</v>
      </c>
      <c r="DU10" s="51">
        <v>0.65972222222222221</v>
      </c>
      <c r="DW10" s="172" t="s">
        <v>2846</v>
      </c>
      <c r="DX10" t="s">
        <v>2843</v>
      </c>
      <c r="DY10">
        <v>24143988</v>
      </c>
      <c r="DZ10" s="51">
        <v>0.63402777777777775</v>
      </c>
      <c r="EA10" s="51">
        <v>0.65138888888888891</v>
      </c>
      <c r="EB10" s="51">
        <v>0.65277777777777779</v>
      </c>
      <c r="ED10" s="172" t="s">
        <v>2846</v>
      </c>
      <c r="EE10" t="s">
        <v>2859</v>
      </c>
      <c r="EF10">
        <v>24179344</v>
      </c>
      <c r="EG10" s="51">
        <v>0.50208333333333333</v>
      </c>
      <c r="EH10" s="51">
        <v>0.50486111111111109</v>
      </c>
      <c r="EI10" s="51">
        <v>0.50763888888888886</v>
      </c>
      <c r="EK10" s="172" t="s">
        <v>2846</v>
      </c>
      <c r="EL10" t="s">
        <v>2858</v>
      </c>
      <c r="EM10">
        <v>24207466</v>
      </c>
      <c r="EN10" s="51">
        <v>0.54722222222222228</v>
      </c>
      <c r="EO10" s="51">
        <v>0.55277777777777781</v>
      </c>
      <c r="EP10" s="51">
        <v>0.5625</v>
      </c>
      <c r="ES10" t="s">
        <v>1080</v>
      </c>
      <c r="ET10">
        <v>24243322</v>
      </c>
      <c r="EU10" s="51">
        <v>0.49375000000000002</v>
      </c>
      <c r="EV10" s="51">
        <v>0.50208333333333333</v>
      </c>
      <c r="EW10" s="51">
        <v>0.50555555555555554</v>
      </c>
      <c r="EZ10" t="s">
        <v>39</v>
      </c>
      <c r="FA10">
        <v>24262416</v>
      </c>
      <c r="FB10" s="51">
        <v>0.54722222222222228</v>
      </c>
      <c r="FC10" s="51">
        <v>0.54791666666666672</v>
      </c>
      <c r="FD10" s="51">
        <v>0.55000000000000004</v>
      </c>
      <c r="FG10" t="s">
        <v>55</v>
      </c>
      <c r="FH10">
        <v>24258240</v>
      </c>
      <c r="FI10" s="51">
        <v>0.37152777777777779</v>
      </c>
      <c r="FJ10" s="51">
        <v>0.43958333333333333</v>
      </c>
      <c r="FK10" s="51">
        <v>0.44861111111111113</v>
      </c>
      <c r="FN10" t="s">
        <v>266</v>
      </c>
      <c r="FO10">
        <v>24306348</v>
      </c>
      <c r="FP10" s="51">
        <v>0.50138888888888888</v>
      </c>
      <c r="FQ10" s="51">
        <v>0.50347222222222221</v>
      </c>
      <c r="FR10" s="51">
        <v>0.50555555555555554</v>
      </c>
      <c r="FU10" t="s">
        <v>62</v>
      </c>
      <c r="FV10">
        <v>24344264</v>
      </c>
      <c r="FW10" s="51">
        <v>0.48888888888888887</v>
      </c>
      <c r="FX10" s="51">
        <v>0.4909722222222222</v>
      </c>
      <c r="FY10" s="51">
        <v>0.4909722222222222</v>
      </c>
      <c r="GB10" t="s">
        <v>62</v>
      </c>
      <c r="GC10">
        <v>24378904</v>
      </c>
      <c r="GD10" s="51">
        <v>0.64166666666666672</v>
      </c>
      <c r="GE10" s="51">
        <v>0.64861111111111114</v>
      </c>
      <c r="GF10" s="51">
        <v>0.65</v>
      </c>
      <c r="GI10" t="s">
        <v>271</v>
      </c>
      <c r="GJ10">
        <v>22591716</v>
      </c>
      <c r="GK10" s="51">
        <v>0.49375000000000002</v>
      </c>
      <c r="GL10" s="51">
        <v>0.49375000000000002</v>
      </c>
      <c r="GM10" s="51">
        <v>0.49930555555555556</v>
      </c>
      <c r="GW10" t="s">
        <v>879</v>
      </c>
      <c r="GX10">
        <v>24174154</v>
      </c>
      <c r="GY10" s="51">
        <v>0.47222222222222221</v>
      </c>
      <c r="GZ10" s="51">
        <v>0.47638888888888886</v>
      </c>
      <c r="HA10" s="51">
        <v>0.47986111111111113</v>
      </c>
      <c r="HD10" t="s">
        <v>28</v>
      </c>
      <c r="HE10">
        <v>24140380</v>
      </c>
      <c r="HF10" s="51">
        <v>0.51527777777777772</v>
      </c>
      <c r="HG10" s="51">
        <v>0.52222222222222225</v>
      </c>
      <c r="HH10" s="51">
        <v>0.52500000000000002</v>
      </c>
      <c r="HK10" t="s">
        <v>39</v>
      </c>
      <c r="HL10">
        <v>24507922</v>
      </c>
      <c r="HM10" s="51">
        <v>0.37291666666666667</v>
      </c>
      <c r="HN10" s="51">
        <v>0.37222222222222223</v>
      </c>
      <c r="HO10" s="51">
        <v>0.37430555555555556</v>
      </c>
      <c r="HR10" t="s">
        <v>348</v>
      </c>
      <c r="HS10">
        <v>24643024</v>
      </c>
      <c r="HT10" s="51">
        <v>0.68888888888888888</v>
      </c>
      <c r="HU10" s="51">
        <v>0.69166666666666665</v>
      </c>
      <c r="HV10" s="51">
        <v>0.6958333333333333</v>
      </c>
      <c r="HY10" t="s">
        <v>348</v>
      </c>
      <c r="HZ10">
        <v>24664610</v>
      </c>
      <c r="IA10" s="51">
        <v>0.37291666666666667</v>
      </c>
      <c r="IB10" s="51">
        <v>0.375</v>
      </c>
      <c r="IC10" s="51">
        <v>0.37708333333333333</v>
      </c>
      <c r="IF10" t="s">
        <v>358</v>
      </c>
      <c r="IG10">
        <v>24733076</v>
      </c>
      <c r="IH10" s="51">
        <v>0.5805555555555556</v>
      </c>
      <c r="II10" s="51">
        <v>0.58194444444444449</v>
      </c>
      <c r="IJ10" s="51">
        <v>0.58333333333333337</v>
      </c>
      <c r="IM10" t="s">
        <v>90</v>
      </c>
      <c r="IN10">
        <v>24754950</v>
      </c>
      <c r="IO10" s="51">
        <v>0.54583333333333328</v>
      </c>
      <c r="IP10" s="51">
        <v>0.55000000000000004</v>
      </c>
      <c r="IQ10" s="51">
        <v>0.58125000000000004</v>
      </c>
      <c r="IT10" t="s">
        <v>327</v>
      </c>
      <c r="IU10">
        <v>24815046</v>
      </c>
      <c r="IV10" s="51">
        <v>0.63124999999999998</v>
      </c>
      <c r="IW10" s="51">
        <v>0.63541666666666663</v>
      </c>
      <c r="IX10" s="51">
        <v>0.64097222222222228</v>
      </c>
      <c r="JH10" t="s">
        <v>1091</v>
      </c>
      <c r="JI10">
        <v>24852260</v>
      </c>
      <c r="JJ10" s="51">
        <v>0.65208333333333335</v>
      </c>
      <c r="JK10" s="51">
        <v>0.65694444444444444</v>
      </c>
      <c r="JL10" s="51">
        <v>0.67152777777777772</v>
      </c>
      <c r="JO10" t="s">
        <v>327</v>
      </c>
      <c r="JP10">
        <v>24885112</v>
      </c>
      <c r="JQ10" s="51">
        <v>0.47916666666666669</v>
      </c>
      <c r="JR10" s="51">
        <v>0.48472222222222222</v>
      </c>
      <c r="JS10" s="51">
        <v>0.49166666666666664</v>
      </c>
    </row>
    <row r="11" spans="1:286">
      <c r="A11" t="s">
        <v>2842</v>
      </c>
      <c r="B11">
        <v>23316542</v>
      </c>
      <c r="C11" s="51">
        <v>0.55833333333333335</v>
      </c>
      <c r="D11" s="51">
        <v>0.56319444444444444</v>
      </c>
      <c r="G11" s="57" t="s">
        <v>2839</v>
      </c>
      <c r="H11" s="57">
        <v>23361246</v>
      </c>
      <c r="I11" s="58">
        <v>0.56527777777777777</v>
      </c>
      <c r="J11" s="58">
        <v>0.57430555555555551</v>
      </c>
      <c r="M11" t="s">
        <v>2849</v>
      </c>
      <c r="N11">
        <v>23395454</v>
      </c>
      <c r="O11" s="51">
        <v>0.45555555555555555</v>
      </c>
      <c r="P11" s="51">
        <v>0.45763888888888887</v>
      </c>
      <c r="S11" t="s">
        <v>2841</v>
      </c>
      <c r="T11">
        <v>23412012</v>
      </c>
      <c r="U11" s="51">
        <v>0.41736111111111113</v>
      </c>
      <c r="V11" s="51">
        <v>0.43194444444444446</v>
      </c>
      <c r="Y11" t="s">
        <v>2851</v>
      </c>
      <c r="Z11">
        <v>23407274</v>
      </c>
      <c r="AA11" s="51">
        <v>0.45624999999999999</v>
      </c>
      <c r="AB11" s="51">
        <v>0.45694444444444443</v>
      </c>
      <c r="AE11" t="s">
        <v>2840</v>
      </c>
      <c r="AF11">
        <v>23472932</v>
      </c>
      <c r="AG11" s="51">
        <v>0.50138888888888888</v>
      </c>
      <c r="AH11" s="51">
        <v>0.50208333333333333</v>
      </c>
      <c r="AK11" t="s">
        <v>2856</v>
      </c>
      <c r="AL11">
        <v>23510100</v>
      </c>
      <c r="AM11" s="51">
        <v>0.45416666666666666</v>
      </c>
      <c r="AN11" s="51">
        <v>0.45624999999999999</v>
      </c>
      <c r="AQ11" t="s">
        <v>2852</v>
      </c>
      <c r="AR11">
        <v>23541394</v>
      </c>
      <c r="AS11" s="51">
        <v>0.48819444444444443</v>
      </c>
      <c r="AT11" s="51">
        <v>0.4909722222222222</v>
      </c>
      <c r="AW11" t="s">
        <v>2844</v>
      </c>
      <c r="AX11">
        <v>23517248</v>
      </c>
      <c r="AY11" s="51">
        <v>0.60902777777777772</v>
      </c>
      <c r="AZ11" s="51">
        <v>0.62708333333333333</v>
      </c>
      <c r="BC11" t="s">
        <v>2843</v>
      </c>
      <c r="BD11">
        <v>23603816</v>
      </c>
      <c r="BE11" s="51">
        <v>0.48888888888888887</v>
      </c>
      <c r="BF11" s="51">
        <v>0.49166666666666664</v>
      </c>
      <c r="BI11" t="s">
        <v>2856</v>
      </c>
      <c r="BJ11">
        <v>23638114</v>
      </c>
      <c r="BK11" s="51">
        <v>0.50972222222222219</v>
      </c>
      <c r="BL11" s="51">
        <v>0.51111111111111107</v>
      </c>
      <c r="BO11" t="s">
        <v>2845</v>
      </c>
      <c r="BP11">
        <v>23652660</v>
      </c>
      <c r="BQ11" s="51">
        <v>0.4375</v>
      </c>
      <c r="BR11" s="51">
        <v>0.43819444444444444</v>
      </c>
      <c r="BU11" t="s">
        <v>1702</v>
      </c>
      <c r="BV11">
        <v>23663956</v>
      </c>
      <c r="BW11" s="51">
        <v>0.64652777777777781</v>
      </c>
      <c r="BX11" s="51">
        <v>0.64930555555555558</v>
      </c>
      <c r="CA11" t="s">
        <v>2843</v>
      </c>
      <c r="CB11">
        <v>23682310</v>
      </c>
      <c r="CC11" s="51">
        <v>0.44791666666666669</v>
      </c>
      <c r="CD11" s="51">
        <v>0.4513888888888889</v>
      </c>
      <c r="CG11" t="s">
        <v>2856</v>
      </c>
      <c r="CH11">
        <v>23730476</v>
      </c>
      <c r="CI11" s="51">
        <v>0.54166666666666663</v>
      </c>
      <c r="CJ11" s="51">
        <v>0.5444444444444444</v>
      </c>
      <c r="CL11" s="172" t="s">
        <v>2846</v>
      </c>
      <c r="CM11" t="s">
        <v>2854</v>
      </c>
      <c r="CN11">
        <v>23763509</v>
      </c>
      <c r="CO11" s="51">
        <v>0.6166666666666667</v>
      </c>
      <c r="CP11" s="51">
        <v>0.62222222222222223</v>
      </c>
      <c r="CR11" s="172" t="s">
        <v>2846</v>
      </c>
      <c r="CS11" t="s">
        <v>2850</v>
      </c>
      <c r="CT11">
        <v>23799212</v>
      </c>
      <c r="CU11" s="51">
        <v>0.61597222222222225</v>
      </c>
      <c r="CV11" s="51">
        <v>0.62083333333333335</v>
      </c>
      <c r="DP11" s="172" t="s">
        <v>2846</v>
      </c>
      <c r="DQ11" t="s">
        <v>2850</v>
      </c>
      <c r="DR11">
        <v>24117474</v>
      </c>
      <c r="DS11" s="51">
        <v>0.67222222222222228</v>
      </c>
      <c r="DT11" s="51">
        <v>0.67847222222222225</v>
      </c>
      <c r="DU11" s="51">
        <v>0.68055555555555558</v>
      </c>
      <c r="DW11" s="172" t="s">
        <v>2846</v>
      </c>
      <c r="DX11" t="s">
        <v>2850</v>
      </c>
      <c r="DY11">
        <v>24153144</v>
      </c>
      <c r="DZ11" s="51">
        <v>0.64375000000000004</v>
      </c>
      <c r="EA11" s="51">
        <v>0.65277777777777779</v>
      </c>
      <c r="EB11" s="51">
        <v>0.65694444444444444</v>
      </c>
      <c r="ED11" s="172" t="s">
        <v>2846</v>
      </c>
      <c r="EE11" t="s">
        <v>2860</v>
      </c>
      <c r="EF11">
        <v>24187756</v>
      </c>
      <c r="EG11" s="51">
        <v>0.5083333333333333</v>
      </c>
      <c r="EH11" s="51">
        <v>0.50902777777777775</v>
      </c>
      <c r="EI11" s="51">
        <v>0.51111111111111107</v>
      </c>
      <c r="EK11" s="172" t="s">
        <v>2846</v>
      </c>
      <c r="EL11" t="s">
        <v>2843</v>
      </c>
      <c r="EM11">
        <v>24204480</v>
      </c>
      <c r="EN11" s="51">
        <v>0.57708333333333328</v>
      </c>
      <c r="EO11" s="51">
        <v>0.58472222222222225</v>
      </c>
      <c r="EP11" s="51">
        <v>0.58819444444444446</v>
      </c>
      <c r="ES11" t="s">
        <v>266</v>
      </c>
      <c r="ET11">
        <v>24245006</v>
      </c>
      <c r="EU11" s="51">
        <v>0.49583333333333335</v>
      </c>
      <c r="EV11" s="51">
        <v>0.50347222222222221</v>
      </c>
      <c r="EW11" s="51">
        <v>0.50624999999999998</v>
      </c>
      <c r="FG11" t="s">
        <v>98</v>
      </c>
      <c r="FH11">
        <v>24254170</v>
      </c>
      <c r="FI11" s="51">
        <v>0.37916666666666665</v>
      </c>
      <c r="FJ11" s="51">
        <v>0.44097222222222221</v>
      </c>
      <c r="FK11" s="51">
        <v>0.44583333333333336</v>
      </c>
      <c r="FN11" t="s">
        <v>348</v>
      </c>
      <c r="FO11">
        <v>24305176</v>
      </c>
      <c r="FP11" s="51">
        <v>0.50902777777777775</v>
      </c>
      <c r="FQ11" s="51">
        <v>0.5180555555555556</v>
      </c>
      <c r="FR11" s="51">
        <v>0.51875000000000004</v>
      </c>
      <c r="FU11" t="s">
        <v>90</v>
      </c>
      <c r="FV11">
        <v>24334756</v>
      </c>
      <c r="FW11" s="51">
        <v>0.48541666666666666</v>
      </c>
      <c r="FX11" s="51">
        <v>0.49305555555555558</v>
      </c>
      <c r="FY11" s="51">
        <v>0.49930555555555556</v>
      </c>
      <c r="GB11" t="s">
        <v>39</v>
      </c>
      <c r="GC11">
        <v>24379392</v>
      </c>
      <c r="GD11" s="51">
        <v>0.6479166666666667</v>
      </c>
      <c r="GE11" s="51">
        <v>0.65069444444444446</v>
      </c>
      <c r="GF11" s="51">
        <v>0.65347222222222223</v>
      </c>
      <c r="GI11" t="s">
        <v>1946</v>
      </c>
      <c r="GJ11">
        <v>24204694</v>
      </c>
      <c r="GK11" s="51">
        <v>0.51527777777777772</v>
      </c>
      <c r="GL11" s="51">
        <v>0.5180555555555556</v>
      </c>
      <c r="GM11" s="51">
        <v>0.52569444444444446</v>
      </c>
      <c r="GW11" t="s">
        <v>98</v>
      </c>
      <c r="GX11">
        <v>24431628</v>
      </c>
      <c r="GY11" s="51">
        <v>0.49236111111111114</v>
      </c>
      <c r="GZ11" s="51">
        <v>0.49652777777777779</v>
      </c>
      <c r="HA11" s="51">
        <v>0.50277777777777777</v>
      </c>
      <c r="HD11" t="s">
        <v>1946</v>
      </c>
      <c r="HE11">
        <v>24363678</v>
      </c>
      <c r="HF11" s="51">
        <v>0.59375</v>
      </c>
      <c r="HG11" s="51">
        <v>0.59791666666666665</v>
      </c>
      <c r="HH11" s="51">
        <v>0.6069444444444444</v>
      </c>
      <c r="HK11" t="s">
        <v>1080</v>
      </c>
      <c r="HL11">
        <v>24509532</v>
      </c>
      <c r="HM11" s="51">
        <v>0.36041666666666666</v>
      </c>
      <c r="HN11" s="51">
        <v>0.37361111111111112</v>
      </c>
      <c r="HO11" s="51">
        <v>0.37708333333333333</v>
      </c>
      <c r="HR11" t="s">
        <v>28</v>
      </c>
      <c r="HS11">
        <v>24637060</v>
      </c>
      <c r="HT11" s="51">
        <v>0.69374999999999998</v>
      </c>
      <c r="HU11" s="51">
        <v>0.69791666666666663</v>
      </c>
      <c r="HV11" s="51">
        <v>0.7</v>
      </c>
      <c r="HY11" t="s">
        <v>98</v>
      </c>
      <c r="HZ11">
        <v>24561580</v>
      </c>
      <c r="IA11" s="51">
        <v>0.38124999999999998</v>
      </c>
      <c r="IB11" s="51">
        <v>0.40208333333333335</v>
      </c>
      <c r="IC11" s="51">
        <v>0.40347222222222223</v>
      </c>
      <c r="IF11" t="s">
        <v>327</v>
      </c>
      <c r="IG11">
        <v>24668210</v>
      </c>
      <c r="IH11" s="51">
        <v>0.59166666666666667</v>
      </c>
      <c r="II11" s="51">
        <v>0.59722222222222221</v>
      </c>
      <c r="IJ11" s="51">
        <v>0.61250000000000004</v>
      </c>
      <c r="IM11" t="s">
        <v>1946</v>
      </c>
      <c r="IN11">
        <v>24782818</v>
      </c>
      <c r="IO11" s="51">
        <v>0.54166666666666663</v>
      </c>
      <c r="IP11" s="51">
        <v>0.55277777777777781</v>
      </c>
      <c r="IQ11" s="51">
        <v>0.55555555555555558</v>
      </c>
      <c r="IT11" t="s">
        <v>2827</v>
      </c>
      <c r="IU11">
        <v>24806836</v>
      </c>
      <c r="IV11" s="51">
        <v>0.65</v>
      </c>
      <c r="IW11" s="51">
        <v>0.65972222222222221</v>
      </c>
      <c r="IX11" s="51">
        <v>0.68194444444444446</v>
      </c>
      <c r="JH11" t="s">
        <v>39</v>
      </c>
      <c r="JI11">
        <v>24388108</v>
      </c>
      <c r="JJ11" s="51">
        <v>0.64861111111111114</v>
      </c>
      <c r="JK11" s="51">
        <v>0.65833333333333333</v>
      </c>
      <c r="JL11" s="51">
        <v>0.66597222222222219</v>
      </c>
      <c r="JO11" t="s">
        <v>1080</v>
      </c>
      <c r="JP11">
        <v>24863308</v>
      </c>
      <c r="JQ11" s="51">
        <v>0.49513888888888891</v>
      </c>
      <c r="JR11" s="51">
        <v>0.49791666666666667</v>
      </c>
      <c r="JS11" s="51">
        <v>0.50763888888888886</v>
      </c>
    </row>
    <row r="12" spans="1:286">
      <c r="A12" t="s">
        <v>2852</v>
      </c>
      <c r="B12">
        <v>23316200</v>
      </c>
      <c r="C12" s="51">
        <v>0.74652777777777779</v>
      </c>
      <c r="D12" s="51">
        <v>0.75</v>
      </c>
      <c r="G12" t="s">
        <v>2842</v>
      </c>
      <c r="H12">
        <v>23366228</v>
      </c>
      <c r="I12" s="51">
        <v>0.56736111111111109</v>
      </c>
      <c r="J12" s="51">
        <v>0.56944444444444442</v>
      </c>
      <c r="M12" t="s">
        <v>2860</v>
      </c>
      <c r="N12">
        <v>23396260</v>
      </c>
      <c r="O12" s="51">
        <v>0.5</v>
      </c>
      <c r="P12" s="51">
        <v>0.50486111111111109</v>
      </c>
      <c r="S12" t="s">
        <v>2854</v>
      </c>
      <c r="T12">
        <v>23411914</v>
      </c>
      <c r="U12" s="51">
        <v>0.41944444444444445</v>
      </c>
      <c r="V12" s="51">
        <v>0.4201388888888889</v>
      </c>
      <c r="Y12" t="s">
        <v>2843</v>
      </c>
      <c r="Z12">
        <v>23451164</v>
      </c>
      <c r="AA12" s="51">
        <v>0.4597222222222222</v>
      </c>
      <c r="AB12" s="51">
        <v>0.46111111111111114</v>
      </c>
      <c r="AE12" t="s">
        <v>2852</v>
      </c>
      <c r="AF12">
        <v>23474020</v>
      </c>
      <c r="AG12" s="51">
        <v>0.55208333333333337</v>
      </c>
      <c r="AH12" s="51">
        <v>0.56041666666666667</v>
      </c>
      <c r="AK12" t="s">
        <v>2851</v>
      </c>
      <c r="AL12">
        <v>23494478</v>
      </c>
      <c r="AM12" s="51">
        <v>0.46041666666666664</v>
      </c>
      <c r="AN12" s="51">
        <v>0.46180555555555558</v>
      </c>
      <c r="AQ12" t="s">
        <v>2840</v>
      </c>
      <c r="AR12">
        <v>23544198</v>
      </c>
      <c r="AS12" s="51">
        <v>0.52916666666666667</v>
      </c>
      <c r="AT12" s="51">
        <v>0.52986111111111112</v>
      </c>
      <c r="AW12" t="s">
        <v>2844</v>
      </c>
      <c r="AX12">
        <v>23577310</v>
      </c>
      <c r="AY12" s="51">
        <v>0.64930555555555558</v>
      </c>
      <c r="AZ12" s="51">
        <v>0.65833333333333333</v>
      </c>
      <c r="BC12" t="s">
        <v>2842</v>
      </c>
      <c r="BD12">
        <v>23607278</v>
      </c>
      <c r="BE12" s="51">
        <v>0.55972222222222223</v>
      </c>
      <c r="BF12" s="51">
        <v>0.56458333333333333</v>
      </c>
      <c r="BI12" t="s">
        <v>2842</v>
      </c>
      <c r="BJ12">
        <v>23638256</v>
      </c>
      <c r="BK12" s="51">
        <v>0.51388888888888884</v>
      </c>
      <c r="BL12" s="51">
        <v>0.51736111111111116</v>
      </c>
      <c r="BO12" t="s">
        <v>2856</v>
      </c>
      <c r="BP12">
        <v>23655578</v>
      </c>
      <c r="BQ12" s="51">
        <v>0.45</v>
      </c>
      <c r="BR12" s="51">
        <v>0.45208333333333334</v>
      </c>
      <c r="BU12" t="s">
        <v>2845</v>
      </c>
      <c r="BV12">
        <v>23664094</v>
      </c>
      <c r="BW12" s="51">
        <v>0.69722222222222219</v>
      </c>
      <c r="BX12" s="51">
        <v>0.69861111111111107</v>
      </c>
      <c r="CA12" t="s">
        <v>2850</v>
      </c>
      <c r="CB12">
        <v>23682004</v>
      </c>
      <c r="CC12" s="51">
        <v>0.44930555555555557</v>
      </c>
      <c r="CD12" s="51">
        <v>0.4513888888888889</v>
      </c>
      <c r="CG12" t="s">
        <v>2839</v>
      </c>
      <c r="CH12">
        <v>23732082</v>
      </c>
      <c r="CI12" s="51">
        <v>0.60763888888888884</v>
      </c>
      <c r="CJ12" s="51">
        <v>0.60833333333333328</v>
      </c>
      <c r="CL12" s="172" t="s">
        <v>2846</v>
      </c>
      <c r="CM12" t="s">
        <v>2854</v>
      </c>
      <c r="CN12">
        <v>23770102</v>
      </c>
      <c r="CO12" s="51">
        <v>0.66597222222222219</v>
      </c>
      <c r="CP12" s="51">
        <v>0.6694444444444444</v>
      </c>
      <c r="CR12" s="172" t="s">
        <v>2846</v>
      </c>
      <c r="CS12" t="s">
        <v>2850</v>
      </c>
      <c r="CT12">
        <v>23803036</v>
      </c>
      <c r="CU12" s="51">
        <v>0.64722222222222225</v>
      </c>
      <c r="CV12" s="51">
        <v>0.65138888888888891</v>
      </c>
      <c r="DP12" s="172" t="s">
        <v>2846</v>
      </c>
      <c r="DQ12" t="s">
        <v>2858</v>
      </c>
      <c r="DR12">
        <v>24131178</v>
      </c>
      <c r="DS12" s="51">
        <v>0.7</v>
      </c>
      <c r="DT12" s="51">
        <v>0.70763888888888893</v>
      </c>
      <c r="DU12" s="51">
        <v>0.71527777777777779</v>
      </c>
      <c r="DW12" s="172" t="s">
        <v>2846</v>
      </c>
      <c r="DX12" t="s">
        <v>2849</v>
      </c>
      <c r="DY12">
        <v>24156254</v>
      </c>
      <c r="DZ12" s="51">
        <v>0.64583333333333337</v>
      </c>
      <c r="EA12" s="51">
        <v>0.65138888888888891</v>
      </c>
      <c r="EB12" s="51">
        <v>0.65416666666666667</v>
      </c>
      <c r="ED12" s="172" t="s">
        <v>2846</v>
      </c>
      <c r="EE12" t="s">
        <v>2840</v>
      </c>
      <c r="EF12">
        <v>24189738</v>
      </c>
      <c r="EG12" s="51">
        <v>0.50555555555555554</v>
      </c>
      <c r="EH12" s="51">
        <v>0.51111111111111107</v>
      </c>
      <c r="EI12" s="51">
        <v>0.51249999999999996</v>
      </c>
      <c r="EK12" s="172" t="s">
        <v>2846</v>
      </c>
      <c r="EL12" t="s">
        <v>2840</v>
      </c>
      <c r="EM12">
        <v>24206450</v>
      </c>
      <c r="EN12" s="51">
        <v>0.60138888888888886</v>
      </c>
      <c r="EO12" s="51">
        <v>0.61944444444444446</v>
      </c>
      <c r="EP12" s="51">
        <v>0.62152777777777779</v>
      </c>
      <c r="ES12" t="s">
        <v>90</v>
      </c>
      <c r="ET12">
        <v>24226786</v>
      </c>
      <c r="EU12" s="51">
        <v>0.49930555555555556</v>
      </c>
      <c r="EV12" s="51">
        <v>0.50486111111111109</v>
      </c>
      <c r="EW12" s="51">
        <v>0.50763888888888886</v>
      </c>
      <c r="FG12" t="s">
        <v>28</v>
      </c>
      <c r="FH12">
        <v>24269314</v>
      </c>
      <c r="FI12" s="51">
        <v>0.38472222222222224</v>
      </c>
      <c r="FJ12" s="51">
        <v>0.44374999999999998</v>
      </c>
      <c r="FK12" s="51">
        <v>0.44374999999999998</v>
      </c>
      <c r="FN12" t="s">
        <v>28</v>
      </c>
      <c r="FO12">
        <v>24307352</v>
      </c>
      <c r="FP12" s="51">
        <v>0.51527777777777772</v>
      </c>
      <c r="FQ12" s="51">
        <v>0.51944444444444449</v>
      </c>
      <c r="FR12" s="51">
        <v>0.52013888888888893</v>
      </c>
      <c r="FU12" t="s">
        <v>358</v>
      </c>
      <c r="FV12">
        <v>24347364</v>
      </c>
      <c r="FW12" s="51">
        <v>0.48958333333333331</v>
      </c>
      <c r="FX12" s="51">
        <v>0.49513888888888891</v>
      </c>
      <c r="FY12" s="51">
        <v>0.50138888888888888</v>
      </c>
      <c r="GB12" t="s">
        <v>1910</v>
      </c>
      <c r="GC12">
        <v>24375538</v>
      </c>
      <c r="GD12" s="51">
        <v>0.6645833333333333</v>
      </c>
      <c r="GE12" s="51">
        <v>0.67708333333333337</v>
      </c>
      <c r="GF12" s="51">
        <v>0.67847222222222225</v>
      </c>
      <c r="GI12" t="s">
        <v>271</v>
      </c>
      <c r="GJ12">
        <v>24383926</v>
      </c>
      <c r="GK12" s="51">
        <v>0.53611111111111109</v>
      </c>
      <c r="GL12" s="51">
        <v>0.53888888888888886</v>
      </c>
      <c r="GM12" s="51">
        <v>0.54652777777777772</v>
      </c>
      <c r="GW12" t="s">
        <v>266</v>
      </c>
      <c r="GX12">
        <v>24400734</v>
      </c>
      <c r="GY12" s="51">
        <v>0.5</v>
      </c>
      <c r="GZ12" s="51">
        <v>0.50902777777777775</v>
      </c>
      <c r="HA12" s="51">
        <v>0.51180555555555551</v>
      </c>
      <c r="HD12" t="s">
        <v>98</v>
      </c>
      <c r="HE12">
        <v>24232976</v>
      </c>
      <c r="HF12" s="51">
        <v>0.67083333333333328</v>
      </c>
      <c r="HG12" s="51">
        <v>0.6743055555555556</v>
      </c>
      <c r="HH12" s="51">
        <v>0.67638888888888893</v>
      </c>
      <c r="HK12" t="s">
        <v>879</v>
      </c>
      <c r="HL12">
        <v>24508832</v>
      </c>
      <c r="HM12" s="51">
        <v>0.35416666666666669</v>
      </c>
      <c r="HN12" s="51">
        <v>0.3611111111111111</v>
      </c>
      <c r="HO12" s="51">
        <v>0.36805555555555558</v>
      </c>
      <c r="HR12" t="s">
        <v>1091</v>
      </c>
      <c r="HS12">
        <v>24583688</v>
      </c>
      <c r="HT12" s="51">
        <v>0.74583333333333335</v>
      </c>
      <c r="HU12" s="51">
        <v>0.74652777777777779</v>
      </c>
      <c r="HV12" s="51">
        <v>0.74791666666666667</v>
      </c>
      <c r="HY12" t="s">
        <v>2059</v>
      </c>
      <c r="HZ12">
        <v>24663518</v>
      </c>
      <c r="IA12" s="51">
        <v>0.3840277777777778</v>
      </c>
      <c r="IB12" s="51">
        <v>0.40694444444444444</v>
      </c>
      <c r="IC12" s="51">
        <v>0.40902777777777777</v>
      </c>
      <c r="IF12" t="s">
        <v>39</v>
      </c>
      <c r="IG12">
        <v>24745156</v>
      </c>
      <c r="IH12" s="51">
        <v>0.61597222222222225</v>
      </c>
      <c r="II12" s="51">
        <v>0.62569444444444444</v>
      </c>
      <c r="IJ12" s="51">
        <v>0.63055555555555554</v>
      </c>
      <c r="IM12" t="s">
        <v>2179</v>
      </c>
      <c r="IN12">
        <v>24673622</v>
      </c>
      <c r="IO12" s="51">
        <v>0.62013888888888891</v>
      </c>
      <c r="IP12" s="51">
        <v>0.62152777777777779</v>
      </c>
      <c r="IQ12" s="51">
        <v>0.62361111111111112</v>
      </c>
      <c r="IT12" t="s">
        <v>39</v>
      </c>
      <c r="IU12">
        <v>24816960</v>
      </c>
      <c r="IV12" s="51">
        <v>0.65763888888888888</v>
      </c>
      <c r="IW12" s="51">
        <v>0.66527777777777775</v>
      </c>
      <c r="IX12" s="51">
        <v>0.66666666666666663</v>
      </c>
      <c r="JH12" t="s">
        <v>39</v>
      </c>
      <c r="JI12">
        <v>24852680</v>
      </c>
      <c r="JJ12" s="51">
        <v>0.65347222222222223</v>
      </c>
      <c r="JK12" s="51">
        <v>0.65972222222222221</v>
      </c>
      <c r="JL12" s="51">
        <v>0.66666666666666663</v>
      </c>
      <c r="JO12" t="s">
        <v>62</v>
      </c>
      <c r="JP12">
        <v>23300822</v>
      </c>
      <c r="JQ12" s="51">
        <v>0.52083333333333337</v>
      </c>
      <c r="JR12" s="51">
        <v>0.5229166666666667</v>
      </c>
      <c r="JS12" s="51">
        <v>0.52430555555555558</v>
      </c>
    </row>
    <row r="13" spans="1:286">
      <c r="A13" t="s">
        <v>2853</v>
      </c>
      <c r="B13">
        <v>23315804</v>
      </c>
      <c r="C13" s="51">
        <v>0.66319444444444442</v>
      </c>
      <c r="D13" s="51">
        <v>0.6645833333333333</v>
      </c>
      <c r="G13" t="s">
        <v>2849</v>
      </c>
      <c r="H13">
        <v>23299322</v>
      </c>
      <c r="I13" s="51">
        <v>0.5854166666666667</v>
      </c>
      <c r="J13" s="51">
        <v>0.58750000000000002</v>
      </c>
      <c r="M13" t="s">
        <v>2853</v>
      </c>
      <c r="N13">
        <v>23397686</v>
      </c>
      <c r="O13" s="51">
        <v>0.50347222222222221</v>
      </c>
      <c r="P13" s="51">
        <v>0.50902777777777775</v>
      </c>
      <c r="S13" t="s">
        <v>2842</v>
      </c>
      <c r="T13">
        <v>23421662</v>
      </c>
      <c r="U13" s="51">
        <v>0.42152777777777778</v>
      </c>
      <c r="V13" s="51">
        <v>0.42499999999999999</v>
      </c>
      <c r="Y13" t="s">
        <v>2854</v>
      </c>
      <c r="Z13">
        <v>23452660</v>
      </c>
      <c r="AA13" s="51">
        <v>0.49375000000000002</v>
      </c>
      <c r="AB13" s="51">
        <v>0.51527777777777772</v>
      </c>
      <c r="AE13" t="s">
        <v>2841</v>
      </c>
      <c r="AF13">
        <v>23474828</v>
      </c>
      <c r="AG13" s="51">
        <v>0.57708333333333328</v>
      </c>
      <c r="AH13" s="51">
        <v>0.5805555555555556</v>
      </c>
      <c r="AK13" t="s">
        <v>2841</v>
      </c>
      <c r="AL13">
        <v>23509134</v>
      </c>
      <c r="AM13" s="51">
        <v>0.47083333333333333</v>
      </c>
      <c r="AN13" s="51">
        <v>0.48125000000000001</v>
      </c>
      <c r="AQ13" t="s">
        <v>2852</v>
      </c>
      <c r="AR13">
        <v>23544258</v>
      </c>
      <c r="AS13" s="51">
        <v>0.53194444444444444</v>
      </c>
      <c r="AT13" s="51">
        <v>0.53263888888888888</v>
      </c>
      <c r="AW13" t="s">
        <v>2853</v>
      </c>
      <c r="AX13">
        <v>23578870</v>
      </c>
      <c r="AY13" s="51">
        <v>0.68402777777777779</v>
      </c>
      <c r="AZ13" s="51">
        <v>0.6875</v>
      </c>
      <c r="BC13" t="s">
        <v>2853</v>
      </c>
      <c r="BD13">
        <v>23606470</v>
      </c>
      <c r="BE13" s="51">
        <v>0.56666666666666665</v>
      </c>
      <c r="BF13" s="51">
        <v>0.58680555555555558</v>
      </c>
      <c r="BI13" t="s">
        <v>2839</v>
      </c>
      <c r="BJ13">
        <v>23639618</v>
      </c>
      <c r="BK13" s="51">
        <v>0.55000000000000004</v>
      </c>
      <c r="BL13" s="51">
        <v>0.55138888888888893</v>
      </c>
      <c r="BO13" t="s">
        <v>2856</v>
      </c>
      <c r="BP13">
        <v>23656368</v>
      </c>
      <c r="BQ13" s="51">
        <v>0.4597222222222222</v>
      </c>
      <c r="BR13" s="51">
        <v>0.46111111111111114</v>
      </c>
      <c r="BU13" t="s">
        <v>2857</v>
      </c>
      <c r="BV13">
        <v>23671064</v>
      </c>
      <c r="BW13" s="51">
        <v>0.66041666666666665</v>
      </c>
      <c r="BX13" s="51">
        <v>0.66319444444444442</v>
      </c>
      <c r="CA13" t="s">
        <v>2841</v>
      </c>
      <c r="CB13">
        <v>23695804</v>
      </c>
      <c r="CC13" s="51">
        <v>0.46319444444444446</v>
      </c>
      <c r="CD13" s="51">
        <v>0.46597222222222223</v>
      </c>
      <c r="CG13" t="s">
        <v>2856</v>
      </c>
      <c r="CH13">
        <v>23731776</v>
      </c>
      <c r="CI13" s="51">
        <v>0.61041666666666672</v>
      </c>
      <c r="CJ13" s="51">
        <v>0.6118055555555556</v>
      </c>
      <c r="CL13" s="172" t="s">
        <v>2846</v>
      </c>
      <c r="CM13" t="s">
        <v>2849</v>
      </c>
      <c r="CN13">
        <v>23769606</v>
      </c>
      <c r="CO13" s="51">
        <v>0.66180555555555554</v>
      </c>
      <c r="CP13" s="51">
        <v>0.66597222222222219</v>
      </c>
      <c r="CR13" s="172" t="s">
        <v>2846</v>
      </c>
      <c r="CS13" t="s">
        <v>2851</v>
      </c>
      <c r="CT13">
        <v>23773002</v>
      </c>
      <c r="CU13" s="51">
        <v>0.63611111111111107</v>
      </c>
      <c r="CV13" s="51">
        <v>0.6381944444444444</v>
      </c>
      <c r="DP13" s="172" t="s">
        <v>2846</v>
      </c>
      <c r="DQ13" t="s">
        <v>2856</v>
      </c>
      <c r="DR13">
        <v>24127866</v>
      </c>
      <c r="DS13" s="51">
        <v>0.71805555555555556</v>
      </c>
      <c r="DT13" s="51">
        <v>0.72569444444444442</v>
      </c>
      <c r="DU13" s="51">
        <v>0.72847222222222219</v>
      </c>
      <c r="DW13" s="172" t="s">
        <v>2846</v>
      </c>
      <c r="DX13" t="s">
        <v>2859</v>
      </c>
      <c r="DY13">
        <v>24133218</v>
      </c>
      <c r="DZ13" s="51">
        <v>0.65555555555555556</v>
      </c>
      <c r="EA13" s="51">
        <v>0.65833333333333333</v>
      </c>
      <c r="EB13" s="51">
        <v>0.65972222222222221</v>
      </c>
      <c r="ED13" s="172" t="s">
        <v>2846</v>
      </c>
      <c r="EE13" t="s">
        <v>2856</v>
      </c>
      <c r="EF13">
        <v>24177214</v>
      </c>
      <c r="EG13" s="51">
        <v>0.52569444444444446</v>
      </c>
      <c r="EH13" s="51">
        <v>0.52777777777777779</v>
      </c>
      <c r="EI13" s="51">
        <v>0.53055555555555556</v>
      </c>
      <c r="EK13" s="172" t="s">
        <v>2846</v>
      </c>
      <c r="EL13" t="s">
        <v>2850</v>
      </c>
      <c r="EM13">
        <v>24207116</v>
      </c>
      <c r="EN13" s="51">
        <v>0.64513888888888893</v>
      </c>
      <c r="EO13" s="51">
        <v>0.64652777777777781</v>
      </c>
      <c r="EP13" s="51">
        <v>0.65902777777777777</v>
      </c>
      <c r="ES13" t="s">
        <v>271</v>
      </c>
      <c r="ET13">
        <v>24176964</v>
      </c>
      <c r="EU13" s="51">
        <v>0.52777777777777779</v>
      </c>
      <c r="EV13" s="51">
        <v>0.53749999999999998</v>
      </c>
      <c r="EW13" s="51">
        <v>0.55138888888888893</v>
      </c>
      <c r="FG13" t="s">
        <v>98</v>
      </c>
      <c r="FH13">
        <v>24233252</v>
      </c>
      <c r="FI13" s="51">
        <v>0.43125000000000002</v>
      </c>
      <c r="FJ13" s="51">
        <v>0.4465277777777778</v>
      </c>
      <c r="FK13" s="51">
        <v>0.45</v>
      </c>
      <c r="FN13" t="s">
        <v>55</v>
      </c>
      <c r="FO13">
        <v>24298956</v>
      </c>
      <c r="FP13" s="51">
        <v>0.53333333333333333</v>
      </c>
      <c r="FQ13" s="51">
        <v>0.5395833333333333</v>
      </c>
      <c r="FR13" s="51">
        <v>0.55347222222222225</v>
      </c>
      <c r="FU13" t="s">
        <v>1808</v>
      </c>
      <c r="FV13">
        <v>24341518</v>
      </c>
      <c r="FW13" s="51">
        <v>0.49027777777777776</v>
      </c>
      <c r="FX13" s="51">
        <v>0.51111111111111107</v>
      </c>
      <c r="FY13" s="51">
        <v>0.51458333333333328</v>
      </c>
      <c r="GB13" t="s">
        <v>271</v>
      </c>
      <c r="GC13">
        <v>24307394</v>
      </c>
      <c r="GD13" s="51">
        <v>0.6791666666666667</v>
      </c>
      <c r="GE13" s="51">
        <v>0.68125000000000002</v>
      </c>
      <c r="GF13" s="51">
        <v>0.68402777777777779</v>
      </c>
      <c r="GI13" t="s">
        <v>271</v>
      </c>
      <c r="GJ13">
        <v>24395944</v>
      </c>
      <c r="GK13" s="51">
        <v>0.57916666666666672</v>
      </c>
      <c r="GL13" s="51">
        <v>0.58263888888888893</v>
      </c>
      <c r="GM13" s="51">
        <v>0.58750000000000002</v>
      </c>
      <c r="GW13" t="s">
        <v>95</v>
      </c>
      <c r="GX13">
        <v>24435678</v>
      </c>
      <c r="GY13" s="51">
        <v>0.54097222222222219</v>
      </c>
      <c r="GZ13" s="51">
        <v>0.54791666666666672</v>
      </c>
      <c r="HA13" s="51">
        <v>0.55069444444444449</v>
      </c>
      <c r="HK13" t="s">
        <v>1080</v>
      </c>
      <c r="HL13">
        <v>24500766</v>
      </c>
      <c r="HM13" s="51">
        <v>0.38611111111111113</v>
      </c>
      <c r="HN13" s="51">
        <v>0.39652777777777776</v>
      </c>
      <c r="HO13" s="51">
        <v>0.39861111111111114</v>
      </c>
      <c r="HR13" t="s">
        <v>28</v>
      </c>
      <c r="HS13">
        <v>24645494</v>
      </c>
      <c r="HT13" s="51">
        <v>0.75277777777777777</v>
      </c>
      <c r="HU13" s="51">
        <v>0.75347222222222221</v>
      </c>
      <c r="HV13" s="51">
        <v>0.75486111111111109</v>
      </c>
      <c r="HY13" t="s">
        <v>39</v>
      </c>
      <c r="HZ13">
        <v>24498862</v>
      </c>
      <c r="IA13" s="51">
        <v>0.38819444444444445</v>
      </c>
      <c r="IB13" s="51">
        <v>0.3888888888888889</v>
      </c>
      <c r="IC13" s="51">
        <v>0.39027777777777778</v>
      </c>
      <c r="IF13" t="s">
        <v>35</v>
      </c>
      <c r="IG13">
        <v>24742840</v>
      </c>
      <c r="IH13" s="51">
        <v>0.69097222222222221</v>
      </c>
      <c r="II13" s="51">
        <v>0.69374999999999998</v>
      </c>
      <c r="IJ13" s="51">
        <v>0.69652777777777775</v>
      </c>
      <c r="IM13" t="s">
        <v>95</v>
      </c>
      <c r="IN13">
        <v>24412556</v>
      </c>
      <c r="IO13" s="51">
        <v>0.65694444444444444</v>
      </c>
      <c r="IP13" s="51">
        <v>0.66249999999999998</v>
      </c>
      <c r="IQ13" s="51">
        <v>0.6645833333333333</v>
      </c>
      <c r="IT13" t="s">
        <v>35</v>
      </c>
      <c r="IU13">
        <v>24509568</v>
      </c>
      <c r="IV13" s="51">
        <v>0.7319444444444444</v>
      </c>
      <c r="IW13" s="51">
        <v>0.73333333333333328</v>
      </c>
      <c r="IX13" s="51">
        <v>0.73750000000000004</v>
      </c>
      <c r="JH13" t="s">
        <v>830</v>
      </c>
      <c r="JI13">
        <v>24853670</v>
      </c>
      <c r="JJ13" s="51">
        <v>0.65625</v>
      </c>
      <c r="JK13" s="51">
        <v>0.66111111111111109</v>
      </c>
      <c r="JL13" s="51">
        <v>0.6743055555555556</v>
      </c>
      <c r="JO13" t="s">
        <v>327</v>
      </c>
      <c r="JP13">
        <v>24885250</v>
      </c>
      <c r="JQ13" s="51">
        <v>0.53263888888888888</v>
      </c>
      <c r="JR13" s="51">
        <v>0.53402777777777777</v>
      </c>
      <c r="JS13" s="51">
        <v>0.54374999999999996</v>
      </c>
    </row>
    <row r="14" spans="1:286">
      <c r="A14" t="s">
        <v>2842</v>
      </c>
      <c r="B14">
        <v>23320708</v>
      </c>
      <c r="C14" s="51">
        <v>0.66805555555555551</v>
      </c>
      <c r="D14" s="51">
        <v>0.6694444444444444</v>
      </c>
      <c r="G14" t="s">
        <v>2843</v>
      </c>
      <c r="H14">
        <v>23361482</v>
      </c>
      <c r="I14" s="51">
        <v>0.58680555555555558</v>
      </c>
      <c r="J14" s="51">
        <v>0.58819444444444446</v>
      </c>
      <c r="M14" t="s">
        <v>2849</v>
      </c>
      <c r="N14">
        <v>23399188</v>
      </c>
      <c r="O14" s="51">
        <v>0.56736111111111109</v>
      </c>
      <c r="P14" s="51">
        <v>0.57222222222222219</v>
      </c>
      <c r="S14" t="s">
        <v>2856</v>
      </c>
      <c r="T14">
        <v>23409272</v>
      </c>
      <c r="U14" s="51">
        <v>0.42569444444444443</v>
      </c>
      <c r="V14" s="51">
        <v>0.43055555555555558</v>
      </c>
      <c r="Y14" t="s">
        <v>2856</v>
      </c>
      <c r="Z14">
        <v>23453970</v>
      </c>
      <c r="AA14" s="51">
        <v>0.52152777777777781</v>
      </c>
      <c r="AB14" s="51">
        <v>0.52777777777777779</v>
      </c>
      <c r="AK14" t="s">
        <v>2854</v>
      </c>
      <c r="AL14">
        <v>23512848</v>
      </c>
      <c r="AM14" s="51">
        <v>0.50763888888888886</v>
      </c>
      <c r="AN14" s="51">
        <v>0.51458333333333328</v>
      </c>
      <c r="AQ14" t="s">
        <v>2843</v>
      </c>
      <c r="AR14">
        <v>23544172</v>
      </c>
      <c r="AS14" s="51">
        <v>0.53402777777777777</v>
      </c>
      <c r="AT14" s="51">
        <v>0.53611111111111109</v>
      </c>
      <c r="AW14" t="s">
        <v>2842</v>
      </c>
      <c r="AX14">
        <v>23579204</v>
      </c>
      <c r="AY14" s="51">
        <v>0.68541666666666667</v>
      </c>
      <c r="AZ14" s="51">
        <v>0.68680555555555556</v>
      </c>
      <c r="BC14" t="s">
        <v>2842</v>
      </c>
      <c r="BD14">
        <v>23608362</v>
      </c>
      <c r="BE14" s="51">
        <v>0.59791666666666665</v>
      </c>
      <c r="BF14" s="51">
        <v>0.6</v>
      </c>
      <c r="BI14" t="s">
        <v>2853</v>
      </c>
      <c r="BJ14">
        <v>23640410</v>
      </c>
      <c r="BK14" s="51">
        <v>0.59444444444444444</v>
      </c>
      <c r="BL14" s="51">
        <v>0.61250000000000004</v>
      </c>
      <c r="BO14" t="s">
        <v>2861</v>
      </c>
      <c r="BP14">
        <v>23657324</v>
      </c>
      <c r="BQ14" s="51">
        <v>0.51458333333333328</v>
      </c>
      <c r="BR14" s="51">
        <v>0.51944444444444449</v>
      </c>
      <c r="BU14" t="s">
        <v>2850</v>
      </c>
      <c r="BV14">
        <v>23675408</v>
      </c>
      <c r="BW14" s="51">
        <v>0.66249999999999998</v>
      </c>
      <c r="BX14" s="51">
        <v>0.69236111111111109</v>
      </c>
      <c r="CA14" t="s">
        <v>2856</v>
      </c>
      <c r="CB14">
        <v>23682388</v>
      </c>
      <c r="CC14" s="51">
        <v>0.46597222222222223</v>
      </c>
      <c r="CD14" s="51">
        <v>0.46805555555555556</v>
      </c>
      <c r="CG14" t="s">
        <v>2856</v>
      </c>
      <c r="CH14">
        <v>23681658</v>
      </c>
      <c r="CI14" s="51">
        <v>0.6118055555555556</v>
      </c>
      <c r="CJ14" s="51">
        <v>0.61250000000000004</v>
      </c>
      <c r="CL14" s="172" t="s">
        <v>2846</v>
      </c>
      <c r="CM14" t="s">
        <v>2854</v>
      </c>
      <c r="CN14">
        <v>23772894</v>
      </c>
      <c r="CO14" s="51">
        <v>0.68958333333333333</v>
      </c>
      <c r="CP14" s="51">
        <v>0.70416666666666672</v>
      </c>
      <c r="CR14" s="172" t="s">
        <v>2846</v>
      </c>
      <c r="CS14" t="s">
        <v>2855</v>
      </c>
      <c r="CT14">
        <v>22903402</v>
      </c>
      <c r="CU14" s="51">
        <v>0.65069444444444446</v>
      </c>
      <c r="CV14" s="51">
        <v>0.65555555555555556</v>
      </c>
      <c r="DW14" s="172" t="s">
        <v>2846</v>
      </c>
      <c r="DX14" t="s">
        <v>2840</v>
      </c>
      <c r="DY14">
        <v>24167800</v>
      </c>
      <c r="DZ14" s="51">
        <v>0.65763888888888888</v>
      </c>
      <c r="EA14" s="51">
        <v>0.66041666666666665</v>
      </c>
      <c r="EB14" s="51">
        <v>0.66249999999999998</v>
      </c>
      <c r="ED14" s="172" t="s">
        <v>2846</v>
      </c>
      <c r="EE14" t="s">
        <v>2849</v>
      </c>
      <c r="EF14">
        <v>24167074</v>
      </c>
      <c r="EG14" s="51">
        <v>0.5805555555555556</v>
      </c>
      <c r="EH14" s="51">
        <v>0.58263888888888893</v>
      </c>
      <c r="EI14" s="51">
        <v>0.58472222222222225</v>
      </c>
      <c r="EK14" s="172" t="s">
        <v>2846</v>
      </c>
      <c r="EL14" t="s">
        <v>2843</v>
      </c>
      <c r="EM14">
        <v>24203946</v>
      </c>
      <c r="EN14" s="51">
        <v>0.65347222222222223</v>
      </c>
      <c r="EO14" s="51">
        <v>0.65694444444444444</v>
      </c>
      <c r="EP14" s="51">
        <v>0.66180555555555554</v>
      </c>
      <c r="ES14" t="s">
        <v>879</v>
      </c>
      <c r="ET14">
        <v>24225990</v>
      </c>
      <c r="EU14" s="51">
        <v>0.53749999999999998</v>
      </c>
      <c r="EV14" s="51">
        <v>0.5444444444444444</v>
      </c>
      <c r="EW14" s="51">
        <v>0.5541666666666667</v>
      </c>
      <c r="FG14" t="s">
        <v>90</v>
      </c>
      <c r="FH14">
        <v>24268034</v>
      </c>
      <c r="FI14" s="51">
        <v>0.38055555555555554</v>
      </c>
      <c r="FJ14" s="51">
        <v>0.45069444444444445</v>
      </c>
      <c r="FK14" s="51">
        <v>0.45208333333333334</v>
      </c>
      <c r="FN14" t="s">
        <v>879</v>
      </c>
      <c r="FO14">
        <v>24286836</v>
      </c>
      <c r="FP14" s="51">
        <v>0.57291666666666663</v>
      </c>
      <c r="FQ14" s="51">
        <v>0.57847222222222228</v>
      </c>
      <c r="FR14" s="51">
        <v>0.58263888888888893</v>
      </c>
      <c r="FU14" t="s">
        <v>886</v>
      </c>
      <c r="FV14">
        <v>24348382</v>
      </c>
      <c r="FW14" s="51">
        <v>0.5083333333333333</v>
      </c>
      <c r="FX14" s="51">
        <v>0.51666666666666672</v>
      </c>
      <c r="FY14" s="51">
        <v>0.52430555555555558</v>
      </c>
      <c r="GB14" t="s">
        <v>348</v>
      </c>
      <c r="GC14">
        <v>24368196</v>
      </c>
      <c r="GD14" s="51">
        <v>0.68611111111111112</v>
      </c>
      <c r="GE14" s="51">
        <v>0.6875</v>
      </c>
      <c r="GF14" s="51">
        <v>0.68819444444444444</v>
      </c>
      <c r="GI14" t="s">
        <v>62</v>
      </c>
      <c r="GJ14">
        <v>24383666</v>
      </c>
      <c r="GK14" s="51">
        <v>0.61111111111111116</v>
      </c>
      <c r="GL14" s="51">
        <v>0.61319444444444449</v>
      </c>
      <c r="GM14" s="51">
        <v>0.61388888888888893</v>
      </c>
      <c r="GW14" t="s">
        <v>327</v>
      </c>
      <c r="GX14">
        <v>24442956</v>
      </c>
      <c r="GY14" s="51">
        <v>0.54305555555555551</v>
      </c>
      <c r="GZ14" s="51">
        <v>0.55138888888888893</v>
      </c>
      <c r="HA14" s="51">
        <v>0.55694444444444446</v>
      </c>
      <c r="HK14" t="s">
        <v>39</v>
      </c>
      <c r="HL14">
        <v>24492356</v>
      </c>
      <c r="HM14" s="51">
        <v>0.39583333333333331</v>
      </c>
      <c r="HN14" s="51">
        <v>0.48125000000000001</v>
      </c>
      <c r="HO14" s="51">
        <v>0.48472222222222222</v>
      </c>
      <c r="HR14" t="s">
        <v>348</v>
      </c>
      <c r="HS14">
        <v>24638484</v>
      </c>
      <c r="HT14" s="51">
        <v>0.75416666666666665</v>
      </c>
      <c r="HU14" s="51">
        <v>0.7583333333333333</v>
      </c>
      <c r="HV14" s="51">
        <v>0.75972222222222219</v>
      </c>
      <c r="HY14" t="s">
        <v>327</v>
      </c>
      <c r="HZ14">
        <v>24668264</v>
      </c>
      <c r="IA14" s="51">
        <v>0.39166666666666666</v>
      </c>
      <c r="IB14" s="51">
        <v>0.3923611111111111</v>
      </c>
      <c r="IC14" s="51">
        <v>0.40208333333333335</v>
      </c>
      <c r="IF14" t="s">
        <v>95</v>
      </c>
      <c r="IG14">
        <v>24746860</v>
      </c>
      <c r="IH14" s="51">
        <v>0.70833333333333337</v>
      </c>
      <c r="II14" s="51">
        <v>0.70902777777777781</v>
      </c>
      <c r="IJ14" s="51">
        <v>0.74375000000000002</v>
      </c>
      <c r="IM14" t="s">
        <v>1808</v>
      </c>
      <c r="IN14">
        <v>24790916</v>
      </c>
      <c r="IO14" s="51">
        <v>0.66180555555555554</v>
      </c>
      <c r="IP14" s="51">
        <v>0.6645833333333333</v>
      </c>
      <c r="IQ14" s="51">
        <v>0.66597222222222219</v>
      </c>
      <c r="IT14" t="s">
        <v>39</v>
      </c>
      <c r="IU14">
        <v>24816418</v>
      </c>
      <c r="IV14" s="51">
        <v>0.73819444444444449</v>
      </c>
      <c r="IW14" s="51">
        <v>0.73888888888888893</v>
      </c>
      <c r="IX14" s="51">
        <v>0.74097222222222225</v>
      </c>
      <c r="JH14" t="s">
        <v>90</v>
      </c>
      <c r="JI14">
        <v>24858148</v>
      </c>
      <c r="JJ14" s="51">
        <v>0.66041666666666665</v>
      </c>
      <c r="JK14" s="51">
        <v>0.66666666666666663</v>
      </c>
      <c r="JL14" s="51">
        <v>0.66805555555555551</v>
      </c>
      <c r="JO14" t="s">
        <v>35</v>
      </c>
      <c r="JP14">
        <v>24874478</v>
      </c>
      <c r="JQ14" s="51">
        <v>0.53055555555555556</v>
      </c>
      <c r="JR14" s="51">
        <v>0.53541666666666665</v>
      </c>
      <c r="JS14" s="51">
        <v>0.53611111111111109</v>
      </c>
    </row>
    <row r="15" spans="1:286">
      <c r="A15" t="s">
        <v>2843</v>
      </c>
      <c r="B15">
        <v>23320194</v>
      </c>
      <c r="C15" s="51">
        <v>0.67291666666666672</v>
      </c>
      <c r="D15" s="51">
        <v>0.72847222222222219</v>
      </c>
      <c r="G15" t="s">
        <v>2847</v>
      </c>
      <c r="H15">
        <v>23366836</v>
      </c>
      <c r="I15" s="51">
        <v>0.60138888888888886</v>
      </c>
      <c r="J15" s="51">
        <v>0.60347222222222219</v>
      </c>
      <c r="M15" t="s">
        <v>2849</v>
      </c>
      <c r="N15">
        <v>23399712</v>
      </c>
      <c r="O15" s="51">
        <v>0.57291666666666663</v>
      </c>
      <c r="P15" s="51">
        <v>0.57430555555555551</v>
      </c>
      <c r="S15" t="s">
        <v>2841</v>
      </c>
      <c r="T15">
        <v>23412546</v>
      </c>
      <c r="U15" s="51">
        <v>0.44444444444444442</v>
      </c>
      <c r="V15" s="51">
        <v>0.44583333333333336</v>
      </c>
      <c r="Y15" t="s">
        <v>2841</v>
      </c>
      <c r="Z15">
        <v>23454120</v>
      </c>
      <c r="AA15" s="51">
        <v>0.5229166666666667</v>
      </c>
      <c r="AB15" s="51">
        <v>0.52569444444444446</v>
      </c>
      <c r="AK15" t="s">
        <v>2843</v>
      </c>
      <c r="AL15">
        <v>23514362</v>
      </c>
      <c r="AM15" s="51">
        <v>0.53194444444444444</v>
      </c>
      <c r="AN15" s="51">
        <v>0.53402777777777777</v>
      </c>
      <c r="AQ15" t="s">
        <v>2840</v>
      </c>
      <c r="AR15">
        <v>23543158</v>
      </c>
      <c r="AS15" s="51">
        <v>0.59375</v>
      </c>
      <c r="AT15" s="51">
        <v>0.59513888888888888</v>
      </c>
      <c r="AW15" t="s">
        <v>2854</v>
      </c>
      <c r="AX15">
        <v>23579822</v>
      </c>
      <c r="AY15" s="51">
        <v>0.70972222222222225</v>
      </c>
      <c r="AZ15" s="51">
        <v>0.71111111111111114</v>
      </c>
      <c r="BC15" t="s">
        <v>2860</v>
      </c>
      <c r="BD15">
        <v>23610348</v>
      </c>
      <c r="BE15" s="51">
        <v>0.62361111111111112</v>
      </c>
      <c r="BF15" s="51">
        <v>0.62638888888888888</v>
      </c>
      <c r="BI15" t="s">
        <v>2841</v>
      </c>
      <c r="BJ15">
        <v>23641280</v>
      </c>
      <c r="BK15" s="51">
        <v>0.60069444444444442</v>
      </c>
      <c r="BL15" s="51">
        <v>0.61250000000000004</v>
      </c>
      <c r="BO15" t="s">
        <v>2856</v>
      </c>
      <c r="BP15">
        <v>23658308</v>
      </c>
      <c r="BQ15" s="51">
        <v>0.54791666666666672</v>
      </c>
      <c r="BR15" s="51">
        <v>0.55000000000000004</v>
      </c>
      <c r="CA15" t="s">
        <v>2851</v>
      </c>
      <c r="CB15">
        <v>23694228</v>
      </c>
      <c r="CC15" s="51">
        <v>0.46736111111111112</v>
      </c>
      <c r="CD15" s="51">
        <v>0.47499999999999998</v>
      </c>
      <c r="CG15" t="s">
        <v>2839</v>
      </c>
      <c r="CH15">
        <v>23732970</v>
      </c>
      <c r="CI15" s="51">
        <v>0.62083333333333335</v>
      </c>
      <c r="CJ15" s="51">
        <v>0.625</v>
      </c>
      <c r="CL15" s="172" t="s">
        <v>2846</v>
      </c>
      <c r="CM15" t="s">
        <v>2856</v>
      </c>
      <c r="CN15">
        <v>23760627</v>
      </c>
      <c r="CO15" s="51">
        <v>0.69097222222222221</v>
      </c>
      <c r="CP15" s="51">
        <v>0.69444444444444442</v>
      </c>
      <c r="CR15" s="172" t="s">
        <v>2846</v>
      </c>
      <c r="CS15" t="s">
        <v>2850</v>
      </c>
      <c r="CT15">
        <v>23809056</v>
      </c>
      <c r="CU15" s="51">
        <v>0.71111111111111114</v>
      </c>
      <c r="CV15" s="51">
        <v>0.71736111111111112</v>
      </c>
      <c r="DW15" s="172" t="s">
        <v>2846</v>
      </c>
      <c r="DX15" t="s">
        <v>2854</v>
      </c>
      <c r="DY15">
        <v>24162118</v>
      </c>
      <c r="DZ15" s="51">
        <v>0.67777777777777781</v>
      </c>
      <c r="EA15" s="51">
        <v>0.68125000000000002</v>
      </c>
      <c r="EB15" s="51">
        <v>0.68333333333333335</v>
      </c>
      <c r="ED15" s="172" t="s">
        <v>2846</v>
      </c>
      <c r="EE15" t="s">
        <v>2860</v>
      </c>
      <c r="EF15">
        <v>24174738</v>
      </c>
      <c r="EG15" s="51">
        <v>0.57708333333333328</v>
      </c>
      <c r="EH15" s="51">
        <v>0.58472222222222225</v>
      </c>
      <c r="EI15" s="51">
        <v>0.58680555555555558</v>
      </c>
      <c r="EK15" s="172" t="s">
        <v>2846</v>
      </c>
      <c r="EL15" t="s">
        <v>2839</v>
      </c>
      <c r="EM15">
        <v>24227018</v>
      </c>
      <c r="EN15" s="51">
        <v>0.69166666666666665</v>
      </c>
      <c r="EO15" s="51">
        <v>0.69374999999999998</v>
      </c>
      <c r="EP15" s="51">
        <v>0.69652777777777775</v>
      </c>
      <c r="ES15" t="s">
        <v>266</v>
      </c>
      <c r="ET15">
        <v>24244374</v>
      </c>
      <c r="EU15" s="51">
        <v>0.61597222222222225</v>
      </c>
      <c r="EV15" s="51">
        <v>0.61805555555555558</v>
      </c>
      <c r="EW15" s="51">
        <v>0.61875000000000002</v>
      </c>
      <c r="FG15" t="s">
        <v>90</v>
      </c>
      <c r="FH15">
        <v>24265438</v>
      </c>
      <c r="FI15" s="51">
        <v>0.40694444444444444</v>
      </c>
      <c r="FJ15" s="51">
        <v>0.45208333333333334</v>
      </c>
      <c r="FK15" s="51">
        <v>0.45347222222222222</v>
      </c>
      <c r="FN15" t="s">
        <v>39</v>
      </c>
      <c r="FO15">
        <v>24323240</v>
      </c>
      <c r="FP15" s="51">
        <v>0.64583333333333337</v>
      </c>
      <c r="FQ15" s="51">
        <v>0.65069444444444446</v>
      </c>
      <c r="FR15" s="51">
        <v>0.65277777777777779</v>
      </c>
      <c r="FU15" t="s">
        <v>1091</v>
      </c>
      <c r="FV15">
        <v>24330892</v>
      </c>
      <c r="FW15" s="51">
        <v>0.50902777777777775</v>
      </c>
      <c r="FX15" s="51">
        <v>0.5180555555555556</v>
      </c>
      <c r="FY15" s="51">
        <v>0.52777777777777779</v>
      </c>
      <c r="GB15" t="s">
        <v>95</v>
      </c>
      <c r="GC15">
        <v>24374234</v>
      </c>
      <c r="GD15" s="51">
        <v>0.69166666666666665</v>
      </c>
      <c r="GE15" s="51">
        <v>0.69513888888888886</v>
      </c>
      <c r="GF15" s="51">
        <v>0.69930555555555551</v>
      </c>
      <c r="GI15" t="s">
        <v>1091</v>
      </c>
      <c r="GJ15">
        <v>24397974</v>
      </c>
      <c r="GK15" s="51">
        <v>0.60902777777777772</v>
      </c>
      <c r="GL15" s="51">
        <v>0.61527777777777781</v>
      </c>
      <c r="GM15" s="51">
        <v>0.61597222222222225</v>
      </c>
      <c r="GW15" t="s">
        <v>35</v>
      </c>
      <c r="GX15">
        <v>24443860</v>
      </c>
      <c r="GY15" s="51">
        <v>0.55277777777777781</v>
      </c>
      <c r="GZ15" s="51">
        <v>0.5541666666666667</v>
      </c>
      <c r="HA15" s="51">
        <v>0.55763888888888891</v>
      </c>
      <c r="HK15" t="s">
        <v>39</v>
      </c>
      <c r="HL15">
        <v>24506160</v>
      </c>
      <c r="HM15" s="51">
        <v>0.4</v>
      </c>
      <c r="HN15" s="51">
        <v>0.40833333333333333</v>
      </c>
      <c r="HO15" s="51">
        <v>0.41111111111111109</v>
      </c>
      <c r="HR15" t="s">
        <v>35</v>
      </c>
      <c r="HS15">
        <v>24642240</v>
      </c>
      <c r="HT15" s="51">
        <v>0.75069444444444444</v>
      </c>
      <c r="HU15" s="51">
        <v>0.75972222222222219</v>
      </c>
      <c r="HV15" s="51">
        <v>0.76249999999999996</v>
      </c>
      <c r="HY15" t="s">
        <v>1091</v>
      </c>
      <c r="HZ15">
        <v>24671442</v>
      </c>
      <c r="IA15" s="51">
        <v>0.35555555555555557</v>
      </c>
      <c r="IB15" s="51">
        <v>0.37083333333333335</v>
      </c>
      <c r="IC15" s="51">
        <v>0.37152777777777779</v>
      </c>
      <c r="IM15" t="s">
        <v>1091</v>
      </c>
      <c r="IN15">
        <v>24763584</v>
      </c>
      <c r="IO15" s="51">
        <v>0.67013888888888884</v>
      </c>
      <c r="IP15" s="51">
        <v>0.67291666666666672</v>
      </c>
      <c r="IQ15" s="51">
        <v>0.6743055555555556</v>
      </c>
      <c r="IT15" t="s">
        <v>2059</v>
      </c>
      <c r="IU15">
        <v>24818116</v>
      </c>
      <c r="IV15" s="51">
        <v>0.73611111111111116</v>
      </c>
      <c r="IW15" s="51">
        <v>0.74097222222222225</v>
      </c>
      <c r="IX15" s="51">
        <v>0.7416666666666667</v>
      </c>
      <c r="JH15" t="s">
        <v>2827</v>
      </c>
      <c r="JI15">
        <v>24859170</v>
      </c>
      <c r="JJ15" s="51">
        <v>0.66319444444444442</v>
      </c>
      <c r="JK15" s="51">
        <v>0.66805555555555551</v>
      </c>
      <c r="JL15" t="s">
        <v>1966</v>
      </c>
      <c r="JO15" t="s">
        <v>90</v>
      </c>
      <c r="JP15">
        <v>24878674</v>
      </c>
      <c r="JQ15" s="51">
        <v>0.54097222222222219</v>
      </c>
      <c r="JR15" s="51">
        <v>0.54374999999999996</v>
      </c>
      <c r="JS15" s="51">
        <v>0.54652777777777772</v>
      </c>
    </row>
    <row r="16" spans="1:286">
      <c r="A16" t="s">
        <v>2847</v>
      </c>
      <c r="B16">
        <v>23322864</v>
      </c>
      <c r="C16" s="51">
        <v>0.69930555555555551</v>
      </c>
      <c r="D16" s="51">
        <v>0.70763888888888893</v>
      </c>
      <c r="G16" t="s">
        <v>2853</v>
      </c>
      <c r="H16">
        <v>23367142</v>
      </c>
      <c r="I16" s="51">
        <v>0.60277777777777775</v>
      </c>
      <c r="J16" s="51">
        <v>0.6069444444444444</v>
      </c>
      <c r="M16" t="s">
        <v>2856</v>
      </c>
      <c r="N16">
        <v>23400836</v>
      </c>
      <c r="O16" s="51">
        <v>0.67291666666666672</v>
      </c>
      <c r="P16" s="51">
        <v>0.67777777777777781</v>
      </c>
      <c r="S16" t="s">
        <v>2843</v>
      </c>
      <c r="T16">
        <v>23422306</v>
      </c>
      <c r="U16" s="51">
        <v>0.4465277777777778</v>
      </c>
      <c r="V16" s="51">
        <v>0.45</v>
      </c>
      <c r="Y16" t="s">
        <v>2854</v>
      </c>
      <c r="Z16">
        <v>23453938</v>
      </c>
      <c r="AA16" s="51">
        <v>0.68333333333333335</v>
      </c>
      <c r="AB16" s="51">
        <v>0.68541666666666667</v>
      </c>
      <c r="AK16" t="s">
        <v>2852</v>
      </c>
      <c r="AL16">
        <v>23514274</v>
      </c>
      <c r="AM16" s="51">
        <v>0.53888888888888886</v>
      </c>
      <c r="AN16" s="51">
        <v>0.54166666666666663</v>
      </c>
      <c r="AQ16" t="s">
        <v>2843</v>
      </c>
      <c r="AR16">
        <v>23546532</v>
      </c>
      <c r="AS16" s="51">
        <v>0.59791666666666665</v>
      </c>
      <c r="AT16" s="51">
        <v>0.6</v>
      </c>
      <c r="AW16" t="s">
        <v>2847</v>
      </c>
      <c r="AX16">
        <v>23580152</v>
      </c>
      <c r="AY16" s="51">
        <v>0.73055555555555551</v>
      </c>
      <c r="AZ16" s="51">
        <v>0.73611111111111116</v>
      </c>
      <c r="BC16" t="s">
        <v>2840</v>
      </c>
      <c r="BD16">
        <v>23609642</v>
      </c>
      <c r="BE16" s="51">
        <v>0.62569444444444444</v>
      </c>
      <c r="BF16" s="51">
        <v>0.62638888888888888</v>
      </c>
      <c r="BI16" t="s">
        <v>2860</v>
      </c>
      <c r="BJ16">
        <v>23640364</v>
      </c>
      <c r="BK16" s="51">
        <v>0.60277777777777775</v>
      </c>
      <c r="BL16" s="51">
        <v>0.60624999999999996</v>
      </c>
      <c r="BO16" t="s">
        <v>2845</v>
      </c>
      <c r="BP16">
        <v>23658658</v>
      </c>
      <c r="BQ16" s="51">
        <v>0.55486111111111114</v>
      </c>
      <c r="BR16" s="51">
        <v>0.55625000000000002</v>
      </c>
      <c r="CA16" t="s">
        <v>2841</v>
      </c>
      <c r="CB16">
        <v>23692646</v>
      </c>
      <c r="CC16" s="51">
        <v>0.47152777777777777</v>
      </c>
      <c r="CD16" s="51">
        <v>0.47430555555555554</v>
      </c>
      <c r="CG16" t="s">
        <v>2844</v>
      </c>
      <c r="CH16">
        <v>23733012</v>
      </c>
      <c r="CI16" s="51">
        <v>0.62430555555555556</v>
      </c>
      <c r="CJ16" s="51">
        <v>0.62777777777777777</v>
      </c>
      <c r="CL16" s="172" t="s">
        <v>2846</v>
      </c>
      <c r="CM16" t="s">
        <v>2842</v>
      </c>
      <c r="CN16">
        <v>23773976</v>
      </c>
      <c r="CO16" s="51">
        <v>0.71250000000000002</v>
      </c>
      <c r="CP16" s="51">
        <v>0.72291666666666665</v>
      </c>
      <c r="CR16" s="172" t="s">
        <v>2846</v>
      </c>
      <c r="CS16" t="s">
        <v>2845</v>
      </c>
      <c r="CT16">
        <v>23807862</v>
      </c>
      <c r="CU16" s="51">
        <v>0.73472222222222228</v>
      </c>
      <c r="CV16" s="51">
        <v>0.73750000000000004</v>
      </c>
      <c r="DW16" s="172" t="s">
        <v>2846</v>
      </c>
      <c r="DX16" t="s">
        <v>2849</v>
      </c>
      <c r="DY16">
        <v>24157472</v>
      </c>
      <c r="DZ16" s="51">
        <v>0.69305555555555554</v>
      </c>
      <c r="EA16" s="51">
        <v>0.6958333333333333</v>
      </c>
      <c r="EB16" s="51">
        <v>0.69722222222222219</v>
      </c>
      <c r="ED16" s="172" t="s">
        <v>2846</v>
      </c>
      <c r="EE16" t="s">
        <v>2854</v>
      </c>
      <c r="EF16">
        <v>24169488</v>
      </c>
      <c r="EG16" s="51">
        <v>0.66597222222222219</v>
      </c>
      <c r="EH16" s="51">
        <v>0.66597222222222219</v>
      </c>
      <c r="EI16" s="51">
        <v>0.66805555555555551</v>
      </c>
      <c r="EK16" s="172" t="s">
        <v>2846</v>
      </c>
      <c r="EL16" t="s">
        <v>2849</v>
      </c>
      <c r="EM16">
        <v>24227606</v>
      </c>
      <c r="EN16" s="51">
        <v>0.71458333333333335</v>
      </c>
      <c r="EO16" s="51">
        <v>0.71875</v>
      </c>
      <c r="EP16" s="51">
        <v>0.72152777777777777</v>
      </c>
      <c r="ES16" t="s">
        <v>35</v>
      </c>
      <c r="ET16">
        <v>24249284</v>
      </c>
      <c r="EU16" s="51">
        <v>0.61736111111111114</v>
      </c>
      <c r="EV16" s="51">
        <v>0.62152777777777779</v>
      </c>
      <c r="EW16" s="51">
        <v>0.62222222222222223</v>
      </c>
      <c r="FG16" t="s">
        <v>1091</v>
      </c>
      <c r="FH16">
        <v>24266598</v>
      </c>
      <c r="FI16" s="51">
        <v>0.38124999999999998</v>
      </c>
      <c r="FJ16" s="51">
        <v>0.4548611111111111</v>
      </c>
      <c r="FK16" s="51">
        <v>0.45555555555555555</v>
      </c>
      <c r="FN16" t="s">
        <v>266</v>
      </c>
      <c r="FO16">
        <v>24324380</v>
      </c>
      <c r="FP16" s="51">
        <v>0.6791666666666667</v>
      </c>
      <c r="FQ16" s="51">
        <v>0.69444444444444442</v>
      </c>
      <c r="FR16" s="51">
        <v>0.69722222222222219</v>
      </c>
      <c r="FU16" t="s">
        <v>90</v>
      </c>
      <c r="FV16">
        <v>24347928</v>
      </c>
      <c r="FW16" s="51">
        <v>0.51111111111111107</v>
      </c>
      <c r="FX16" s="51">
        <v>0.52152777777777781</v>
      </c>
      <c r="FY16" s="51">
        <v>0.5229166666666667</v>
      </c>
      <c r="GB16" t="s">
        <v>39</v>
      </c>
      <c r="GC16">
        <v>24361520</v>
      </c>
      <c r="GD16" s="51">
        <v>0.70694444444444449</v>
      </c>
      <c r="GE16" s="51">
        <v>0.70972222222222225</v>
      </c>
      <c r="GF16" s="51">
        <v>0.71180555555555558</v>
      </c>
      <c r="GI16" t="s">
        <v>327</v>
      </c>
      <c r="GJ16">
        <v>24358246</v>
      </c>
      <c r="GK16" s="51">
        <v>0.6166666666666667</v>
      </c>
      <c r="GL16" s="51">
        <v>0.61875000000000002</v>
      </c>
      <c r="GM16" s="51">
        <v>0.62638888888888888</v>
      </c>
      <c r="GW16" t="s">
        <v>90</v>
      </c>
      <c r="GX16">
        <v>24450184</v>
      </c>
      <c r="GY16" s="51">
        <v>0.59930555555555554</v>
      </c>
      <c r="GZ16" s="51">
        <v>0.60902777777777772</v>
      </c>
      <c r="HA16" s="51">
        <v>0.61736111111111114</v>
      </c>
      <c r="HK16" t="s">
        <v>98</v>
      </c>
      <c r="HL16">
        <v>24491252</v>
      </c>
      <c r="HM16" s="51">
        <v>0.40416666666666667</v>
      </c>
      <c r="HN16" s="51">
        <v>0.41111111111111109</v>
      </c>
      <c r="HO16" s="51">
        <v>0.41805555555555557</v>
      </c>
      <c r="HY16" t="s">
        <v>879</v>
      </c>
      <c r="HZ16">
        <v>24285568</v>
      </c>
      <c r="IA16" s="51">
        <v>0.35694444444444445</v>
      </c>
      <c r="IB16" s="51">
        <v>0.36875000000000002</v>
      </c>
      <c r="IC16" s="51">
        <v>0.37152777777777779</v>
      </c>
      <c r="IM16" t="s">
        <v>35</v>
      </c>
      <c r="IN16">
        <v>24756884</v>
      </c>
      <c r="IO16" s="51">
        <v>0.70208333333333328</v>
      </c>
      <c r="IP16" s="51">
        <v>0.70347222222222228</v>
      </c>
      <c r="IQ16" s="51">
        <v>0.70486111111111116</v>
      </c>
      <c r="IT16" t="s">
        <v>95</v>
      </c>
      <c r="IU16">
        <v>24820162</v>
      </c>
      <c r="IV16" s="51">
        <v>0.78819444444444442</v>
      </c>
      <c r="IW16" s="51">
        <v>0.7895833333333333</v>
      </c>
      <c r="IX16" s="51">
        <v>0.79236111111111107</v>
      </c>
      <c r="JH16" t="s">
        <v>2576</v>
      </c>
      <c r="JI16">
        <v>24853960</v>
      </c>
      <c r="JJ16" s="51">
        <v>0.66249999999999998</v>
      </c>
      <c r="JK16" s="51">
        <v>0.67013888888888884</v>
      </c>
      <c r="JL16" t="s">
        <v>1966</v>
      </c>
      <c r="JO16" t="s">
        <v>1091</v>
      </c>
      <c r="JP16">
        <v>24856488</v>
      </c>
      <c r="JQ16" s="51">
        <v>0.66666666666666663</v>
      </c>
      <c r="JR16" s="51">
        <v>0.6694444444444444</v>
      </c>
      <c r="JS16" s="51">
        <v>0.67013888888888884</v>
      </c>
    </row>
    <row r="17" spans="1:279">
      <c r="A17" t="s">
        <v>2839</v>
      </c>
      <c r="B17">
        <v>23313672</v>
      </c>
      <c r="C17" s="51">
        <v>0.50208333333333333</v>
      </c>
      <c r="D17" s="51">
        <v>0.50347222222222221</v>
      </c>
      <c r="G17" t="s">
        <v>2839</v>
      </c>
      <c r="H17">
        <v>23366640</v>
      </c>
      <c r="I17" s="51">
        <v>0.60763888888888884</v>
      </c>
      <c r="J17" s="51">
        <v>0.60972222222222228</v>
      </c>
      <c r="M17" t="s">
        <v>2841</v>
      </c>
      <c r="N17">
        <v>23404128</v>
      </c>
      <c r="O17" s="51">
        <v>0.6875</v>
      </c>
      <c r="P17" s="51">
        <v>0.69513888888888886</v>
      </c>
      <c r="S17" t="s">
        <v>2856</v>
      </c>
      <c r="T17">
        <v>23418786</v>
      </c>
      <c r="U17" s="51">
        <v>0.44930555555555557</v>
      </c>
      <c r="V17" s="51">
        <v>0.45277777777777778</v>
      </c>
      <c r="Y17" t="s">
        <v>2840</v>
      </c>
      <c r="Z17">
        <v>23459610</v>
      </c>
      <c r="AA17" s="51">
        <v>0.68680555555555556</v>
      </c>
      <c r="AB17" s="51">
        <v>0.68888888888888888</v>
      </c>
      <c r="AK17" t="s">
        <v>2843</v>
      </c>
      <c r="AL17">
        <v>23515556</v>
      </c>
      <c r="AM17" s="51">
        <v>0.56874999999999998</v>
      </c>
      <c r="AN17" s="51">
        <v>0.57013888888888886</v>
      </c>
      <c r="AQ17" t="s">
        <v>2856</v>
      </c>
      <c r="AR17">
        <v>23547416</v>
      </c>
      <c r="AS17" s="51">
        <v>0.6381944444444444</v>
      </c>
      <c r="AT17" s="51">
        <v>0.64444444444444449</v>
      </c>
      <c r="AW17" t="s">
        <v>2853</v>
      </c>
      <c r="AX17">
        <v>23580680</v>
      </c>
      <c r="AY17" s="51">
        <v>0.74097222222222225</v>
      </c>
      <c r="AZ17" s="51">
        <v>0.74305555555555558</v>
      </c>
      <c r="BC17" t="s">
        <v>2840</v>
      </c>
      <c r="BD17">
        <v>23609578</v>
      </c>
      <c r="BE17" s="51">
        <v>0.62638888888888888</v>
      </c>
      <c r="BF17" s="51">
        <v>0.62777777777777777</v>
      </c>
      <c r="BI17" t="s">
        <v>2847</v>
      </c>
      <c r="BJ17">
        <v>23641304</v>
      </c>
      <c r="BK17" s="51">
        <v>0.60555555555555551</v>
      </c>
      <c r="BL17" s="51">
        <v>0.60833333333333328</v>
      </c>
      <c r="CA17" t="s">
        <v>2854</v>
      </c>
      <c r="CB17">
        <v>23694616</v>
      </c>
      <c r="CC17" s="51">
        <v>0.48333333333333334</v>
      </c>
      <c r="CD17" s="51">
        <v>0.48541666666666666</v>
      </c>
      <c r="CG17" t="s">
        <v>2854</v>
      </c>
      <c r="CH17">
        <v>23733378</v>
      </c>
      <c r="CI17" s="51">
        <v>0.62847222222222221</v>
      </c>
      <c r="CJ17" s="51">
        <v>0.62986111111111109</v>
      </c>
      <c r="CL17" s="172" t="s">
        <v>2846</v>
      </c>
      <c r="CM17" t="s">
        <v>2856</v>
      </c>
      <c r="CN17">
        <v>23698706</v>
      </c>
      <c r="CO17" s="51">
        <v>0.71875</v>
      </c>
      <c r="CP17" s="51">
        <v>0.72152777777777777</v>
      </c>
      <c r="CR17" s="172" t="s">
        <v>2846</v>
      </c>
      <c r="CS17" t="s">
        <v>2843</v>
      </c>
      <c r="CT17">
        <v>23808822</v>
      </c>
      <c r="CU17" s="51">
        <v>0.75</v>
      </c>
      <c r="CV17" s="51">
        <v>0.76180555555555551</v>
      </c>
      <c r="ED17" s="172" t="s">
        <v>2846</v>
      </c>
      <c r="EE17" t="s">
        <v>2850</v>
      </c>
      <c r="EF17">
        <v>24199942</v>
      </c>
      <c r="EG17" s="51">
        <v>0.67222222222222228</v>
      </c>
      <c r="EH17" s="51">
        <v>0.67708333333333337</v>
      </c>
      <c r="EI17" s="51">
        <v>0.68055555555555558</v>
      </c>
      <c r="EK17" s="172" t="s">
        <v>2846</v>
      </c>
      <c r="EL17" t="s">
        <v>2851</v>
      </c>
      <c r="EM17">
        <v>24226576</v>
      </c>
      <c r="EN17" s="51">
        <v>0.71736111111111112</v>
      </c>
      <c r="EO17" s="51">
        <v>0.72569444444444442</v>
      </c>
      <c r="EP17" s="51">
        <v>0.72916666666666663</v>
      </c>
      <c r="ES17" t="s">
        <v>886</v>
      </c>
      <c r="ET17">
        <v>24249576</v>
      </c>
      <c r="EU17" s="51">
        <v>0.63472222222222219</v>
      </c>
      <c r="EV17" s="51">
        <v>0.64652777777777781</v>
      </c>
      <c r="EW17" s="51">
        <v>0.65486111111111112</v>
      </c>
      <c r="FG17" t="s">
        <v>886</v>
      </c>
      <c r="FH17">
        <v>24268170</v>
      </c>
      <c r="FI17" s="51">
        <v>0.37777777777777777</v>
      </c>
      <c r="FJ17" s="51">
        <v>0.45624999999999999</v>
      </c>
      <c r="FK17" s="51">
        <v>0.45833333333333331</v>
      </c>
      <c r="FN17" t="s">
        <v>886</v>
      </c>
      <c r="FO17">
        <v>24326482</v>
      </c>
      <c r="FP17" s="51">
        <v>0.72152777777777777</v>
      </c>
      <c r="FQ17" s="51">
        <v>0.72361111111111109</v>
      </c>
      <c r="FR17" s="51">
        <v>0.72638888888888886</v>
      </c>
      <c r="FU17" t="s">
        <v>271</v>
      </c>
      <c r="FV17">
        <v>24292442</v>
      </c>
      <c r="FX17" s="51">
        <v>0.54236111111111107</v>
      </c>
      <c r="FY17" s="51">
        <v>0.6020833333333333</v>
      </c>
      <c r="GB17" t="s">
        <v>348</v>
      </c>
      <c r="GC17">
        <v>24328874</v>
      </c>
      <c r="GD17" s="51">
        <v>0.45694444444444443</v>
      </c>
      <c r="GE17" s="51">
        <v>0.72152777777777777</v>
      </c>
      <c r="GF17" s="51">
        <v>0.72222222222222221</v>
      </c>
      <c r="GI17" t="s">
        <v>90</v>
      </c>
      <c r="GJ17">
        <v>24384450</v>
      </c>
      <c r="GK17" s="51">
        <v>0.63402777777777775</v>
      </c>
      <c r="GL17" s="51">
        <v>0.64166666666666672</v>
      </c>
      <c r="GM17" s="51">
        <v>0.6430555555555556</v>
      </c>
      <c r="GW17" t="s">
        <v>886</v>
      </c>
      <c r="GX17">
        <v>24450614</v>
      </c>
      <c r="GY17" s="51">
        <v>0.6118055555555556</v>
      </c>
      <c r="GZ17" s="51">
        <v>0.61527777777777781</v>
      </c>
      <c r="HA17" s="51">
        <v>0.6166666666666667</v>
      </c>
      <c r="HK17" t="s">
        <v>1091</v>
      </c>
      <c r="HL17">
        <v>24492772</v>
      </c>
      <c r="HM17" s="51">
        <v>0.3611111111111111</v>
      </c>
      <c r="HN17" s="51">
        <v>0.36319444444444443</v>
      </c>
      <c r="HO17" s="51">
        <v>0.36527777777777776</v>
      </c>
      <c r="HY17" t="s">
        <v>358</v>
      </c>
      <c r="HZ17">
        <v>24672388</v>
      </c>
      <c r="IA17" s="51">
        <v>0.35833333333333334</v>
      </c>
      <c r="IB17" s="51">
        <v>0.3659722222222222</v>
      </c>
      <c r="IC17" s="51">
        <v>0.36805555555555558</v>
      </c>
      <c r="IM17" t="s">
        <v>2179</v>
      </c>
      <c r="IN17">
        <v>24757362</v>
      </c>
      <c r="IO17" s="51">
        <v>0.71458333333333335</v>
      </c>
      <c r="IP17" s="51">
        <v>0.71805555555555556</v>
      </c>
      <c r="IQ17" s="51">
        <v>0.72083333333333333</v>
      </c>
      <c r="JO17" t="s">
        <v>28</v>
      </c>
      <c r="JP17">
        <v>24870662</v>
      </c>
      <c r="JR17" s="51">
        <v>0.71736111111111112</v>
      </c>
      <c r="JS17" s="51">
        <v>0.74513888888888891</v>
      </c>
    </row>
    <row r="18" spans="1:279">
      <c r="A18" t="s">
        <v>2849</v>
      </c>
      <c r="B18">
        <v>23300600</v>
      </c>
      <c r="C18" s="51">
        <v>0.56319444444444444</v>
      </c>
      <c r="D18" s="51">
        <v>0.57013888888888886</v>
      </c>
      <c r="G18" t="s">
        <v>2842</v>
      </c>
      <c r="H18">
        <v>23367464</v>
      </c>
      <c r="I18" s="51">
        <v>0.61388888888888893</v>
      </c>
      <c r="J18" s="51">
        <v>0.6166666666666667</v>
      </c>
      <c r="M18" t="s">
        <v>2839</v>
      </c>
      <c r="N18">
        <v>23402926</v>
      </c>
      <c r="O18" s="51">
        <v>0.69166666666666665</v>
      </c>
      <c r="P18" s="51">
        <v>0.69305555555555554</v>
      </c>
      <c r="S18" t="s">
        <v>2852</v>
      </c>
      <c r="T18">
        <v>23425438</v>
      </c>
      <c r="U18" s="51">
        <v>0.54027777777777775</v>
      </c>
      <c r="V18" s="51">
        <v>0.54305555555555551</v>
      </c>
      <c r="Y18" t="s">
        <v>2852</v>
      </c>
      <c r="Z18">
        <v>23459842</v>
      </c>
      <c r="AA18" s="51">
        <v>0.71111111111111114</v>
      </c>
      <c r="AB18" s="51">
        <v>0.71527777777777779</v>
      </c>
      <c r="AK18" t="s">
        <v>2854</v>
      </c>
      <c r="AL18">
        <v>23515374</v>
      </c>
      <c r="AM18" s="51">
        <v>0.58194444444444449</v>
      </c>
      <c r="AN18" s="51">
        <v>0.58333333333333337</v>
      </c>
      <c r="AQ18" t="s">
        <v>2841</v>
      </c>
      <c r="AR18">
        <v>23548636</v>
      </c>
      <c r="AS18" s="51">
        <v>0.63472222222222219</v>
      </c>
      <c r="AT18" s="51">
        <v>0.64375000000000004</v>
      </c>
      <c r="AW18" t="s">
        <v>2847</v>
      </c>
      <c r="AX18">
        <v>23580808</v>
      </c>
      <c r="AY18" s="51">
        <v>0.75069444444444444</v>
      </c>
      <c r="AZ18" s="51">
        <v>0.75277777777777777</v>
      </c>
      <c r="BC18" t="s">
        <v>2854</v>
      </c>
      <c r="BD18">
        <v>23609636</v>
      </c>
      <c r="BE18" s="51">
        <v>0.65763888888888888</v>
      </c>
      <c r="BF18" s="51">
        <v>0.66597222222222219</v>
      </c>
      <c r="BI18" t="s">
        <v>2860</v>
      </c>
      <c r="BJ18">
        <v>23642478</v>
      </c>
      <c r="BK18" s="51">
        <v>0.64513888888888893</v>
      </c>
      <c r="BL18" s="51">
        <v>0.64652777777777781</v>
      </c>
      <c r="CA18" t="s">
        <v>2851</v>
      </c>
      <c r="CB18">
        <v>23698672</v>
      </c>
      <c r="CC18" s="51">
        <v>0.48541666666666666</v>
      </c>
      <c r="CD18" s="51">
        <v>0.48819444444444443</v>
      </c>
      <c r="CG18" t="s">
        <v>2854</v>
      </c>
      <c r="CH18">
        <v>23733358</v>
      </c>
      <c r="CI18" s="51">
        <v>0.62916666666666665</v>
      </c>
      <c r="CJ18" s="51">
        <v>0.6333333333333333</v>
      </c>
      <c r="CL18" s="172" t="s">
        <v>2846</v>
      </c>
      <c r="CM18" t="s">
        <v>2853</v>
      </c>
      <c r="CN18">
        <v>23774524</v>
      </c>
      <c r="CO18" s="51">
        <v>0.75277777777777777</v>
      </c>
      <c r="CP18" s="51">
        <v>0.75902777777777775</v>
      </c>
      <c r="ED18" s="172" t="s">
        <v>2846</v>
      </c>
      <c r="EE18" t="s">
        <v>2855</v>
      </c>
      <c r="EF18">
        <v>24197900</v>
      </c>
      <c r="EG18" s="51">
        <v>0.67569444444444449</v>
      </c>
      <c r="EH18" s="51">
        <v>0.67986111111111114</v>
      </c>
      <c r="EI18" s="51">
        <v>0.68194444444444446</v>
      </c>
      <c r="EK18" s="172" t="s">
        <v>2846</v>
      </c>
      <c r="EL18" t="s">
        <v>2856</v>
      </c>
      <c r="EM18">
        <v>24200218</v>
      </c>
      <c r="EN18" s="51">
        <v>0.72013888888888888</v>
      </c>
      <c r="EO18" s="51">
        <v>0.72638888888888886</v>
      </c>
      <c r="EP18" s="51">
        <v>0.72916666666666663</v>
      </c>
      <c r="ES18" t="s">
        <v>886</v>
      </c>
      <c r="ET18">
        <v>24234396</v>
      </c>
      <c r="EU18" s="51">
        <v>0.64861111111111114</v>
      </c>
      <c r="EV18" s="51">
        <v>0.64930555555555558</v>
      </c>
      <c r="EW18" s="51">
        <v>0.65902777777777777</v>
      </c>
      <c r="FG18" t="s">
        <v>1091</v>
      </c>
      <c r="FH18">
        <v>24245024</v>
      </c>
      <c r="FI18" s="51">
        <v>0.39791666666666664</v>
      </c>
      <c r="FJ18" s="51">
        <v>0.45833333333333331</v>
      </c>
      <c r="FK18" s="51">
        <v>0.46041666666666664</v>
      </c>
      <c r="FN18" t="s">
        <v>886</v>
      </c>
      <c r="FO18">
        <v>24327170</v>
      </c>
      <c r="FP18" s="51">
        <v>0.76388888888888884</v>
      </c>
      <c r="FQ18" s="51">
        <v>0.76736111111111116</v>
      </c>
      <c r="FR18" s="51">
        <v>0.77013888888888893</v>
      </c>
      <c r="FU18" t="s">
        <v>886</v>
      </c>
      <c r="FV18">
        <v>24333672</v>
      </c>
      <c r="FW18" s="51">
        <v>0.5493055555555556</v>
      </c>
      <c r="FX18" s="51">
        <v>0.55347222222222225</v>
      </c>
      <c r="FY18" s="51">
        <v>0.55625000000000002</v>
      </c>
      <c r="GB18" t="s">
        <v>266</v>
      </c>
      <c r="GC18">
        <v>24368158</v>
      </c>
      <c r="GD18" s="51">
        <v>0.73402777777777772</v>
      </c>
      <c r="GE18" s="51">
        <v>0.73541666666666672</v>
      </c>
      <c r="GF18" s="51">
        <v>0.7368055555555556</v>
      </c>
      <c r="GI18" t="s">
        <v>1946</v>
      </c>
      <c r="GJ18">
        <v>24394700</v>
      </c>
      <c r="GK18" s="51">
        <v>0.6430555555555556</v>
      </c>
      <c r="GL18" s="51">
        <v>0.66249999999999998</v>
      </c>
      <c r="GM18" s="51">
        <v>0.67083333333333328</v>
      </c>
      <c r="GW18" t="s">
        <v>879</v>
      </c>
      <c r="GX18">
        <v>24436210</v>
      </c>
      <c r="GY18" s="51">
        <v>0.63611111111111107</v>
      </c>
      <c r="GZ18" s="51">
        <v>0.64027777777777772</v>
      </c>
      <c r="HA18" s="51">
        <v>0.64652777777777781</v>
      </c>
      <c r="HK18" t="s">
        <v>348</v>
      </c>
      <c r="HL18">
        <v>24507444</v>
      </c>
      <c r="HM18" s="51">
        <v>0.36249999999999999</v>
      </c>
      <c r="HN18" s="51">
        <v>0.37291666666666667</v>
      </c>
      <c r="HO18" s="51">
        <v>0.37361111111111112</v>
      </c>
      <c r="HY18" t="s">
        <v>348</v>
      </c>
      <c r="HZ18">
        <v>24688502</v>
      </c>
      <c r="IA18" s="51">
        <v>0.6381944444444444</v>
      </c>
      <c r="IB18" s="51">
        <v>0.64375000000000004</v>
      </c>
      <c r="IC18" s="51">
        <v>0.64513888888888893</v>
      </c>
      <c r="IM18" t="s">
        <v>830</v>
      </c>
      <c r="IN18">
        <v>24791334</v>
      </c>
      <c r="IO18" s="51">
        <v>0.7368055555555556</v>
      </c>
      <c r="IP18" s="51">
        <v>0.74027777777777781</v>
      </c>
      <c r="IQ18" s="51">
        <v>0.75208333333333333</v>
      </c>
      <c r="JO18" t="s">
        <v>2179</v>
      </c>
      <c r="JP18">
        <v>24892878</v>
      </c>
      <c r="JQ18" s="51">
        <v>0.75138888888888888</v>
      </c>
      <c r="JR18" s="51">
        <v>0.75694444444444442</v>
      </c>
      <c r="JS18" t="s">
        <v>1966</v>
      </c>
    </row>
    <row r="19" spans="1:279">
      <c r="A19" t="s">
        <v>2849</v>
      </c>
      <c r="B19">
        <v>23301076</v>
      </c>
      <c r="C19" s="51">
        <v>0.56874999999999998</v>
      </c>
      <c r="D19" s="51">
        <v>0.57152777777777775</v>
      </c>
      <c r="G19" t="s">
        <v>2860</v>
      </c>
      <c r="H19">
        <v>23368108</v>
      </c>
      <c r="I19" s="51">
        <v>0.63958333333333328</v>
      </c>
      <c r="J19" s="51">
        <v>0.64166666666666672</v>
      </c>
      <c r="M19" t="s">
        <v>2852</v>
      </c>
      <c r="N19">
        <v>23403860</v>
      </c>
      <c r="O19" s="51">
        <v>0.69444444444444442</v>
      </c>
      <c r="P19" s="51">
        <v>0.69791666666666663</v>
      </c>
      <c r="S19" t="s">
        <v>2847</v>
      </c>
      <c r="T19">
        <v>23428904</v>
      </c>
      <c r="U19" s="51">
        <v>0.62638888888888888</v>
      </c>
      <c r="V19" s="51">
        <v>0.62986111111111109</v>
      </c>
      <c r="Y19" t="s">
        <v>2840</v>
      </c>
      <c r="Z19">
        <v>23460532</v>
      </c>
      <c r="AA19" s="51">
        <v>0.75347222222222221</v>
      </c>
      <c r="AB19" s="51">
        <v>0.76666666666666672</v>
      </c>
      <c r="AK19" t="s">
        <v>2845</v>
      </c>
      <c r="AL19">
        <v>23517664</v>
      </c>
      <c r="AM19" s="51">
        <v>0.62291666666666667</v>
      </c>
      <c r="AN19" s="51">
        <v>0.62638888888888888</v>
      </c>
      <c r="AQ19" t="s">
        <v>2856</v>
      </c>
      <c r="AR19">
        <v>23549204</v>
      </c>
      <c r="AS19" s="51">
        <v>0.64583333333333337</v>
      </c>
      <c r="AT19" s="51">
        <v>0.6479166666666667</v>
      </c>
      <c r="AW19" t="s">
        <v>2851</v>
      </c>
      <c r="AX19">
        <v>23581054</v>
      </c>
      <c r="AY19" s="51">
        <v>0.75347222222222221</v>
      </c>
      <c r="AZ19" s="51">
        <v>0.75486111111111109</v>
      </c>
      <c r="BC19" t="s">
        <v>2841</v>
      </c>
      <c r="BD19">
        <v>23609330</v>
      </c>
      <c r="BE19" s="51">
        <v>0.66041666666666665</v>
      </c>
      <c r="BF19" s="51">
        <v>0.6694444444444444</v>
      </c>
      <c r="BI19" t="s">
        <v>2847</v>
      </c>
      <c r="BJ19">
        <v>23642552</v>
      </c>
      <c r="BK19" s="51">
        <v>0.64652777777777781</v>
      </c>
      <c r="BL19" s="51">
        <v>0.66319444444444442</v>
      </c>
      <c r="CA19" t="s">
        <v>2839</v>
      </c>
      <c r="CB19">
        <v>23699562</v>
      </c>
      <c r="CC19" s="51">
        <v>0.51041666666666663</v>
      </c>
      <c r="CD19" s="51">
        <v>0.51111111111111107</v>
      </c>
      <c r="CG19" t="s">
        <v>2853</v>
      </c>
      <c r="CH19">
        <v>23733490</v>
      </c>
      <c r="CI19" s="51">
        <v>0.66041666666666665</v>
      </c>
      <c r="CJ19" s="51">
        <v>0.66111111111111109</v>
      </c>
      <c r="CL19" s="172" t="s">
        <v>2846</v>
      </c>
      <c r="CM19" t="s">
        <v>2851</v>
      </c>
      <c r="CN19">
        <v>23756631</v>
      </c>
      <c r="CO19" s="51">
        <v>0.76527777777777772</v>
      </c>
      <c r="CP19" s="51">
        <v>0.76666666666666672</v>
      </c>
      <c r="ED19" s="172" t="s">
        <v>2846</v>
      </c>
      <c r="EE19" t="s">
        <v>2840</v>
      </c>
      <c r="EF19">
        <v>24201862</v>
      </c>
      <c r="EG19" s="51">
        <v>0.73472222222222228</v>
      </c>
      <c r="EH19" s="51">
        <v>0.73819444444444449</v>
      </c>
      <c r="EI19" s="51">
        <v>0.74027777777777781</v>
      </c>
      <c r="EK19" s="172" t="s">
        <v>2846</v>
      </c>
      <c r="EL19" t="s">
        <v>2849</v>
      </c>
      <c r="EM19">
        <v>24220810</v>
      </c>
      <c r="EN19" s="51">
        <v>0.72430555555555554</v>
      </c>
      <c r="EO19" s="51">
        <v>0.73124999999999996</v>
      </c>
      <c r="EP19" s="51">
        <v>0.73402777777777772</v>
      </c>
      <c r="ES19" t="s">
        <v>358</v>
      </c>
      <c r="ET19">
        <v>24244968</v>
      </c>
      <c r="EU19" s="51">
        <v>0.65694444444444444</v>
      </c>
      <c r="EV19" s="51">
        <v>0.65902777777777777</v>
      </c>
      <c r="EW19" s="51">
        <v>0.66180555555555554</v>
      </c>
      <c r="FG19" t="s">
        <v>879</v>
      </c>
      <c r="FH19">
        <v>24281378</v>
      </c>
      <c r="FI19" s="51">
        <v>0.40138888888888891</v>
      </c>
      <c r="FJ19" s="51">
        <v>0.47222222222222221</v>
      </c>
      <c r="FK19" s="51">
        <v>0.47430555555555554</v>
      </c>
      <c r="FN19" t="s">
        <v>348</v>
      </c>
      <c r="FO19">
        <v>24314556</v>
      </c>
      <c r="FP19" s="51">
        <v>0.77708333333333335</v>
      </c>
      <c r="FQ19" s="51">
        <v>0.78055555555555556</v>
      </c>
      <c r="FR19" s="51">
        <v>0.78263888888888888</v>
      </c>
      <c r="FU19" t="s">
        <v>90</v>
      </c>
      <c r="FV19">
        <v>24350400</v>
      </c>
      <c r="FW19" s="51">
        <v>0.55763888888888891</v>
      </c>
      <c r="FX19" s="51">
        <v>0.56111111111111112</v>
      </c>
      <c r="FY19" s="51">
        <v>0.56319444444444444</v>
      </c>
      <c r="GB19" t="s">
        <v>548</v>
      </c>
      <c r="GC19" s="97">
        <v>24382562</v>
      </c>
      <c r="GD19" s="51">
        <v>0.76111111111111107</v>
      </c>
      <c r="GE19" s="51">
        <v>0.7680555555555556</v>
      </c>
      <c r="GF19" s="51">
        <v>0.77083333333333337</v>
      </c>
      <c r="GI19" t="s">
        <v>1091</v>
      </c>
      <c r="GJ19">
        <v>24401682</v>
      </c>
      <c r="GK19" s="51">
        <v>0.6479166666666667</v>
      </c>
      <c r="GL19" s="51">
        <v>0.65</v>
      </c>
      <c r="GM19" s="51">
        <v>0.65138888888888891</v>
      </c>
      <c r="GW19" t="s">
        <v>39</v>
      </c>
      <c r="GX19">
        <v>24398088</v>
      </c>
      <c r="GY19" s="51">
        <v>0.66180555555555554</v>
      </c>
      <c r="GZ19" s="51">
        <v>0.66249999999999998</v>
      </c>
      <c r="HA19" s="51">
        <v>0.66666666666666663</v>
      </c>
      <c r="HK19" t="s">
        <v>39</v>
      </c>
      <c r="HL19">
        <v>24514518</v>
      </c>
      <c r="HM19" s="51">
        <v>0.48958333333333331</v>
      </c>
      <c r="HN19" s="51">
        <v>0.4909722222222222</v>
      </c>
      <c r="HO19" s="51">
        <v>0.49236111111111114</v>
      </c>
      <c r="HY19" t="s">
        <v>62</v>
      </c>
      <c r="HZ19">
        <v>24360134</v>
      </c>
      <c r="IA19" s="51">
        <v>0.6381944444444444</v>
      </c>
      <c r="IB19" s="51">
        <v>0.64513888888888893</v>
      </c>
      <c r="IC19" s="51">
        <v>0.64652777777777781</v>
      </c>
      <c r="IM19" t="s">
        <v>2179</v>
      </c>
      <c r="IN19">
        <v>24757628</v>
      </c>
      <c r="IO19" s="51">
        <v>0.73888888888888893</v>
      </c>
      <c r="IP19" s="51">
        <v>0.74652777777777779</v>
      </c>
      <c r="IQ19" s="51">
        <v>0.77916666666666667</v>
      </c>
    </row>
    <row r="20" spans="1:279">
      <c r="A20" t="s">
        <v>2849</v>
      </c>
      <c r="B20">
        <v>23311058</v>
      </c>
      <c r="C20" s="51">
        <v>0.5708333333333333</v>
      </c>
      <c r="D20" s="51">
        <v>0.57291666666666663</v>
      </c>
      <c r="G20" t="s">
        <v>2852</v>
      </c>
      <c r="H20">
        <v>23356310</v>
      </c>
      <c r="I20" s="51">
        <v>0.6875</v>
      </c>
      <c r="J20" s="51">
        <v>0.69166666666666665</v>
      </c>
      <c r="M20" t="s">
        <v>2854</v>
      </c>
      <c r="N20">
        <v>23402490</v>
      </c>
      <c r="O20" s="51">
        <v>0.7104166666666667</v>
      </c>
      <c r="P20" s="51">
        <v>0.71250000000000002</v>
      </c>
      <c r="S20" t="s">
        <v>2841</v>
      </c>
      <c r="T20">
        <v>23429158</v>
      </c>
      <c r="U20" s="51">
        <v>0.62916666666666665</v>
      </c>
      <c r="V20" s="51">
        <v>0.63263888888888886</v>
      </c>
      <c r="Y20" t="s">
        <v>2841</v>
      </c>
      <c r="Z20">
        <v>23461088</v>
      </c>
      <c r="AA20" s="51">
        <v>0.76249999999999996</v>
      </c>
      <c r="AB20" s="51">
        <v>0.7680555555555556</v>
      </c>
      <c r="AK20" t="s">
        <v>2856</v>
      </c>
      <c r="AL20">
        <v>23517816</v>
      </c>
      <c r="AM20" s="51">
        <v>0.62916666666666665</v>
      </c>
      <c r="AN20" s="51">
        <v>0.63124999999999998</v>
      </c>
      <c r="AQ20" t="s">
        <v>2842</v>
      </c>
      <c r="AR20">
        <v>23549464</v>
      </c>
      <c r="AS20" s="51">
        <v>0.67638888888888893</v>
      </c>
      <c r="AT20" s="51">
        <v>0.69305555555555554</v>
      </c>
      <c r="BC20" t="s">
        <v>2844</v>
      </c>
      <c r="BD20">
        <v>23609708</v>
      </c>
      <c r="BE20" s="51">
        <v>0.65902777777777777</v>
      </c>
      <c r="BF20" s="51">
        <v>0.66111111111111109</v>
      </c>
      <c r="BI20" t="s">
        <v>2839</v>
      </c>
      <c r="BJ20">
        <v>23644074</v>
      </c>
      <c r="BK20" s="51">
        <v>0.69722222222222219</v>
      </c>
      <c r="BL20" s="51">
        <v>0.7</v>
      </c>
      <c r="CA20" t="s">
        <v>2854</v>
      </c>
      <c r="CB20">
        <v>23700116</v>
      </c>
      <c r="CC20" s="51">
        <v>0.53472222222222221</v>
      </c>
      <c r="CD20" s="51">
        <v>0.54097222222222219</v>
      </c>
      <c r="CG20" t="s">
        <v>2849</v>
      </c>
      <c r="CH20">
        <v>23734174</v>
      </c>
      <c r="CI20" s="51">
        <v>0.67152777777777772</v>
      </c>
      <c r="CJ20" s="51">
        <v>0.67361111111111116</v>
      </c>
      <c r="ED20" s="172" t="s">
        <v>2846</v>
      </c>
      <c r="EE20" t="s">
        <v>2839</v>
      </c>
      <c r="EF20">
        <v>24202032</v>
      </c>
      <c r="EG20" s="51">
        <v>0.74583333333333335</v>
      </c>
      <c r="EH20" s="51">
        <v>0.74791666666666667</v>
      </c>
      <c r="EI20" s="51">
        <v>0.74861111111111112</v>
      </c>
      <c r="EK20" s="172" t="s">
        <v>2846</v>
      </c>
      <c r="EL20" t="s">
        <v>2840</v>
      </c>
      <c r="EM20">
        <v>24158100</v>
      </c>
      <c r="EN20" s="51">
        <v>0.72291666666666665</v>
      </c>
      <c r="EO20" s="51">
        <v>0.73472222222222228</v>
      </c>
      <c r="EP20" s="51">
        <v>0.73541666666666672</v>
      </c>
      <c r="ES20" t="s">
        <v>1091</v>
      </c>
      <c r="ET20">
        <v>24247884</v>
      </c>
      <c r="EU20" s="51">
        <v>0.67152777777777772</v>
      </c>
      <c r="EV20" s="51">
        <v>0.67777777777777781</v>
      </c>
      <c r="EW20" s="51">
        <v>0.6875</v>
      </c>
      <c r="FG20" t="s">
        <v>39</v>
      </c>
      <c r="FH20">
        <v>24272850</v>
      </c>
      <c r="FI20" s="51">
        <v>0.44305555555555554</v>
      </c>
      <c r="FJ20" s="51">
        <v>0.47361111111111109</v>
      </c>
      <c r="FK20" s="51">
        <v>0.47430555555555554</v>
      </c>
      <c r="FN20" t="s">
        <v>879</v>
      </c>
      <c r="FO20">
        <v>24325512</v>
      </c>
      <c r="FP20" s="51">
        <v>0.77916666666666667</v>
      </c>
      <c r="FQ20" s="51">
        <v>0.78611111111111109</v>
      </c>
      <c r="FR20" s="51">
        <v>0.78749999999999998</v>
      </c>
      <c r="FU20" t="s">
        <v>90</v>
      </c>
      <c r="FV20">
        <v>24328762</v>
      </c>
      <c r="FW20" s="51">
        <v>0.56319444444444444</v>
      </c>
      <c r="FX20" s="51">
        <v>0.56458333333333333</v>
      </c>
      <c r="FY20" s="51">
        <v>0.57152777777777775</v>
      </c>
      <c r="GI20" t="s">
        <v>327</v>
      </c>
      <c r="GJ20">
        <v>24403058</v>
      </c>
      <c r="GK20" s="51">
        <v>0.65555555555555556</v>
      </c>
      <c r="GL20" s="51">
        <v>0.65763888888888888</v>
      </c>
      <c r="GM20" s="51">
        <v>0.66805555555555551</v>
      </c>
      <c r="GW20" t="s">
        <v>62</v>
      </c>
      <c r="GX20">
        <v>24433052</v>
      </c>
      <c r="GY20" s="51">
        <v>0.63611111111111107</v>
      </c>
      <c r="GZ20" s="51">
        <v>0.63611111111111107</v>
      </c>
      <c r="HA20" s="51">
        <v>0.63749999999999996</v>
      </c>
      <c r="HK20" t="s">
        <v>55</v>
      </c>
      <c r="HL20">
        <v>24532874</v>
      </c>
      <c r="HM20" s="51">
        <v>0.49166666666666664</v>
      </c>
      <c r="HN20" s="51">
        <v>0.49375000000000002</v>
      </c>
      <c r="HO20" s="51">
        <v>0.49722222222222223</v>
      </c>
      <c r="HY20" t="s">
        <v>1946</v>
      </c>
      <c r="HZ20">
        <v>24694794</v>
      </c>
      <c r="IA20" s="51">
        <v>0.64861111111111114</v>
      </c>
      <c r="IB20" s="51">
        <v>0.65277777777777779</v>
      </c>
      <c r="IC20" s="51">
        <v>0.67083333333333328</v>
      </c>
      <c r="IM20" t="s">
        <v>90</v>
      </c>
      <c r="IN20">
        <v>24355042</v>
      </c>
      <c r="IO20" s="51">
        <v>0.7631944444444444</v>
      </c>
      <c r="IP20" s="51">
        <v>0.76736111111111116</v>
      </c>
      <c r="IQ20" s="51">
        <v>0.77083333333333337</v>
      </c>
    </row>
    <row r="21" spans="1:279">
      <c r="A21" t="s">
        <v>2849</v>
      </c>
      <c r="B21">
        <v>23312206</v>
      </c>
      <c r="C21" s="51">
        <v>0.57291666666666663</v>
      </c>
      <c r="D21" s="51">
        <v>0.5756944444444444</v>
      </c>
      <c r="G21" t="s">
        <v>2854</v>
      </c>
      <c r="H21">
        <v>23367198</v>
      </c>
      <c r="I21" s="51">
        <v>0.64861111111111114</v>
      </c>
      <c r="J21" s="51">
        <v>0.65902777777777777</v>
      </c>
      <c r="M21" t="s">
        <v>2854</v>
      </c>
      <c r="N21">
        <v>23407164</v>
      </c>
      <c r="O21" s="51">
        <v>0.72083333333333333</v>
      </c>
      <c r="P21" s="51">
        <v>0.72291666666666665</v>
      </c>
      <c r="S21" t="s">
        <v>2842</v>
      </c>
      <c r="T21">
        <v>23429224</v>
      </c>
      <c r="U21" s="51">
        <v>0.63749999999999996</v>
      </c>
      <c r="V21" s="51">
        <v>0.63958333333333328</v>
      </c>
      <c r="AK21" t="s">
        <v>2852</v>
      </c>
      <c r="AL21">
        <v>23517252</v>
      </c>
      <c r="AM21" s="51">
        <v>0.63611111111111107</v>
      </c>
      <c r="AN21" s="51">
        <v>0.63958333333333328</v>
      </c>
      <c r="AQ21" t="s">
        <v>2854</v>
      </c>
      <c r="AR21">
        <v>23550906</v>
      </c>
      <c r="AS21" s="51">
        <v>0.70277777777777772</v>
      </c>
      <c r="AT21" s="51">
        <v>0.70416666666666672</v>
      </c>
      <c r="BC21" t="s">
        <v>2860</v>
      </c>
      <c r="BD21">
        <v>23611008</v>
      </c>
      <c r="BE21" s="51">
        <v>0.6645833333333333</v>
      </c>
      <c r="BF21" s="51">
        <v>0.66597222222222219</v>
      </c>
      <c r="CA21" t="s">
        <v>2839</v>
      </c>
      <c r="CB21">
        <v>23700570</v>
      </c>
      <c r="CC21" s="51">
        <v>0.5444444444444444</v>
      </c>
      <c r="CD21" s="51">
        <v>0.54652777777777772</v>
      </c>
      <c r="CG21" t="s">
        <v>2847</v>
      </c>
      <c r="CH21">
        <v>23725540</v>
      </c>
      <c r="CI21" s="51">
        <v>0.69305555555555554</v>
      </c>
      <c r="CJ21" s="51">
        <v>0.70138888888888884</v>
      </c>
      <c r="EK21" s="172" t="s">
        <v>2846</v>
      </c>
      <c r="EL21" t="s">
        <v>2843</v>
      </c>
      <c r="EM21">
        <v>24228128</v>
      </c>
      <c r="EN21" s="51">
        <v>0.74097222222222225</v>
      </c>
      <c r="EO21" s="51">
        <v>0.74444444444444446</v>
      </c>
      <c r="EP21" s="51">
        <v>0.74513888888888891</v>
      </c>
      <c r="ES21" t="s">
        <v>266</v>
      </c>
      <c r="ET21">
        <v>24188300</v>
      </c>
      <c r="EU21" s="51">
        <v>0.68680555555555556</v>
      </c>
      <c r="EV21" s="51">
        <v>0.69374999999999998</v>
      </c>
      <c r="EW21" s="51">
        <v>0.6958333333333333</v>
      </c>
      <c r="FG21" t="s">
        <v>39</v>
      </c>
      <c r="FH21">
        <v>24278828</v>
      </c>
      <c r="FI21" s="51">
        <v>0.45</v>
      </c>
      <c r="FJ21" s="51">
        <v>0.47430555555555554</v>
      </c>
      <c r="FK21" s="51">
        <v>0.47638888888888886</v>
      </c>
      <c r="FU21" t="s">
        <v>1091</v>
      </c>
      <c r="FV21">
        <v>24330288</v>
      </c>
      <c r="FW21" s="51">
        <v>0.59444444444444444</v>
      </c>
      <c r="FX21" s="51">
        <v>0.60138888888888886</v>
      </c>
      <c r="FY21" s="51">
        <v>0.60416666666666663</v>
      </c>
      <c r="GI21" t="s">
        <v>1091</v>
      </c>
      <c r="GJ21">
        <v>24401792</v>
      </c>
      <c r="GK21" s="51">
        <v>0.7</v>
      </c>
      <c r="GL21" s="51">
        <v>0.70416666666666672</v>
      </c>
      <c r="GM21" s="51">
        <v>0.70486111111111116</v>
      </c>
      <c r="GW21" t="s">
        <v>95</v>
      </c>
      <c r="GX21">
        <v>24362654</v>
      </c>
      <c r="GY21" s="51">
        <v>0.61944444444444446</v>
      </c>
      <c r="GZ21" s="51">
        <v>0.63402777777777775</v>
      </c>
      <c r="HA21" s="51">
        <v>0.64027777777777772</v>
      </c>
      <c r="HK21" t="s">
        <v>90</v>
      </c>
      <c r="HL21">
        <v>24496764</v>
      </c>
      <c r="HM21" s="51">
        <v>0.49652777777777779</v>
      </c>
      <c r="HN21" s="51">
        <v>0.5</v>
      </c>
      <c r="HO21" s="51">
        <v>0.50486111111111109</v>
      </c>
      <c r="HY21" t="s">
        <v>28</v>
      </c>
      <c r="HZ21">
        <v>24457790</v>
      </c>
      <c r="IA21" s="51">
        <v>0.65625</v>
      </c>
      <c r="IB21" s="51">
        <v>0.66319444444444442</v>
      </c>
      <c r="IC21" s="51">
        <v>0.66388888888888886</v>
      </c>
      <c r="IM21" t="s">
        <v>548</v>
      </c>
      <c r="IN21">
        <v>24643638</v>
      </c>
      <c r="IO21" s="51">
        <v>0.76388888888888884</v>
      </c>
      <c r="IP21" s="51">
        <v>0.77500000000000002</v>
      </c>
      <c r="IQ21" s="51">
        <v>0.77708333333333335</v>
      </c>
    </row>
    <row r="22" spans="1:279">
      <c r="A22" t="s">
        <v>2849</v>
      </c>
      <c r="B22">
        <v>23312196</v>
      </c>
      <c r="C22" s="51">
        <v>0.57430555555555551</v>
      </c>
      <c r="D22" s="51">
        <v>0.58194444444444449</v>
      </c>
      <c r="G22" t="s">
        <v>2849</v>
      </c>
      <c r="H22">
        <v>23361156</v>
      </c>
      <c r="I22" s="51">
        <v>0.70763888888888893</v>
      </c>
      <c r="J22" s="51">
        <v>0.72222222222222221</v>
      </c>
      <c r="M22" t="s">
        <v>2847</v>
      </c>
      <c r="N22">
        <v>23407726</v>
      </c>
      <c r="O22" s="51">
        <v>0.73958333333333337</v>
      </c>
      <c r="P22" s="51">
        <v>0.7416666666666667</v>
      </c>
      <c r="S22" t="s">
        <v>2858</v>
      </c>
      <c r="T22">
        <v>23428494</v>
      </c>
      <c r="U22" s="51">
        <v>0.60486111111111107</v>
      </c>
      <c r="V22" s="51">
        <v>0.62708333333333333</v>
      </c>
      <c r="AK22" t="s">
        <v>2852</v>
      </c>
      <c r="AL22">
        <v>23517510</v>
      </c>
      <c r="AM22" s="51">
        <v>0.63749999999999996</v>
      </c>
      <c r="AN22" s="51">
        <v>0.64097222222222228</v>
      </c>
      <c r="AQ22" t="s">
        <v>2841</v>
      </c>
      <c r="AR22">
        <v>23551086</v>
      </c>
      <c r="AS22" s="51">
        <v>0.70763888888888893</v>
      </c>
      <c r="AT22" s="51">
        <v>0.71736111111111112</v>
      </c>
      <c r="BC22" t="s">
        <v>2856</v>
      </c>
      <c r="BD22">
        <v>23581048</v>
      </c>
      <c r="BE22" s="51">
        <v>0.70347222222222228</v>
      </c>
      <c r="BF22" s="51">
        <v>0.7055555555555556</v>
      </c>
      <c r="CA22" t="s">
        <v>2856</v>
      </c>
      <c r="CB22">
        <v>23678068</v>
      </c>
      <c r="CC22" s="51">
        <v>0.56319444444444444</v>
      </c>
      <c r="CD22" s="51">
        <v>0.56666666666666665</v>
      </c>
      <c r="CG22" t="s">
        <v>2849</v>
      </c>
      <c r="CH22">
        <v>23736064</v>
      </c>
      <c r="CI22" s="51">
        <v>0.71111111111111114</v>
      </c>
      <c r="CJ22" s="51">
        <v>0.71388888888888891</v>
      </c>
      <c r="EK22" s="172" t="s">
        <v>2846</v>
      </c>
      <c r="EL22" t="s">
        <v>2840</v>
      </c>
      <c r="EM22">
        <v>24227570</v>
      </c>
      <c r="EN22" s="51">
        <v>0.7680555555555556</v>
      </c>
      <c r="EO22" s="51">
        <v>0.77361111111111114</v>
      </c>
      <c r="EP22" s="51">
        <v>0.77430555555555558</v>
      </c>
      <c r="ES22" t="s">
        <v>98</v>
      </c>
      <c r="ET22">
        <v>24241280</v>
      </c>
      <c r="EU22" s="51">
        <v>0.69930555555555551</v>
      </c>
      <c r="EV22" s="51">
        <v>0.70208333333333328</v>
      </c>
      <c r="EW22" s="51">
        <v>0.71180555555555558</v>
      </c>
      <c r="FG22" t="s">
        <v>879</v>
      </c>
      <c r="FH22">
        <v>24282944</v>
      </c>
      <c r="FI22" s="51">
        <v>0.3840277777777778</v>
      </c>
      <c r="FJ22" s="51">
        <v>0.47708333333333336</v>
      </c>
      <c r="FK22" s="51">
        <v>0.48055555555555557</v>
      </c>
      <c r="FU22" t="s">
        <v>39</v>
      </c>
      <c r="FV22">
        <v>24265608</v>
      </c>
      <c r="FW22" s="51">
        <v>0.63263888888888886</v>
      </c>
      <c r="FX22" s="51">
        <v>0.63472222222222219</v>
      </c>
      <c r="FY22" s="51">
        <v>0.63749999999999996</v>
      </c>
      <c r="GI22" t="s">
        <v>348</v>
      </c>
      <c r="GJ22">
        <v>24391084</v>
      </c>
      <c r="GK22" s="51">
        <v>0.70694444444444449</v>
      </c>
      <c r="GL22" s="51">
        <v>0.70763888888888893</v>
      </c>
      <c r="GM22" s="51">
        <v>0.70833333333333337</v>
      </c>
      <c r="GW22" t="s">
        <v>348</v>
      </c>
      <c r="GX22">
        <v>24453148</v>
      </c>
      <c r="GY22" s="51">
        <v>0.74861111111111112</v>
      </c>
      <c r="GZ22" s="51">
        <v>0.75208333333333333</v>
      </c>
      <c r="HA22" s="51">
        <v>0.75277777777777777</v>
      </c>
      <c r="HK22" t="s">
        <v>39</v>
      </c>
      <c r="HL22">
        <v>24548536</v>
      </c>
      <c r="HM22" s="51">
        <v>0.5131944444444444</v>
      </c>
      <c r="HN22" s="51">
        <v>0.51875000000000004</v>
      </c>
      <c r="HO22" s="51">
        <v>0.5229166666666667</v>
      </c>
      <c r="HY22" t="s">
        <v>1946</v>
      </c>
      <c r="HZ22">
        <v>24690640</v>
      </c>
      <c r="IA22" s="51">
        <v>0.66527777777777775</v>
      </c>
      <c r="IB22" s="51">
        <v>0.67222222222222228</v>
      </c>
      <c r="IC22" s="51">
        <v>0.68333333333333335</v>
      </c>
    </row>
    <row r="23" spans="1:279">
      <c r="A23" t="s">
        <v>2849</v>
      </c>
      <c r="B23">
        <v>23312882</v>
      </c>
      <c r="C23" s="51">
        <v>0.68819444444444444</v>
      </c>
      <c r="D23" s="51">
        <v>0.69027777777777777</v>
      </c>
      <c r="G23" t="s">
        <v>2843</v>
      </c>
      <c r="H23">
        <v>23370648</v>
      </c>
      <c r="I23" s="51">
        <v>0.71111111111111114</v>
      </c>
      <c r="J23" s="51">
        <v>0.71250000000000002</v>
      </c>
      <c r="S23" t="s">
        <v>2839</v>
      </c>
      <c r="T23">
        <v>23429532</v>
      </c>
      <c r="U23" s="51">
        <v>0.66319444444444442</v>
      </c>
      <c r="V23" s="51">
        <v>0.66527777777777775</v>
      </c>
      <c r="AK23" t="s">
        <v>2856</v>
      </c>
      <c r="AL23">
        <v>23517400</v>
      </c>
      <c r="AM23" s="51">
        <v>0.69374999999999998</v>
      </c>
      <c r="AN23" s="51">
        <v>0.69513888888888886</v>
      </c>
      <c r="AQ23" t="s">
        <v>2851</v>
      </c>
      <c r="AR23">
        <v>23551962</v>
      </c>
      <c r="AS23" s="51">
        <v>0.75069444444444444</v>
      </c>
      <c r="AT23" s="51">
        <v>0.75208333333333333</v>
      </c>
      <c r="BC23" t="s">
        <v>2851</v>
      </c>
      <c r="BD23">
        <v>23613032</v>
      </c>
      <c r="BE23" s="51">
        <v>0.71666666666666667</v>
      </c>
      <c r="BF23" s="51">
        <v>0.71875</v>
      </c>
      <c r="CA23" t="s">
        <v>2842</v>
      </c>
      <c r="CB23">
        <v>23701964</v>
      </c>
      <c r="CC23" s="51">
        <v>0.5805555555555556</v>
      </c>
      <c r="CD23" s="51">
        <v>0.58263888888888893</v>
      </c>
      <c r="CG23" t="s">
        <v>2855</v>
      </c>
      <c r="CH23">
        <v>23736620</v>
      </c>
      <c r="CI23" s="51">
        <v>0.71666666666666667</v>
      </c>
      <c r="CJ23" s="51">
        <v>0.71805555555555556</v>
      </c>
      <c r="ES23" t="s">
        <v>879</v>
      </c>
      <c r="ET23">
        <v>23572932</v>
      </c>
      <c r="EU23" s="51">
        <v>0.70694444444444449</v>
      </c>
      <c r="EV23" s="51">
        <v>0.7104166666666667</v>
      </c>
      <c r="EW23" s="51">
        <v>0.73541666666666672</v>
      </c>
      <c r="FG23" t="s">
        <v>98</v>
      </c>
      <c r="FH23">
        <v>24272720</v>
      </c>
      <c r="FI23" s="51">
        <v>0.40486111111111112</v>
      </c>
      <c r="FJ23" s="51">
        <v>0.48333333333333334</v>
      </c>
      <c r="FK23" s="51">
        <v>0.60486111111111107</v>
      </c>
      <c r="FU23" t="s">
        <v>39</v>
      </c>
      <c r="FV23">
        <v>24354070</v>
      </c>
      <c r="FW23" s="51">
        <v>0.66249999999999998</v>
      </c>
      <c r="FX23" s="51">
        <v>0.66319444444444442</v>
      </c>
      <c r="FY23" s="51">
        <v>0.6645833333333333</v>
      </c>
      <c r="GI23" t="s">
        <v>1946</v>
      </c>
      <c r="GJ23">
        <v>24402274</v>
      </c>
      <c r="GK23" s="51">
        <v>0.70625000000000004</v>
      </c>
      <c r="GL23" s="51">
        <v>0.70902777777777781</v>
      </c>
      <c r="GM23" s="51">
        <v>0.7104166666666667</v>
      </c>
      <c r="GW23" t="s">
        <v>1946</v>
      </c>
      <c r="GX23">
        <v>24456524</v>
      </c>
      <c r="GY23" s="51">
        <v>0.77083333333333337</v>
      </c>
      <c r="GZ23" s="51">
        <v>0.77777777777777779</v>
      </c>
      <c r="HA23" s="51">
        <v>0.78749999999999998</v>
      </c>
      <c r="HK23" t="s">
        <v>358</v>
      </c>
      <c r="HL23">
        <v>24552002</v>
      </c>
      <c r="HM23" s="51">
        <v>0.53194444444444444</v>
      </c>
      <c r="HN23" s="51">
        <v>0.53263888888888888</v>
      </c>
      <c r="HO23" s="51">
        <v>0.53402777777777777</v>
      </c>
      <c r="HY23" t="s">
        <v>1080</v>
      </c>
      <c r="HZ23">
        <v>24701674</v>
      </c>
      <c r="IA23" s="51">
        <v>0.67291666666666672</v>
      </c>
      <c r="IB23" s="51">
        <v>0.67708333333333337</v>
      </c>
      <c r="IC23" s="51">
        <v>0.67847222222222225</v>
      </c>
    </row>
    <row r="24" spans="1:279">
      <c r="A24" t="s">
        <v>2849</v>
      </c>
      <c r="B24">
        <v>23318434</v>
      </c>
      <c r="C24" s="51">
        <v>0.70208333333333328</v>
      </c>
      <c r="D24" s="51">
        <v>0.7055555555555556</v>
      </c>
      <c r="G24" t="s">
        <v>2849</v>
      </c>
      <c r="H24">
        <v>23367708</v>
      </c>
      <c r="I24" s="51">
        <v>0.72291666666666665</v>
      </c>
      <c r="J24" s="51">
        <v>0.72430555555555554</v>
      </c>
      <c r="S24" t="s">
        <v>2853</v>
      </c>
      <c r="T24">
        <v>23429506</v>
      </c>
      <c r="U24" s="51">
        <v>0.67777777777777781</v>
      </c>
      <c r="V24" s="51">
        <v>0.67986111111111114</v>
      </c>
      <c r="AK24" t="s">
        <v>2856</v>
      </c>
      <c r="AL24">
        <v>23518354</v>
      </c>
      <c r="AM24" s="51">
        <v>0.69513888888888886</v>
      </c>
      <c r="AN24" s="51">
        <v>0.69652777777777775</v>
      </c>
      <c r="AQ24" t="s">
        <v>2847</v>
      </c>
      <c r="AR24">
        <v>23542756</v>
      </c>
      <c r="AS24" s="51">
        <v>0.75624999999999998</v>
      </c>
      <c r="AT24" s="51">
        <v>0.76527777777777772</v>
      </c>
      <c r="BC24" t="s">
        <v>2840</v>
      </c>
      <c r="BD24">
        <v>23612976</v>
      </c>
      <c r="BE24" s="51">
        <v>0.71805555555555556</v>
      </c>
      <c r="BF24" s="51">
        <v>0.71944444444444444</v>
      </c>
      <c r="CA24" t="s">
        <v>2847</v>
      </c>
      <c r="CB24">
        <v>23701422</v>
      </c>
      <c r="CC24" s="51">
        <v>0.58611111111111114</v>
      </c>
      <c r="CD24" s="51">
        <v>0.59027777777777779</v>
      </c>
      <c r="ES24" t="s">
        <v>879</v>
      </c>
      <c r="ET24">
        <v>24250102</v>
      </c>
      <c r="EU24" s="51">
        <v>0.73819444444444449</v>
      </c>
      <c r="EV24" s="51">
        <v>0.76180555555555551</v>
      </c>
      <c r="EW24" t="s">
        <v>1966</v>
      </c>
      <c r="FG24" t="s">
        <v>90</v>
      </c>
      <c r="FH24">
        <v>24288538</v>
      </c>
      <c r="FI24" s="51">
        <v>0.47013888888888888</v>
      </c>
      <c r="FJ24" s="51">
        <v>0.48680555555555555</v>
      </c>
      <c r="FK24" s="51">
        <v>0.53888888888888886</v>
      </c>
      <c r="FU24" t="s">
        <v>39</v>
      </c>
      <c r="FV24">
        <v>24354690</v>
      </c>
      <c r="FW24" s="51">
        <v>0.67291666666666672</v>
      </c>
      <c r="FX24" s="51">
        <v>0.68055555555555558</v>
      </c>
      <c r="FY24" s="51">
        <v>0.68472222222222223</v>
      </c>
      <c r="GI24" t="s">
        <v>39</v>
      </c>
      <c r="GJ24">
        <v>24385800</v>
      </c>
      <c r="GK24" s="51">
        <v>0.70347222222222228</v>
      </c>
      <c r="GL24" s="51">
        <v>0.71111111111111114</v>
      </c>
      <c r="GM24" s="51">
        <v>0.71319444444444446</v>
      </c>
      <c r="GW24" t="s">
        <v>95</v>
      </c>
      <c r="GX24">
        <v>24423322</v>
      </c>
      <c r="GY24" s="51">
        <v>0.77569444444444446</v>
      </c>
      <c r="GZ24" s="51">
        <v>0.78194444444444444</v>
      </c>
      <c r="HA24" s="51">
        <v>0.78472222222222221</v>
      </c>
      <c r="HK24" t="s">
        <v>95</v>
      </c>
      <c r="HL24">
        <v>24550038</v>
      </c>
      <c r="HM24" s="51">
        <v>0.52986111111111112</v>
      </c>
      <c r="HN24" s="51">
        <v>0.53125</v>
      </c>
      <c r="HO24" s="51">
        <v>0.53263888888888888</v>
      </c>
      <c r="HY24" t="s">
        <v>55</v>
      </c>
      <c r="HZ24">
        <v>24702308</v>
      </c>
      <c r="IA24" s="51">
        <v>0.6743055555555556</v>
      </c>
      <c r="IB24" s="51">
        <v>0.68125000000000002</v>
      </c>
      <c r="IC24" s="51">
        <v>0.68263888888888891</v>
      </c>
    </row>
    <row r="25" spans="1:279">
      <c r="A25" t="s">
        <v>2854</v>
      </c>
      <c r="B25">
        <v>23299544</v>
      </c>
      <c r="C25" s="51">
        <v>0.57708333333333328</v>
      </c>
      <c r="D25" s="51">
        <v>0.60624999999999996</v>
      </c>
      <c r="G25" t="s">
        <v>2849</v>
      </c>
      <c r="H25">
        <v>23371592</v>
      </c>
      <c r="I25" s="51">
        <v>0.72638888888888886</v>
      </c>
      <c r="J25" s="51">
        <v>0.72916666666666663</v>
      </c>
      <c r="S25" t="s">
        <v>2842</v>
      </c>
      <c r="T25">
        <v>23431992</v>
      </c>
      <c r="U25" s="51">
        <v>0.73124999999999996</v>
      </c>
      <c r="V25" s="51">
        <v>0.73541666666666672</v>
      </c>
      <c r="AK25" t="s">
        <v>2856</v>
      </c>
      <c r="AL25">
        <v>23519072</v>
      </c>
      <c r="AM25" s="51">
        <v>0.69722222222222219</v>
      </c>
      <c r="AN25" s="51">
        <v>0.69930555555555551</v>
      </c>
      <c r="AQ25" t="s">
        <v>2853</v>
      </c>
      <c r="AR25">
        <v>23552538</v>
      </c>
      <c r="AS25" s="51">
        <v>0.7583333333333333</v>
      </c>
      <c r="AT25" s="51">
        <v>0.75902777777777775</v>
      </c>
      <c r="BC25" t="s">
        <v>2854</v>
      </c>
      <c r="BD25">
        <v>23614010</v>
      </c>
      <c r="BE25" s="51">
        <v>0.75347222222222221</v>
      </c>
      <c r="BF25" s="51">
        <v>0.75624999999999998</v>
      </c>
      <c r="CA25" t="s">
        <v>2841</v>
      </c>
      <c r="CB25">
        <v>23703336</v>
      </c>
      <c r="CC25" s="51">
        <v>0.61111111111111116</v>
      </c>
      <c r="CD25" s="51">
        <v>0.63472222222222219</v>
      </c>
      <c r="ES25" t="s">
        <v>62</v>
      </c>
      <c r="ET25">
        <v>24241450</v>
      </c>
      <c r="EU25" s="51">
        <v>0.7416666666666667</v>
      </c>
      <c r="EV25" s="51">
        <v>0.74305555555555558</v>
      </c>
      <c r="EW25" s="51">
        <v>0.74583333333333335</v>
      </c>
      <c r="FG25" t="s">
        <v>271</v>
      </c>
      <c r="FH25">
        <v>24295476</v>
      </c>
      <c r="FI25" s="51">
        <v>0.49305555555555558</v>
      </c>
      <c r="FJ25" s="51">
        <v>0.51597222222222228</v>
      </c>
      <c r="FK25" s="51">
        <v>0.5229166666666667</v>
      </c>
      <c r="FU25" t="s">
        <v>39</v>
      </c>
      <c r="FV25">
        <v>24326098</v>
      </c>
      <c r="FW25" s="51">
        <v>0.67986111111111114</v>
      </c>
      <c r="FX25" s="51">
        <v>0.68194444444444446</v>
      </c>
      <c r="FY25" s="51">
        <v>0.68541666666666667</v>
      </c>
      <c r="GI25" t="s">
        <v>39</v>
      </c>
      <c r="GJ25">
        <v>24401808</v>
      </c>
      <c r="GK25" s="51">
        <v>0.7055555555555556</v>
      </c>
      <c r="GL25" s="51">
        <v>0.71180555555555558</v>
      </c>
      <c r="GM25" s="51">
        <v>0.71458333333333335</v>
      </c>
      <c r="HK25" t="s">
        <v>90</v>
      </c>
      <c r="HL25">
        <v>24549898</v>
      </c>
      <c r="HM25" s="51">
        <v>0.53125</v>
      </c>
      <c r="HN25" s="51">
        <v>0.53333333333333333</v>
      </c>
      <c r="HO25" s="51">
        <v>0.53472222222222221</v>
      </c>
      <c r="HY25" t="s">
        <v>327</v>
      </c>
      <c r="HZ25">
        <v>24664114</v>
      </c>
      <c r="IA25" s="51">
        <v>0.67500000000000004</v>
      </c>
      <c r="IB25" s="51">
        <v>0.6791666666666667</v>
      </c>
      <c r="IC25" s="51">
        <v>0.68819444444444444</v>
      </c>
    </row>
    <row r="26" spans="1:279">
      <c r="A26" t="s">
        <v>2854</v>
      </c>
      <c r="B26">
        <v>23322392</v>
      </c>
      <c r="C26" s="51">
        <v>0.72361111111111109</v>
      </c>
      <c r="D26" s="51">
        <v>0.72638888888888886</v>
      </c>
      <c r="G26" t="s">
        <v>2854</v>
      </c>
      <c r="H26">
        <v>23369122</v>
      </c>
      <c r="I26" s="51">
        <v>0.72777777777777775</v>
      </c>
      <c r="J26" s="51">
        <v>0.72916666666666663</v>
      </c>
      <c r="S26" t="s">
        <v>2856</v>
      </c>
      <c r="T26">
        <v>23432592</v>
      </c>
      <c r="U26" s="51">
        <v>0.76180555555555551</v>
      </c>
      <c r="V26" s="51">
        <v>0.7631944444444444</v>
      </c>
      <c r="AK26" t="s">
        <v>2851</v>
      </c>
      <c r="AL26">
        <v>23519502</v>
      </c>
      <c r="AM26" s="51">
        <v>0.69861111111111107</v>
      </c>
      <c r="AN26" s="51">
        <v>0.7006944444444444</v>
      </c>
      <c r="AQ26" t="s">
        <v>2854</v>
      </c>
      <c r="AR26">
        <v>23552156</v>
      </c>
      <c r="AS26" s="51">
        <v>0.76388888888888884</v>
      </c>
      <c r="BE26" s="51"/>
      <c r="BF26" s="51"/>
      <c r="CA26" t="s">
        <v>2860</v>
      </c>
      <c r="CB26">
        <v>23703686</v>
      </c>
      <c r="CC26" s="51">
        <v>0.61875000000000002</v>
      </c>
      <c r="CD26" s="51">
        <v>0.61944444444444446</v>
      </c>
      <c r="ES26" t="s">
        <v>90</v>
      </c>
      <c r="ET26">
        <v>24229610</v>
      </c>
      <c r="EU26" s="51">
        <v>0.75138888888888888</v>
      </c>
      <c r="EV26" s="51">
        <v>0.75416666666666665</v>
      </c>
      <c r="EW26" s="51">
        <v>0.75486111111111109</v>
      </c>
      <c r="FG26" t="s">
        <v>327</v>
      </c>
      <c r="FH26">
        <v>24283124</v>
      </c>
      <c r="FI26" s="51">
        <v>0.51180555555555551</v>
      </c>
      <c r="FJ26" s="51">
        <v>0.53680555555555554</v>
      </c>
      <c r="FK26" s="51">
        <v>0.53888888888888886</v>
      </c>
      <c r="FU26" t="s">
        <v>1808</v>
      </c>
      <c r="FV26">
        <v>24351256</v>
      </c>
      <c r="FW26" s="51">
        <v>0.68125000000000002</v>
      </c>
      <c r="FX26" s="51">
        <v>0.68402777777777779</v>
      </c>
      <c r="FY26" s="51">
        <v>0.68541666666666667</v>
      </c>
      <c r="GI26" t="s">
        <v>1910</v>
      </c>
      <c r="GJ26">
        <v>24399870</v>
      </c>
      <c r="GK26" s="51">
        <v>0.71180555555555558</v>
      </c>
      <c r="GL26" s="51">
        <v>0.72013888888888888</v>
      </c>
      <c r="GM26" s="51">
        <v>0.75069444444444444</v>
      </c>
      <c r="HK26" t="s">
        <v>39</v>
      </c>
      <c r="HL26">
        <v>24280566</v>
      </c>
      <c r="HM26" s="51">
        <v>0.57777777777777772</v>
      </c>
      <c r="HN26" s="51">
        <v>0.57916666666666672</v>
      </c>
      <c r="HO26" s="51">
        <v>0.58125000000000004</v>
      </c>
      <c r="HY26" t="s">
        <v>39</v>
      </c>
      <c r="HZ26">
        <v>24663894</v>
      </c>
      <c r="IA26" s="51">
        <v>0.67222222222222228</v>
      </c>
      <c r="IB26" s="51">
        <v>0.68194444444444446</v>
      </c>
      <c r="IC26" s="51">
        <v>0.68333333333333335</v>
      </c>
    </row>
    <row r="27" spans="1:279">
      <c r="G27" t="s">
        <v>2849</v>
      </c>
      <c r="H27">
        <v>23367052</v>
      </c>
      <c r="I27" s="51">
        <v>0.70833333333333337</v>
      </c>
      <c r="J27" s="51">
        <v>0.71388888888888891</v>
      </c>
      <c r="AK27" t="s">
        <v>2841</v>
      </c>
      <c r="AL27">
        <v>23519174</v>
      </c>
      <c r="AM27" s="51">
        <v>0.7006944444444444</v>
      </c>
      <c r="AN27" s="51">
        <v>0.70486111111111116</v>
      </c>
      <c r="CA27" t="s">
        <v>2855</v>
      </c>
      <c r="CB27">
        <v>23704644</v>
      </c>
      <c r="CC27" s="51">
        <v>0.64583333333333337</v>
      </c>
      <c r="CD27" s="51">
        <v>0.67638888888888893</v>
      </c>
      <c r="ES27" t="s">
        <v>35</v>
      </c>
      <c r="ET27">
        <v>24233618</v>
      </c>
      <c r="EU27" s="51">
        <v>0.74930555555555556</v>
      </c>
      <c r="EV27" s="51">
        <v>0.75972222222222219</v>
      </c>
      <c r="EW27" s="51">
        <v>0.76597222222222228</v>
      </c>
      <c r="FG27" t="s">
        <v>62</v>
      </c>
      <c r="FH27">
        <v>24292442</v>
      </c>
      <c r="FI27" s="51">
        <v>0.47152777777777777</v>
      </c>
      <c r="FJ27" s="51">
        <v>0.54236111111111107</v>
      </c>
      <c r="FK27" s="51">
        <v>0.54513888888888884</v>
      </c>
      <c r="FU27" t="s">
        <v>39</v>
      </c>
      <c r="FV27">
        <v>24352634</v>
      </c>
      <c r="FW27" s="51">
        <v>0.68819444444444444</v>
      </c>
      <c r="FX27" s="51">
        <v>0.69027777777777777</v>
      </c>
      <c r="FY27" s="51">
        <v>0.69374999999999998</v>
      </c>
      <c r="GI27" t="s">
        <v>1946</v>
      </c>
      <c r="GJ27">
        <v>24322594</v>
      </c>
      <c r="GK27" s="51">
        <v>0.7270833333333333</v>
      </c>
      <c r="GL27" s="51">
        <v>0.74097222222222225</v>
      </c>
      <c r="GM27" s="51">
        <v>0.74305555555555558</v>
      </c>
      <c r="HK27" t="s">
        <v>266</v>
      </c>
      <c r="HL27">
        <v>24551744</v>
      </c>
      <c r="HM27" s="51">
        <v>0.59236111111111112</v>
      </c>
      <c r="HN27" s="51">
        <v>0.59722222222222221</v>
      </c>
      <c r="HO27" s="51">
        <v>0.64513888888888893</v>
      </c>
      <c r="HY27" t="s">
        <v>1808</v>
      </c>
      <c r="HZ27">
        <v>24640862</v>
      </c>
      <c r="IA27" s="51">
        <v>0.67569444444444449</v>
      </c>
      <c r="IB27" s="51">
        <v>0.68333333333333335</v>
      </c>
      <c r="IC27" s="51">
        <v>0.68541666666666667</v>
      </c>
    </row>
    <row r="28" spans="1:279">
      <c r="G28" t="s">
        <v>2847</v>
      </c>
      <c r="H28">
        <v>23370996</v>
      </c>
      <c r="I28" s="51">
        <v>0.71458333333333335</v>
      </c>
      <c r="J28" s="51">
        <v>0.72291666666666665</v>
      </c>
      <c r="AK28" t="s">
        <v>2841</v>
      </c>
      <c r="AL28">
        <v>23519340</v>
      </c>
      <c r="AM28" s="51">
        <v>0.70208333333333328</v>
      </c>
      <c r="AN28" s="51">
        <v>0.7055555555555556</v>
      </c>
      <c r="CA28" s="51" t="s">
        <v>2847</v>
      </c>
      <c r="CB28">
        <v>23704812</v>
      </c>
      <c r="CC28" s="51">
        <v>0.6743055555555556</v>
      </c>
      <c r="CD28" s="51">
        <v>0.68055555555555558</v>
      </c>
      <c r="ES28" t="s">
        <v>358</v>
      </c>
      <c r="ET28">
        <v>24243294</v>
      </c>
      <c r="EU28" s="51">
        <v>0.75347222222222221</v>
      </c>
      <c r="EV28" s="51">
        <v>0.76875000000000004</v>
      </c>
      <c r="EW28" s="51">
        <v>0.77083333333333337</v>
      </c>
      <c r="FG28" t="s">
        <v>266</v>
      </c>
      <c r="FH28">
        <v>24283404</v>
      </c>
      <c r="FI28" s="51">
        <v>0.49930555555555556</v>
      </c>
      <c r="FJ28" s="51">
        <v>0.55555555555555558</v>
      </c>
      <c r="FK28" s="51">
        <v>0.55694444444444446</v>
      </c>
      <c r="FU28" t="s">
        <v>62</v>
      </c>
      <c r="FV28">
        <v>24352398</v>
      </c>
      <c r="FW28" s="51">
        <v>0.6875</v>
      </c>
      <c r="FX28" s="51">
        <v>0.69305555555555554</v>
      </c>
      <c r="FY28" s="51">
        <v>0.69444444444444442</v>
      </c>
      <c r="GI28" t="s">
        <v>1808</v>
      </c>
      <c r="GJ28">
        <v>24405160</v>
      </c>
      <c r="GK28" s="51">
        <v>0.73333333333333328</v>
      </c>
      <c r="GL28" s="51">
        <v>0.73819444444444449</v>
      </c>
      <c r="GM28" s="51">
        <v>0.74305555555555558</v>
      </c>
      <c r="HK28" t="s">
        <v>1080</v>
      </c>
      <c r="HL28">
        <v>24552364</v>
      </c>
      <c r="HM28" s="51">
        <v>0.59444444444444444</v>
      </c>
      <c r="HN28" s="51">
        <v>0.59583333333333333</v>
      </c>
      <c r="HO28" s="51">
        <v>0.59652777777777777</v>
      </c>
      <c r="HY28" t="s">
        <v>2179</v>
      </c>
      <c r="HZ28">
        <v>24663446</v>
      </c>
      <c r="IA28" s="51">
        <v>0.67291666666666672</v>
      </c>
      <c r="IB28" s="51">
        <v>0.68541666666666667</v>
      </c>
      <c r="IC28" s="51">
        <v>0.70972222222222225</v>
      </c>
    </row>
    <row r="29" spans="1:279">
      <c r="G29" t="s">
        <v>2857</v>
      </c>
      <c r="H29">
        <v>23370026</v>
      </c>
      <c r="I29" s="51">
        <v>0.67013888888888884</v>
      </c>
      <c r="J29" s="51">
        <v>0.67222222222222228</v>
      </c>
      <c r="AK29" t="s">
        <v>2841</v>
      </c>
      <c r="AL29">
        <v>23518576</v>
      </c>
      <c r="AM29" s="51">
        <v>0.7055555555555556</v>
      </c>
      <c r="AN29" s="51">
        <v>0.70694444444444449</v>
      </c>
      <c r="CA29" t="s">
        <v>2855</v>
      </c>
      <c r="CB29">
        <v>23706316</v>
      </c>
      <c r="CC29" s="51">
        <v>0.69444444444444442</v>
      </c>
      <c r="CD29" s="51">
        <v>0.69652777777777775</v>
      </c>
      <c r="FG29" t="s">
        <v>39</v>
      </c>
      <c r="FH29">
        <v>24254398</v>
      </c>
      <c r="FI29" s="51">
        <v>0.5229166666666667</v>
      </c>
      <c r="FJ29" s="51">
        <v>0.58888888888888891</v>
      </c>
      <c r="FK29" s="51">
        <v>0.59027777777777779</v>
      </c>
      <c r="FU29" t="s">
        <v>271</v>
      </c>
      <c r="FV29">
        <v>24143988</v>
      </c>
      <c r="FX29" s="51">
        <v>0.69652777777777775</v>
      </c>
      <c r="FY29" s="51">
        <v>0.69791666666666663</v>
      </c>
      <c r="GI29" t="s">
        <v>1910</v>
      </c>
      <c r="GJ29">
        <v>24266570</v>
      </c>
      <c r="GK29" s="51">
        <v>0.74583333333333335</v>
      </c>
      <c r="GL29" s="51">
        <v>0.74722222222222223</v>
      </c>
      <c r="GM29" s="51">
        <v>0.75208333333333333</v>
      </c>
      <c r="HK29" t="s">
        <v>886</v>
      </c>
      <c r="HL29">
        <v>24554254</v>
      </c>
      <c r="HM29" s="51">
        <v>0.59652777777777777</v>
      </c>
      <c r="HN29" s="51">
        <v>0.60069444444444442</v>
      </c>
      <c r="HO29" s="51">
        <v>0.65347222222222223</v>
      </c>
      <c r="HY29" t="s">
        <v>35</v>
      </c>
      <c r="HZ29">
        <v>24684426</v>
      </c>
      <c r="IA29" s="51">
        <v>0.66319444444444442</v>
      </c>
      <c r="IB29" s="51">
        <v>0.68819444444444444</v>
      </c>
      <c r="IC29" s="51">
        <v>0.69027777777777777</v>
      </c>
    </row>
    <row r="30" spans="1:279">
      <c r="AK30" t="s">
        <v>2845</v>
      </c>
      <c r="AL30">
        <v>23519060</v>
      </c>
      <c r="AM30" s="51">
        <v>0.70972222222222225</v>
      </c>
      <c r="AN30" s="51">
        <v>0.71250000000000002</v>
      </c>
      <c r="CA30" t="s">
        <v>2856</v>
      </c>
      <c r="CB30">
        <v>23706390</v>
      </c>
      <c r="CC30" s="51">
        <v>0.69861111111111107</v>
      </c>
      <c r="CD30" s="51">
        <v>0.69930555555555551</v>
      </c>
      <c r="FG30" t="s">
        <v>266</v>
      </c>
      <c r="FH30">
        <v>24274632</v>
      </c>
      <c r="FI30" s="51">
        <v>0.52638888888888891</v>
      </c>
      <c r="FJ30" s="51">
        <v>0.59097222222222223</v>
      </c>
      <c r="FK30" s="51">
        <v>0.63194444444444442</v>
      </c>
      <c r="FU30" t="s">
        <v>548</v>
      </c>
      <c r="FV30">
        <v>24330248</v>
      </c>
      <c r="FW30" s="51">
        <v>0.75069444444444444</v>
      </c>
      <c r="FX30" s="51">
        <v>0.75208333333333333</v>
      </c>
      <c r="FY30" s="51">
        <v>0.75416666666666665</v>
      </c>
      <c r="GI30" t="s">
        <v>548</v>
      </c>
      <c r="GJ30">
        <v>24365640</v>
      </c>
      <c r="GK30" s="51">
        <v>0.75</v>
      </c>
      <c r="GL30" s="51">
        <v>0.76180555555555551</v>
      </c>
      <c r="GM30" s="51">
        <v>0.76666666666666672</v>
      </c>
      <c r="HK30" t="s">
        <v>358</v>
      </c>
      <c r="HL30">
        <v>24510454</v>
      </c>
      <c r="HM30" s="51">
        <v>0.60902777777777772</v>
      </c>
      <c r="HN30" s="51">
        <v>0.61111111111111116</v>
      </c>
      <c r="HO30" s="51">
        <v>0.61250000000000004</v>
      </c>
      <c r="HY30" t="s">
        <v>879</v>
      </c>
      <c r="HZ30">
        <v>24699018</v>
      </c>
      <c r="IA30" s="51">
        <v>0.68402777777777779</v>
      </c>
      <c r="IB30" s="51">
        <v>0.68958333333333333</v>
      </c>
      <c r="IC30" s="51">
        <v>0.69236111111111109</v>
      </c>
    </row>
    <row r="31" spans="1:279">
      <c r="AK31" t="s">
        <v>2852</v>
      </c>
      <c r="AL31">
        <v>23519604</v>
      </c>
      <c r="AM31" s="51">
        <v>0.71250000000000002</v>
      </c>
      <c r="AN31" s="51">
        <v>0.71527777777777779</v>
      </c>
      <c r="CA31" t="s">
        <v>2854</v>
      </c>
      <c r="CB31">
        <v>23706412</v>
      </c>
      <c r="CC31" s="51">
        <v>0.70347222222222228</v>
      </c>
      <c r="CD31" s="51">
        <v>0.70902777777777781</v>
      </c>
      <c r="FG31" t="s">
        <v>266</v>
      </c>
      <c r="FH31">
        <v>24297332</v>
      </c>
      <c r="FI31" s="51">
        <v>0.56805555555555554</v>
      </c>
      <c r="FJ31" s="51">
        <v>0.59305555555555556</v>
      </c>
      <c r="FK31" s="51">
        <v>0.63263888888888886</v>
      </c>
      <c r="FU31" t="s">
        <v>548</v>
      </c>
      <c r="FV31">
        <v>24263358</v>
      </c>
      <c r="FW31" s="51">
        <v>0.75694444444444442</v>
      </c>
      <c r="FX31" s="51">
        <v>0.76388888888888884</v>
      </c>
      <c r="FY31" s="51">
        <v>0.76527777777777772</v>
      </c>
      <c r="GI31" t="s">
        <v>548</v>
      </c>
      <c r="GJ31">
        <v>24385722</v>
      </c>
      <c r="GK31" s="51">
        <v>0.7270833333333333</v>
      </c>
      <c r="GL31" s="51">
        <v>0.76041666666666663</v>
      </c>
      <c r="GM31" s="51">
        <v>0.76527777777777772</v>
      </c>
      <c r="HK31" t="s">
        <v>95</v>
      </c>
      <c r="HL31">
        <v>24552596</v>
      </c>
      <c r="HM31" s="51">
        <v>0.62430555555555556</v>
      </c>
      <c r="HN31" s="51">
        <v>0.625</v>
      </c>
      <c r="HO31" s="51">
        <v>0.62708333333333333</v>
      </c>
      <c r="HY31" t="s">
        <v>1091</v>
      </c>
      <c r="HZ31">
        <v>24704306</v>
      </c>
      <c r="IA31" s="51">
        <v>0.6743055555555556</v>
      </c>
      <c r="IB31" s="51">
        <v>0.69027777777777777</v>
      </c>
      <c r="IC31" s="51">
        <v>0.69166666666666665</v>
      </c>
    </row>
    <row r="32" spans="1:279">
      <c r="AK32" t="s">
        <v>2845</v>
      </c>
      <c r="AL32">
        <v>23518126</v>
      </c>
      <c r="AM32" s="51">
        <v>0.72222222222222221</v>
      </c>
      <c r="AN32" s="51">
        <v>0.72569444444444442</v>
      </c>
      <c r="CA32" t="s">
        <v>2842</v>
      </c>
      <c r="CB32">
        <v>23706484</v>
      </c>
      <c r="CC32" s="51">
        <v>0.70763888888888893</v>
      </c>
      <c r="CD32" s="51">
        <v>0.7104166666666667</v>
      </c>
      <c r="FG32" t="s">
        <v>62</v>
      </c>
      <c r="FH32">
        <v>24297288</v>
      </c>
      <c r="FI32" s="51">
        <v>0.59236111111111112</v>
      </c>
      <c r="FJ32" s="51">
        <v>0.61111111111111116</v>
      </c>
      <c r="FK32" s="51">
        <v>0.61458333333333337</v>
      </c>
      <c r="FU32" t="s">
        <v>548</v>
      </c>
      <c r="FV32">
        <v>24356560</v>
      </c>
      <c r="FW32" s="51">
        <v>0.76111111111111107</v>
      </c>
      <c r="FX32" s="51">
        <v>0.76458333333333328</v>
      </c>
      <c r="FY32" s="51">
        <v>0.7729166666666667</v>
      </c>
      <c r="HK32" t="s">
        <v>1808</v>
      </c>
      <c r="HL32">
        <v>24547718</v>
      </c>
      <c r="HM32" s="51">
        <v>0.62847222222222221</v>
      </c>
      <c r="HN32" s="51">
        <v>0.63055555555555554</v>
      </c>
      <c r="HO32" s="51">
        <v>0.63194444444444442</v>
      </c>
      <c r="HY32" t="s">
        <v>348</v>
      </c>
      <c r="HZ32">
        <v>24702914</v>
      </c>
      <c r="IA32" s="51">
        <v>0.69791666666666663</v>
      </c>
      <c r="IB32" s="51">
        <v>0.7</v>
      </c>
      <c r="IC32" s="51">
        <v>0.7006944444444444</v>
      </c>
    </row>
    <row r="33" spans="37:237">
      <c r="AK33" t="s">
        <v>2856</v>
      </c>
      <c r="AL33">
        <v>23520560</v>
      </c>
      <c r="AM33" s="51">
        <v>0.73124999999999996</v>
      </c>
      <c r="AN33" s="51">
        <v>0.73263888888888884</v>
      </c>
      <c r="CA33" t="s">
        <v>2841</v>
      </c>
      <c r="CB33">
        <v>23707562</v>
      </c>
      <c r="CC33" s="51">
        <v>0.72499999999999998</v>
      </c>
      <c r="CD33" s="51">
        <v>0.73124999999999996</v>
      </c>
      <c r="FG33" t="s">
        <v>1091</v>
      </c>
      <c r="FH33">
        <v>24287632</v>
      </c>
      <c r="FI33" s="51">
        <v>0.6118055555555556</v>
      </c>
      <c r="FJ33" s="51">
        <v>0.61527777777777781</v>
      </c>
      <c r="FK33" s="51">
        <v>0.61736111111111114</v>
      </c>
      <c r="FU33" t="s">
        <v>39</v>
      </c>
      <c r="FV33">
        <v>24351770</v>
      </c>
      <c r="FW33" s="51">
        <v>0.75972222222222219</v>
      </c>
      <c r="FX33" s="51">
        <v>0.76736111111111116</v>
      </c>
      <c r="FY33" s="51">
        <v>0.77013888888888893</v>
      </c>
      <c r="HK33" t="s">
        <v>1946</v>
      </c>
      <c r="HL33">
        <v>24552776</v>
      </c>
      <c r="HM33" s="51">
        <v>0.64583333333333337</v>
      </c>
      <c r="HN33" s="51">
        <v>0.64722222222222225</v>
      </c>
      <c r="HO33" s="51">
        <v>0.65069444444444446</v>
      </c>
      <c r="HY33" t="s">
        <v>358</v>
      </c>
      <c r="HZ33">
        <v>24691360</v>
      </c>
      <c r="IA33" s="51">
        <v>0.69861111111111107</v>
      </c>
      <c r="IB33" s="51">
        <v>0.70138888888888884</v>
      </c>
      <c r="IC33" s="51">
        <v>0.70694444444444449</v>
      </c>
    </row>
    <row r="34" spans="37:237">
      <c r="AK34" t="s">
        <v>2854</v>
      </c>
      <c r="AL34">
        <v>23517656</v>
      </c>
      <c r="AM34" s="51">
        <v>0.7416666666666667</v>
      </c>
      <c r="AN34" s="51">
        <v>0.74305555555555558</v>
      </c>
      <c r="FG34" t="s">
        <v>28</v>
      </c>
      <c r="FH34">
        <v>24258382</v>
      </c>
      <c r="FI34" s="51">
        <v>0.57847222222222228</v>
      </c>
      <c r="FJ34" s="51">
        <v>0.62986111111111109</v>
      </c>
      <c r="FK34" s="51">
        <v>0.63124999999999998</v>
      </c>
      <c r="HK34" t="s">
        <v>266</v>
      </c>
      <c r="HL34">
        <v>24554820</v>
      </c>
      <c r="HM34" s="51">
        <v>0.65138888888888891</v>
      </c>
      <c r="HN34" s="51">
        <v>0.65555555555555556</v>
      </c>
      <c r="HO34" s="51">
        <v>0.66111111111111109</v>
      </c>
      <c r="HY34" t="s">
        <v>28</v>
      </c>
      <c r="HZ34">
        <v>24704434</v>
      </c>
      <c r="IA34" s="51">
        <v>0.7</v>
      </c>
      <c r="IB34" s="51">
        <v>0.70416666666666672</v>
      </c>
      <c r="IC34" s="51">
        <v>0.70694444444444449</v>
      </c>
    </row>
    <row r="35" spans="37:237">
      <c r="AK35" t="s">
        <v>2845</v>
      </c>
      <c r="AL35">
        <v>23522206</v>
      </c>
      <c r="AM35" s="51">
        <v>0.76597222222222228</v>
      </c>
      <c r="AN35" s="51">
        <v>0.76736111111111116</v>
      </c>
      <c r="FG35" t="s">
        <v>358</v>
      </c>
      <c r="FH35">
        <v>24295750</v>
      </c>
      <c r="FI35" s="51">
        <v>0.59166666666666667</v>
      </c>
      <c r="FJ35" s="51">
        <v>0.64375000000000004</v>
      </c>
      <c r="FK35" s="51">
        <v>0.64444444444444449</v>
      </c>
      <c r="HK35" t="s">
        <v>35</v>
      </c>
      <c r="HL35">
        <v>24552270</v>
      </c>
      <c r="HM35" s="51">
        <v>0.70763888888888893</v>
      </c>
      <c r="HN35" s="51">
        <v>0.70833333333333337</v>
      </c>
      <c r="HO35" s="51">
        <v>0.71111111111111114</v>
      </c>
      <c r="HY35" t="s">
        <v>62</v>
      </c>
      <c r="HZ35">
        <v>24674454</v>
      </c>
      <c r="IA35" s="51">
        <v>0.71180555555555558</v>
      </c>
      <c r="IB35" s="51">
        <v>0.71458333333333335</v>
      </c>
      <c r="IC35" s="51">
        <v>0.71527777777777779</v>
      </c>
    </row>
    <row r="36" spans="37:237">
      <c r="FG36" t="s">
        <v>39</v>
      </c>
      <c r="FH36">
        <v>24289344</v>
      </c>
      <c r="FI36" s="51">
        <v>0.61319444444444449</v>
      </c>
      <c r="FJ36" s="51">
        <v>0.65902777777777777</v>
      </c>
      <c r="FK36" s="51">
        <v>0.66180555555555554</v>
      </c>
      <c r="HK36" t="s">
        <v>28</v>
      </c>
      <c r="HL36">
        <v>24555554</v>
      </c>
      <c r="HM36" s="51">
        <v>0.72013888888888888</v>
      </c>
      <c r="HN36" s="51">
        <v>0.72152777777777777</v>
      </c>
      <c r="HO36" s="51">
        <v>0.72361111111111109</v>
      </c>
      <c r="HY36" t="s">
        <v>1946</v>
      </c>
      <c r="HZ36">
        <v>24695688</v>
      </c>
      <c r="IA36" s="51">
        <v>0.71180555555555558</v>
      </c>
      <c r="IB36" s="51">
        <v>0.71666666666666667</v>
      </c>
      <c r="IC36" s="51">
        <v>0.72152777777777777</v>
      </c>
    </row>
    <row r="37" spans="37:237">
      <c r="FG37" t="s">
        <v>39</v>
      </c>
      <c r="FH37">
        <v>24282456</v>
      </c>
      <c r="FI37" s="51">
        <v>0.3923611111111111</v>
      </c>
      <c r="FJ37" s="51">
        <v>0.66180555555555554</v>
      </c>
      <c r="FK37" s="51">
        <v>0.67083333333333328</v>
      </c>
      <c r="HK37" t="s">
        <v>266</v>
      </c>
      <c r="HL37">
        <v>24555696</v>
      </c>
      <c r="HM37" s="51">
        <v>0.74722222222222223</v>
      </c>
      <c r="HN37" s="51">
        <v>0.75069444444444444</v>
      </c>
      <c r="HO37" s="51">
        <v>0.75208333333333333</v>
      </c>
      <c r="HY37" t="s">
        <v>327</v>
      </c>
      <c r="HZ37">
        <v>24706956</v>
      </c>
      <c r="IA37" s="51">
        <v>0.76944444444444449</v>
      </c>
      <c r="IB37" s="51">
        <v>0.77152777777777781</v>
      </c>
      <c r="IC37" s="51">
        <v>0.78263888888888888</v>
      </c>
    </row>
    <row r="38" spans="37:237">
      <c r="FG38" t="s">
        <v>35</v>
      </c>
      <c r="FH38">
        <v>24288606</v>
      </c>
      <c r="FI38" s="51">
        <v>0.68055555555555558</v>
      </c>
      <c r="FJ38" s="51">
        <v>0.68680555555555556</v>
      </c>
      <c r="FK38" s="51">
        <v>0.68819444444444444</v>
      </c>
      <c r="HK38" t="s">
        <v>266</v>
      </c>
      <c r="HL38">
        <v>24559020</v>
      </c>
      <c r="HM38" s="51">
        <v>0.7631944444444444</v>
      </c>
      <c r="HN38" s="51">
        <v>0.76458333333333328</v>
      </c>
      <c r="HO38" s="51">
        <v>0.77777777777777779</v>
      </c>
      <c r="HY38" t="s">
        <v>95</v>
      </c>
      <c r="HZ38">
        <v>24707244</v>
      </c>
      <c r="IA38" s="51">
        <v>0.77083333333333337</v>
      </c>
      <c r="IB38" s="51">
        <v>0.78055555555555556</v>
      </c>
      <c r="IC38" s="51">
        <v>0.78749999999999998</v>
      </c>
    </row>
    <row r="39" spans="37:237">
      <c r="FG39" t="s">
        <v>28</v>
      </c>
      <c r="FH39">
        <v>24299364</v>
      </c>
      <c r="FI39" s="51">
        <v>0.69652777777777775</v>
      </c>
      <c r="FJ39" s="51">
        <v>0.70486111111111116</v>
      </c>
      <c r="FK39" s="51">
        <v>0.7055555555555556</v>
      </c>
      <c r="HK39" t="s">
        <v>35</v>
      </c>
      <c r="HL39">
        <v>24537472</v>
      </c>
      <c r="HM39" s="51">
        <v>0.77847222222222223</v>
      </c>
      <c r="HN39" s="51">
        <v>0.78055555555555556</v>
      </c>
    </row>
    <row r="40" spans="37:237">
      <c r="FG40" t="s">
        <v>548</v>
      </c>
      <c r="FH40">
        <v>24293446</v>
      </c>
      <c r="FI40" s="51">
        <v>0.73819444444444449</v>
      </c>
      <c r="FJ40" s="51">
        <v>0.73958333333333337</v>
      </c>
      <c r="FK40" s="51">
        <v>0.7416666666666667</v>
      </c>
    </row>
    <row r="41" spans="37:237">
      <c r="FG41" t="s">
        <v>548</v>
      </c>
      <c r="FH41">
        <v>24292658</v>
      </c>
      <c r="FI41" s="51">
        <v>0.66527777777777775</v>
      </c>
      <c r="FJ41" s="51">
        <v>0.74236111111111114</v>
      </c>
      <c r="FK41" s="51">
        <v>0.74444444444444446</v>
      </c>
    </row>
    <row r="42" spans="37:237">
      <c r="FG42" t="s">
        <v>548</v>
      </c>
      <c r="FH42">
        <v>24302184</v>
      </c>
      <c r="FI42" s="51">
        <v>0.72638888888888886</v>
      </c>
      <c r="FJ42" s="51">
        <v>0.74444444444444446</v>
      </c>
      <c r="FK42" s="51">
        <v>0.74513888888888891</v>
      </c>
    </row>
    <row r="43" spans="37:237">
      <c r="FG43" t="s">
        <v>548</v>
      </c>
      <c r="FH43">
        <v>24302618</v>
      </c>
      <c r="FI43" s="51">
        <v>0.74097222222222225</v>
      </c>
      <c r="FJ43" s="51">
        <v>0.74583333333333335</v>
      </c>
      <c r="FK43" s="51">
        <v>0.74722222222222223</v>
      </c>
    </row>
    <row r="44" spans="37:237">
      <c r="FG44" t="s">
        <v>266</v>
      </c>
      <c r="FH44">
        <v>24289718</v>
      </c>
      <c r="FI44" s="51">
        <v>0.74375000000000002</v>
      </c>
      <c r="FJ44" s="51">
        <v>0.74930555555555556</v>
      </c>
      <c r="FK44" s="51">
        <v>0.75208333333333333</v>
      </c>
    </row>
    <row r="45" spans="37:237">
      <c r="FG45" t="s">
        <v>266</v>
      </c>
      <c r="FH45">
        <v>24284696</v>
      </c>
      <c r="FI45" s="51">
        <v>0.76180555555555551</v>
      </c>
      <c r="FJ45" s="51">
        <v>0.76458333333333328</v>
      </c>
      <c r="FK45" s="51">
        <v>0.76666666666666672</v>
      </c>
    </row>
    <row r="46" spans="37:237">
      <c r="FG46" t="s">
        <v>266</v>
      </c>
      <c r="FH46">
        <v>24300162</v>
      </c>
      <c r="FI46" s="51">
        <v>0.70277777777777772</v>
      </c>
      <c r="FJ46" s="51">
        <v>0.71527777777777779</v>
      </c>
      <c r="FK46" s="51">
        <v>0.71805555555555556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BF5C-C577-48D7-8759-85CBEF267C41}">
  <dimension ref="A1:L17"/>
  <sheetViews>
    <sheetView workbookViewId="0"/>
  </sheetViews>
  <sheetFormatPr defaultRowHeight="15"/>
  <cols>
    <col min="1" max="1" width="9.85546875" bestFit="1" customWidth="1"/>
    <col min="2" max="2" width="12.85546875" bestFit="1" customWidth="1"/>
    <col min="3" max="3" width="14.42578125" bestFit="1" customWidth="1"/>
    <col min="4" max="4" width="20.42578125" bestFit="1" customWidth="1"/>
    <col min="5" max="5" width="15.85546875" bestFit="1" customWidth="1"/>
    <col min="6" max="6" width="9.28515625" bestFit="1" customWidth="1"/>
    <col min="7" max="7" width="14.140625" bestFit="1" customWidth="1"/>
    <col min="8" max="8" width="16.140625" bestFit="1" customWidth="1"/>
    <col min="9" max="9" width="14.85546875" bestFit="1" customWidth="1"/>
    <col min="10" max="10" width="16.42578125" bestFit="1" customWidth="1"/>
    <col min="11" max="11" width="11.5703125" bestFit="1" customWidth="1"/>
    <col min="12" max="12" width="19" bestFit="1" customWidth="1"/>
  </cols>
  <sheetData>
    <row r="1" spans="1:12">
      <c r="A1" s="43" t="s">
        <v>2862</v>
      </c>
    </row>
    <row r="3" spans="1:12">
      <c r="A3" t="s">
        <v>2815</v>
      </c>
      <c r="B3" t="s">
        <v>2816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2817</v>
      </c>
      <c r="K3" t="s">
        <v>2813</v>
      </c>
      <c r="L3" t="s">
        <v>2811</v>
      </c>
    </row>
    <row r="4" spans="1:12">
      <c r="A4">
        <v>24301858</v>
      </c>
      <c r="C4" t="s">
        <v>54</v>
      </c>
      <c r="D4">
        <v>5983.28</v>
      </c>
      <c r="F4">
        <v>1794.9839999999999</v>
      </c>
      <c r="G4">
        <v>1794.9839999999999</v>
      </c>
      <c r="K4" t="s">
        <v>327</v>
      </c>
      <c r="L4" s="47">
        <v>46272</v>
      </c>
    </row>
    <row r="5" spans="1:12">
      <c r="A5">
        <v>24298708</v>
      </c>
      <c r="C5" t="s">
        <v>54</v>
      </c>
      <c r="D5">
        <v>10774.86</v>
      </c>
      <c r="F5">
        <v>3232.4580000000001</v>
      </c>
      <c r="G5">
        <v>3232.4580000000001</v>
      </c>
      <c r="K5" t="s">
        <v>327</v>
      </c>
      <c r="L5" s="47">
        <v>46272</v>
      </c>
    </row>
    <row r="6" spans="1:12">
      <c r="A6">
        <v>24287164</v>
      </c>
      <c r="C6" t="s">
        <v>54</v>
      </c>
      <c r="D6">
        <v>9760.32</v>
      </c>
      <c r="F6">
        <v>2928.096</v>
      </c>
      <c r="G6">
        <v>2928.096</v>
      </c>
      <c r="K6" t="s">
        <v>327</v>
      </c>
      <c r="L6" s="47">
        <v>46272</v>
      </c>
    </row>
    <row r="7" spans="1:12">
      <c r="A7">
        <v>24283124</v>
      </c>
      <c r="B7">
        <v>5213312940712</v>
      </c>
      <c r="C7" t="s">
        <v>54</v>
      </c>
      <c r="D7">
        <v>10636.54</v>
      </c>
      <c r="F7">
        <v>3190.962</v>
      </c>
      <c r="G7">
        <v>3190.962</v>
      </c>
      <c r="K7" t="s">
        <v>327</v>
      </c>
      <c r="L7" s="47">
        <v>46272</v>
      </c>
    </row>
    <row r="8" spans="1:12">
      <c r="A8">
        <v>24284172</v>
      </c>
      <c r="C8" t="s">
        <v>54</v>
      </c>
      <c r="D8">
        <v>8788.19</v>
      </c>
      <c r="E8">
        <v>879</v>
      </c>
      <c r="F8">
        <v>2636.4569999999999</v>
      </c>
      <c r="G8">
        <v>1757.4569999999999</v>
      </c>
      <c r="K8" t="s">
        <v>327</v>
      </c>
      <c r="L8" s="47">
        <v>46272</v>
      </c>
    </row>
    <row r="9" spans="1:12">
      <c r="A9">
        <v>24252242</v>
      </c>
      <c r="C9" t="s">
        <v>54</v>
      </c>
      <c r="D9">
        <v>7135.6</v>
      </c>
      <c r="E9">
        <v>732.38</v>
      </c>
      <c r="F9">
        <v>2140.6799999999998</v>
      </c>
      <c r="G9">
        <v>1408.2999999999997</v>
      </c>
      <c r="H9" s="47">
        <v>46935</v>
      </c>
      <c r="I9" t="s">
        <v>43</v>
      </c>
      <c r="J9">
        <v>732.38</v>
      </c>
      <c r="K9" t="s">
        <v>327</v>
      </c>
      <c r="L9" s="47">
        <v>46269</v>
      </c>
    </row>
    <row r="10" spans="1:12">
      <c r="A10">
        <v>24241430</v>
      </c>
      <c r="C10" t="s">
        <v>54</v>
      </c>
      <c r="D10">
        <v>6262.86</v>
      </c>
      <c r="F10">
        <v>1878.8579999999997</v>
      </c>
      <c r="G10">
        <v>1878.8579999999997</v>
      </c>
      <c r="K10" t="s">
        <v>327</v>
      </c>
      <c r="L10" s="47">
        <v>46269</v>
      </c>
    </row>
    <row r="11" spans="1:12">
      <c r="A11">
        <v>24207466</v>
      </c>
      <c r="B11">
        <v>5217773012399</v>
      </c>
      <c r="C11" t="s">
        <v>54</v>
      </c>
      <c r="D11">
        <v>7640.52</v>
      </c>
      <c r="E11">
        <v>848</v>
      </c>
      <c r="F11">
        <v>2292.1559999999999</v>
      </c>
      <c r="G11">
        <v>1444.1559999999999</v>
      </c>
      <c r="K11" t="s">
        <v>327</v>
      </c>
      <c r="L11" s="47">
        <v>46268</v>
      </c>
    </row>
    <row r="12" spans="1:12">
      <c r="A12">
        <v>24220162</v>
      </c>
      <c r="C12" t="s">
        <v>54</v>
      </c>
      <c r="D12">
        <v>6890.27</v>
      </c>
      <c r="E12">
        <v>848</v>
      </c>
      <c r="F12">
        <v>2067.0810000000001</v>
      </c>
      <c r="G12">
        <v>1219.0810000000001</v>
      </c>
      <c r="K12" t="s">
        <v>327</v>
      </c>
      <c r="L12" s="47">
        <v>46268</v>
      </c>
    </row>
    <row r="13" spans="1:12">
      <c r="A13">
        <v>24202298</v>
      </c>
      <c r="C13" t="s">
        <v>54</v>
      </c>
      <c r="D13">
        <v>23694.92</v>
      </c>
      <c r="E13">
        <v>2013.3</v>
      </c>
      <c r="F13">
        <v>7108.4759999999997</v>
      </c>
      <c r="G13">
        <v>5095.1759999999995</v>
      </c>
      <c r="H13" s="47">
        <v>46935</v>
      </c>
      <c r="I13" t="s">
        <v>75</v>
      </c>
      <c r="J13">
        <v>2013.83</v>
      </c>
      <c r="K13" t="s">
        <v>327</v>
      </c>
      <c r="L13" s="47">
        <v>46267</v>
      </c>
    </row>
    <row r="14" spans="1:12">
      <c r="A14">
        <v>24199760</v>
      </c>
      <c r="C14" t="s">
        <v>54</v>
      </c>
      <c r="D14">
        <v>9612.19</v>
      </c>
      <c r="F14">
        <v>2883.6570000000002</v>
      </c>
      <c r="G14">
        <v>2883.6570000000002</v>
      </c>
      <c r="K14" t="s">
        <v>327</v>
      </c>
      <c r="L14" s="47">
        <v>46267</v>
      </c>
    </row>
    <row r="15" spans="1:12">
      <c r="A15">
        <v>24172624</v>
      </c>
      <c r="C15" t="s">
        <v>54</v>
      </c>
      <c r="D15">
        <v>21040.93</v>
      </c>
      <c r="E15">
        <v>1639.52</v>
      </c>
      <c r="F15">
        <v>6312.2789999999995</v>
      </c>
      <c r="G15">
        <v>4672.759</v>
      </c>
      <c r="H15" s="47">
        <v>46935</v>
      </c>
      <c r="I15" t="s">
        <v>302</v>
      </c>
      <c r="J15">
        <v>692.75</v>
      </c>
      <c r="K15" t="s">
        <v>327</v>
      </c>
      <c r="L15" s="47">
        <v>46266</v>
      </c>
    </row>
    <row r="16" spans="1:12">
      <c r="A16">
        <v>24161588</v>
      </c>
      <c r="C16" t="s">
        <v>54</v>
      </c>
      <c r="D16">
        <v>30669.119999999999</v>
      </c>
      <c r="E16">
        <v>3034.58</v>
      </c>
      <c r="F16">
        <v>9200.735999999999</v>
      </c>
      <c r="G16">
        <v>6166.155999999999</v>
      </c>
      <c r="H16" s="47">
        <v>46600</v>
      </c>
      <c r="I16" t="s">
        <v>59</v>
      </c>
      <c r="J16">
        <v>3034.58</v>
      </c>
      <c r="K16" t="s">
        <v>327</v>
      </c>
      <c r="L16" s="47">
        <v>46266</v>
      </c>
    </row>
    <row r="17" spans="1:12">
      <c r="A17">
        <v>24161368</v>
      </c>
      <c r="C17" t="s">
        <v>54</v>
      </c>
      <c r="D17">
        <v>11029.03</v>
      </c>
      <c r="F17">
        <v>3308.7090000000003</v>
      </c>
      <c r="G17">
        <v>3308.7090000000003</v>
      </c>
      <c r="K17" t="s">
        <v>327</v>
      </c>
      <c r="L17" s="47">
        <v>46266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4C95-89B3-4BE5-96AB-BFC84B089FB2}">
  <dimension ref="A1:L6"/>
  <sheetViews>
    <sheetView workbookViewId="0"/>
  </sheetViews>
  <sheetFormatPr defaultRowHeight="15"/>
  <cols>
    <col min="1" max="1" width="9.85546875" bestFit="1" customWidth="1"/>
    <col min="2" max="2" width="12.85546875" bestFit="1" customWidth="1"/>
    <col min="3" max="3" width="16.140625" bestFit="1" customWidth="1"/>
    <col min="4" max="4" width="20.42578125" bestFit="1" customWidth="1"/>
    <col min="5" max="5" width="15.85546875" bestFit="1" customWidth="1"/>
    <col min="6" max="6" width="9.28515625" bestFit="1" customWidth="1"/>
    <col min="7" max="7" width="14.140625" bestFit="1" customWidth="1"/>
    <col min="8" max="8" width="16.140625" bestFit="1" customWidth="1"/>
    <col min="9" max="9" width="14.85546875" bestFit="1" customWidth="1"/>
    <col min="10" max="10" width="16.42578125" bestFit="1" customWidth="1"/>
    <col min="11" max="11" width="11.5703125" bestFit="1" customWidth="1"/>
    <col min="12" max="12" width="19" bestFit="1" customWidth="1"/>
  </cols>
  <sheetData>
    <row r="1" spans="1:12">
      <c r="A1" s="43" t="s">
        <v>2863</v>
      </c>
    </row>
    <row r="3" spans="1:12">
      <c r="A3" t="s">
        <v>2815</v>
      </c>
      <c r="B3" t="s">
        <v>2816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2817</v>
      </c>
      <c r="K3" t="s">
        <v>2813</v>
      </c>
      <c r="L3" t="s">
        <v>2811</v>
      </c>
    </row>
    <row r="4" spans="1:12">
      <c r="A4">
        <v>24223350</v>
      </c>
      <c r="B4">
        <v>5218342451655</v>
      </c>
      <c r="C4" t="s">
        <v>107</v>
      </c>
      <c r="D4">
        <v>8867.99</v>
      </c>
      <c r="E4">
        <v>2565.4299999999998</v>
      </c>
      <c r="F4">
        <v>2660.3969999999999</v>
      </c>
      <c r="G4">
        <v>94.967000000000098</v>
      </c>
      <c r="H4">
        <v>46113</v>
      </c>
      <c r="I4" t="s">
        <v>1430</v>
      </c>
      <c r="J4">
        <v>375.35</v>
      </c>
      <c r="K4" t="s">
        <v>2810</v>
      </c>
      <c r="L4" s="47">
        <v>46269</v>
      </c>
    </row>
    <row r="5" spans="1:12">
      <c r="A5">
        <v>24246764</v>
      </c>
      <c r="C5" t="s">
        <v>38</v>
      </c>
      <c r="D5">
        <v>5877.47</v>
      </c>
      <c r="E5">
        <v>550.1</v>
      </c>
      <c r="F5">
        <v>1763.241</v>
      </c>
      <c r="G5">
        <v>1154.3900000000008</v>
      </c>
      <c r="H5" s="47">
        <v>46935</v>
      </c>
      <c r="I5" t="s">
        <v>43</v>
      </c>
      <c r="J5">
        <v>366.19</v>
      </c>
      <c r="K5" t="s">
        <v>2810</v>
      </c>
      <c r="L5" s="47">
        <v>46269</v>
      </c>
    </row>
    <row r="6" spans="1:12">
      <c r="A6">
        <v>24214946</v>
      </c>
      <c r="B6">
        <v>2214102702</v>
      </c>
      <c r="C6" t="s">
        <v>38</v>
      </c>
      <c r="D6">
        <v>5055.87</v>
      </c>
      <c r="F6">
        <v>1516.761</v>
      </c>
      <c r="G6">
        <v>882.89000000000033</v>
      </c>
      <c r="K6" t="s">
        <v>2810</v>
      </c>
      <c r="L6" s="47">
        <v>46269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29E0-AB57-419B-A994-F084CE49AC1E}">
  <dimension ref="A1:L17"/>
  <sheetViews>
    <sheetView workbookViewId="0">
      <selection activeCell="K24" sqref="K24"/>
    </sheetView>
  </sheetViews>
  <sheetFormatPr defaultRowHeight="15"/>
  <cols>
    <col min="1" max="1" width="10.140625" bestFit="1" customWidth="1"/>
    <col min="7" max="7" width="11.28515625" customWidth="1"/>
    <col min="8" max="8" width="11.42578125" customWidth="1"/>
  </cols>
  <sheetData>
    <row r="1" spans="1:12" ht="45.75">
      <c r="A1" t="s">
        <v>2864</v>
      </c>
      <c r="B1" s="46" t="s">
        <v>54</v>
      </c>
      <c r="C1" s="46" t="s">
        <v>38</v>
      </c>
      <c r="D1" s="46" t="s">
        <v>27</v>
      </c>
      <c r="E1" s="46" t="s">
        <v>107</v>
      </c>
      <c r="F1" s="46" t="s">
        <v>34</v>
      </c>
      <c r="G1" s="46" t="s">
        <v>30</v>
      </c>
      <c r="H1" s="46" t="s">
        <v>58</v>
      </c>
      <c r="I1" s="46" t="s">
        <v>189</v>
      </c>
      <c r="J1" s="46" t="s">
        <v>51</v>
      </c>
      <c r="K1" s="46" t="s">
        <v>32</v>
      </c>
      <c r="L1" s="46" t="s">
        <v>2814</v>
      </c>
    </row>
    <row r="2" spans="1:12">
      <c r="A2" s="13">
        <v>46236</v>
      </c>
      <c r="B2">
        <f>COUNTIFS(Hoja1!$K:$K,Hoja2!B1,Hoja1!$B:$B,Hoja2!$A2)</f>
        <v>3</v>
      </c>
      <c r="C2">
        <f>COUNTIFS(Hoja1!$K:$K,Hoja2!C1,Hoja1!$B:$B,Hoja2!$A2)</f>
        <v>2</v>
      </c>
      <c r="D2">
        <f>COUNTIFS(Hoja1!$K:$K,Hoja2!D1,Hoja1!$B:$B,Hoja2!$A2)</f>
        <v>2</v>
      </c>
      <c r="E2">
        <f>COUNTIFS(Hoja1!$K:$K,Hoja2!E1,Hoja1!$B:$B,Hoja2!$A2)</f>
        <v>0</v>
      </c>
      <c r="F2">
        <f>COUNTIFS(Hoja1!$K:$K,Hoja2!F1,Hoja1!$B:$B,Hoja2!$A2)</f>
        <v>1</v>
      </c>
      <c r="G2">
        <f>COUNTIFS(Hoja1!$K:$K,Hoja2!G1,Hoja1!$B:$B,Hoja2!$A2)</f>
        <v>12</v>
      </c>
      <c r="H2">
        <f>COUNTIFS(Hoja1!$K:$K,Hoja2!H1,Hoja1!$B:$B,Hoja2!$A2)</f>
        <v>1</v>
      </c>
      <c r="I2">
        <f>COUNTIFS(Hoja1!$K:$K,Hoja2!I1,Hoja1!$B:$B,Hoja2!$A2)</f>
        <v>0</v>
      </c>
      <c r="J2">
        <f>COUNTIFS(Hoja1!$K:$K,Hoja2!J1,Hoja1!$B:$B,Hoja2!$A2)</f>
        <v>1</v>
      </c>
      <c r="K2">
        <f>COUNTIFS(Hoja1!$K:$K,Hoja2!K1,Hoja1!$B:$B,Hoja2!$A2)</f>
        <v>6</v>
      </c>
      <c r="L2">
        <f>SUM(B2:K2)</f>
        <v>28</v>
      </c>
    </row>
    <row r="3" spans="1:12">
      <c r="A3" s="47">
        <v>46237</v>
      </c>
      <c r="B3">
        <f>COUNTIFS(Hoja1!$K:$K,Hoja2!B1,Hoja1!$B:$B,Hoja2!$A3)</f>
        <v>9</v>
      </c>
      <c r="C3">
        <f>COUNTIFS(Hoja1!$K:$K,Hoja2!C1,Hoja1!$B:$B,Hoja2!$A3)</f>
        <v>4</v>
      </c>
      <c r="D3">
        <f>COUNTIFS(Hoja1!$K:$K,Hoja2!D1,Hoja1!$B:$B,Hoja2!$A3)</f>
        <v>2</v>
      </c>
      <c r="E3">
        <f>COUNTIFS(Hoja1!$K:$K,Hoja2!E1,Hoja1!$B:$B,Hoja2!$A3)</f>
        <v>1</v>
      </c>
      <c r="F3">
        <f>COUNTIFS(Hoja1!$K:$K,Hoja2!F1,Hoja1!$B:$B,Hoja2!$A3)</f>
        <v>1</v>
      </c>
      <c r="G3">
        <f>COUNTIFS(Hoja1!$K:$K,Hoja2!G1,Hoja1!$B:$B,Hoja2!$A3)</f>
        <v>24</v>
      </c>
      <c r="H3">
        <f>COUNTIFS(Hoja1!$K:$K,Hoja2!H1,Hoja1!$B:$B,Hoja2!$A3)</f>
        <v>9</v>
      </c>
      <c r="I3">
        <f>COUNTIFS(Hoja1!$K:$K,Hoja2!I1,Hoja1!$B:$B,Hoja2!$A3)</f>
        <v>0</v>
      </c>
      <c r="J3">
        <f>COUNTIFS(Hoja1!$K:$K,Hoja2!J1,Hoja1!$B:$B,Hoja2!$A3)</f>
        <v>2</v>
      </c>
      <c r="K3">
        <f>COUNTIFS(Hoja1!$K:$K,Hoja2!K1,Hoja1!$B:$B,Hoja2!$A3)</f>
        <v>1</v>
      </c>
      <c r="L3">
        <f>SUM(B3:K3)</f>
        <v>53</v>
      </c>
    </row>
    <row r="4" spans="1:12">
      <c r="A4" s="47">
        <v>46238</v>
      </c>
      <c r="B4">
        <f>COUNTIFS(Hoja1!$K:$K,Hoja2!B1,Hoja1!$B:$B,Hoja2!$A4)</f>
        <v>11</v>
      </c>
      <c r="C4">
        <f>COUNTIFS(Hoja1!$K:$K,Hoja2!C1,Hoja1!$B:$B,Hoja2!$A4)</f>
        <v>4</v>
      </c>
      <c r="D4">
        <f>COUNTIFS(Hoja1!$K:$K,Hoja2!D1,Hoja1!$B:$B,Hoja2!$A4)</f>
        <v>7</v>
      </c>
      <c r="E4">
        <f>COUNTIFS(Hoja1!$K:$K,Hoja2!E1,Hoja1!$B:$B,Hoja2!$A4)</f>
        <v>5</v>
      </c>
      <c r="F4">
        <f>COUNTIFS(Hoja1!$K:$K,Hoja2!F1,Hoja1!$B:$B,Hoja2!$A4)</f>
        <v>3</v>
      </c>
      <c r="G4">
        <f>COUNTIFS(Hoja1!$K:$K,Hoja2!G1,Hoja1!$B:$B,Hoja2!$A4)</f>
        <v>41</v>
      </c>
      <c r="H4">
        <f>COUNTIFS(Hoja1!$K:$K,Hoja2!H1,Hoja1!$B:$B,Hoja2!$A4)</f>
        <v>13</v>
      </c>
      <c r="I4">
        <f>COUNTIFS(Hoja1!$K:$K,Hoja2!I1,Hoja1!$B:$B,Hoja2!$A4)</f>
        <v>2</v>
      </c>
      <c r="J4">
        <f>COUNTIFS(Hoja1!$K:$K,Hoja2!J1,Hoja1!$B:$B,Hoja2!$A4)</f>
        <v>6</v>
      </c>
      <c r="K4">
        <f>COUNTIFS(Hoja1!$K:$K,Hoja2!K1,Hoja1!$B:$B,Hoja2!$A4)</f>
        <v>15</v>
      </c>
      <c r="L4">
        <f>SUM(B4:K4)</f>
        <v>107</v>
      </c>
    </row>
    <row r="5" spans="1:12">
      <c r="A5" s="47">
        <v>46239</v>
      </c>
      <c r="B5">
        <f>COUNTIFS(Hoja1!$K:$K,Hoja2!B1,Hoja1!$B:$B,Hoja2!$A5)</f>
        <v>8</v>
      </c>
      <c r="C5">
        <f>COUNTIFS(Hoja1!$K:$K,Hoja2!C1,Hoja1!$B:$B,Hoja2!$A5)</f>
        <v>9</v>
      </c>
      <c r="D5">
        <f>COUNTIFS(Hoja1!$K:$K,Hoja2!D1,Hoja1!$B:$B,Hoja2!$A5)</f>
        <v>4</v>
      </c>
      <c r="E5">
        <f>COUNTIFS(Hoja1!$K:$K,Hoja2!E1,Hoja1!$B:$B,Hoja2!$A5)</f>
        <v>2</v>
      </c>
      <c r="F5">
        <f>COUNTIFS(Hoja1!$K:$K,Hoja2!F1,Hoja1!$B:$B,Hoja2!$A5)</f>
        <v>4</v>
      </c>
      <c r="G5">
        <f>COUNTIFS(Hoja1!$K:$K,Hoja2!G1,Hoja1!$B:$B,Hoja2!$A5)</f>
        <v>19</v>
      </c>
      <c r="H5">
        <f>COUNTIFS(Hoja1!$K:$K,Hoja2!H1,Hoja1!$B:$B,Hoja2!$A5)</f>
        <v>4</v>
      </c>
      <c r="I5">
        <f>COUNTIFS(Hoja1!$K:$K,Hoja2!I1,Hoja1!$B:$B,Hoja2!$A5)</f>
        <v>1</v>
      </c>
      <c r="J5">
        <f>COUNTIFS(Hoja1!$K:$K,Hoja2!J1,Hoja1!$B:$B,Hoja2!$A5)</f>
        <v>3</v>
      </c>
      <c r="K5">
        <f>COUNTIFS(Hoja1!$K:$K,Hoja2!K1,Hoja1!$B:$B,Hoja2!$A5)</f>
        <v>10</v>
      </c>
      <c r="L5">
        <f>SUM(B5:K5)</f>
        <v>64</v>
      </c>
    </row>
    <row r="6" spans="1:12">
      <c r="A6" s="47">
        <v>46240</v>
      </c>
      <c r="B6">
        <f>COUNTIFS(Hoja1!$K:$K,Hoja2!B$1,Hoja1!$B:$B,Hoja2!$A6)</f>
        <v>7</v>
      </c>
      <c r="C6">
        <f>COUNTIFS(Hoja1!$K:$K,Hoja2!C1,Hoja1!$B:$B,Hoja2!$A6)</f>
        <v>3</v>
      </c>
      <c r="D6">
        <f>COUNTIFS(Hoja1!$K:$K,Hoja2!D1,Hoja1!$B:$B,Hoja2!$A6)</f>
        <v>4</v>
      </c>
      <c r="E6">
        <f>COUNTIFS(Hoja1!$K:$K,Hoja2!E1,Hoja1!$B:$B,Hoja2!$A6)</f>
        <v>2</v>
      </c>
      <c r="F6">
        <f>COUNTIFS(Hoja1!$K:$K,Hoja2!F1,Hoja1!$B:$B,Hoja2!$A6)</f>
        <v>0</v>
      </c>
      <c r="G6">
        <f>COUNTIFS(Hoja1!$K:$K,Hoja2!G1,Hoja1!$B:$B,Hoja2!$A6)</f>
        <v>21</v>
      </c>
      <c r="H6">
        <f>COUNTIFS(Hoja1!$K:$K,Hoja2!H1,Hoja1!$B:$B,Hoja2!$A6)</f>
        <v>10</v>
      </c>
      <c r="I6">
        <f>COUNTIFS(Hoja1!$K:$K,Hoja2!I1,Hoja1!$B:$B,Hoja2!$A6)</f>
        <v>1</v>
      </c>
      <c r="J6">
        <f>COUNTIFS(Hoja1!$K:$K,Hoja2!J1,Hoja1!$B:$B,Hoja2!$A6)</f>
        <v>0</v>
      </c>
      <c r="K6">
        <f>COUNTIFS(Hoja1!$K:$K,Hoja2!K1,Hoja1!$B:$B,Hoja2!$A6)</f>
        <v>6</v>
      </c>
      <c r="L6">
        <f>SUM(B6:K6)</f>
        <v>54</v>
      </c>
    </row>
    <row r="7" spans="1:12">
      <c r="A7" s="47">
        <v>46241</v>
      </c>
      <c r="B7">
        <f>COUNTIFS(Hoja1!$K:$K,Hoja2!B$1,Hoja1!$B:$B,Hoja2!$A7)</f>
        <v>9</v>
      </c>
      <c r="C7">
        <f>COUNTIFS(Hoja1!$K:$K,Hoja2!C$1,Hoja1!$B:$B,Hoja2!$A7)</f>
        <v>3</v>
      </c>
      <c r="D7">
        <f>COUNTIFS(Hoja1!$K:$K,Hoja2!D$1,Hoja1!$B:$B,Hoja2!$A7)</f>
        <v>5</v>
      </c>
      <c r="E7">
        <f>COUNTIFS(Hoja1!$K:$K,Hoja2!E$1,Hoja1!$B:$B,Hoja2!$A7)</f>
        <v>2</v>
      </c>
      <c r="F7">
        <f>COUNTIFS(Hoja1!$K:$K,Hoja2!F$1,Hoja1!$B:$B,Hoja2!$A7)</f>
        <v>1</v>
      </c>
      <c r="G7">
        <f>COUNTIFS(Hoja1!$K:$K,Hoja2!G$1,Hoja1!$B:$B,Hoja2!$A7)</f>
        <v>18</v>
      </c>
      <c r="H7">
        <f>COUNTIFS(Hoja1!$K:$K,Hoja2!H$1,Hoja1!$B:$B,Hoja2!$A7)</f>
        <v>2</v>
      </c>
      <c r="I7">
        <f>COUNTIFS(Hoja1!$K:$K,Hoja2!I$1,Hoja1!$B:$B,Hoja2!$A7)</f>
        <v>2</v>
      </c>
      <c r="J7">
        <f>COUNTIFS(Hoja1!$K:$K,Hoja2!J$1,Hoja1!$B:$B,Hoja2!$A7)</f>
        <v>7</v>
      </c>
      <c r="K7">
        <f>COUNTIFS(Hoja1!$K:$K,Hoja2!K$1,Hoja1!$B:$B,Hoja2!$A7)</f>
        <v>8</v>
      </c>
      <c r="L7">
        <f>SUM(B7:K7)</f>
        <v>57</v>
      </c>
    </row>
    <row r="8" spans="1:12">
      <c r="A8" s="47">
        <v>46242</v>
      </c>
      <c r="B8">
        <f>COUNTIFS(Hoja1!$K:$K,Hoja2!B$1,Hoja1!$B:$B,Hoja2!$A8)</f>
        <v>5</v>
      </c>
      <c r="C8">
        <f>COUNTIFS(Hoja1!$K:$K,Hoja2!C$1,Hoja1!$B:$B,Hoja2!$A8)</f>
        <v>3</v>
      </c>
      <c r="D8">
        <f>COUNTIFS(Hoja1!$K:$K,Hoja2!D$1,Hoja1!$B:$B,Hoja2!$A8)</f>
        <v>2</v>
      </c>
      <c r="E8">
        <f>COUNTIFS(Hoja1!$K:$K,Hoja2!E$1,Hoja1!$B:$B,Hoja2!$A8)</f>
        <v>1</v>
      </c>
      <c r="F8">
        <f>COUNTIFS(Hoja1!$K:$K,Hoja2!F$1,Hoja1!$B:$B,Hoja2!$A8)</f>
        <v>0</v>
      </c>
      <c r="G8">
        <f>COUNTIFS(Hoja1!$K:$K,Hoja2!G$1,Hoja1!$B:$B,Hoja2!$A8)</f>
        <v>12</v>
      </c>
      <c r="H8">
        <f>COUNTIFS(Hoja1!$K:$K,Hoja2!H$1,Hoja1!$B:$B,Hoja2!$A8)</f>
        <v>9</v>
      </c>
      <c r="I8">
        <f>COUNTIFS(Hoja1!$K:$K,Hoja2!I$1,Hoja1!$B:$B,Hoja2!$A8)</f>
        <v>3</v>
      </c>
      <c r="J8">
        <f>COUNTIFS(Hoja1!$K:$K,Hoja2!J$1,Hoja1!$B:$B,Hoja2!$A8)</f>
        <v>1</v>
      </c>
      <c r="K8">
        <f>COUNTIFS(Hoja1!$K:$K,Hoja2!K$1,Hoja1!$B:$B,Hoja2!$A8)</f>
        <v>13</v>
      </c>
      <c r="L8">
        <f>SUM(B8:K8)</f>
        <v>49</v>
      </c>
    </row>
    <row r="9" spans="1:12">
      <c r="A9" s="47">
        <v>46243</v>
      </c>
      <c r="B9">
        <f>COUNTIFS(Hoja1!$K:$K,Hoja2!B$1,Hoja1!$B:$B,Hoja2!$A9)</f>
        <v>11</v>
      </c>
      <c r="C9">
        <f>COUNTIFS(Hoja1!$K:$K,Hoja2!C$1,Hoja1!$B:$B,Hoja2!$A9)</f>
        <v>1</v>
      </c>
      <c r="D9">
        <f>COUNTIFS(Hoja1!$K:$K,Hoja2!D$1,Hoja1!$B:$B,Hoja2!$A9)</f>
        <v>2</v>
      </c>
      <c r="E9">
        <f>COUNTIFS(Hoja1!$K:$K,Hoja2!E$1,Hoja1!$B:$B,Hoja2!$A9)</f>
        <v>0</v>
      </c>
      <c r="F9">
        <f>COUNTIFS(Hoja1!$K:$K,Hoja2!F$1,Hoja1!$B:$B,Hoja2!$A9)</f>
        <v>0</v>
      </c>
      <c r="G9">
        <f>COUNTIFS(Hoja1!$K:$K,Hoja2!G$1,Hoja1!$B:$B,Hoja2!$A9)</f>
        <v>18</v>
      </c>
      <c r="H9">
        <f>COUNTIFS(Hoja1!$K:$K,Hoja2!H$1,Hoja1!$B:$B,Hoja2!$A9)</f>
        <v>9</v>
      </c>
      <c r="I9">
        <f>COUNTIFS(Hoja1!$K:$K,Hoja2!I$1,Hoja1!$B:$B,Hoja2!$A9)</f>
        <v>1</v>
      </c>
      <c r="J9">
        <f>COUNTIFS(Hoja1!$K:$K,Hoja2!J$1,Hoja1!$B:$B,Hoja2!$A9)</f>
        <v>2</v>
      </c>
      <c r="K9">
        <f>COUNTIFS(Hoja1!$K:$K,Hoja2!K$1,Hoja1!$B:$B,Hoja2!$A9)</f>
        <v>13</v>
      </c>
      <c r="L9">
        <f>SUM(B9:K9)</f>
        <v>57</v>
      </c>
    </row>
    <row r="10" spans="1:12">
      <c r="A10" s="47">
        <v>46244</v>
      </c>
      <c r="B10">
        <f>COUNTIFS(Hoja1!$K:$K,Hoja2!B$1,Hoja1!$B:$B,Hoja2!$A10)</f>
        <v>11</v>
      </c>
      <c r="C10">
        <f>COUNTIFS(Hoja1!$K:$K,Hoja2!C$1,Hoja1!$B:$B,Hoja2!$A10)</f>
        <v>9</v>
      </c>
      <c r="D10">
        <f>COUNTIFS(Hoja1!$K:$K,Hoja2!D$1,Hoja1!$B:$B,Hoja2!$A10)</f>
        <v>4</v>
      </c>
      <c r="E10">
        <f>COUNTIFS(Hoja1!$K:$K,Hoja2!E$1,Hoja1!$B:$B,Hoja2!$A10)</f>
        <v>2</v>
      </c>
      <c r="F10">
        <f>COUNTIFS(Hoja1!$K:$K,Hoja2!F$1,Hoja1!$B:$B,Hoja2!$A10)</f>
        <v>4</v>
      </c>
      <c r="G10">
        <f>COUNTIFS(Hoja1!$K:$K,Hoja2!G$1,Hoja1!$B:$B,Hoja2!$A10)</f>
        <v>26</v>
      </c>
      <c r="H10">
        <f>COUNTIFS(Hoja1!$K:$K,Hoja2!H$1,Hoja1!$B:$B,Hoja2!$A10)</f>
        <v>15</v>
      </c>
      <c r="I10">
        <f>COUNTIFS(Hoja1!$K:$K,Hoja2!I$1,Hoja1!$B:$B,Hoja2!$A10)</f>
        <v>0</v>
      </c>
      <c r="J10">
        <f>COUNTIFS(Hoja1!$K:$K,Hoja2!J$1,Hoja1!$B:$B,Hoja2!$A10)</f>
        <v>3</v>
      </c>
      <c r="K10">
        <f>COUNTIFS(Hoja1!$K:$K,Hoja2!K$1,Hoja1!$B:$B,Hoja2!$A10)</f>
        <v>15</v>
      </c>
      <c r="L10">
        <f>SUM(B10:K10)</f>
        <v>89</v>
      </c>
    </row>
    <row r="11" spans="1:12">
      <c r="A11" s="47">
        <v>46245</v>
      </c>
      <c r="B11">
        <f>COUNTIFS(Hoja1!$K:$K,Hoja2!B$1,Hoja1!$B:$B,Hoja2!$A11)</f>
        <v>12</v>
      </c>
      <c r="C11">
        <f>COUNTIFS(Hoja1!$K:$K,Hoja2!C$1,Hoja1!$B:$B,Hoja2!$A11)</f>
        <v>5</v>
      </c>
      <c r="D11">
        <f>COUNTIFS(Hoja1!$K:$K,Hoja2!D$1,Hoja1!$B:$B,Hoja2!$A11)</f>
        <v>2</v>
      </c>
      <c r="E11">
        <f>COUNTIFS(Hoja1!$K:$K,Hoja2!E$1,Hoja1!$B:$B,Hoja2!$A11)</f>
        <v>0</v>
      </c>
      <c r="F11">
        <f>COUNTIFS(Hoja1!$K:$K,Hoja2!F$1,Hoja1!$B:$B,Hoja2!$A11)</f>
        <v>2</v>
      </c>
      <c r="G11">
        <f>COUNTIFS(Hoja1!$K:$K,Hoja2!G$1,Hoja1!$B:$B,Hoja2!$A11)</f>
        <v>25</v>
      </c>
      <c r="H11">
        <f>COUNTIFS(Hoja1!$K:$K,Hoja2!H$1,Hoja1!$B:$B,Hoja2!$A11)</f>
        <v>6</v>
      </c>
      <c r="I11">
        <f>COUNTIFS(Hoja1!$K:$K,Hoja2!I$1,Hoja1!$B:$B,Hoja2!$A11)</f>
        <v>1</v>
      </c>
      <c r="J11">
        <f>COUNTIFS(Hoja1!$K:$K,Hoja2!J$1,Hoja1!$B:$B,Hoja2!$A11)</f>
        <v>4</v>
      </c>
      <c r="K11">
        <f>COUNTIFS(Hoja1!$K:$K,Hoja2!K$1,Hoja1!$B:$B,Hoja2!$A11)</f>
        <v>14</v>
      </c>
      <c r="L11">
        <f>SUM(B11:K11)</f>
        <v>71</v>
      </c>
    </row>
    <row r="12" spans="1:12">
      <c r="A12" s="47">
        <v>46246</v>
      </c>
      <c r="B12">
        <f>COUNTIFS(Hoja1!$K:$K,Hoja2!B$1,Hoja1!$B:$B,Hoja2!$A12)</f>
        <v>10</v>
      </c>
      <c r="C12">
        <f>COUNTIFS(Hoja1!$K:$K,Hoja2!C$1,Hoja1!$B:$B,Hoja2!$A12)</f>
        <v>1</v>
      </c>
      <c r="D12">
        <f>COUNTIFS(Hoja1!$K:$K,Hoja2!D$1,Hoja1!$B:$B,Hoja2!$A12)</f>
        <v>3</v>
      </c>
      <c r="E12">
        <f>COUNTIFS(Hoja1!$K:$K,Hoja2!E$1,Hoja1!$B:$B,Hoja2!$A12)</f>
        <v>2</v>
      </c>
      <c r="F12">
        <f>COUNTIFS(Hoja1!$K:$K,Hoja2!F$1,Hoja1!$B:$B,Hoja2!$A12)</f>
        <v>3</v>
      </c>
      <c r="G12">
        <f>COUNTIFS(Hoja1!$K:$K,Hoja2!G$1,Hoja1!$B:$B,Hoja2!$A12)</f>
        <v>16</v>
      </c>
      <c r="H12">
        <f>COUNTIFS(Hoja1!$K:$K,Hoja2!H$1,Hoja1!$B:$B,Hoja2!$A12)</f>
        <v>10</v>
      </c>
      <c r="I12">
        <f>COUNTIFS(Hoja1!$K:$K,Hoja2!I$1,Hoja1!$B:$B,Hoja2!$A12)</f>
        <v>2</v>
      </c>
      <c r="J12">
        <f>COUNTIFS(Hoja1!$K:$K,Hoja2!J$1,Hoja1!$B:$B,Hoja2!$A12)</f>
        <v>3</v>
      </c>
      <c r="K12">
        <f>COUNTIFS(Hoja1!$K:$K,Hoja2!K$1,Hoja1!$B:$B,Hoja2!$A12)</f>
        <v>13</v>
      </c>
      <c r="L12">
        <f>SUM(B12:K12)</f>
        <v>63</v>
      </c>
    </row>
    <row r="13" spans="1:12">
      <c r="A13" s="47">
        <v>46247</v>
      </c>
      <c r="B13">
        <f>COUNTIFS(Hoja1!$K:$K,Hoja2!B$1,Hoja1!$B:$B,Hoja2!$A13)</f>
        <v>16</v>
      </c>
      <c r="C13">
        <f>COUNTIFS(Hoja1!$K:$K,Hoja2!C$1,Hoja1!$B:$B,Hoja2!$A13)</f>
        <v>1</v>
      </c>
      <c r="D13">
        <f>COUNTIFS(Hoja1!$K:$K,Hoja2!D$1,Hoja1!$B:$B,Hoja2!$A13)</f>
        <v>3</v>
      </c>
      <c r="E13">
        <f>COUNTIFS(Hoja1!$K:$K,Hoja2!E$1,Hoja1!$B:$B,Hoja2!$A13)</f>
        <v>1</v>
      </c>
      <c r="F13">
        <f>COUNTIFS(Hoja1!$K:$K,Hoja2!F$1,Hoja1!$B:$B,Hoja2!$A13)</f>
        <v>2</v>
      </c>
      <c r="G13">
        <f>COUNTIFS(Hoja1!$K:$K,Hoja2!G$1,Hoja1!$B:$B,Hoja2!$A13)</f>
        <v>26</v>
      </c>
      <c r="H13">
        <f>COUNTIFS(Hoja1!$K:$K,Hoja2!H$1,Hoja1!$B:$B,Hoja2!$A13)</f>
        <v>6</v>
      </c>
      <c r="I13">
        <f>COUNTIFS(Hoja1!$K:$K,Hoja2!I$1,Hoja1!$B:$B,Hoja2!$A13)</f>
        <v>1</v>
      </c>
      <c r="J13">
        <f>COUNTIFS(Hoja1!$K:$K,Hoja2!J$1,Hoja1!$B:$B,Hoja2!$A13)</f>
        <v>3</v>
      </c>
      <c r="K13">
        <f>COUNTIFS(Hoja1!$K:$K,Hoja2!K$1,Hoja1!$B:$B,Hoja2!$A13)</f>
        <v>13</v>
      </c>
      <c r="L13">
        <f>SUM(B13:K13)</f>
        <v>72</v>
      </c>
    </row>
    <row r="14" spans="1:12">
      <c r="A14" s="47">
        <v>46248</v>
      </c>
      <c r="B14">
        <f>COUNTIFS(Hoja1!$K:$K,Hoja2!B$1,Hoja1!$B:$B,Hoja2!$A14)</f>
        <v>10</v>
      </c>
      <c r="C14">
        <f>COUNTIFS(Hoja1!$K:$K,Hoja2!C$1,Hoja1!$B:$B,Hoja2!$A14)</f>
        <v>2</v>
      </c>
      <c r="D14">
        <f>COUNTIFS(Hoja1!$K:$K,Hoja2!D$1,Hoja1!$B:$B,Hoja2!$A14)</f>
        <v>4</v>
      </c>
      <c r="E14">
        <f>COUNTIFS(Hoja1!$K:$K,Hoja2!E$1,Hoja1!$B:$B,Hoja2!$A14)</f>
        <v>3</v>
      </c>
      <c r="F14">
        <f>COUNTIFS(Hoja1!$K:$K,Hoja2!F$1,Hoja1!$B:$B,Hoja2!$A14)</f>
        <v>1</v>
      </c>
      <c r="G14">
        <f>COUNTIFS(Hoja1!$K:$K,Hoja2!G$1,Hoja1!$B:$B,Hoja2!$A14)</f>
        <v>21</v>
      </c>
      <c r="H14">
        <f>COUNTIFS(Hoja1!$K:$K,Hoja2!H$1,Hoja1!$B:$B,Hoja2!$A14)</f>
        <v>6</v>
      </c>
      <c r="I14">
        <f>COUNTIFS(Hoja1!$K:$K,Hoja2!I$1,Hoja1!$B:$B,Hoja2!$A14)</f>
        <v>1</v>
      </c>
      <c r="J14">
        <f>COUNTIFS(Hoja1!$K:$K,Hoja2!J$1,Hoja1!$B:$B,Hoja2!$A14)</f>
        <v>3</v>
      </c>
      <c r="K14">
        <f>COUNTIFS(Hoja1!$K:$K,Hoja2!K$1,Hoja1!$B:$B,Hoja2!$A14)</f>
        <v>16</v>
      </c>
      <c r="L14">
        <f>SUM(B14:K14)</f>
        <v>67</v>
      </c>
    </row>
    <row r="15" spans="1:12">
      <c r="A15" s="47">
        <v>46249</v>
      </c>
      <c r="B15">
        <f>COUNTIFS(Hoja1!$K:$K,Hoja2!B$1,Hoja1!$B:$B,Hoja2!$A15)</f>
        <v>8</v>
      </c>
      <c r="C15">
        <f>COUNTIFS(Hoja1!$K:$K,Hoja2!C$1,Hoja1!$B:$B,Hoja2!$A15)</f>
        <v>4</v>
      </c>
      <c r="D15">
        <f>COUNTIFS(Hoja1!$K:$K,Hoja2!D$1,Hoja1!$B:$B,Hoja2!$A15)</f>
        <v>2</v>
      </c>
      <c r="E15">
        <f>COUNTIFS(Hoja1!$K:$K,Hoja2!E$1,Hoja1!$B:$B,Hoja2!$A15)</f>
        <v>2</v>
      </c>
      <c r="F15">
        <f>COUNTIFS(Hoja1!$K:$K,Hoja2!F$1,Hoja1!$B:$B,Hoja2!$A15)</f>
        <v>2</v>
      </c>
      <c r="G15">
        <f>COUNTIFS(Hoja1!$K:$K,Hoja2!G$1,Hoja1!$B:$B,Hoja2!$A15)</f>
        <v>13</v>
      </c>
      <c r="H15">
        <f>COUNTIFS(Hoja1!$K:$K,Hoja2!H$1,Hoja1!$B:$B,Hoja2!$A15)</f>
        <v>8</v>
      </c>
      <c r="I15">
        <f>COUNTIFS(Hoja1!$K:$K,Hoja2!I$1,Hoja1!$B:$B,Hoja2!$A15)</f>
        <v>0</v>
      </c>
      <c r="J15">
        <f>COUNTIFS(Hoja1!$K:$K,Hoja2!J$1,Hoja1!$B:$B,Hoja2!$A15)</f>
        <v>0</v>
      </c>
      <c r="K15">
        <f>COUNTIFS(Hoja1!$K:$K,Hoja2!K$1,Hoja1!$B:$B,Hoja2!$A15)</f>
        <v>13</v>
      </c>
      <c r="L15">
        <f>SUM(B15:K15)</f>
        <v>52</v>
      </c>
    </row>
    <row r="16" spans="1:12">
      <c r="A16" s="47">
        <v>46250</v>
      </c>
      <c r="B16">
        <f>COUNTIFS(Hoja1!$K:$K,Hoja2!B$1,Hoja1!$B:$B,Hoja2!$A16)</f>
        <v>7</v>
      </c>
      <c r="C16">
        <f>COUNTIFS(Hoja1!$K:$K,Hoja2!C$1,Hoja1!$B:$B,Hoja2!$A16)</f>
        <v>0</v>
      </c>
      <c r="D16">
        <f>COUNTIFS(Hoja1!$K:$K,Hoja2!D$1,Hoja1!$B:$B,Hoja2!$A16)</f>
        <v>2</v>
      </c>
      <c r="E16">
        <f>COUNTIFS(Hoja1!$K:$K,Hoja2!E$1,Hoja1!$B:$B,Hoja2!$A16)</f>
        <v>1</v>
      </c>
      <c r="F16">
        <f>COUNTIFS(Hoja1!$K:$K,Hoja2!F$1,Hoja1!$B:$B,Hoja2!$A16)</f>
        <v>0</v>
      </c>
      <c r="G16">
        <f>COUNTIFS(Hoja1!$K:$K,Hoja2!G$1,Hoja1!$B:$B,Hoja2!$A16)</f>
        <v>15</v>
      </c>
      <c r="H16">
        <f>COUNTIFS(Hoja1!$K:$K,Hoja2!H$1,Hoja1!$B:$B,Hoja2!$A16)</f>
        <v>2</v>
      </c>
      <c r="I16">
        <f>COUNTIFS(Hoja1!$K:$K,Hoja2!I$1,Hoja1!$B:$B,Hoja2!$A16)</f>
        <v>0</v>
      </c>
      <c r="J16">
        <f>COUNTIFS(Hoja1!$K:$K,Hoja2!J$1,Hoja1!$B:$B,Hoja2!$A16)</f>
        <v>4</v>
      </c>
      <c r="K16">
        <f>COUNTIFS(Hoja1!$K:$K,Hoja2!K$1,Hoja1!$B:$B,Hoja2!$A16)</f>
        <v>13</v>
      </c>
      <c r="L16">
        <f>SUM(B16:K16)</f>
        <v>44</v>
      </c>
    </row>
    <row r="17" spans="1:12">
      <c r="A17" s="47">
        <v>46251</v>
      </c>
      <c r="B17">
        <f>COUNTIFS(Hoja1!$K:$K,Hoja2!B$1,Hoja1!$B:$B,Hoja2!$A17)</f>
        <v>14</v>
      </c>
      <c r="C17">
        <f>COUNTIFS(Hoja1!$K:$K,Hoja2!C$1,Hoja1!$B:$B,Hoja2!$A17)</f>
        <v>6</v>
      </c>
      <c r="D17">
        <f>COUNTIFS(Hoja1!$K:$K,Hoja2!D$1,Hoja1!$B:$B,Hoja2!$A17)</f>
        <v>5</v>
      </c>
      <c r="E17">
        <f>COUNTIFS(Hoja1!$K:$K,Hoja2!E$1,Hoja1!$B:$B,Hoja2!$A17)</f>
        <v>1</v>
      </c>
      <c r="F17">
        <f>COUNTIFS(Hoja1!$K:$K,Hoja2!F$1,Hoja1!$B:$B,Hoja2!$A17)</f>
        <v>1</v>
      </c>
      <c r="G17">
        <f>COUNTIFS(Hoja1!$K:$K,Hoja2!G$1,Hoja1!$B:$B,Hoja2!$A17)</f>
        <v>24</v>
      </c>
      <c r="H17">
        <f>COUNTIFS(Hoja1!$K:$K,Hoja2!H$1,Hoja1!$B:$B,Hoja2!$A17)</f>
        <v>5</v>
      </c>
      <c r="I17">
        <f>COUNTIFS(Hoja1!$K:$K,Hoja2!I$1,Hoja1!$B:$B,Hoja2!$A17)</f>
        <v>0</v>
      </c>
      <c r="J17">
        <f>COUNTIFS(Hoja1!$K:$K,Hoja2!J$1,Hoja1!$B:$B,Hoja2!$A17)</f>
        <v>6</v>
      </c>
      <c r="K17">
        <f>COUNTIFS(Hoja1!$K:$K,Hoja2!K$1,Hoja1!$B:$B,Hoja2!$A17)</f>
        <v>12</v>
      </c>
      <c r="L17">
        <f>SUM(B17:K17)</f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D485-9770-4E9A-8B69-11A70C35D7BF}">
  <dimension ref="A1:Q39"/>
  <sheetViews>
    <sheetView workbookViewId="0">
      <selection activeCell="S16" sqref="S16"/>
    </sheetView>
  </sheetViews>
  <sheetFormatPr defaultRowHeight="15" outlineLevelRow="1" outlineLevelCol="1"/>
  <cols>
    <col min="1" max="1" width="9.140625" customWidth="1"/>
    <col min="2" max="7" width="10.5703125" hidden="1" customWidth="1" outlineLevel="1"/>
    <col min="8" max="15" width="9.85546875" hidden="1" customWidth="1" outlineLevel="1"/>
    <col min="16" max="16" width="9.85546875" customWidth="1" collapsed="1"/>
    <col min="17" max="17" width="9.85546875" customWidth="1"/>
    <col min="16376" max="16376" width="9.140625" bestFit="1" customWidth="1"/>
  </cols>
  <sheetData>
    <row r="1" spans="1:17">
      <c r="A1" s="43" t="s">
        <v>2865</v>
      </c>
      <c r="B1" s="49">
        <v>46237</v>
      </c>
      <c r="C1" s="49">
        <v>46238</v>
      </c>
      <c r="D1" s="49">
        <v>46239</v>
      </c>
      <c r="E1" s="49">
        <v>46240</v>
      </c>
      <c r="F1" s="49">
        <v>46241</v>
      </c>
      <c r="G1" s="49">
        <v>46242</v>
      </c>
      <c r="H1" s="49">
        <v>46243</v>
      </c>
      <c r="I1" s="49">
        <v>46244</v>
      </c>
      <c r="J1" s="49">
        <v>46245</v>
      </c>
      <c r="K1" s="96">
        <v>46246</v>
      </c>
      <c r="L1" s="49">
        <v>46247</v>
      </c>
      <c r="M1" s="49">
        <v>46248</v>
      </c>
      <c r="N1" s="49">
        <v>46249</v>
      </c>
      <c r="O1" s="49">
        <v>46250</v>
      </c>
      <c r="P1" s="49">
        <v>46251</v>
      </c>
      <c r="Q1" s="49">
        <v>46252</v>
      </c>
    </row>
    <row r="2" spans="1:17">
      <c r="A2" s="43" t="s">
        <v>2866</v>
      </c>
    </row>
    <row r="3" spans="1:17">
      <c r="A3" t="s">
        <v>2839</v>
      </c>
      <c r="B3">
        <f>COUNTIFS(Hoja1!$T:$T,Hoja3!$B$1,Hoja1!$S:$S,Hoja3!$A3)</f>
        <v>3</v>
      </c>
      <c r="C3">
        <f>COUNTIFS(Hoja1!$T:$T,Hoja3!$C$1,Hoja1!$S:$S,Hoja3!$A3)</f>
        <v>2</v>
      </c>
      <c r="D3">
        <f>COUNTIFS(Hoja1!$T:$T,Hoja3!$D$1,Hoja1!$S:$S,Hoja3!$A3)</f>
        <v>2</v>
      </c>
      <c r="E3">
        <f>COUNTIFS(Hoja1!$T:$T,Hoja3!$E$1,Hoja1!$S:$S,Hoja3!$A3)</f>
        <v>2</v>
      </c>
      <c r="F3">
        <f>COUNTIFS(Hoja1!$T:$T,Hoja3!$F$1,Hoja1!$S:$S,Hoja3!$A3)</f>
        <v>0</v>
      </c>
      <c r="G3">
        <f>COUNTIFS(Hoja1!$T:$T,Hoja3!$G$1,Hoja1!$S:$S,Hoja3!$A3)</f>
        <v>0</v>
      </c>
      <c r="H3">
        <f>COUNTIFS(Hoja1!$T:$T,Hoja3!$H$1,Hoja1!$S:$S,Hoja3!$A3)</f>
        <v>0</v>
      </c>
      <c r="I3">
        <v>0</v>
      </c>
      <c r="J3">
        <f>COUNTIFS(Hoja1!$T:$T,Hoja3!$J$1,Hoja1!$S:$S,Hoja3!$A3)</f>
        <v>0</v>
      </c>
      <c r="K3">
        <f>COUNTIFS(Hoja1!$T:$T,Hoja3!$K$1,Hoja1!$S:$S,Hoja3!$A3)</f>
        <v>0</v>
      </c>
      <c r="L3">
        <f>COUNTIFS(Hoja1!$T:$T,Hoja3!$L$1,Hoja1!$S:$S,Hoja3!$A3)</f>
        <v>0</v>
      </c>
      <c r="M3">
        <f>COUNTIFS(Hoja1!$T:$T,Hoja3!$M$1,Hoja1!$S:$S,Hoja3!$A3)</f>
        <v>4</v>
      </c>
      <c r="N3">
        <f>COUNTIFS(Hoja1!$T:$T,Hoja3!$N$1,Hoja1!$S:$S,Hoja3!$A3)</f>
        <v>0</v>
      </c>
      <c r="O3">
        <f>COUNTIFS(Hoja1!$T:$T,Hoja3!$O$1,Hoja1!$S:$S,Hoja3!$A3)</f>
        <v>0</v>
      </c>
      <c r="P3">
        <f>COUNTIFS(Hoja1!$T:$T,Hoja3!$P$1,Hoja1!$S:$S,Hoja3!$A3)</f>
        <v>2</v>
      </c>
      <c r="Q3">
        <f>COUNTIFS(Hoja1!$T:$T,Hoja3!$Q$1,Hoja1!$S:$S,Hoja3!$A3)</f>
        <v>2</v>
      </c>
    </row>
    <row r="4" spans="1:17">
      <c r="A4" t="s">
        <v>2840</v>
      </c>
      <c r="B4">
        <f>COUNTIFS(Hoja1!$T:$T,Hoja3!$B$1,Hoja1!$S:$S,Hoja3!$A4)</f>
        <v>0</v>
      </c>
      <c r="C4">
        <f>COUNTIFS(Hoja1!$T:$T,Hoja3!$C$1,Hoja1!$S:$S,Hoja3!$A4)</f>
        <v>0</v>
      </c>
      <c r="D4">
        <f>COUNTIFS(Hoja1!$T:$T,Hoja3!$D$1,Hoja1!$S:$S,Hoja3!$A4)</f>
        <v>0</v>
      </c>
      <c r="E4">
        <f>COUNTIFS(Hoja1!$T:$T,Hoja3!$E$1,Hoja1!$S:$S,Hoja3!$A4)</f>
        <v>0</v>
      </c>
      <c r="F4">
        <f>COUNTIFS(Hoja1!$T:$T,Hoja3!$F$1,Hoja1!$S:$S,Hoja3!$A4)</f>
        <v>4</v>
      </c>
      <c r="G4">
        <f>COUNTIFS(Hoja1!$T:$T,Hoja3!$G$1,Hoja1!$S:$S,Hoja3!$A4)</f>
        <v>3</v>
      </c>
      <c r="H4">
        <f>COUNTIFS(Hoja1!$T:$T,Hoja3!$H$1,Hoja1!$S:$S,Hoja3!$A4)</f>
        <v>4</v>
      </c>
      <c r="I4">
        <f>COUNTIFS(Hoja1!$T:$T,Hoja3!$I$1,Hoja1!$S:$S,Hoja3!$A4)</f>
        <v>3</v>
      </c>
      <c r="J4">
        <f>COUNTIFS(Hoja1!$T:$T,Hoja3!$J$1,Hoja1!$S:$S,Hoja3!$A4)</f>
        <v>3</v>
      </c>
      <c r="K4">
        <f>COUNTIFS(Hoja1!$T:$T,Hoja3!$K$1,Hoja1!$S:$S,Hoja3!$A4)</f>
        <v>0</v>
      </c>
      <c r="L4">
        <f>COUNTIFS(Hoja1!$T:$T,Hoja3!$L$1,Hoja1!$S:$S,Hoja3!$A4)</f>
        <v>3</v>
      </c>
      <c r="M4">
        <f>COUNTIFS(Hoja1!$T:$T,Hoja3!$M$1,Hoja1!$S:$S,Hoja3!$A4)</f>
        <v>0</v>
      </c>
      <c r="N4">
        <f>COUNTIFS(Hoja1!$T:$T,Hoja3!$N$1,Hoja1!$S:$S,Hoja3!$A4)</f>
        <v>0</v>
      </c>
      <c r="O4">
        <f>COUNTIFS(Hoja1!$T:$T,Hoja3!$O$1,Hoja1!$S:$S,Hoja3!$A4)</f>
        <v>0</v>
      </c>
      <c r="P4">
        <f>COUNTIFS(Hoja1!$T:$T,Hoja3!$P$1,Hoja1!$S:$S,Hoja3!$A4)</f>
        <v>2</v>
      </c>
      <c r="Q4">
        <f>COUNTIFS(Hoja1!$T:$T,Hoja3!$Q$1,Hoja1!$S:$S,Hoja3!$A4)</f>
        <v>0</v>
      </c>
    </row>
    <row r="5" spans="1:17">
      <c r="A5" t="s">
        <v>2843</v>
      </c>
      <c r="B5">
        <f>COUNTIFS(Hoja1!$T:$T,Hoja3!$B$1,Hoja1!$S:$S,Hoja3!$A5)</f>
        <v>2</v>
      </c>
      <c r="C5">
        <f>COUNTIFS(Hoja1!$T:$T,Hoja3!$C$1,Hoja1!$S:$S,Hoja3!$A5)</f>
        <v>3</v>
      </c>
      <c r="D5">
        <f>COUNTIFS(Hoja1!$T:$T,Hoja3!$D$1,Hoja1!$S:$S,Hoja3!$A5)</f>
        <v>1</v>
      </c>
      <c r="E5">
        <f>COUNTIFS(Hoja1!$T:$T,Hoja3!$E$1,Hoja1!$S:$S,Hoja3!$A5)</f>
        <v>2</v>
      </c>
      <c r="F5">
        <f>COUNTIFS(Hoja1!$T:$T,Hoja3!$F$1,Hoja1!$S:$S,Hoja3!$A5)</f>
        <v>2</v>
      </c>
      <c r="G5">
        <f>COUNTIFS(Hoja1!$T:$T,Hoja3!$G$1,Hoja1!$S:$S,Hoja3!$A5)</f>
        <v>0</v>
      </c>
      <c r="H5">
        <f>COUNTIFS(Hoja1!$T:$T,Hoja3!$H$1,Hoja1!$S:$S,Hoja3!$A5)</f>
        <v>3</v>
      </c>
      <c r="I5">
        <f>COUNTIFS(Hoja1!$T:$T,Hoja3!$I$1,Hoja1!$S:$S,Hoja3!$A5)</f>
        <v>4</v>
      </c>
      <c r="J5">
        <f>COUNTIFS(Hoja1!$T:$T,Hoja3!$J$1,Hoja1!$S:$S,Hoja3!$A5)</f>
        <v>3</v>
      </c>
      <c r="K5">
        <f>COUNTIFS(Hoja1!$T:$T,Hoja3!$K$1,Hoja1!$S:$S,Hoja3!$A5)</f>
        <v>0</v>
      </c>
      <c r="L5">
        <f>COUNTIFS(Hoja1!$T:$T,Hoja3!$L$1,Hoja1!$S:$S,Hoja3!$A5)</f>
        <v>3</v>
      </c>
      <c r="M5">
        <f>COUNTIFS(Hoja1!$T:$T,Hoja3!$M$1,Hoja1!$S:$S,Hoja3!$A5)</f>
        <v>0</v>
      </c>
      <c r="N5">
        <f>COUNTIFS(Hoja1!$T:$T,Hoja3!$N$1,Hoja1!$S:$S,Hoja3!$A5)</f>
        <v>0</v>
      </c>
      <c r="O5">
        <f>COUNTIFS(Hoja1!$T:$T,Hoja3!$O$1,Hoja1!$S:$S,Hoja3!$A5)</f>
        <v>0</v>
      </c>
      <c r="P5">
        <f>COUNTIFS(Hoja1!$T:$T,Hoja3!$P$1,Hoja1!$S:$S,Hoja3!$A5)</f>
        <v>2</v>
      </c>
      <c r="Q5">
        <f>COUNTIFS(Hoja1!$T:$T,Hoja3!$Q$1,Hoja1!$S:$S,Hoja3!$A5)</f>
        <v>3</v>
      </c>
    </row>
    <row r="6" spans="1:17">
      <c r="A6" t="s">
        <v>2852</v>
      </c>
      <c r="B6">
        <f>COUNTIFS(Hoja1!$T:$T,Hoja3!$B$1,Hoja1!$S:$S,Hoja3!$A6)</f>
        <v>2</v>
      </c>
      <c r="C6">
        <f>COUNTIFS(Hoja1!$T:$T,Hoja3!$C$1,Hoja1!$S:$S,Hoja3!$A6)</f>
        <v>1</v>
      </c>
      <c r="D6">
        <f>COUNTIFS(Hoja1!$T:$T,Hoja3!$D$1,Hoja1!$S:$S,Hoja3!$A6)</f>
        <v>2</v>
      </c>
      <c r="E6">
        <f>COUNTIFS(Hoja1!$T:$T,Hoja3!$E$1,Hoja1!$S:$S,Hoja3!$A6)</f>
        <v>2</v>
      </c>
      <c r="F6">
        <f>COUNTIFS(Hoja1!$T:$T,Hoja3!$F$1,Hoja1!$S:$S,Hoja3!$A6)</f>
        <v>3</v>
      </c>
      <c r="G6">
        <f>COUNTIFS(Hoja1!$T:$T,Hoja3!$G$1,Hoja1!$S:$S,Hoja3!$A6)</f>
        <v>3</v>
      </c>
      <c r="H6">
        <f>COUNTIFS(Hoja1!$T:$T,Hoja3!$H$1,Hoja1!$S:$S,Hoja3!$A6)</f>
        <v>0</v>
      </c>
      <c r="I6">
        <f>COUNTIFS(Hoja1!$T:$T,Hoja3!$I$1,Hoja1!$S:$S,Hoja3!$A6)</f>
        <v>6</v>
      </c>
      <c r="J6">
        <f>COUNTIFS(Hoja1!$T:$T,Hoja3!$J$1,Hoja1!$S:$S,Hoja3!$A6)</f>
        <v>3</v>
      </c>
      <c r="K6">
        <f>COUNTIFS(Hoja1!$T:$T,Hoja3!$K$1,Hoja1!$S:$S,Hoja3!$A6)</f>
        <v>0</v>
      </c>
      <c r="L6">
        <f>COUNTIFS(Hoja1!$T:$T,Hoja3!$L$1,Hoja1!$S:$S,Hoja3!$A6)</f>
        <v>0</v>
      </c>
      <c r="M6">
        <f>COUNTIFS(Hoja1!$T:$T,Hoja3!$M$1,Hoja1!$S:$S,Hoja3!$A6)</f>
        <v>0</v>
      </c>
      <c r="N6">
        <f>COUNTIFS(Hoja1!$T:$T,Hoja3!$N$1,Hoja1!$S:$S,Hoja3!$A6)</f>
        <v>0</v>
      </c>
      <c r="O6">
        <f>COUNTIFS(Hoja1!$T:$T,Hoja3!$O$1,Hoja1!$S:$S,Hoja3!$A6)</f>
        <v>0</v>
      </c>
      <c r="P6">
        <f>COUNTIFS(Hoja1!$T:$T,Hoja3!$P$1,Hoja1!$S:$S,Hoja3!$A6)</f>
        <v>0</v>
      </c>
      <c r="Q6">
        <f>COUNTIFS(Hoja1!$T:$T,Hoja3!$Q$1,Hoja1!$S:$S,Hoja3!$A6)</f>
        <v>1</v>
      </c>
    </row>
    <row r="7" spans="1:17">
      <c r="A7" t="s">
        <v>2851</v>
      </c>
      <c r="B7">
        <f>COUNTIFS(Hoja1!$T:$T,Hoja3!$B$1,Hoja1!$S:$S,Hoja3!$A7)</f>
        <v>0</v>
      </c>
      <c r="C7">
        <f>COUNTIFS(Hoja1!$T:$T,Hoja3!$C$1,Hoja1!$S:$S,Hoja3!$A7)</f>
        <v>0</v>
      </c>
      <c r="D7">
        <f>COUNTIFS(Hoja1!$T:$T,Hoja3!$D$1,Hoja1!$S:$S,Hoja3!$A7)</f>
        <v>0</v>
      </c>
      <c r="E7">
        <f>COUNTIFS(Hoja1!$T:$T,Hoja3!$E$1,Hoja1!$S:$S,Hoja3!$A7)</f>
        <v>0</v>
      </c>
      <c r="F7">
        <f>COUNTIFS(Hoja1!$T:$T,Hoja3!$F$1,Hoja1!$S:$S,Hoja3!$A7)</f>
        <v>2</v>
      </c>
      <c r="G7">
        <f>COUNTIFS(Hoja1!$T:$T,Hoja3!$G$1,Hoja1!$S:$S,Hoja3!$A7)</f>
        <v>0</v>
      </c>
      <c r="H7">
        <f>COUNTIFS(Hoja1!$T:$T,Hoja3!$H$1,Hoja1!$S:$S,Hoja3!$A7)</f>
        <v>3</v>
      </c>
      <c r="I7">
        <f>COUNTIFS(Hoja1!$T:$T,Hoja3!$I$1,Hoja1!$S:$S,Hoja3!$A7)</f>
        <v>2</v>
      </c>
      <c r="J7">
        <f>COUNTIFS(Hoja1!$T:$T,Hoja3!$J$1,Hoja1!$S:$S,Hoja3!$A7)</f>
        <v>3</v>
      </c>
      <c r="K7">
        <f>COUNTIFS(Hoja1!$T:$T,Hoja3!$K$1,Hoja1!$S:$S,Hoja3!$A7)</f>
        <v>2</v>
      </c>
      <c r="L7">
        <f>COUNTIFS(Hoja1!$T:$T,Hoja3!$L$1,Hoja1!$S:$S,Hoja3!$A7)</f>
        <v>2</v>
      </c>
      <c r="M7">
        <f>COUNTIFS(Hoja1!$T:$T,Hoja3!$M$1,Hoja1!$S:$S,Hoja3!$A7)</f>
        <v>0</v>
      </c>
      <c r="N7">
        <f>COUNTIFS(Hoja1!$T:$T,Hoja3!$N$1,Hoja1!$S:$S,Hoja3!$A7)</f>
        <v>0</v>
      </c>
      <c r="O7">
        <f>COUNTIFS(Hoja1!$T:$T,Hoja3!$O$1,Hoja1!$S:$S,Hoja3!$A7)</f>
        <v>0</v>
      </c>
      <c r="P7">
        <f>COUNTIFS(Hoja1!$T:$T,Hoja3!$P$1,Hoja1!$S:$S,Hoja3!$A7)</f>
        <v>4</v>
      </c>
      <c r="Q7">
        <f>COUNTIFS(Hoja1!$T:$T,Hoja3!$Q$1,Hoja1!$S:$S,Hoja3!$A7)</f>
        <v>0</v>
      </c>
    </row>
    <row r="8" spans="1:17">
      <c r="A8" t="s">
        <v>2845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>COUNTIFS(Hoja1!$T:$T,Hoja3!$I$1,Hoja1!$S:$S,Hoja3!$A8)</f>
        <v>4</v>
      </c>
      <c r="J8">
        <f>COUNTIFS(Hoja1!$T:$T,Hoja3!$J$1,Hoja1!$S:$S,Hoja3!$A8)</f>
        <v>0</v>
      </c>
      <c r="K8">
        <f>COUNTIFS(Hoja1!$T:$T,Hoja3!$K$1,Hoja1!$S:$S,Hoja3!$A8)</f>
        <v>0</v>
      </c>
      <c r="L8">
        <f>COUNTIFS(Hoja1!$T:$T,Hoja3!$L$1,Hoja1!$S:$S,Hoja3!$A8)</f>
        <v>0</v>
      </c>
      <c r="M8">
        <f>COUNTIFS(Hoja1!$T:$T,Hoja3!$M$1,Hoja1!$S:$S,Hoja3!$A8)</f>
        <v>0</v>
      </c>
      <c r="N8">
        <f>COUNTIFS(Hoja1!$T:$T,Hoja3!$N$1,Hoja1!$S:$S,Hoja3!$A8)</f>
        <v>2</v>
      </c>
      <c r="O8">
        <f>COUNTIFS(Hoja1!$T:$T,Hoja3!$O$1,Hoja1!$S:$S,Hoja3!$A8)</f>
        <v>2</v>
      </c>
      <c r="P8">
        <f>COUNTIFS(Hoja1!$T:$T,Hoja3!$P$1,Hoja1!$S:$S,Hoja3!$A8)</f>
        <v>0</v>
      </c>
      <c r="Q8">
        <f>COUNTIFS(Hoja1!$T:$T,Hoja3!$Q$1,Hoja1!$S:$S,Hoja3!$A8)</f>
        <v>0</v>
      </c>
    </row>
    <row r="9" spans="1:17">
      <c r="A9" t="s">
        <v>2847</v>
      </c>
      <c r="B9">
        <f>COUNTIFS(Hoja1!$T:$T,Hoja3!$B$1,Hoja1!$S:$S,Hoja3!$A9)</f>
        <v>2</v>
      </c>
      <c r="C9">
        <f>COUNTIFS(Hoja1!$T:$T,Hoja3!$C$1,Hoja1!$S:$S,Hoja3!$A9)</f>
        <v>3</v>
      </c>
      <c r="D9">
        <f>COUNTIFS(Hoja1!$T:$T,Hoja3!$D$1,Hoja1!$S:$S,Hoja3!$A9)</f>
        <v>2</v>
      </c>
      <c r="E9">
        <f>COUNTIFS(Hoja1!$T:$T,Hoja3!$E$1,Hoja1!$S:$S,Hoja3!$A9)</f>
        <v>2</v>
      </c>
      <c r="F9">
        <f>COUNTIFS(Hoja1!$T:$T,Hoja3!$F$1,Hoja1!$S:$S,Hoja3!$A9)</f>
        <v>0</v>
      </c>
      <c r="G9">
        <f>COUNTIFS(Hoja1!$T:$T,Hoja3!$G$1,Hoja1!$S:$S,Hoja3!$A9)</f>
        <v>0</v>
      </c>
      <c r="H9">
        <f>COUNTIFS(Hoja1!$T:$T,Hoja3!$H$1,Hoja1!$S:$S,Hoja3!$A9)</f>
        <v>0</v>
      </c>
      <c r="I9">
        <f>COUNTIFS(Hoja1!$T:$T,Hoja3!$I$1,Hoja1!$S:$S,Hoja3!$A9)</f>
        <v>0</v>
      </c>
      <c r="J9">
        <f>COUNTIFS(Hoja1!$T:$T,Hoja3!$J$1,Hoja1!$S:$S,Hoja3!$A9)</f>
        <v>1</v>
      </c>
      <c r="K9">
        <f>COUNTIFS(Hoja1!$T:$T,Hoja3!$K$1,Hoja1!$S:$S,Hoja3!$A9)</f>
        <v>4</v>
      </c>
      <c r="L9">
        <f>COUNTIFS(Hoja1!$T:$T,Hoja3!$L$1,Hoja1!$S:$S,Hoja3!$A9)</f>
        <v>0</v>
      </c>
      <c r="M9">
        <f>COUNTIFS(Hoja1!$T:$T,Hoja3!$M$1,Hoja1!$S:$S,Hoja3!$A9)</f>
        <v>2</v>
      </c>
      <c r="N9">
        <f>COUNTIFS(Hoja1!$T:$T,Hoja3!$N$1,Hoja1!$S:$S,Hoja3!$A9)</f>
        <v>0</v>
      </c>
      <c r="O9">
        <f>COUNTIFS(Hoja1!$T:$T,Hoja3!$O$1,Hoja1!$S:$S,Hoja3!$A9)</f>
        <v>0</v>
      </c>
      <c r="P9">
        <f>COUNTIFS(Hoja1!$T:$T,Hoja3!$P$1,Hoja1!$S:$S,Hoja3!$A9)</f>
        <v>2</v>
      </c>
      <c r="Q9">
        <f>COUNTIFS(Hoja1!$T:$T,Hoja3!$Q$1,Hoja1!$S:$S,Hoja3!$A9)</f>
        <v>1</v>
      </c>
    </row>
    <row r="10" spans="1:17">
      <c r="A10" t="s">
        <v>2860</v>
      </c>
      <c r="B10">
        <f>COUNTIFS(Hoja1!$T:$T,Hoja3!$B$1,Hoja1!$S:$S,Hoja3!$A10)</f>
        <v>2</v>
      </c>
      <c r="C10">
        <f>COUNTIFS(Hoja1!$T:$T,Hoja3!$C$1,Hoja1!$S:$S,Hoja3!$A10)</f>
        <v>2</v>
      </c>
      <c r="D10">
        <f>COUNTIFS(Hoja1!$T:$T,Hoja3!$D$1,Hoja1!$S:$S,Hoja3!$A10)</f>
        <v>1</v>
      </c>
      <c r="E10">
        <f>COUNTIFS(Hoja1!$T:$T,Hoja3!$E$1,Hoja1!$S:$S,Hoja3!$A10)</f>
        <v>1</v>
      </c>
      <c r="F10">
        <f>COUNTIFS(Hoja1!$T:$T,Hoja3!$F$1,Hoja1!$S:$S,Hoja3!$A10)</f>
        <v>0</v>
      </c>
      <c r="G10">
        <f>COUNTIFS(Hoja1!$T:$T,Hoja3!$G$1,Hoja1!$S:$S,Hoja3!$A10)</f>
        <v>0</v>
      </c>
      <c r="H10">
        <f>COUNTIFS(Hoja1!$T:$T,Hoja3!$H$1,Hoja1!$S:$S,Hoja3!$A10)</f>
        <v>0</v>
      </c>
      <c r="I10">
        <f>COUNTIFS(Hoja1!$T:$T,Hoja3!$I$1,Hoja1!$S:$S,Hoja3!$A10)</f>
        <v>0</v>
      </c>
      <c r="J10">
        <f>COUNTIFS(Hoja1!$T:$T,Hoja3!$J$1,Hoja1!$S:$S,Hoja3!$A10)</f>
        <v>0</v>
      </c>
      <c r="K10">
        <f>COUNTIFS(Hoja1!$T:$T,Hoja3!$K$1,Hoja1!$S:$S,Hoja3!$A10)</f>
        <v>0</v>
      </c>
      <c r="L10">
        <f>COUNTIFS(Hoja1!$T:$T,Hoja3!$L$1,Hoja1!$S:$S,Hoja3!$A10)</f>
        <v>2</v>
      </c>
      <c r="M10">
        <f>COUNTIFS(Hoja1!$T:$T,Hoja3!$M$1,Hoja1!$S:$S,Hoja3!$A10)</f>
        <v>2</v>
      </c>
      <c r="N10">
        <f>COUNTIFS(Hoja1!$T:$T,Hoja3!$N$1,Hoja1!$S:$S,Hoja3!$A10)</f>
        <v>0</v>
      </c>
      <c r="O10">
        <f>COUNTIFS(Hoja1!$T:$T,Hoja3!$O$1,Hoja1!$S:$S,Hoja3!$A10)</f>
        <v>0</v>
      </c>
      <c r="P10">
        <f>COUNTIFS(Hoja1!$T:$T,Hoja3!$P$1,Hoja1!$S:$S,Hoja3!$A10)</f>
        <v>1</v>
      </c>
      <c r="Q10">
        <f>COUNTIFS(Hoja1!$T:$T,Hoja3!$Q$1,Hoja1!$S:$S,Hoja3!$A10)</f>
        <v>0</v>
      </c>
    </row>
    <row r="11" spans="1:17">
      <c r="A11" t="s">
        <v>2853</v>
      </c>
      <c r="B11">
        <f>COUNTIFS(Hoja1!$T:$T,Hoja3!$B$1,Hoja1!$S:$S,Hoja3!$A11)</f>
        <v>2</v>
      </c>
      <c r="C11">
        <f>COUNTIFS(Hoja1!$T:$T,Hoja3!$C$1,Hoja1!$S:$S,Hoja3!$A11)</f>
        <v>2</v>
      </c>
      <c r="D11">
        <f>COUNTIFS(Hoja1!$T:$T,Hoja3!$D$1,Hoja1!$S:$S,Hoja3!$A11)</f>
        <v>1</v>
      </c>
      <c r="E11">
        <f>COUNTIFS(Hoja1!$T:$T,Hoja3!$E$1,Hoja1!$S:$S,Hoja3!$A11)</f>
        <v>2</v>
      </c>
      <c r="F11">
        <f>COUNTIFS(Hoja1!$T:$T,Hoja3!$F$1,Hoja1!$S:$S,Hoja3!$A11)</f>
        <v>0</v>
      </c>
      <c r="G11">
        <f>COUNTIFS(Hoja1!$T:$T,Hoja3!$G$1,Hoja1!$S:$S,Hoja3!$A11)</f>
        <v>0</v>
      </c>
      <c r="H11">
        <f>COUNTIFS(Hoja1!$T:$T,Hoja3!$H$1,Hoja1!$S:$S,Hoja3!$A11)</f>
        <v>0</v>
      </c>
      <c r="I11">
        <f>COUNTIFS(Hoja1!$T:$T,Hoja3!$I$1,Hoja1!$S:$S,Hoja3!$A11)</f>
        <v>0</v>
      </c>
      <c r="J11">
        <f>COUNTIFS(Hoja1!$T:$T,Hoja3!$J$1,Hoja1!$S:$S,Hoja3!$A11)</f>
        <v>1</v>
      </c>
      <c r="K11">
        <f>COUNTIFS(Hoja1!$T:$T,Hoja3!$K$1,Hoja1!$S:$S,Hoja3!$A11)</f>
        <v>3</v>
      </c>
      <c r="L11">
        <f>COUNTIFS(Hoja1!$T:$T,Hoja3!$L$1,Hoja1!$S:$S,Hoja3!$A11)</f>
        <v>3</v>
      </c>
      <c r="M11">
        <f>COUNTIFS(Hoja1!$T:$T,Hoja3!$M$1,Hoja1!$S:$S,Hoja3!$A11)</f>
        <v>3</v>
      </c>
      <c r="N11">
        <f>COUNTIFS(Hoja1!$T:$T,Hoja3!$N$1,Hoja1!$S:$S,Hoja3!$A11)</f>
        <v>0</v>
      </c>
      <c r="O11">
        <f>COUNTIFS(Hoja1!$T:$T,Hoja3!$O$1,Hoja1!$S:$S,Hoja3!$A11)</f>
        <v>0</v>
      </c>
      <c r="P11">
        <f>COUNTIFS(Hoja1!$T:$T,Hoja3!$P$1,Hoja1!$S:$S,Hoja3!$A11)</f>
        <v>0</v>
      </c>
      <c r="Q11">
        <f>COUNTIFS(Hoja1!$T:$T,Hoja3!$Q$1,Hoja1!$S:$S,Hoja3!$A11)</f>
        <v>1</v>
      </c>
    </row>
    <row r="12" spans="1:17">
      <c r="A12" t="s">
        <v>2842</v>
      </c>
      <c r="B12">
        <f>COUNTIFS(Hoja1!$T:$T,Hoja3!$B$1,Hoja1!$S:$S,Hoja3!$A12)</f>
        <v>2</v>
      </c>
      <c r="C12">
        <f>COUNTIFS(Hoja1!$T:$T,Hoja3!$C$1,Hoja1!$S:$S,Hoja3!$A12)</f>
        <v>2</v>
      </c>
      <c r="D12">
        <f>COUNTIFS(Hoja1!$T:$T,Hoja3!$D$1,Hoja1!$S:$S,Hoja3!$A12)</f>
        <v>0</v>
      </c>
      <c r="E12">
        <f>COUNTIFS(Hoja1!$T:$T,Hoja3!$E$1,Hoja1!$S:$S,Hoja3!$A12)</f>
        <v>3</v>
      </c>
      <c r="F12">
        <f>COUNTIFS(Hoja1!$T:$T,Hoja3!$F$1,Hoja1!$S:$S,Hoja3!$A12)</f>
        <v>0</v>
      </c>
      <c r="G12">
        <f>COUNTIFS(Hoja1!$T:$T,Hoja3!$G$1,Hoja1!$S:$S,Hoja3!$A12)</f>
        <v>0</v>
      </c>
      <c r="H12">
        <f>COUNTIFS(Hoja1!$T:$T,Hoja3!$H$1,Hoja1!$S:$S,Hoja3!$A12)</f>
        <v>0</v>
      </c>
      <c r="I12">
        <f>COUNTIFS(Hoja1!$T:$T,Hoja3!$I$1,Hoja1!$S:$S,Hoja3!$A12)</f>
        <v>0</v>
      </c>
      <c r="J12">
        <f>COUNTIFS(Hoja1!$T:$T,Hoja3!$J$1,Hoja1!$S:$S,Hoja3!$A12)</f>
        <v>1</v>
      </c>
      <c r="K12">
        <f>COUNTIFS(Hoja1!$T:$T,Hoja3!$K$1,Hoja1!$S:$S,Hoja3!$A12)</f>
        <v>3</v>
      </c>
      <c r="L12">
        <f>COUNTIFS(Hoja1!$T:$T,Hoja3!$L$1,Hoja1!$S:$S,Hoja3!$A12)</f>
        <v>3</v>
      </c>
      <c r="M12">
        <f>COUNTIFS(Hoja1!$T:$T,Hoja3!$M$1,Hoja1!$S:$S,Hoja3!$A12)</f>
        <v>3</v>
      </c>
      <c r="N12">
        <f>COUNTIFS(Hoja1!$T:$T,Hoja3!$N$1,Hoja1!$S:$S,Hoja3!$A12)</f>
        <v>0</v>
      </c>
      <c r="O12">
        <f>COUNTIFS(Hoja1!$T:$T,Hoja3!$O$1,Hoja1!$S:$S,Hoja3!$A12)</f>
        <v>0</v>
      </c>
      <c r="P12">
        <f>COUNTIFS(Hoja1!$T:$T,Hoja3!$P$1,Hoja1!$S:$S,Hoja3!$A12)</f>
        <v>2</v>
      </c>
      <c r="Q12">
        <f>COUNTIFS(Hoja1!$T:$T,Hoja3!$Q$1,Hoja1!$S:$S,Hoja3!$A12)</f>
        <v>0</v>
      </c>
    </row>
    <row r="13" spans="1:17">
      <c r="A13" t="s">
        <v>1702</v>
      </c>
      <c r="N13">
        <f>COUNTIFS(Hoja1!$T:$T,Hoja3!$N$1,Hoja1!$S:$S,Hoja3!$A13)</f>
        <v>2</v>
      </c>
      <c r="O13">
        <f>COUNTIFS(Hoja1!$T:$T,Hoja3!$O$1,Hoja1!$S:$S,Hoja3!$A13)</f>
        <v>1</v>
      </c>
      <c r="P13">
        <f>COUNTIFS(Hoja1!$T:$T,Hoja3!$P$1,Hoja1!$S:$S,Hoja3!$A13)</f>
        <v>0</v>
      </c>
      <c r="Q13">
        <f>COUNTIFS(Hoja1!$T:$T,Hoja3!$Q$1,Hoja1!$S:$S,Hoja3!$A13)</f>
        <v>0</v>
      </c>
    </row>
    <row r="14" spans="1:17">
      <c r="A14" t="s">
        <v>2857</v>
      </c>
      <c r="B14">
        <f>COUNTIFS(Hoja1!$T:$T,Hoja3!$B$1,Hoja1!$S:$S,Hoja3!$A14)</f>
        <v>0</v>
      </c>
      <c r="C14">
        <f>COUNTIFS(Hoja1!$T:$T,Hoja3!$C$1,Hoja1!$S:$S,Hoja3!$A14)</f>
        <v>1</v>
      </c>
      <c r="D14">
        <f>COUNTIFS(Hoja1!$T:$T,Hoja3!$D$1,Hoja1!$S:$S,Hoja3!$A14)</f>
        <v>0</v>
      </c>
      <c r="E14">
        <f>COUNTIFS(Hoja1!$T:$T,Hoja3!$E$1,Hoja1!$S:$S,Hoja3!$A14)</f>
        <v>0</v>
      </c>
      <c r="F14">
        <f>COUNTIFS(Hoja1!$T:$T,Hoja3!$F$1,Hoja1!$S:$S,Hoja3!$A14)</f>
        <v>0</v>
      </c>
      <c r="G14">
        <f>COUNTIFS(Hoja1!$T:$T,Hoja3!$G$1,Hoja1!$S:$S,Hoja3!$A14)</f>
        <v>0</v>
      </c>
      <c r="H14">
        <f>COUNTIFS(Hoja1!$T:$T,Hoja3!$H$1,Hoja1!$S:$S,Hoja3!$A14)</f>
        <v>0</v>
      </c>
      <c r="I14">
        <f>COUNTIFS(Hoja1!$T:$T,Hoja3!$I$1,Hoja1!$S:$S,Hoja3!$A14)</f>
        <v>0</v>
      </c>
      <c r="J14">
        <f>COUNTIFS(Hoja1!$T:$T,Hoja3!$J$1,Hoja1!$S:$S,Hoja3!$A14)</f>
        <v>0</v>
      </c>
      <c r="K14">
        <f>COUNTIFS(Hoja1!$T:$T,Hoja3!$K$1,Hoja1!$S:$S,Hoja3!$A14)</f>
        <v>0</v>
      </c>
      <c r="L14">
        <f>COUNTIFS(Hoja1!$T:$T,Hoja3!$L$1,Hoja1!$S:$S,Hoja3!$A14)</f>
        <v>0</v>
      </c>
      <c r="M14">
        <f>COUNTIFS(Hoja1!$T:$T,Hoja3!$M$1,Hoja1!$S:$S,Hoja3!$A14)</f>
        <v>0</v>
      </c>
      <c r="N14">
        <f>COUNTIFS(Hoja1!$T:$T,Hoja3!$N$1,Hoja1!$S:$S,Hoja3!$A14)</f>
        <v>2</v>
      </c>
      <c r="O14">
        <f>COUNTIFS(Hoja1!$T:$T,Hoja3!$O$1,Hoja1!$S:$S,Hoja3!$A14)</f>
        <v>2</v>
      </c>
      <c r="P14">
        <f>COUNTIFS(Hoja1!$T:$T,Hoja3!$P$1,Hoja1!$S:$S,Hoja3!$A14)</f>
        <v>0</v>
      </c>
      <c r="Q14">
        <f>COUNTIFS(Hoja1!$T:$T,Hoja3!$Q$1,Hoja1!$S:$S,Hoja3!$A14)</f>
        <v>0</v>
      </c>
    </row>
    <row r="15" spans="1:17">
      <c r="A15" t="s">
        <v>2861</v>
      </c>
      <c r="N15">
        <f>COUNTIFS(Hoja1!$T:$T,Hoja3!$N$1,Hoja1!$S:$S,Hoja3!$A15)</f>
        <v>1</v>
      </c>
      <c r="O15">
        <f>COUNTIFS(Hoja1!$T:$T,Hoja3!$O$1,Hoja1!$S:$S,Hoja3!$A15)</f>
        <v>0</v>
      </c>
      <c r="P15">
        <f>COUNTIFS(Hoja1!$T:$T,Hoja3!$P$1,Hoja1!$S:$S,Hoja3!$A15)</f>
        <v>0</v>
      </c>
      <c r="Q15">
        <f>COUNTIFS(Hoja1!$T:$T,Hoja3!$Q$1,Hoja1!$S:$S,Hoja3!$A15)</f>
        <v>0</v>
      </c>
    </row>
    <row r="16" spans="1:17">
      <c r="A16" t="s">
        <v>2854</v>
      </c>
      <c r="L16">
        <v>1</v>
      </c>
      <c r="M16">
        <f>COUNTIFS(Hoja1!$T:$T,Hoja3!$M$1,Hoja1!$S:$S,Hoja3!$A16)</f>
        <v>0</v>
      </c>
      <c r="N16">
        <f>COUNTIFS(Hoja1!$T:$T,Hoja3!$N$1,Hoja1!$S:$S,Hoja3!$A16)</f>
        <v>0</v>
      </c>
      <c r="O16">
        <v>0</v>
      </c>
      <c r="P16">
        <v>2</v>
      </c>
      <c r="Q16">
        <f>COUNTIFS(Hoja1!$T:$T,Hoja3!$Q$1,Hoja1!$S:$S,Hoja3!$A16)</f>
        <v>2</v>
      </c>
    </row>
    <row r="17" spans="1:17">
      <c r="A17" t="s">
        <v>2850</v>
      </c>
      <c r="N17">
        <f>COUNTIFS(Hoja1!$T:$T,Hoja3!$N$1,Hoja1!$S:$S,Hoja3!$A17)</f>
        <v>0</v>
      </c>
      <c r="O17">
        <f>COUNTIFS(Hoja1!$T:$T,Hoja3!$O$1,Hoja1!$S:$S,Hoja3!$A17)</f>
        <v>3</v>
      </c>
      <c r="P17">
        <f>COUNTIFS(Hoja1!$T:$T,Hoja3!$P$1,Hoja1!$S:$S,Hoja3!$A17)</f>
        <v>2</v>
      </c>
      <c r="Q17">
        <f>COUNTIFS(Hoja1!$T:$T,Hoja3!$Q$1,Hoja1!$S:$S,Hoja3!$A17)</f>
        <v>3</v>
      </c>
    </row>
    <row r="18" spans="1:17">
      <c r="A18" t="s">
        <v>2855</v>
      </c>
      <c r="N18">
        <f>COUNTIFS(Hoja1!$T:$T,Hoja3!$N$1,Hoja1!$S:$S,Hoja3!$A18)</f>
        <v>0</v>
      </c>
      <c r="O18">
        <f>COUNTIFS(Hoja1!$T:$T,Hoja3!$O$1,Hoja1!$S:$S,Hoja3!$A18)</f>
        <v>1</v>
      </c>
      <c r="P18">
        <f>COUNTIFS(Hoja1!$T:$T,Hoja3!$P$1,Hoja1!$S:$S,Hoja3!$A18)</f>
        <v>2</v>
      </c>
      <c r="Q18">
        <f>COUNTIFS(Hoja1!$T:$T,Hoja3!$Q$1,Hoja1!$S:$S,Hoja3!$A18)</f>
        <v>1</v>
      </c>
    </row>
    <row r="19" spans="1:17">
      <c r="A19" t="s">
        <v>2848</v>
      </c>
    </row>
    <row r="20" spans="1:17">
      <c r="A20" t="s">
        <v>2859</v>
      </c>
    </row>
    <row r="21" spans="1:17">
      <c r="A21" t="s">
        <v>2858</v>
      </c>
    </row>
    <row r="22" spans="1:17">
      <c r="A22" t="s">
        <v>2856</v>
      </c>
    </row>
    <row r="23" spans="1:17">
      <c r="A23" s="43" t="s">
        <v>2867</v>
      </c>
    </row>
    <row r="24" spans="1:17">
      <c r="A24" t="s">
        <v>2849</v>
      </c>
      <c r="B24">
        <f>COUNTIFS(Hoja1!$T:$T,Hoja3!$B$1,Hoja1!$S:$S,Hoja3!$A24)</f>
        <v>7</v>
      </c>
      <c r="C24">
        <f>COUNTIFS(Hoja1!$T:$T,Hoja3!$C$1,Hoja1!$S:$S,Hoja3!$A24)</f>
        <v>8</v>
      </c>
      <c r="D24">
        <f>COUNTIFS(Hoja1!$T:$T,Hoja3!$D$1,Hoja1!$S:$S,Hoja3!$A24)</f>
        <v>6</v>
      </c>
      <c r="E24">
        <f>COUNTIFS(Hoja1!$T:$T,Hoja3!$E$1,Hoja1!$S:$S,Hoja3!$A24)</f>
        <v>0</v>
      </c>
      <c r="F24">
        <f>COUNTIFS(Hoja1!$T:$T,Hoja3!$F$1,Hoja1!$S:$S,Hoja3!$A24)</f>
        <v>0</v>
      </c>
      <c r="G24">
        <f>COUNTIFS(Hoja1!$T:$T,Hoja3!$G$1,Hoja1!$S:$S,Hoja3!$A24)</f>
        <v>0</v>
      </c>
      <c r="H24">
        <f>COUNTIFS(Hoja1!$T:$T,Hoja3!$H$1,Hoja1!$S:$S,Hoja3!$A24)</f>
        <v>0</v>
      </c>
      <c r="I24">
        <f>COUNTIFS(Hoja1!$T:$T,Hoja3!$I$1,Hoja1!$S:$S,Hoja3!$A24)</f>
        <v>0</v>
      </c>
      <c r="J24">
        <f>COUNTIFS(Hoja1!$T:$T,Hoja3!$J$1,Hoja1!$S:$S,Hoja3!$A24)</f>
        <v>0</v>
      </c>
      <c r="K24">
        <f>COUNTIFS(Hoja1!$T:$T,Hoja3!$K$1,Hoja1!$S:$S,Hoja3!$A24)</f>
        <v>0</v>
      </c>
      <c r="L24">
        <f>COUNTIFS(Hoja1!$T:$T,Hoja3!$L$1,Hoja1!$S:$S,Hoja3!$A24)</f>
        <v>0</v>
      </c>
      <c r="M24">
        <f>COUNTIFS(Hoja1!$T:$T,Hoja3!$M$1,Hoja1!$S:$S,Hoja3!$A24)</f>
        <v>0</v>
      </c>
      <c r="N24">
        <f>COUNTIFS(Hoja1!$T:$T,Hoja3!$N$1,Hoja1!$S:$S,Hoja3!$A24)</f>
        <v>0</v>
      </c>
      <c r="O24">
        <f>COUNTIFS(Hoja1!$T:$T,Hoja3!$O$1,Hoja1!$S:$S,Hoja3!$A24)</f>
        <v>0</v>
      </c>
      <c r="P24">
        <f>COUNTIFS(Hoja1!$T:$T,Hoja3!$P$1,Hoja1!$S:$S,Hoja3!$A24)</f>
        <v>0</v>
      </c>
      <c r="Q24">
        <f>COUNTIFS(Hoja1!$T:$T,Hoja3!$Q$1,Hoja1!$S:$S,Hoja3!$A24)</f>
        <v>3</v>
      </c>
    </row>
    <row r="25" spans="1:17">
      <c r="A25" t="s">
        <v>2841</v>
      </c>
      <c r="B25">
        <f>COUNTIFS(Hoja1!$T:$T,Hoja3!$B$1,Hoja1!$S:$S,Hoja3!$A25)</f>
        <v>0</v>
      </c>
      <c r="C25">
        <f>COUNTIFS(Hoja1!$T:$T,Hoja3!$C$1,Hoja1!$S:$S,Hoja3!$A25)</f>
        <v>0</v>
      </c>
      <c r="D25">
        <f>COUNTIFS(Hoja1!$T:$T,Hoja3!$D$1,Hoja1!$S:$S,Hoja3!$A25)</f>
        <v>1</v>
      </c>
      <c r="E25">
        <f>COUNTIFS(Hoja1!$T:$T,Hoja3!$E$1,Hoja1!$S:$S,Hoja3!$A25)</f>
        <v>3</v>
      </c>
      <c r="F25">
        <f>COUNTIFS(Hoja1!$T:$T,Hoja3!$F$1,Hoja1!$S:$S,Hoja3!$A25)</f>
        <v>3</v>
      </c>
      <c r="G25">
        <f>COUNTIFS(Hoja1!$T:$T,Hoja3!$G$1,Hoja1!$S:$S,Hoja3!$A25)</f>
        <v>2</v>
      </c>
      <c r="H25">
        <f>COUNTIFS(Hoja1!$T:$T,Hoja3!$H$1,Hoja1!$S:$S,Hoja3!$A25)</f>
        <v>0</v>
      </c>
      <c r="I25">
        <f>COUNTIFS(Hoja1!$T:$T,Hoja3!$I$1,Hoja1!$S:$S,Hoja3!$A25)</f>
        <v>5</v>
      </c>
      <c r="J25">
        <f>COUNTIFS(Hoja1!$T:$T,Hoja3!$J$1,Hoja1!$S:$S,Hoja3!$A25)</f>
        <v>3</v>
      </c>
      <c r="K25">
        <f>COUNTIFS(Hoja1!$T:$T,Hoja3!$K$1,Hoja1!$S:$S,Hoja3!$A25)</f>
        <v>1</v>
      </c>
      <c r="L25">
        <f>COUNTIFS(Hoja1!$T:$T,Hoja3!$L$1,Hoja1!$S:$S,Hoja3!$A25)</f>
        <v>2</v>
      </c>
      <c r="M25">
        <f>COUNTIFS(Hoja1!$T:$T,Hoja3!$M$1,Hoja1!$S:$S,Hoja3!$A25)</f>
        <v>2</v>
      </c>
      <c r="N25">
        <f>COUNTIFS(Hoja1!$T:$T,Hoja3!$N$1,Hoja1!$S:$S,Hoja3!$A25)</f>
        <v>0</v>
      </c>
      <c r="O25">
        <f>COUNTIFS(Hoja1!$T:$T,Hoja3!$O$1,Hoja1!$S:$S,Hoja3!$A25)</f>
        <v>2</v>
      </c>
      <c r="P25">
        <f>COUNTIFS(Hoja1!$T:$T,Hoja3!$P$1,Hoja1!$S:$S,Hoja3!$A25)</f>
        <v>4</v>
      </c>
      <c r="Q25">
        <f>COUNTIFS(Hoja1!$T:$T,Hoja3!$Q$1,Hoja1!$S:$S,Hoja3!$A25)</f>
        <v>0</v>
      </c>
    </row>
    <row r="26" spans="1:17">
      <c r="A26" t="s">
        <v>2856</v>
      </c>
      <c r="B26">
        <f>COUNTIFS(Hoja1!$T:$T,Hoja3!$B$1,Hoja1!$S:$S,Hoja3!$A26)</f>
        <v>0</v>
      </c>
      <c r="C26">
        <f>COUNTIFS(Hoja1!$T:$T,Hoja3!$C$1,Hoja1!$S:$S,Hoja3!$A26)</f>
        <v>0</v>
      </c>
      <c r="D26">
        <f>COUNTIFS(Hoja1!$T:$T,Hoja3!$D$1,Hoja1!$S:$S,Hoja3!$A26)</f>
        <v>1</v>
      </c>
      <c r="E26">
        <f>COUNTIFS(Hoja1!$T:$T,Hoja3!$E$1,Hoja1!$S:$S,Hoja3!$A26)</f>
        <v>4</v>
      </c>
      <c r="F26">
        <f>COUNTIFS(Hoja1!$T:$T,Hoja3!$F$1,Hoja1!$S:$S,Hoja3!$A26)</f>
        <v>2</v>
      </c>
      <c r="G26">
        <f>COUNTIFS(Hoja1!$T:$T,Hoja3!$G$1,Hoja1!$S:$S,Hoja3!$A26)</f>
        <v>2</v>
      </c>
      <c r="H26">
        <f>COUNTIFS(Hoja1!$T:$T,Hoja3!$H$1,Hoja1!$S:$S,Hoja3!$A26)</f>
        <v>0</v>
      </c>
      <c r="I26">
        <f>COUNTIFS(Hoja1!$T:$T,Hoja3!$I$1,Hoja1!$S:$S,Hoja3!$A26)</f>
        <v>6</v>
      </c>
      <c r="J26">
        <f>COUNTIFS(Hoja1!$T:$T,Hoja3!$J$1,Hoja1!$S:$S,Hoja3!$A26)</f>
        <v>3</v>
      </c>
      <c r="K26">
        <f>COUNTIFS(Hoja1!$T:$T,Hoja3!$K$1,Hoja1!$S:$S,Hoja3!$A26)</f>
        <v>1</v>
      </c>
      <c r="L26">
        <f>COUNTIFS(Hoja1!$T:$T,Hoja3!$L$1,Hoja1!$S:$S,Hoja3!$A26)</f>
        <v>1</v>
      </c>
      <c r="M26">
        <f>COUNTIFS(Hoja1!$T:$T,Hoja3!$M$1,Hoja1!$S:$S,Hoja3!$A26)</f>
        <v>2</v>
      </c>
      <c r="N26">
        <f>COUNTIFS(Hoja1!$T:$T,Hoja3!$N$1,Hoja1!$S:$S,Hoja3!$A26)</f>
        <v>5</v>
      </c>
      <c r="O26">
        <f>COUNTIFS(Hoja1!$T:$T,Hoja3!$O$1,Hoja1!$S:$S,Hoja3!$A26)</f>
        <v>0</v>
      </c>
      <c r="P26">
        <f>COUNTIFS(Hoja1!$T:$T,Hoja3!$P$1,Hoja1!$S:$S,Hoja3!$A26)</f>
        <v>3</v>
      </c>
      <c r="Q26">
        <f>COUNTIFS(Hoja1!$T:$T,Hoja3!$Q$1,Hoja1!$S:$S,Hoja3!$A26)</f>
        <v>3</v>
      </c>
    </row>
    <row r="27" spans="1:17">
      <c r="A27" t="s">
        <v>2858</v>
      </c>
      <c r="B27">
        <f>COUNTIFS(Hoja1!$T:$T,Hoja3!$B$1,Hoja1!$S:$S,Hoja3!$A27)</f>
        <v>0</v>
      </c>
      <c r="C27">
        <f>COUNTIFS(Hoja1!$T:$T,Hoja3!$C$1,Hoja1!$S:$S,Hoja3!$A27)</f>
        <v>0</v>
      </c>
      <c r="D27">
        <f>COUNTIFS(Hoja1!$T:$T,Hoja3!$D$1,Hoja1!$S:$S,Hoja3!$A27)</f>
        <v>0</v>
      </c>
      <c r="E27">
        <f>COUNTIFS(Hoja1!$T:$T,Hoja3!$E$1,Hoja1!$S:$S,Hoja3!$A27)</f>
        <v>1</v>
      </c>
      <c r="F27">
        <f>COUNTIFS(Hoja1!$T:$T,Hoja3!$F$1,Hoja1!$S:$S,Hoja3!$A27)</f>
        <v>0</v>
      </c>
      <c r="G27">
        <f>COUNTIFS(Hoja1!$T:$T,Hoja3!$G$1,Hoja1!$S:$S,Hoja3!$A27)</f>
        <v>0</v>
      </c>
      <c r="H27">
        <f>COUNTIFS(Hoja1!$T:$T,Hoja3!$H$1,Hoja1!$S:$S,Hoja3!$A27)</f>
        <v>1</v>
      </c>
      <c r="I27">
        <f>COUNTIFS(Hoja1!$T:$T,Hoja3!$I$1,Hoja1!$S:$S,Hoja3!$A27)</f>
        <v>0</v>
      </c>
      <c r="J27">
        <f>COUNTIFS(Hoja1!$T:$T,Hoja3!$J$1,Hoja1!$S:$S,Hoja3!$A27)</f>
        <v>0</v>
      </c>
      <c r="K27">
        <f>COUNTIFS(Hoja1!$T:$T,Hoja3!$K$1,Hoja1!$S:$S,Hoja3!$A27)</f>
        <v>0</v>
      </c>
      <c r="L27">
        <f>COUNTIFS(Hoja1!$T:$T,Hoja3!$L$1,Hoja1!$S:$S,Hoja3!$A27)</f>
        <v>0</v>
      </c>
      <c r="M27">
        <f>COUNTIFS(Hoja1!$T:$T,Hoja3!$M$1,Hoja1!$S:$S,Hoja3!$A27)</f>
        <v>0</v>
      </c>
      <c r="N27">
        <f>COUNTIFS(Hoja1!$T:$T,Hoja3!$N$1,Hoja1!$S:$S,Hoja3!$A27)</f>
        <v>0</v>
      </c>
      <c r="O27">
        <f>COUNTIFS(Hoja1!$T:$T,Hoja3!$O$1,Hoja1!$S:$S,Hoja3!$A27)</f>
        <v>0</v>
      </c>
      <c r="P27">
        <f>COUNTIFS(Hoja1!$T:$T,Hoja3!$P$1,Hoja1!$S:$S,Hoja3!$A27)</f>
        <v>0</v>
      </c>
      <c r="Q27">
        <f>COUNTIFS(Hoja1!$T:$T,Hoja3!$Q$1,Hoja1!$S:$S,Hoja3!$A27)</f>
        <v>0</v>
      </c>
    </row>
    <row r="28" spans="1:17">
      <c r="A28" s="43" t="s">
        <v>34</v>
      </c>
      <c r="K28" s="114"/>
    </row>
    <row r="29" spans="1:17">
      <c r="A29" t="s">
        <v>2854</v>
      </c>
      <c r="B29">
        <f>COUNTIFS(Hoja1!$T:$T,Hoja3!$B$1,Hoja1!$S:$S,Hoja3!$A29,Hoja1!$K:$K,Hoja3!$A28)</f>
        <v>2</v>
      </c>
      <c r="C29">
        <f>COUNTIFS(Hoja1!$T:$T,Hoja3!$C$1,Hoja1!$S:$S,Hoja3!$A29,Hoja1!$K:$K,Hoja3!$A28)</f>
        <v>2</v>
      </c>
      <c r="D29">
        <f>COUNTIFS(Hoja1!$T:$T,Hoja3!$D$1,Hoja1!$S:$S,Hoja3!$A29,Hoja1!$K:$K,Hoja3!$A28)</f>
        <v>3</v>
      </c>
      <c r="E29">
        <f>COUNTIFS(Hoja1!$T:$T,Hoja3!$E$1,Hoja1!$S:$S,Hoja3!$A29,Hoja1!$K:$K,Hoja3!$A28)</f>
        <v>2</v>
      </c>
      <c r="F29" s="115">
        <v>2</v>
      </c>
      <c r="G29" s="115">
        <v>1</v>
      </c>
      <c r="H29">
        <f>COUNTIFS(Hoja1!$T:$T,Hoja3!$H$1,Hoja1!$S:$S,Hoja3!$A29,Hoja1!$K:$K,Hoja3!$A28)</f>
        <v>0</v>
      </c>
      <c r="I29">
        <f>COUNTIFS(Hoja1!$T:$T,Hoja3!$I$1,Hoja1!$S:$S,Hoja3!$A29,Hoja1!$K:$K,Hoja3!$A28)</f>
        <v>3</v>
      </c>
      <c r="J29">
        <f>COUNTIFS(Hoja1!$T:$T,Hoja3!$J$1,Hoja1!$S:$S,Hoja3!$A29,Hoja1!$K:$K,Hoja3!$A28)</f>
        <v>3</v>
      </c>
      <c r="K29">
        <f>COUNTIFS(Hoja1!$T:$T,Hoja3!$K$1,Hoja1!$S:$S,Hoja3!$A29,Hoja1!$K:$K,Hoja3!$A28)</f>
        <v>1</v>
      </c>
      <c r="L29">
        <f>COUNTIFS(Hoja1!$T:$T,Hoja3!$L$1,Hoja1!$S:$S,Hoja3!$A29,Hoja1!$K:$K,Hoja3!$A28)</f>
        <v>1</v>
      </c>
      <c r="M29">
        <f>COUNTIFS(Hoja1!$T:$T,Hoja3!$M$1,Hoja1!$S:$S,Hoja3!$A29,Hoja1!$K:$K,Hoja3!$A28)</f>
        <v>0</v>
      </c>
      <c r="N29">
        <f>COUNTIFS(Hoja1!$T:$T,Hoja3!$N$1,Hoja1!$S:$S,Hoja3!$A29,Hoja1!$K:$K,Hoja3!$A28)</f>
        <v>0</v>
      </c>
      <c r="O29">
        <f>COUNTIFS(Hoja1!$T:$T,Hoja3!$O$1,Hoja1!$S:$S,Hoja3!$A29,Hoja1!$K:$K,Hoja3!$A28)</f>
        <v>1</v>
      </c>
      <c r="P29">
        <v>3</v>
      </c>
    </row>
    <row r="30" spans="1:17">
      <c r="A30" t="s">
        <v>2844</v>
      </c>
      <c r="I30">
        <f>COUNTIFS(Hoja1!$T:$T,Hoja3!$I$1,Hoja1!$S:$S,Hoja3!$A30)</f>
        <v>0</v>
      </c>
      <c r="J30">
        <f>COUNTIFS(Hoja1!$T:$T,Hoja3!$J$1,Hoja1!$S:$S,Hoja3!$A30)</f>
        <v>0</v>
      </c>
      <c r="K30">
        <f>COUNTIFS(Hoja1!$T:$T,Hoja3!$K$1,Hoja1!$S:$S,Hoja3!$A30)</f>
        <v>2</v>
      </c>
      <c r="L30">
        <f>COUNTIFS(Hoja1!$T:$T,Hoja3!$L$1,Hoja1!$S:$S,Hoja3!$A30)</f>
        <v>2</v>
      </c>
      <c r="M30">
        <f>COUNTIFS(Hoja1!$T:$T,Hoja3!$M$1,Hoja1!$S:$S,Hoja3!$A30)</f>
        <v>0</v>
      </c>
      <c r="N30">
        <f>COUNTIFS(Hoja1!$T:$T,Hoja3!$N$1,Hoja1!$S:$S,Hoja3!$A30)</f>
        <v>2</v>
      </c>
      <c r="O30">
        <f>COUNTIFS(Hoja1!$T:$T,Hoja3!$O$1,Hoja1!$S:$S,Hoja3!$A30)</f>
        <v>0</v>
      </c>
      <c r="P30">
        <f>COUNTIFS(Hoja1!$T:$T,Hoja3!$P$1,Hoja1!$S:$S,Hoja3!$A30)</f>
        <v>0</v>
      </c>
      <c r="Q30">
        <f>COUNTIFS(Hoja1!$T:$T,Hoja3!$Q$1,Hoja1!$S:$S,Hoja3!$A30)</f>
        <v>1</v>
      </c>
    </row>
    <row r="31" spans="1:17" hidden="1">
      <c r="A31" s="43" t="s">
        <v>32</v>
      </c>
      <c r="K31" s="95"/>
    </row>
    <row r="32" spans="1:17" hidden="1">
      <c r="A32" s="43" t="s">
        <v>2868</v>
      </c>
      <c r="K32" s="95"/>
    </row>
    <row r="33" spans="1:17">
      <c r="A33" s="44" t="s">
        <v>2869</v>
      </c>
      <c r="B33" s="45">
        <f>SUM(B3:B29)</f>
        <v>24</v>
      </c>
      <c r="C33" s="45">
        <f>SUM(C2:C32)</f>
        <v>26</v>
      </c>
      <c r="D33" s="45">
        <f>SUM(D2:D32)</f>
        <v>20</v>
      </c>
      <c r="E33" s="45">
        <f>SUM(E2:E32)</f>
        <v>24</v>
      </c>
      <c r="F33" s="45">
        <f>SUM(F2:F32)</f>
        <v>18</v>
      </c>
      <c r="G33" s="45">
        <f>SUM(G2:G32)</f>
        <v>11</v>
      </c>
      <c r="H33" s="45">
        <f>SUM(H2:H32)</f>
        <v>11</v>
      </c>
      <c r="I33" s="45">
        <f>SUM(I2:I32)</f>
        <v>33</v>
      </c>
      <c r="J33" s="45">
        <f>SUM(J2:J32)</f>
        <v>24</v>
      </c>
      <c r="K33" s="45">
        <f>SUM(K2:K32)</f>
        <v>17</v>
      </c>
      <c r="L33" s="45">
        <f>SUM(L2:L32)</f>
        <v>23</v>
      </c>
      <c r="M33" s="45">
        <f>SUM(M2:M32)</f>
        <v>18</v>
      </c>
      <c r="N33" s="45">
        <f>SUM(N2:N32)</f>
        <v>14</v>
      </c>
      <c r="O33" s="45">
        <f t="shared" ref="O33:Q33" si="0">SUM(O2:O32)</f>
        <v>12</v>
      </c>
      <c r="P33" s="45">
        <f t="shared" si="0"/>
        <v>31</v>
      </c>
      <c r="Q33" s="45">
        <f t="shared" si="0"/>
        <v>21</v>
      </c>
    </row>
    <row r="34" spans="1:17">
      <c r="A34" s="43" t="s">
        <v>2870</v>
      </c>
      <c r="B34" s="43"/>
      <c r="C34" s="43"/>
      <c r="D34" s="43"/>
      <c r="E34" s="43"/>
      <c r="F34" s="43"/>
      <c r="G34" s="43"/>
      <c r="I34" s="43"/>
    </row>
    <row r="36" spans="1:17">
      <c r="A36" t="s">
        <v>2871</v>
      </c>
    </row>
    <row r="37" spans="1:17" outlineLevel="1">
      <c r="A37" t="s">
        <v>51</v>
      </c>
      <c r="B37">
        <f>COUNTIFS(Hoja1!$K$2:$K$82,Hoja3!$A37)</f>
        <v>3</v>
      </c>
    </row>
    <row r="38" spans="1:17" outlineLevel="1">
      <c r="A38" t="s">
        <v>58</v>
      </c>
      <c r="B38">
        <f>COUNTIFS(Hoja1!$K$2:$K$82,Hoja3!$A38)</f>
        <v>10</v>
      </c>
    </row>
    <row r="39" spans="1:17" outlineLevel="1">
      <c r="A39" t="s">
        <v>30</v>
      </c>
      <c r="B39">
        <f>COUNTIFS(Hoja1!$K$2:$K$82,Hoja3!$A39)</f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1B26-BF79-45FB-A8B5-D8DC7FFE802D}">
  <dimension ref="A1:M22"/>
  <sheetViews>
    <sheetView workbookViewId="0">
      <selection activeCell="B12" sqref="B12"/>
    </sheetView>
  </sheetViews>
  <sheetFormatPr defaultRowHeight="15"/>
  <cols>
    <col min="1" max="1" width="13.42578125" customWidth="1"/>
    <col min="2" max="2" width="10.42578125" customWidth="1"/>
  </cols>
  <sheetData>
    <row r="1" spans="1:13">
      <c r="A1" s="42" t="s">
        <v>2834</v>
      </c>
      <c r="B1" s="42" t="s">
        <v>2872</v>
      </c>
      <c r="I1" s="70" t="s">
        <v>1080</v>
      </c>
      <c r="M1" s="70" t="s">
        <v>1080</v>
      </c>
    </row>
    <row r="2" spans="1:13">
      <c r="A2" s="70" t="s">
        <v>1080</v>
      </c>
      <c r="B2" s="41">
        <f>COUNTIF(I:I,A2)</f>
        <v>1</v>
      </c>
      <c r="I2" s="70" t="s">
        <v>1808</v>
      </c>
      <c r="M2" s="70" t="s">
        <v>1808</v>
      </c>
    </row>
    <row r="3" spans="1:13">
      <c r="A3" s="70" t="s">
        <v>1808</v>
      </c>
      <c r="B3" s="41">
        <f t="shared" ref="B3:B12" si="0">COUNTIF(I:I,A3)</f>
        <v>2</v>
      </c>
      <c r="I3" s="70" t="s">
        <v>348</v>
      </c>
      <c r="M3" s="70" t="s">
        <v>348</v>
      </c>
    </row>
    <row r="4" spans="1:13">
      <c r="A4" s="70" t="s">
        <v>348</v>
      </c>
      <c r="B4" s="41">
        <f t="shared" si="0"/>
        <v>1</v>
      </c>
      <c r="I4" s="70" t="s">
        <v>327</v>
      </c>
      <c r="M4" s="70" t="s">
        <v>327</v>
      </c>
    </row>
    <row r="5" spans="1:13">
      <c r="A5" s="70" t="s">
        <v>327</v>
      </c>
      <c r="B5" s="41">
        <f t="shared" si="0"/>
        <v>1</v>
      </c>
      <c r="I5" s="70" t="s">
        <v>1910</v>
      </c>
      <c r="M5" s="70" t="s">
        <v>1910</v>
      </c>
    </row>
    <row r="6" spans="1:13">
      <c r="A6" s="70" t="s">
        <v>1910</v>
      </c>
      <c r="B6" s="41">
        <f t="shared" si="0"/>
        <v>1</v>
      </c>
      <c r="I6" s="70" t="s">
        <v>39</v>
      </c>
      <c r="M6" s="70" t="s">
        <v>39</v>
      </c>
    </row>
    <row r="7" spans="1:13">
      <c r="A7" s="70" t="s">
        <v>39</v>
      </c>
      <c r="B7" s="41">
        <f t="shared" si="0"/>
        <v>1</v>
      </c>
      <c r="I7" s="70" t="s">
        <v>55</v>
      </c>
      <c r="M7" s="70" t="s">
        <v>55</v>
      </c>
    </row>
    <row r="8" spans="1:13">
      <c r="A8" s="70" t="s">
        <v>55</v>
      </c>
      <c r="B8" s="41">
        <f t="shared" si="0"/>
        <v>2</v>
      </c>
      <c r="I8" s="70" t="s">
        <v>55</v>
      </c>
      <c r="M8" s="70" t="s">
        <v>35</v>
      </c>
    </row>
    <row r="9" spans="1:13">
      <c r="A9" s="70" t="s">
        <v>35</v>
      </c>
      <c r="B9" s="41">
        <f t="shared" si="0"/>
        <v>2</v>
      </c>
      <c r="I9" s="70" t="s">
        <v>1808</v>
      </c>
      <c r="M9" s="70" t="s">
        <v>2873</v>
      </c>
    </row>
    <row r="10" spans="1:13">
      <c r="A10" s="70" t="s">
        <v>2873</v>
      </c>
      <c r="B10" s="41">
        <f t="shared" si="0"/>
        <v>1</v>
      </c>
      <c r="I10" s="70" t="s">
        <v>35</v>
      </c>
      <c r="M10" s="70" t="s">
        <v>95</v>
      </c>
    </row>
    <row r="11" spans="1:13">
      <c r="A11" s="70" t="s">
        <v>95</v>
      </c>
      <c r="B11" s="41">
        <f t="shared" si="0"/>
        <v>1</v>
      </c>
      <c r="I11" s="70" t="s">
        <v>2873</v>
      </c>
      <c r="M11" s="69" t="s">
        <v>1946</v>
      </c>
    </row>
    <row r="12" spans="1:13">
      <c r="A12" s="69" t="s">
        <v>1946</v>
      </c>
      <c r="B12" s="41">
        <f t="shared" si="0"/>
        <v>1</v>
      </c>
      <c r="I12" s="70" t="s">
        <v>95</v>
      </c>
    </row>
    <row r="13" spans="1:13">
      <c r="A13" t="s">
        <v>2869</v>
      </c>
      <c r="B13">
        <f>SUM(B2:B12)</f>
        <v>14</v>
      </c>
      <c r="I13" s="75" t="s">
        <v>35</v>
      </c>
    </row>
    <row r="14" spans="1:13">
      <c r="I14" s="198" t="s">
        <v>1946</v>
      </c>
    </row>
    <row r="15" spans="1:13">
      <c r="I15" s="138"/>
    </row>
    <row r="16" spans="1:13">
      <c r="I16" s="198"/>
    </row>
    <row r="17" spans="9:9">
      <c r="I17" s="39"/>
    </row>
    <row r="18" spans="9:9">
      <c r="I18" s="39"/>
    </row>
    <row r="19" spans="9:9">
      <c r="I19" s="39"/>
    </row>
    <row r="20" spans="9:9">
      <c r="I20" s="39"/>
    </row>
    <row r="21" spans="9:9">
      <c r="I21" s="39"/>
    </row>
    <row r="22" spans="9:9">
      <c r="I22" s="4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E83E-C08D-4AE9-BDD2-5F7F51AEDFB3}">
  <dimension ref="A1:A813"/>
  <sheetViews>
    <sheetView workbookViewId="0"/>
  </sheetViews>
  <sheetFormatPr defaultRowHeight="15"/>
  <sheetData>
    <row r="1" spans="1:1">
      <c r="A1" s="69" t="s">
        <v>30</v>
      </c>
    </row>
    <row r="2" spans="1:1">
      <c r="A2" s="69" t="s">
        <v>30</v>
      </c>
    </row>
    <row r="3" spans="1:1">
      <c r="A3" s="69" t="s">
        <v>30</v>
      </c>
    </row>
    <row r="4" spans="1:1">
      <c r="A4" s="69" t="s">
        <v>30</v>
      </c>
    </row>
    <row r="5" spans="1:1">
      <c r="A5" s="69" t="s">
        <v>30</v>
      </c>
    </row>
    <row r="6" spans="1:1">
      <c r="A6" s="69" t="s">
        <v>58</v>
      </c>
    </row>
    <row r="7" spans="1:1">
      <c r="A7" s="69" t="s">
        <v>58</v>
      </c>
    </row>
    <row r="8" spans="1:1">
      <c r="A8" s="69" t="s">
        <v>30</v>
      </c>
    </row>
    <row r="9" spans="1:1">
      <c r="A9" s="69" t="s">
        <v>51</v>
      </c>
    </row>
    <row r="10" spans="1:1">
      <c r="A10" s="69" t="s">
        <v>30</v>
      </c>
    </row>
    <row r="11" spans="1:1">
      <c r="A11" s="69" t="s">
        <v>30</v>
      </c>
    </row>
    <row r="12" spans="1:1">
      <c r="A12" s="69" t="s">
        <v>30</v>
      </c>
    </row>
    <row r="13" spans="1:1">
      <c r="A13" s="69" t="s">
        <v>30</v>
      </c>
    </row>
    <row r="14" spans="1:1">
      <c r="A14" s="69" t="s">
        <v>30</v>
      </c>
    </row>
    <row r="15" spans="1:1">
      <c r="A15" s="69" t="s">
        <v>30</v>
      </c>
    </row>
    <row r="16" spans="1:1">
      <c r="A16" s="69" t="s">
        <v>30</v>
      </c>
    </row>
    <row r="17" spans="1:1">
      <c r="A17" s="69" t="s">
        <v>58</v>
      </c>
    </row>
    <row r="18" spans="1:1">
      <c r="A18" s="69" t="s">
        <v>58</v>
      </c>
    </row>
    <row r="19" spans="1:1">
      <c r="A19" s="69" t="s">
        <v>30</v>
      </c>
    </row>
    <row r="20" spans="1:1">
      <c r="A20" s="69" t="s">
        <v>30</v>
      </c>
    </row>
    <row r="21" spans="1:1">
      <c r="A21" s="69" t="s">
        <v>30</v>
      </c>
    </row>
    <row r="22" spans="1:1">
      <c r="A22" s="69" t="s">
        <v>58</v>
      </c>
    </row>
    <row r="23" spans="1:1">
      <c r="A23" s="69" t="s">
        <v>30</v>
      </c>
    </row>
    <row r="24" spans="1:1">
      <c r="A24" s="69" t="s">
        <v>58</v>
      </c>
    </row>
    <row r="25" spans="1:1">
      <c r="A25" s="69" t="s">
        <v>30</v>
      </c>
    </row>
    <row r="26" spans="1:1">
      <c r="A26" s="69" t="s">
        <v>30</v>
      </c>
    </row>
    <row r="27" spans="1:1">
      <c r="A27" s="69" t="s">
        <v>58</v>
      </c>
    </row>
    <row r="28" spans="1:1">
      <c r="A28" s="69" t="s">
        <v>58</v>
      </c>
    </row>
    <row r="29" spans="1:1">
      <c r="A29" s="69" t="s">
        <v>51</v>
      </c>
    </row>
    <row r="30" spans="1:1">
      <c r="A30" s="69" t="s">
        <v>58</v>
      </c>
    </row>
    <row r="31" spans="1:1">
      <c r="A31" s="69" t="s">
        <v>58</v>
      </c>
    </row>
    <row r="32" spans="1:1">
      <c r="A32" s="69" t="s">
        <v>30</v>
      </c>
    </row>
    <row r="33" spans="1:1">
      <c r="A33" s="69" t="s">
        <v>32</v>
      </c>
    </row>
    <row r="34" spans="1:1">
      <c r="A34" s="69" t="s">
        <v>30</v>
      </c>
    </row>
    <row r="35" spans="1:1">
      <c r="A35" s="69" t="s">
        <v>30</v>
      </c>
    </row>
    <row r="36" spans="1:1">
      <c r="A36" s="69" t="s">
        <v>30</v>
      </c>
    </row>
    <row r="37" spans="1:1">
      <c r="A37" s="69" t="s">
        <v>32</v>
      </c>
    </row>
    <row r="38" spans="1:1">
      <c r="A38" s="69" t="s">
        <v>30</v>
      </c>
    </row>
    <row r="39" spans="1:1">
      <c r="A39" s="69" t="s">
        <v>30</v>
      </c>
    </row>
    <row r="40" spans="1:1">
      <c r="A40" s="69" t="s">
        <v>58</v>
      </c>
    </row>
    <row r="41" spans="1:1">
      <c r="A41" s="69" t="s">
        <v>32</v>
      </c>
    </row>
    <row r="42" spans="1:1">
      <c r="A42" s="69" t="s">
        <v>51</v>
      </c>
    </row>
    <row r="43" spans="1:1">
      <c r="A43" s="69" t="s">
        <v>30</v>
      </c>
    </row>
    <row r="44" spans="1:1">
      <c r="A44" s="69" t="s">
        <v>51</v>
      </c>
    </row>
    <row r="45" spans="1:1">
      <c r="A45" s="69" t="s">
        <v>30</v>
      </c>
    </row>
    <row r="46" spans="1:1">
      <c r="A46" s="69" t="s">
        <v>58</v>
      </c>
    </row>
    <row r="47" spans="1:1">
      <c r="A47" s="69" t="s">
        <v>32</v>
      </c>
    </row>
    <row r="48" spans="1:1">
      <c r="A48" s="69" t="s">
        <v>32</v>
      </c>
    </row>
    <row r="49" spans="1:1">
      <c r="A49" s="69" t="s">
        <v>58</v>
      </c>
    </row>
    <row r="50" spans="1:1">
      <c r="A50" s="69" t="s">
        <v>30</v>
      </c>
    </row>
    <row r="51" spans="1:1">
      <c r="A51" s="69" t="s">
        <v>30</v>
      </c>
    </row>
    <row r="52" spans="1:1">
      <c r="A52" s="69" t="s">
        <v>58</v>
      </c>
    </row>
    <row r="53" spans="1:1">
      <c r="A53" s="69" t="s">
        <v>30</v>
      </c>
    </row>
    <row r="54" spans="1:1">
      <c r="A54" s="69" t="s">
        <v>30</v>
      </c>
    </row>
    <row r="55" spans="1:1">
      <c r="A55" s="69" t="s">
        <v>30</v>
      </c>
    </row>
    <row r="56" spans="1:1">
      <c r="A56" s="69" t="s">
        <v>189</v>
      </c>
    </row>
    <row r="57" spans="1:1">
      <c r="A57" s="69" t="s">
        <v>58</v>
      </c>
    </row>
    <row r="58" spans="1:1">
      <c r="A58" s="69" t="s">
        <v>30</v>
      </c>
    </row>
    <row r="59" spans="1:1">
      <c r="A59" s="69" t="s">
        <v>58</v>
      </c>
    </row>
    <row r="60" spans="1:1">
      <c r="A60" s="69" t="s">
        <v>32</v>
      </c>
    </row>
    <row r="61" spans="1:1">
      <c r="A61" s="69" t="s">
        <v>30</v>
      </c>
    </row>
    <row r="62" spans="1:1">
      <c r="A62" s="69" t="s">
        <v>32</v>
      </c>
    </row>
    <row r="63" spans="1:1">
      <c r="A63" s="69" t="s">
        <v>51</v>
      </c>
    </row>
    <row r="64" spans="1:1">
      <c r="A64" s="69" t="s">
        <v>32</v>
      </c>
    </row>
    <row r="65" spans="1:1">
      <c r="A65" s="69" t="s">
        <v>30</v>
      </c>
    </row>
    <row r="66" spans="1:1">
      <c r="A66" s="69" t="s">
        <v>30</v>
      </c>
    </row>
    <row r="67" spans="1:1">
      <c r="A67" s="69" t="s">
        <v>30</v>
      </c>
    </row>
    <row r="68" spans="1:1">
      <c r="A68" s="69" t="s">
        <v>30</v>
      </c>
    </row>
    <row r="69" spans="1:1">
      <c r="A69" s="69" t="s">
        <v>30</v>
      </c>
    </row>
    <row r="70" spans="1:1">
      <c r="A70" s="69" t="s">
        <v>30</v>
      </c>
    </row>
    <row r="71" spans="1:1">
      <c r="A71" s="69" t="s">
        <v>30</v>
      </c>
    </row>
    <row r="72" spans="1:1">
      <c r="A72" s="69" t="s">
        <v>30</v>
      </c>
    </row>
    <row r="73" spans="1:1">
      <c r="A73" s="69" t="s">
        <v>30</v>
      </c>
    </row>
    <row r="74" spans="1:1">
      <c r="A74" s="69" t="s">
        <v>51</v>
      </c>
    </row>
    <row r="75" spans="1:1">
      <c r="A75" s="69" t="s">
        <v>58</v>
      </c>
    </row>
    <row r="76" spans="1:1">
      <c r="A76" s="69" t="s">
        <v>58</v>
      </c>
    </row>
    <row r="77" spans="1:1">
      <c r="A77" s="69" t="s">
        <v>32</v>
      </c>
    </row>
    <row r="78" spans="1:1">
      <c r="A78" s="69" t="s">
        <v>30</v>
      </c>
    </row>
    <row r="79" spans="1:1">
      <c r="A79" s="69" t="s">
        <v>30</v>
      </c>
    </row>
    <row r="80" spans="1:1">
      <c r="A80" s="69" t="s">
        <v>58</v>
      </c>
    </row>
    <row r="81" spans="1:1">
      <c r="A81" s="69" t="s">
        <v>30</v>
      </c>
    </row>
    <row r="82" spans="1:1">
      <c r="A82" s="69" t="s">
        <v>30</v>
      </c>
    </row>
    <row r="83" spans="1:1">
      <c r="A83" s="69" t="s">
        <v>30</v>
      </c>
    </row>
    <row r="84" spans="1:1">
      <c r="A84" s="69" t="s">
        <v>30</v>
      </c>
    </row>
    <row r="85" spans="1:1">
      <c r="A85" s="69" t="s">
        <v>32</v>
      </c>
    </row>
    <row r="86" spans="1:1">
      <c r="A86" s="69" t="s">
        <v>32</v>
      </c>
    </row>
    <row r="87" spans="1:1">
      <c r="A87" s="69" t="s">
        <v>30</v>
      </c>
    </row>
    <row r="88" spans="1:1">
      <c r="A88" s="69" t="s">
        <v>32</v>
      </c>
    </row>
    <row r="89" spans="1:1">
      <c r="A89" s="69" t="s">
        <v>32</v>
      </c>
    </row>
    <row r="90" spans="1:1">
      <c r="A90" s="69" t="s">
        <v>30</v>
      </c>
    </row>
    <row r="91" spans="1:1">
      <c r="A91" s="69" t="s">
        <v>32</v>
      </c>
    </row>
    <row r="92" spans="1:1">
      <c r="A92" s="69" t="s">
        <v>30</v>
      </c>
    </row>
    <row r="93" spans="1:1">
      <c r="A93" s="69" t="s">
        <v>32</v>
      </c>
    </row>
    <row r="94" spans="1:1">
      <c r="A94" s="69" t="s">
        <v>30</v>
      </c>
    </row>
    <row r="95" spans="1:1">
      <c r="A95" s="69" t="s">
        <v>30</v>
      </c>
    </row>
    <row r="96" spans="1:1">
      <c r="A96" s="69" t="s">
        <v>30</v>
      </c>
    </row>
    <row r="97" spans="1:1">
      <c r="A97" s="69" t="s">
        <v>58</v>
      </c>
    </row>
    <row r="98" spans="1:1">
      <c r="A98" s="69" t="s">
        <v>189</v>
      </c>
    </row>
    <row r="99" spans="1:1">
      <c r="A99" s="69" t="s">
        <v>30</v>
      </c>
    </row>
    <row r="100" spans="1:1">
      <c r="A100" s="69" t="s">
        <v>58</v>
      </c>
    </row>
    <row r="101" spans="1:1">
      <c r="A101" s="69" t="s">
        <v>32</v>
      </c>
    </row>
    <row r="102" spans="1:1">
      <c r="A102" s="69" t="s">
        <v>32</v>
      </c>
    </row>
    <row r="103" spans="1:1">
      <c r="A103" s="69" t="s">
        <v>30</v>
      </c>
    </row>
    <row r="104" spans="1:1">
      <c r="A104" s="69" t="s">
        <v>58</v>
      </c>
    </row>
    <row r="105" spans="1:1">
      <c r="A105" s="69" t="s">
        <v>30</v>
      </c>
    </row>
    <row r="106" spans="1:1">
      <c r="A106" s="69" t="s">
        <v>32</v>
      </c>
    </row>
    <row r="107" spans="1:1">
      <c r="A107" s="69" t="s">
        <v>30</v>
      </c>
    </row>
    <row r="108" spans="1:1">
      <c r="A108" s="69" t="s">
        <v>30</v>
      </c>
    </row>
    <row r="109" spans="1:1">
      <c r="A109" s="69" t="s">
        <v>58</v>
      </c>
    </row>
    <row r="110" spans="1:1">
      <c r="A110" s="69" t="s">
        <v>30</v>
      </c>
    </row>
    <row r="111" spans="1:1">
      <c r="A111" s="69" t="s">
        <v>30</v>
      </c>
    </row>
    <row r="112" spans="1:1">
      <c r="A112" s="69" t="s">
        <v>58</v>
      </c>
    </row>
    <row r="113" spans="1:1">
      <c r="A113" s="69" t="s">
        <v>30</v>
      </c>
    </row>
    <row r="114" spans="1:1">
      <c r="A114" s="69" t="s">
        <v>30</v>
      </c>
    </row>
    <row r="115" spans="1:1">
      <c r="A115" s="69" t="s">
        <v>30</v>
      </c>
    </row>
    <row r="116" spans="1:1">
      <c r="A116" s="69" t="s">
        <v>30</v>
      </c>
    </row>
    <row r="117" spans="1:1">
      <c r="A117" s="69" t="s">
        <v>30</v>
      </c>
    </row>
    <row r="118" spans="1:1">
      <c r="A118" s="69" t="s">
        <v>30</v>
      </c>
    </row>
    <row r="119" spans="1:1">
      <c r="A119" s="69" t="s">
        <v>32</v>
      </c>
    </row>
    <row r="120" spans="1:1">
      <c r="A120" s="69" t="s">
        <v>58</v>
      </c>
    </row>
    <row r="121" spans="1:1">
      <c r="A121" s="69" t="s">
        <v>58</v>
      </c>
    </row>
    <row r="122" spans="1:1">
      <c r="A122" s="69" t="s">
        <v>30</v>
      </c>
    </row>
    <row r="123" spans="1:1">
      <c r="A123" s="69" t="s">
        <v>58</v>
      </c>
    </row>
    <row r="124" spans="1:1">
      <c r="A124" s="69" t="s">
        <v>30</v>
      </c>
    </row>
    <row r="125" spans="1:1">
      <c r="A125" s="69" t="s">
        <v>30</v>
      </c>
    </row>
    <row r="126" spans="1:1">
      <c r="A126" s="69" t="s">
        <v>32</v>
      </c>
    </row>
    <row r="127" spans="1:1">
      <c r="A127" s="69" t="s">
        <v>58</v>
      </c>
    </row>
    <row r="128" spans="1:1">
      <c r="A128" s="69" t="s">
        <v>32</v>
      </c>
    </row>
    <row r="129" spans="1:1">
      <c r="A129" s="69" t="s">
        <v>30</v>
      </c>
    </row>
    <row r="130" spans="1:1">
      <c r="A130" s="69" t="s">
        <v>58</v>
      </c>
    </row>
    <row r="131" spans="1:1">
      <c r="A131" s="69" t="s">
        <v>30</v>
      </c>
    </row>
    <row r="132" spans="1:1">
      <c r="A132" s="69" t="s">
        <v>32</v>
      </c>
    </row>
    <row r="133" spans="1:1">
      <c r="A133" s="69" t="s">
        <v>30</v>
      </c>
    </row>
    <row r="134" spans="1:1">
      <c r="A134" s="69" t="s">
        <v>51</v>
      </c>
    </row>
    <row r="135" spans="1:1">
      <c r="A135" s="69" t="s">
        <v>32</v>
      </c>
    </row>
    <row r="136" spans="1:1">
      <c r="A136" s="69" t="s">
        <v>30</v>
      </c>
    </row>
    <row r="137" spans="1:1">
      <c r="A137" s="69" t="s">
        <v>58</v>
      </c>
    </row>
    <row r="138" spans="1:1">
      <c r="A138" s="69" t="s">
        <v>30</v>
      </c>
    </row>
    <row r="139" spans="1:1">
      <c r="A139" s="69" t="s">
        <v>30</v>
      </c>
    </row>
    <row r="140" spans="1:1">
      <c r="A140" s="69" t="s">
        <v>32</v>
      </c>
    </row>
    <row r="141" spans="1:1">
      <c r="A141" s="69" t="s">
        <v>30</v>
      </c>
    </row>
    <row r="142" spans="1:1">
      <c r="A142" s="69" t="s">
        <v>189</v>
      </c>
    </row>
    <row r="143" spans="1:1">
      <c r="A143" s="69" t="s">
        <v>32</v>
      </c>
    </row>
    <row r="144" spans="1:1">
      <c r="A144" s="69" t="s">
        <v>51</v>
      </c>
    </row>
    <row r="145" spans="1:1">
      <c r="A145" s="69" t="s">
        <v>30</v>
      </c>
    </row>
    <row r="146" spans="1:1">
      <c r="A146" s="69" t="s">
        <v>51</v>
      </c>
    </row>
    <row r="147" spans="1:1">
      <c r="A147" s="69" t="s">
        <v>30</v>
      </c>
    </row>
    <row r="148" spans="1:1">
      <c r="A148" s="69" t="s">
        <v>32</v>
      </c>
    </row>
    <row r="149" spans="1:1">
      <c r="A149" s="69" t="s">
        <v>32</v>
      </c>
    </row>
    <row r="150" spans="1:1">
      <c r="A150" s="69" t="s">
        <v>51</v>
      </c>
    </row>
    <row r="151" spans="1:1">
      <c r="A151" s="69" t="s">
        <v>32</v>
      </c>
    </row>
    <row r="152" spans="1:1">
      <c r="A152" s="69" t="s">
        <v>51</v>
      </c>
    </row>
    <row r="153" spans="1:1">
      <c r="A153" s="69" t="s">
        <v>30</v>
      </c>
    </row>
    <row r="154" spans="1:1">
      <c r="A154" s="69" t="s">
        <v>30</v>
      </c>
    </row>
    <row r="155" spans="1:1">
      <c r="A155" s="69" t="s">
        <v>30</v>
      </c>
    </row>
    <row r="156" spans="1:1">
      <c r="A156" s="69" t="s">
        <v>30</v>
      </c>
    </row>
    <row r="157" spans="1:1">
      <c r="A157" s="69" t="s">
        <v>30</v>
      </c>
    </row>
    <row r="158" spans="1:1">
      <c r="A158" s="69" t="s">
        <v>30</v>
      </c>
    </row>
    <row r="159" spans="1:1">
      <c r="A159" s="69" t="s">
        <v>30</v>
      </c>
    </row>
    <row r="160" spans="1:1">
      <c r="A160" s="69" t="s">
        <v>30</v>
      </c>
    </row>
    <row r="161" spans="1:1">
      <c r="A161" s="69" t="s">
        <v>51</v>
      </c>
    </row>
    <row r="162" spans="1:1">
      <c r="A162" s="69" t="s">
        <v>30</v>
      </c>
    </row>
    <row r="163" spans="1:1">
      <c r="A163" s="69" t="s">
        <v>51</v>
      </c>
    </row>
    <row r="164" spans="1:1">
      <c r="A164" s="69" t="s">
        <v>30</v>
      </c>
    </row>
    <row r="165" spans="1:1">
      <c r="A165" s="69" t="s">
        <v>30</v>
      </c>
    </row>
    <row r="166" spans="1:1">
      <c r="A166" s="69" t="s">
        <v>58</v>
      </c>
    </row>
    <row r="167" spans="1:1">
      <c r="A167" s="69" t="s">
        <v>189</v>
      </c>
    </row>
    <row r="168" spans="1:1">
      <c r="A168" s="69" t="s">
        <v>32</v>
      </c>
    </row>
    <row r="169" spans="1:1">
      <c r="A169" s="69" t="s">
        <v>30</v>
      </c>
    </row>
    <row r="170" spans="1:1">
      <c r="A170" s="69" t="s">
        <v>32</v>
      </c>
    </row>
    <row r="171" spans="1:1">
      <c r="A171" s="69" t="s">
        <v>32</v>
      </c>
    </row>
    <row r="172" spans="1:1">
      <c r="A172" s="69" t="s">
        <v>30</v>
      </c>
    </row>
    <row r="173" spans="1:1">
      <c r="A173" s="69" t="s">
        <v>58</v>
      </c>
    </row>
    <row r="174" spans="1:1">
      <c r="A174" s="69" t="s">
        <v>32</v>
      </c>
    </row>
    <row r="175" spans="1:1">
      <c r="A175" s="69" t="s">
        <v>32</v>
      </c>
    </row>
    <row r="176" spans="1:1">
      <c r="A176" s="69" t="s">
        <v>58</v>
      </c>
    </row>
    <row r="177" spans="1:1">
      <c r="A177" s="69" t="s">
        <v>32</v>
      </c>
    </row>
    <row r="178" spans="1:1">
      <c r="A178" s="69" t="s">
        <v>51</v>
      </c>
    </row>
    <row r="179" spans="1:1">
      <c r="A179" s="69" t="s">
        <v>30</v>
      </c>
    </row>
    <row r="180" spans="1:1">
      <c r="A180" s="69" t="s">
        <v>30</v>
      </c>
    </row>
    <row r="181" spans="1:1">
      <c r="A181" s="69" t="s">
        <v>58</v>
      </c>
    </row>
    <row r="182" spans="1:1">
      <c r="A182" s="69" t="s">
        <v>32</v>
      </c>
    </row>
    <row r="183" spans="1:1">
      <c r="A183" s="69" t="s">
        <v>58</v>
      </c>
    </row>
    <row r="184" spans="1:1">
      <c r="A184" s="69" t="s">
        <v>30</v>
      </c>
    </row>
    <row r="185" spans="1:1">
      <c r="A185" s="69" t="s">
        <v>58</v>
      </c>
    </row>
    <row r="186" spans="1:1">
      <c r="A186" s="69" t="s">
        <v>189</v>
      </c>
    </row>
    <row r="187" spans="1:1">
      <c r="A187" s="69" t="s">
        <v>32</v>
      </c>
    </row>
    <row r="188" spans="1:1">
      <c r="A188" s="69" t="s">
        <v>32</v>
      </c>
    </row>
    <row r="189" spans="1:1">
      <c r="A189" s="69" t="s">
        <v>30</v>
      </c>
    </row>
    <row r="190" spans="1:1">
      <c r="A190" s="69" t="s">
        <v>30</v>
      </c>
    </row>
    <row r="191" spans="1:1">
      <c r="A191" s="69" t="s">
        <v>32</v>
      </c>
    </row>
    <row r="192" spans="1:1">
      <c r="A192" s="69" t="s">
        <v>32</v>
      </c>
    </row>
    <row r="193" spans="1:1">
      <c r="A193" s="69" t="s">
        <v>58</v>
      </c>
    </row>
    <row r="194" spans="1:1">
      <c r="A194" s="69" t="s">
        <v>189</v>
      </c>
    </row>
    <row r="195" spans="1:1">
      <c r="A195" s="69" t="s">
        <v>189</v>
      </c>
    </row>
    <row r="196" spans="1:1">
      <c r="A196" s="69" t="s">
        <v>30</v>
      </c>
    </row>
    <row r="197" spans="1:1">
      <c r="A197" s="69" t="s">
        <v>32</v>
      </c>
    </row>
    <row r="198" spans="1:1">
      <c r="A198" s="69" t="s">
        <v>30</v>
      </c>
    </row>
    <row r="199" spans="1:1">
      <c r="A199" s="69" t="s">
        <v>30</v>
      </c>
    </row>
    <row r="200" spans="1:1">
      <c r="A200" s="69" t="s">
        <v>58</v>
      </c>
    </row>
    <row r="201" spans="1:1">
      <c r="A201" s="69" t="s">
        <v>58</v>
      </c>
    </row>
    <row r="202" spans="1:1">
      <c r="A202" s="69" t="s">
        <v>30</v>
      </c>
    </row>
    <row r="203" spans="1:1">
      <c r="A203" s="69" t="s">
        <v>32</v>
      </c>
    </row>
    <row r="204" spans="1:1">
      <c r="A204" s="69" t="s">
        <v>30</v>
      </c>
    </row>
    <row r="205" spans="1:1">
      <c r="A205" s="69" t="s">
        <v>58</v>
      </c>
    </row>
    <row r="206" spans="1:1">
      <c r="A206" s="69" t="s">
        <v>32</v>
      </c>
    </row>
    <row r="207" spans="1:1">
      <c r="A207" s="69" t="s">
        <v>58</v>
      </c>
    </row>
    <row r="208" spans="1:1">
      <c r="A208" s="69" t="s">
        <v>58</v>
      </c>
    </row>
    <row r="209" spans="1:1">
      <c r="A209" s="69" t="s">
        <v>30</v>
      </c>
    </row>
    <row r="210" spans="1:1">
      <c r="A210" s="69" t="s">
        <v>32</v>
      </c>
    </row>
    <row r="211" spans="1:1">
      <c r="A211" s="69" t="s">
        <v>32</v>
      </c>
    </row>
    <row r="212" spans="1:1">
      <c r="A212" s="69" t="s">
        <v>189</v>
      </c>
    </row>
    <row r="213" spans="1:1">
      <c r="A213" s="69" t="s">
        <v>58</v>
      </c>
    </row>
    <row r="214" spans="1:1">
      <c r="A214" s="69" t="s">
        <v>30</v>
      </c>
    </row>
    <row r="215" spans="1:1">
      <c r="A215" s="69" t="s">
        <v>32</v>
      </c>
    </row>
    <row r="216" spans="1:1">
      <c r="A216" s="69" t="s">
        <v>30</v>
      </c>
    </row>
    <row r="217" spans="1:1">
      <c r="A217" s="69" t="s">
        <v>58</v>
      </c>
    </row>
    <row r="218" spans="1:1">
      <c r="A218" s="69" t="s">
        <v>58</v>
      </c>
    </row>
    <row r="219" spans="1:1">
      <c r="A219" s="69" t="s">
        <v>30</v>
      </c>
    </row>
    <row r="220" spans="1:1">
      <c r="A220" s="69" t="s">
        <v>58</v>
      </c>
    </row>
    <row r="221" spans="1:1">
      <c r="A221" s="69" t="s">
        <v>30</v>
      </c>
    </row>
    <row r="222" spans="1:1">
      <c r="A222" s="69" t="s">
        <v>32</v>
      </c>
    </row>
    <row r="223" spans="1:1">
      <c r="A223" s="69" t="s">
        <v>32</v>
      </c>
    </row>
    <row r="224" spans="1:1">
      <c r="A224" s="69" t="s">
        <v>30</v>
      </c>
    </row>
    <row r="225" spans="1:1">
      <c r="A225" s="69" t="s">
        <v>32</v>
      </c>
    </row>
    <row r="226" spans="1:1">
      <c r="A226" s="69" t="s">
        <v>30</v>
      </c>
    </row>
    <row r="227" spans="1:1">
      <c r="A227" s="69" t="s">
        <v>32</v>
      </c>
    </row>
    <row r="228" spans="1:1">
      <c r="A228" s="69" t="s">
        <v>30</v>
      </c>
    </row>
    <row r="229" spans="1:1">
      <c r="A229" s="69" t="s">
        <v>30</v>
      </c>
    </row>
    <row r="230" spans="1:1">
      <c r="A230" s="69" t="s">
        <v>30</v>
      </c>
    </row>
    <row r="231" spans="1:1">
      <c r="A231" s="69" t="s">
        <v>58</v>
      </c>
    </row>
    <row r="232" spans="1:1">
      <c r="A232" s="69" t="s">
        <v>30</v>
      </c>
    </row>
    <row r="233" spans="1:1">
      <c r="A233" s="69" t="s">
        <v>58</v>
      </c>
    </row>
    <row r="234" spans="1:1">
      <c r="A234" s="69" t="s">
        <v>32</v>
      </c>
    </row>
    <row r="235" spans="1:1">
      <c r="A235" s="69" t="s">
        <v>51</v>
      </c>
    </row>
    <row r="236" spans="1:1">
      <c r="A236" s="69" t="s">
        <v>32</v>
      </c>
    </row>
    <row r="237" spans="1:1">
      <c r="A237" s="69" t="s">
        <v>32</v>
      </c>
    </row>
    <row r="238" spans="1:1">
      <c r="A238" s="69" t="s">
        <v>30</v>
      </c>
    </row>
    <row r="239" spans="1:1">
      <c r="A239" s="69" t="s">
        <v>30</v>
      </c>
    </row>
    <row r="240" spans="1:1">
      <c r="A240" s="69" t="s">
        <v>30</v>
      </c>
    </row>
    <row r="241" spans="1:1">
      <c r="A241" s="69" t="s">
        <v>51</v>
      </c>
    </row>
    <row r="242" spans="1:1">
      <c r="A242" s="69" t="s">
        <v>32</v>
      </c>
    </row>
    <row r="243" spans="1:1">
      <c r="A243" s="69" t="s">
        <v>58</v>
      </c>
    </row>
    <row r="244" spans="1:1">
      <c r="A244" s="69" t="s">
        <v>30</v>
      </c>
    </row>
    <row r="245" spans="1:1">
      <c r="A245" s="69" t="s">
        <v>32</v>
      </c>
    </row>
    <row r="246" spans="1:1">
      <c r="A246" s="69" t="s">
        <v>30</v>
      </c>
    </row>
    <row r="247" spans="1:1">
      <c r="A247" s="69" t="s">
        <v>30</v>
      </c>
    </row>
    <row r="248" spans="1:1">
      <c r="A248" s="69" t="s">
        <v>30</v>
      </c>
    </row>
    <row r="249" spans="1:1">
      <c r="A249" s="69" t="s">
        <v>32</v>
      </c>
    </row>
    <row r="250" spans="1:1">
      <c r="A250" s="69" t="s">
        <v>30</v>
      </c>
    </row>
    <row r="251" spans="1:1">
      <c r="A251" s="69" t="s">
        <v>30</v>
      </c>
    </row>
    <row r="252" spans="1:1">
      <c r="A252" s="69" t="s">
        <v>30</v>
      </c>
    </row>
    <row r="253" spans="1:1">
      <c r="A253" s="69" t="s">
        <v>32</v>
      </c>
    </row>
    <row r="254" spans="1:1">
      <c r="A254" s="69" t="s">
        <v>32</v>
      </c>
    </row>
    <row r="255" spans="1:1">
      <c r="A255" s="69" t="s">
        <v>30</v>
      </c>
    </row>
    <row r="256" spans="1:1">
      <c r="A256" s="69" t="s">
        <v>30</v>
      </c>
    </row>
    <row r="257" spans="1:1">
      <c r="A257" s="69" t="s">
        <v>30</v>
      </c>
    </row>
    <row r="258" spans="1:1">
      <c r="A258" s="69" t="s">
        <v>30</v>
      </c>
    </row>
    <row r="259" spans="1:1">
      <c r="A259" s="69" t="s">
        <v>32</v>
      </c>
    </row>
    <row r="260" spans="1:1">
      <c r="A260" s="69" t="s">
        <v>51</v>
      </c>
    </row>
    <row r="261" spans="1:1">
      <c r="A261" s="69" t="s">
        <v>30</v>
      </c>
    </row>
    <row r="262" spans="1:1">
      <c r="A262" s="69" t="s">
        <v>58</v>
      </c>
    </row>
    <row r="263" spans="1:1">
      <c r="A263" s="69" t="s">
        <v>32</v>
      </c>
    </row>
    <row r="264" spans="1:1">
      <c r="A264" s="69" t="s">
        <v>30</v>
      </c>
    </row>
    <row r="265" spans="1:1">
      <c r="A265" s="69" t="s">
        <v>30</v>
      </c>
    </row>
    <row r="266" spans="1:1">
      <c r="A266" s="69" t="s">
        <v>58</v>
      </c>
    </row>
    <row r="267" spans="1:1">
      <c r="A267" s="69" t="s">
        <v>32</v>
      </c>
    </row>
    <row r="268" spans="1:1">
      <c r="A268" s="69" t="s">
        <v>58</v>
      </c>
    </row>
    <row r="269" spans="1:1">
      <c r="A269" s="69" t="s">
        <v>32</v>
      </c>
    </row>
    <row r="270" spans="1:1">
      <c r="A270" s="69" t="s">
        <v>30</v>
      </c>
    </row>
    <row r="271" spans="1:1">
      <c r="A271" s="69" t="s">
        <v>58</v>
      </c>
    </row>
    <row r="272" spans="1:1">
      <c r="A272" s="69" t="s">
        <v>32</v>
      </c>
    </row>
    <row r="273" spans="1:1">
      <c r="A273" s="69" t="s">
        <v>32</v>
      </c>
    </row>
    <row r="274" spans="1:1">
      <c r="A274" s="69" t="s">
        <v>30</v>
      </c>
    </row>
    <row r="275" spans="1:1">
      <c r="A275" s="69" t="s">
        <v>32</v>
      </c>
    </row>
    <row r="276" spans="1:1">
      <c r="A276" s="69" t="s">
        <v>32</v>
      </c>
    </row>
    <row r="277" spans="1:1">
      <c r="A277" s="69" t="s">
        <v>30</v>
      </c>
    </row>
    <row r="278" spans="1:1">
      <c r="A278" s="69" t="s">
        <v>51</v>
      </c>
    </row>
    <row r="279" spans="1:1">
      <c r="A279" s="69" t="s">
        <v>32</v>
      </c>
    </row>
    <row r="280" spans="1:1">
      <c r="A280" s="69" t="s">
        <v>58</v>
      </c>
    </row>
    <row r="281" spans="1:1">
      <c r="A281" s="69" t="s">
        <v>58</v>
      </c>
    </row>
    <row r="282" spans="1:1">
      <c r="A282" s="69" t="s">
        <v>58</v>
      </c>
    </row>
    <row r="283" spans="1:1">
      <c r="A283" s="69" t="s">
        <v>58</v>
      </c>
    </row>
    <row r="284" spans="1:1">
      <c r="A284" s="69" t="s">
        <v>30</v>
      </c>
    </row>
    <row r="285" spans="1:1">
      <c r="A285" s="69" t="s">
        <v>30</v>
      </c>
    </row>
    <row r="286" spans="1:1">
      <c r="A286" s="69" t="s">
        <v>30</v>
      </c>
    </row>
    <row r="287" spans="1:1">
      <c r="A287" s="69" t="s">
        <v>30</v>
      </c>
    </row>
    <row r="288" spans="1:1">
      <c r="A288" s="69" t="s">
        <v>30</v>
      </c>
    </row>
    <row r="289" spans="1:1">
      <c r="A289" s="69" t="s">
        <v>30</v>
      </c>
    </row>
    <row r="290" spans="1:1">
      <c r="A290" s="69" t="s">
        <v>30</v>
      </c>
    </row>
    <row r="291" spans="1:1">
      <c r="A291" s="69" t="s">
        <v>30</v>
      </c>
    </row>
    <row r="292" spans="1:1">
      <c r="A292" s="69" t="s">
        <v>30</v>
      </c>
    </row>
    <row r="293" spans="1:1">
      <c r="A293" s="69" t="s">
        <v>58</v>
      </c>
    </row>
    <row r="294" spans="1:1">
      <c r="A294" s="69" t="s">
        <v>58</v>
      </c>
    </row>
    <row r="295" spans="1:1">
      <c r="A295" s="69" t="s">
        <v>30</v>
      </c>
    </row>
    <row r="296" spans="1:1">
      <c r="A296" s="69" t="s">
        <v>58</v>
      </c>
    </row>
    <row r="297" spans="1:1">
      <c r="A297" s="69" t="s">
        <v>30</v>
      </c>
    </row>
    <row r="298" spans="1:1">
      <c r="A298" s="69" t="s">
        <v>30</v>
      </c>
    </row>
    <row r="299" spans="1:1">
      <c r="A299" s="69" t="s">
        <v>32</v>
      </c>
    </row>
    <row r="300" spans="1:1">
      <c r="A300" s="69" t="s">
        <v>32</v>
      </c>
    </row>
    <row r="301" spans="1:1">
      <c r="A301" s="69" t="s">
        <v>58</v>
      </c>
    </row>
    <row r="302" spans="1:1">
      <c r="A302" s="69" t="s">
        <v>58</v>
      </c>
    </row>
    <row r="303" spans="1:1">
      <c r="A303" s="69" t="s">
        <v>30</v>
      </c>
    </row>
    <row r="304" spans="1:1">
      <c r="A304" s="69" t="s">
        <v>58</v>
      </c>
    </row>
    <row r="305" spans="1:1">
      <c r="A305" s="69" t="s">
        <v>32</v>
      </c>
    </row>
    <row r="306" spans="1:1">
      <c r="A306" s="69" t="s">
        <v>51</v>
      </c>
    </row>
    <row r="307" spans="1:1">
      <c r="A307" s="69" t="s">
        <v>58</v>
      </c>
    </row>
    <row r="308" spans="1:1">
      <c r="A308" s="69" t="s">
        <v>32</v>
      </c>
    </row>
    <row r="309" spans="1:1">
      <c r="A309" s="69" t="s">
        <v>30</v>
      </c>
    </row>
    <row r="310" spans="1:1">
      <c r="A310" s="69" t="s">
        <v>32</v>
      </c>
    </row>
    <row r="311" spans="1:1">
      <c r="A311" s="69" t="s">
        <v>32</v>
      </c>
    </row>
    <row r="312" spans="1:1">
      <c r="A312" s="69" t="s">
        <v>30</v>
      </c>
    </row>
    <row r="313" spans="1:1">
      <c r="A313" s="69" t="s">
        <v>51</v>
      </c>
    </row>
    <row r="314" spans="1:1">
      <c r="A314" s="69" t="s">
        <v>30</v>
      </c>
    </row>
    <row r="315" spans="1:1">
      <c r="A315" s="69" t="s">
        <v>30</v>
      </c>
    </row>
    <row r="316" spans="1:1">
      <c r="A316" s="69" t="s">
        <v>30</v>
      </c>
    </row>
    <row r="317" spans="1:1">
      <c r="A317" s="69" t="s">
        <v>58</v>
      </c>
    </row>
    <row r="318" spans="1:1">
      <c r="A318" s="69" t="s">
        <v>30</v>
      </c>
    </row>
    <row r="319" spans="1:1">
      <c r="A319" s="69" t="s">
        <v>58</v>
      </c>
    </row>
    <row r="320" spans="1:1">
      <c r="A320" s="69" t="s">
        <v>30</v>
      </c>
    </row>
    <row r="321" spans="1:1">
      <c r="A321" s="69" t="s">
        <v>30</v>
      </c>
    </row>
    <row r="322" spans="1:1">
      <c r="A322" s="69" t="s">
        <v>30</v>
      </c>
    </row>
    <row r="323" spans="1:1">
      <c r="A323" s="69" t="s">
        <v>32</v>
      </c>
    </row>
    <row r="324" spans="1:1">
      <c r="A324" s="69" t="s">
        <v>30</v>
      </c>
    </row>
    <row r="325" spans="1:1">
      <c r="A325" s="69" t="s">
        <v>30</v>
      </c>
    </row>
    <row r="326" spans="1:1">
      <c r="A326" s="69" t="s">
        <v>32</v>
      </c>
    </row>
    <row r="327" spans="1:1">
      <c r="A327" s="69" t="s">
        <v>58</v>
      </c>
    </row>
    <row r="328" spans="1:1">
      <c r="A328" s="69" t="s">
        <v>32</v>
      </c>
    </row>
    <row r="329" spans="1:1">
      <c r="A329" s="69" t="s">
        <v>32</v>
      </c>
    </row>
    <row r="330" spans="1:1">
      <c r="A330" s="69" t="s">
        <v>30</v>
      </c>
    </row>
    <row r="331" spans="1:1">
      <c r="A331" s="69" t="s">
        <v>32</v>
      </c>
    </row>
    <row r="332" spans="1:1">
      <c r="A332" s="69" t="s">
        <v>32</v>
      </c>
    </row>
    <row r="333" spans="1:1">
      <c r="A333" s="69" t="s">
        <v>51</v>
      </c>
    </row>
    <row r="334" spans="1:1">
      <c r="A334" s="69" t="s">
        <v>30</v>
      </c>
    </row>
    <row r="335" spans="1:1">
      <c r="A335" s="69" t="s">
        <v>58</v>
      </c>
    </row>
    <row r="336" spans="1:1">
      <c r="A336" s="69" t="s">
        <v>32</v>
      </c>
    </row>
    <row r="337" spans="1:1">
      <c r="A337" s="69" t="s">
        <v>32</v>
      </c>
    </row>
    <row r="338" spans="1:1">
      <c r="A338" s="69" t="s">
        <v>30</v>
      </c>
    </row>
    <row r="339" spans="1:1">
      <c r="A339" s="69" t="s">
        <v>32</v>
      </c>
    </row>
    <row r="340" spans="1:1">
      <c r="A340" s="69" t="s">
        <v>51</v>
      </c>
    </row>
    <row r="341" spans="1:1">
      <c r="A341" s="69" t="s">
        <v>30</v>
      </c>
    </row>
    <row r="342" spans="1:1">
      <c r="A342" s="69" t="s">
        <v>58</v>
      </c>
    </row>
    <row r="343" spans="1:1">
      <c r="A343" s="69" t="s">
        <v>189</v>
      </c>
    </row>
    <row r="344" spans="1:1">
      <c r="A344" s="69" t="s">
        <v>30</v>
      </c>
    </row>
    <row r="345" spans="1:1">
      <c r="A345" s="69" t="s">
        <v>30</v>
      </c>
    </row>
    <row r="346" spans="1:1">
      <c r="A346" s="69" t="s">
        <v>51</v>
      </c>
    </row>
    <row r="347" spans="1:1">
      <c r="A347" s="69" t="s">
        <v>30</v>
      </c>
    </row>
    <row r="348" spans="1:1">
      <c r="A348" s="69" t="s">
        <v>30</v>
      </c>
    </row>
    <row r="349" spans="1:1">
      <c r="A349" s="69" t="s">
        <v>30</v>
      </c>
    </row>
    <row r="350" spans="1:1">
      <c r="A350" s="69" t="s">
        <v>30</v>
      </c>
    </row>
    <row r="351" spans="1:1">
      <c r="A351" s="69" t="s">
        <v>32</v>
      </c>
    </row>
    <row r="352" spans="1:1">
      <c r="A352" s="69" t="s">
        <v>58</v>
      </c>
    </row>
    <row r="353" spans="1:1">
      <c r="A353" s="69" t="s">
        <v>30</v>
      </c>
    </row>
    <row r="354" spans="1:1">
      <c r="A354" s="69" t="s">
        <v>32</v>
      </c>
    </row>
    <row r="355" spans="1:1">
      <c r="A355" s="69" t="s">
        <v>30</v>
      </c>
    </row>
    <row r="356" spans="1:1">
      <c r="A356" s="69" t="s">
        <v>32</v>
      </c>
    </row>
    <row r="357" spans="1:1">
      <c r="A357" s="69" t="s">
        <v>30</v>
      </c>
    </row>
    <row r="358" spans="1:1">
      <c r="A358" s="69" t="s">
        <v>30</v>
      </c>
    </row>
    <row r="359" spans="1:1">
      <c r="A359" s="69" t="s">
        <v>32</v>
      </c>
    </row>
    <row r="360" spans="1:1">
      <c r="A360" s="69" t="s">
        <v>32</v>
      </c>
    </row>
    <row r="361" spans="1:1">
      <c r="A361" s="69" t="s">
        <v>58</v>
      </c>
    </row>
    <row r="362" spans="1:1">
      <c r="A362" s="69" t="s">
        <v>30</v>
      </c>
    </row>
    <row r="363" spans="1:1">
      <c r="A363" s="69" t="s">
        <v>30</v>
      </c>
    </row>
    <row r="364" spans="1:1">
      <c r="A364" s="69" t="s">
        <v>30</v>
      </c>
    </row>
    <row r="365" spans="1:1">
      <c r="A365" s="69" t="s">
        <v>32</v>
      </c>
    </row>
    <row r="366" spans="1:1">
      <c r="A366" s="69" t="s">
        <v>58</v>
      </c>
    </row>
    <row r="367" spans="1:1">
      <c r="A367" s="69" t="s">
        <v>32</v>
      </c>
    </row>
    <row r="368" spans="1:1">
      <c r="A368" s="69" t="s">
        <v>30</v>
      </c>
    </row>
    <row r="369" spans="1:1">
      <c r="A369" s="69" t="s">
        <v>30</v>
      </c>
    </row>
    <row r="370" spans="1:1">
      <c r="A370" s="69" t="s">
        <v>30</v>
      </c>
    </row>
    <row r="371" spans="1:1">
      <c r="A371" s="69" t="s">
        <v>58</v>
      </c>
    </row>
    <row r="372" spans="1:1">
      <c r="A372" s="69" t="s">
        <v>51</v>
      </c>
    </row>
    <row r="373" spans="1:1">
      <c r="A373" s="69" t="s">
        <v>32</v>
      </c>
    </row>
    <row r="374" spans="1:1">
      <c r="A374" s="69" t="s">
        <v>58</v>
      </c>
    </row>
    <row r="375" spans="1:1">
      <c r="A375" s="69" t="s">
        <v>30</v>
      </c>
    </row>
    <row r="376" spans="1:1">
      <c r="A376" s="69" t="s">
        <v>30</v>
      </c>
    </row>
    <row r="377" spans="1:1">
      <c r="A377" s="69" t="s">
        <v>30</v>
      </c>
    </row>
    <row r="378" spans="1:1">
      <c r="A378" s="69" t="s">
        <v>32</v>
      </c>
    </row>
    <row r="379" spans="1:1">
      <c r="A379" s="69" t="s">
        <v>58</v>
      </c>
    </row>
    <row r="380" spans="1:1">
      <c r="A380" s="69" t="s">
        <v>32</v>
      </c>
    </row>
    <row r="381" spans="1:1">
      <c r="A381" s="69" t="s">
        <v>30</v>
      </c>
    </row>
    <row r="382" spans="1:1">
      <c r="A382" s="69" t="s">
        <v>58</v>
      </c>
    </row>
    <row r="383" spans="1:1">
      <c r="A383" s="69" t="s">
        <v>30</v>
      </c>
    </row>
    <row r="384" spans="1:1">
      <c r="A384" s="69" t="s">
        <v>30</v>
      </c>
    </row>
    <row r="385" spans="1:1">
      <c r="A385" s="69" t="s">
        <v>30</v>
      </c>
    </row>
    <row r="386" spans="1:1">
      <c r="A386" s="69" t="s">
        <v>58</v>
      </c>
    </row>
    <row r="387" spans="1:1">
      <c r="A387" s="69" t="s">
        <v>32</v>
      </c>
    </row>
    <row r="388" spans="1:1">
      <c r="A388" s="69" t="s">
        <v>32</v>
      </c>
    </row>
    <row r="389" spans="1:1">
      <c r="A389" s="69" t="s">
        <v>32</v>
      </c>
    </row>
    <row r="390" spans="1:1">
      <c r="A390" s="69" t="s">
        <v>32</v>
      </c>
    </row>
    <row r="391" spans="1:1">
      <c r="A391" s="69" t="s">
        <v>58</v>
      </c>
    </row>
    <row r="392" spans="1:1">
      <c r="A392" s="69" t="s">
        <v>32</v>
      </c>
    </row>
    <row r="393" spans="1:1">
      <c r="A393" s="69" t="s">
        <v>30</v>
      </c>
    </row>
    <row r="394" spans="1:1">
      <c r="A394" s="69" t="s">
        <v>32</v>
      </c>
    </row>
    <row r="395" spans="1:1">
      <c r="A395" s="69" t="s">
        <v>30</v>
      </c>
    </row>
    <row r="396" spans="1:1">
      <c r="A396" s="69" t="s">
        <v>189</v>
      </c>
    </row>
    <row r="397" spans="1:1">
      <c r="A397" s="69" t="s">
        <v>30</v>
      </c>
    </row>
    <row r="398" spans="1:1">
      <c r="A398" s="69" t="s">
        <v>189</v>
      </c>
    </row>
    <row r="399" spans="1:1">
      <c r="A399" s="69" t="s">
        <v>58</v>
      </c>
    </row>
    <row r="400" spans="1:1">
      <c r="A400" s="69" t="s">
        <v>51</v>
      </c>
    </row>
    <row r="401" spans="1:1">
      <c r="A401" s="69" t="s">
        <v>51</v>
      </c>
    </row>
    <row r="402" spans="1:1">
      <c r="A402" s="69" t="s">
        <v>58</v>
      </c>
    </row>
    <row r="403" spans="1:1">
      <c r="A403" s="69" t="s">
        <v>32</v>
      </c>
    </row>
    <row r="404" spans="1:1">
      <c r="A404" s="69" t="s">
        <v>58</v>
      </c>
    </row>
    <row r="405" spans="1:1">
      <c r="A405" s="69" t="s">
        <v>51</v>
      </c>
    </row>
    <row r="406" spans="1:1">
      <c r="A406" s="69" t="s">
        <v>30</v>
      </c>
    </row>
    <row r="407" spans="1:1">
      <c r="A407" s="69" t="s">
        <v>32</v>
      </c>
    </row>
    <row r="408" spans="1:1">
      <c r="A408" s="69" t="s">
        <v>30</v>
      </c>
    </row>
    <row r="409" spans="1:1">
      <c r="A409" s="69" t="s">
        <v>30</v>
      </c>
    </row>
    <row r="410" spans="1:1">
      <c r="A410" s="69" t="s">
        <v>30</v>
      </c>
    </row>
    <row r="411" spans="1:1">
      <c r="A411" s="69" t="s">
        <v>51</v>
      </c>
    </row>
    <row r="412" spans="1:1">
      <c r="A412" s="69" t="s">
        <v>30</v>
      </c>
    </row>
    <row r="413" spans="1:1">
      <c r="A413" s="69" t="s">
        <v>58</v>
      </c>
    </row>
    <row r="414" spans="1:1">
      <c r="A414" s="69" t="s">
        <v>58</v>
      </c>
    </row>
    <row r="415" spans="1:1">
      <c r="A415" s="69" t="s">
        <v>30</v>
      </c>
    </row>
    <row r="416" spans="1:1">
      <c r="A416" s="69" t="s">
        <v>51</v>
      </c>
    </row>
    <row r="417" spans="1:1">
      <c r="A417" s="69" t="s">
        <v>30</v>
      </c>
    </row>
    <row r="418" spans="1:1">
      <c r="A418" s="69" t="s">
        <v>30</v>
      </c>
    </row>
    <row r="419" spans="1:1">
      <c r="A419" s="69" t="s">
        <v>30</v>
      </c>
    </row>
    <row r="420" spans="1:1">
      <c r="A420" s="69" t="s">
        <v>30</v>
      </c>
    </row>
    <row r="421" spans="1:1">
      <c r="A421" s="69" t="s">
        <v>58</v>
      </c>
    </row>
    <row r="422" spans="1:1">
      <c r="A422" s="69" t="s">
        <v>58</v>
      </c>
    </row>
    <row r="423" spans="1:1">
      <c r="A423" s="69" t="s">
        <v>32</v>
      </c>
    </row>
    <row r="424" spans="1:1">
      <c r="A424" s="69" t="s">
        <v>30</v>
      </c>
    </row>
    <row r="425" spans="1:1">
      <c r="A425" s="69" t="s">
        <v>189</v>
      </c>
    </row>
    <row r="426" spans="1:1">
      <c r="A426" s="69" t="s">
        <v>30</v>
      </c>
    </row>
    <row r="427" spans="1:1">
      <c r="A427" s="69" t="s">
        <v>32</v>
      </c>
    </row>
    <row r="428" spans="1:1">
      <c r="A428" s="69" t="s">
        <v>32</v>
      </c>
    </row>
    <row r="429" spans="1:1">
      <c r="A429" s="69" t="s">
        <v>30</v>
      </c>
    </row>
    <row r="430" spans="1:1">
      <c r="A430" s="69" t="s">
        <v>30</v>
      </c>
    </row>
    <row r="431" spans="1:1">
      <c r="A431" s="69" t="s">
        <v>32</v>
      </c>
    </row>
    <row r="432" spans="1:1">
      <c r="A432" s="69" t="s">
        <v>32</v>
      </c>
    </row>
    <row r="433" spans="1:1">
      <c r="A433" s="69" t="s">
        <v>32</v>
      </c>
    </row>
    <row r="434" spans="1:1">
      <c r="A434" s="69" t="s">
        <v>30</v>
      </c>
    </row>
    <row r="435" spans="1:1">
      <c r="A435" s="69" t="s">
        <v>32</v>
      </c>
    </row>
    <row r="436" spans="1:1">
      <c r="A436" s="69" t="s">
        <v>30</v>
      </c>
    </row>
    <row r="437" spans="1:1">
      <c r="A437" s="69" t="s">
        <v>32</v>
      </c>
    </row>
    <row r="438" spans="1:1">
      <c r="A438" s="69" t="s">
        <v>30</v>
      </c>
    </row>
    <row r="439" spans="1:1">
      <c r="A439" s="69" t="s">
        <v>30</v>
      </c>
    </row>
    <row r="440" spans="1:1">
      <c r="A440" s="69" t="s">
        <v>30</v>
      </c>
    </row>
    <row r="441" spans="1:1">
      <c r="A441" s="69" t="s">
        <v>30</v>
      </c>
    </row>
    <row r="442" spans="1:1">
      <c r="A442" s="69" t="s">
        <v>30</v>
      </c>
    </row>
    <row r="443" spans="1:1">
      <c r="A443" s="69" t="s">
        <v>30</v>
      </c>
    </row>
    <row r="444" spans="1:1">
      <c r="A444" s="69" t="s">
        <v>30</v>
      </c>
    </row>
    <row r="445" spans="1:1">
      <c r="A445" s="69" t="s">
        <v>32</v>
      </c>
    </row>
    <row r="446" spans="1:1">
      <c r="A446" s="69" t="s">
        <v>58</v>
      </c>
    </row>
    <row r="447" spans="1:1">
      <c r="A447" s="69" t="s">
        <v>30</v>
      </c>
    </row>
    <row r="448" spans="1:1">
      <c r="A448" s="69" t="s">
        <v>30</v>
      </c>
    </row>
    <row r="449" spans="1:1">
      <c r="A449" s="69" t="s">
        <v>30</v>
      </c>
    </row>
    <row r="450" spans="1:1">
      <c r="A450" s="69" t="s">
        <v>32</v>
      </c>
    </row>
    <row r="451" spans="1:1">
      <c r="A451" s="69" t="s">
        <v>32</v>
      </c>
    </row>
    <row r="452" spans="1:1">
      <c r="A452" s="69" t="s">
        <v>32</v>
      </c>
    </row>
    <row r="453" spans="1:1">
      <c r="A453" s="69" t="s">
        <v>58</v>
      </c>
    </row>
    <row r="454" spans="1:1">
      <c r="A454" s="69" t="s">
        <v>30</v>
      </c>
    </row>
    <row r="455" spans="1:1">
      <c r="A455" s="69" t="s">
        <v>30</v>
      </c>
    </row>
    <row r="456" spans="1:1">
      <c r="A456" s="69" t="s">
        <v>30</v>
      </c>
    </row>
    <row r="457" spans="1:1">
      <c r="A457" s="69" t="s">
        <v>30</v>
      </c>
    </row>
    <row r="458" spans="1:1">
      <c r="A458" s="69" t="s">
        <v>30</v>
      </c>
    </row>
    <row r="459" spans="1:1">
      <c r="A459" s="69" t="s">
        <v>30</v>
      </c>
    </row>
    <row r="460" spans="1:1">
      <c r="A460" s="69" t="s">
        <v>58</v>
      </c>
    </row>
    <row r="461" spans="1:1">
      <c r="A461" s="69" t="s">
        <v>51</v>
      </c>
    </row>
    <row r="462" spans="1:1">
      <c r="A462" s="69" t="s">
        <v>30</v>
      </c>
    </row>
    <row r="463" spans="1:1">
      <c r="A463" s="69" t="s">
        <v>30</v>
      </c>
    </row>
    <row r="464" spans="1:1">
      <c r="A464" s="69" t="s">
        <v>30</v>
      </c>
    </row>
    <row r="465" spans="1:1">
      <c r="A465" s="69" t="s">
        <v>30</v>
      </c>
    </row>
    <row r="466" spans="1:1">
      <c r="A466" s="69" t="s">
        <v>58</v>
      </c>
    </row>
    <row r="467" spans="1:1">
      <c r="A467" s="69" t="s">
        <v>32</v>
      </c>
    </row>
    <row r="468" spans="1:1">
      <c r="A468" s="69" t="s">
        <v>32</v>
      </c>
    </row>
    <row r="469" spans="1:1">
      <c r="A469" s="69" t="s">
        <v>32</v>
      </c>
    </row>
    <row r="470" spans="1:1">
      <c r="A470" s="69" t="s">
        <v>32</v>
      </c>
    </row>
    <row r="471" spans="1:1">
      <c r="A471" s="69" t="s">
        <v>32</v>
      </c>
    </row>
    <row r="472" spans="1:1">
      <c r="A472" s="69" t="s">
        <v>32</v>
      </c>
    </row>
    <row r="473" spans="1:1">
      <c r="A473" s="69" t="s">
        <v>32</v>
      </c>
    </row>
    <row r="474" spans="1:1">
      <c r="A474" s="69" t="s">
        <v>32</v>
      </c>
    </row>
    <row r="475" spans="1:1">
      <c r="A475" s="69" t="s">
        <v>30</v>
      </c>
    </row>
    <row r="476" spans="1:1">
      <c r="A476" s="69" t="s">
        <v>30</v>
      </c>
    </row>
    <row r="477" spans="1:1">
      <c r="A477" s="69" t="s">
        <v>58</v>
      </c>
    </row>
    <row r="478" spans="1:1">
      <c r="A478" s="69" t="s">
        <v>51</v>
      </c>
    </row>
    <row r="479" spans="1:1">
      <c r="A479" s="69" t="s">
        <v>32</v>
      </c>
    </row>
    <row r="480" spans="1:1">
      <c r="A480" s="69" t="s">
        <v>51</v>
      </c>
    </row>
    <row r="481" spans="1:1">
      <c r="A481" s="69" t="s">
        <v>30</v>
      </c>
    </row>
    <row r="482" spans="1:1">
      <c r="A482" s="69" t="s">
        <v>58</v>
      </c>
    </row>
    <row r="483" spans="1:1">
      <c r="A483" s="69" t="s">
        <v>32</v>
      </c>
    </row>
    <row r="484" spans="1:1">
      <c r="A484" s="69" t="s">
        <v>58</v>
      </c>
    </row>
    <row r="485" spans="1:1">
      <c r="A485" s="69" t="s">
        <v>30</v>
      </c>
    </row>
    <row r="486" spans="1:1">
      <c r="A486" s="69" t="s">
        <v>32</v>
      </c>
    </row>
    <row r="487" spans="1:1">
      <c r="A487" s="69" t="s">
        <v>30</v>
      </c>
    </row>
    <row r="488" spans="1:1">
      <c r="A488" s="69" t="s">
        <v>32</v>
      </c>
    </row>
    <row r="489" spans="1:1">
      <c r="A489" s="69" t="s">
        <v>32</v>
      </c>
    </row>
    <row r="490" spans="1:1">
      <c r="A490" s="69" t="s">
        <v>30</v>
      </c>
    </row>
    <row r="491" spans="1:1">
      <c r="A491" s="69" t="s">
        <v>30</v>
      </c>
    </row>
    <row r="492" spans="1:1">
      <c r="A492" s="69" t="s">
        <v>189</v>
      </c>
    </row>
    <row r="493" spans="1:1">
      <c r="A493" s="69" t="s">
        <v>32</v>
      </c>
    </row>
    <row r="494" spans="1:1">
      <c r="A494" s="69" t="s">
        <v>30</v>
      </c>
    </row>
    <row r="495" spans="1:1">
      <c r="A495" s="69" t="s">
        <v>30</v>
      </c>
    </row>
    <row r="496" spans="1:1">
      <c r="A496" s="69" t="s">
        <v>30</v>
      </c>
    </row>
    <row r="497" spans="1:1">
      <c r="A497" s="69" t="s">
        <v>32</v>
      </c>
    </row>
    <row r="498" spans="1:1">
      <c r="A498" s="69" t="s">
        <v>30</v>
      </c>
    </row>
    <row r="499" spans="1:1">
      <c r="A499" s="69" t="s">
        <v>32</v>
      </c>
    </row>
    <row r="500" spans="1:1">
      <c r="A500" s="69" t="s">
        <v>30</v>
      </c>
    </row>
    <row r="501" spans="1:1">
      <c r="A501" s="69" t="s">
        <v>58</v>
      </c>
    </row>
    <row r="502" spans="1:1">
      <c r="A502" s="69" t="s">
        <v>30</v>
      </c>
    </row>
    <row r="503" spans="1:1">
      <c r="A503" s="69" t="s">
        <v>58</v>
      </c>
    </row>
    <row r="504" spans="1:1">
      <c r="A504" s="69" t="s">
        <v>32</v>
      </c>
    </row>
    <row r="505" spans="1:1">
      <c r="A505" s="69" t="s">
        <v>32</v>
      </c>
    </row>
    <row r="506" spans="1:1">
      <c r="A506" s="69" t="s">
        <v>32</v>
      </c>
    </row>
    <row r="507" spans="1:1">
      <c r="A507" s="69" t="s">
        <v>32</v>
      </c>
    </row>
    <row r="508" spans="1:1">
      <c r="A508" s="69" t="s">
        <v>30</v>
      </c>
    </row>
    <row r="509" spans="1:1">
      <c r="A509" s="69" t="s">
        <v>30</v>
      </c>
    </row>
    <row r="510" spans="1:1">
      <c r="A510" s="69" t="s">
        <v>30</v>
      </c>
    </row>
    <row r="511" spans="1:1">
      <c r="A511" s="69" t="s">
        <v>32</v>
      </c>
    </row>
    <row r="512" spans="1:1">
      <c r="A512" s="69" t="s">
        <v>30</v>
      </c>
    </row>
    <row r="513" spans="1:1">
      <c r="A513" s="69" t="s">
        <v>32</v>
      </c>
    </row>
    <row r="514" spans="1:1">
      <c r="A514" s="69" t="s">
        <v>58</v>
      </c>
    </row>
    <row r="515" spans="1:1">
      <c r="A515" s="69" t="s">
        <v>30</v>
      </c>
    </row>
    <row r="516" spans="1:1">
      <c r="A516" s="69" t="s">
        <v>58</v>
      </c>
    </row>
    <row r="517" spans="1:1">
      <c r="A517" s="69" t="s">
        <v>30</v>
      </c>
    </row>
    <row r="518" spans="1:1">
      <c r="A518" s="69" t="s">
        <v>30</v>
      </c>
    </row>
    <row r="519" spans="1:1">
      <c r="A519" s="69" t="s">
        <v>32</v>
      </c>
    </row>
    <row r="520" spans="1:1">
      <c r="A520" s="69" t="s">
        <v>30</v>
      </c>
    </row>
    <row r="521" spans="1:1">
      <c r="A521" s="69" t="s">
        <v>32</v>
      </c>
    </row>
    <row r="522" spans="1:1">
      <c r="A522" s="69" t="s">
        <v>30</v>
      </c>
    </row>
    <row r="523" spans="1:1">
      <c r="A523" s="69" t="s">
        <v>58</v>
      </c>
    </row>
    <row r="524" spans="1:1">
      <c r="A524" s="69" t="s">
        <v>32</v>
      </c>
    </row>
    <row r="525" spans="1:1">
      <c r="A525" s="69" t="s">
        <v>58</v>
      </c>
    </row>
    <row r="526" spans="1:1">
      <c r="A526" s="69" t="s">
        <v>30</v>
      </c>
    </row>
    <row r="527" spans="1:1">
      <c r="A527" s="69" t="s">
        <v>32</v>
      </c>
    </row>
    <row r="528" spans="1:1">
      <c r="A528" s="69" t="s">
        <v>32</v>
      </c>
    </row>
    <row r="529" spans="1:1">
      <c r="A529" s="69" t="s">
        <v>58</v>
      </c>
    </row>
    <row r="530" spans="1:1">
      <c r="A530" s="69" t="s">
        <v>30</v>
      </c>
    </row>
    <row r="531" spans="1:1">
      <c r="A531" s="69" t="s">
        <v>58</v>
      </c>
    </row>
    <row r="532" spans="1:1">
      <c r="A532" s="69" t="s">
        <v>32</v>
      </c>
    </row>
    <row r="533" spans="1:1">
      <c r="A533" s="69" t="s">
        <v>30</v>
      </c>
    </row>
    <row r="534" spans="1:1">
      <c r="A534" s="69" t="s">
        <v>32</v>
      </c>
    </row>
    <row r="535" spans="1:1">
      <c r="A535" s="69" t="s">
        <v>51</v>
      </c>
    </row>
    <row r="536" spans="1:1">
      <c r="A536" s="69" t="s">
        <v>30</v>
      </c>
    </row>
    <row r="537" spans="1:1">
      <c r="A537" s="69" t="s">
        <v>32</v>
      </c>
    </row>
    <row r="538" spans="1:1">
      <c r="A538" s="69" t="s">
        <v>30</v>
      </c>
    </row>
    <row r="539" spans="1:1">
      <c r="A539" s="69" t="s">
        <v>30</v>
      </c>
    </row>
    <row r="540" spans="1:1">
      <c r="A540" s="69" t="s">
        <v>30</v>
      </c>
    </row>
    <row r="541" spans="1:1">
      <c r="A541" s="69" t="s">
        <v>30</v>
      </c>
    </row>
    <row r="542" spans="1:1">
      <c r="A542" s="69" t="s">
        <v>32</v>
      </c>
    </row>
    <row r="543" spans="1:1">
      <c r="A543" s="69" t="s">
        <v>32</v>
      </c>
    </row>
    <row r="544" spans="1:1">
      <c r="A544" s="69" t="s">
        <v>51</v>
      </c>
    </row>
    <row r="545" spans="1:1">
      <c r="A545" s="69" t="s">
        <v>30</v>
      </c>
    </row>
    <row r="546" spans="1:1">
      <c r="A546" s="69" t="s">
        <v>58</v>
      </c>
    </row>
    <row r="547" spans="1:1">
      <c r="A547" s="69" t="s">
        <v>51</v>
      </c>
    </row>
    <row r="548" spans="1:1">
      <c r="A548" s="69" t="s">
        <v>32</v>
      </c>
    </row>
    <row r="549" spans="1:1">
      <c r="A549" s="69" t="s">
        <v>32</v>
      </c>
    </row>
    <row r="550" spans="1:1">
      <c r="A550" s="69" t="s">
        <v>30</v>
      </c>
    </row>
    <row r="551" spans="1:1">
      <c r="A551" s="69" t="s">
        <v>32</v>
      </c>
    </row>
    <row r="552" spans="1:1">
      <c r="A552" s="69" t="s">
        <v>32</v>
      </c>
    </row>
    <row r="553" spans="1:1">
      <c r="A553" s="69" t="s">
        <v>32</v>
      </c>
    </row>
    <row r="554" spans="1:1">
      <c r="A554" s="69" t="s">
        <v>30</v>
      </c>
    </row>
    <row r="555" spans="1:1">
      <c r="A555" s="69" t="s">
        <v>32</v>
      </c>
    </row>
    <row r="556" spans="1:1">
      <c r="A556" s="69" t="s">
        <v>30</v>
      </c>
    </row>
    <row r="557" spans="1:1">
      <c r="A557" s="69" t="s">
        <v>30</v>
      </c>
    </row>
    <row r="558" spans="1:1">
      <c r="A558" s="69" t="s">
        <v>30</v>
      </c>
    </row>
    <row r="559" spans="1:1">
      <c r="A559" s="69" t="s">
        <v>30</v>
      </c>
    </row>
    <row r="560" spans="1:1">
      <c r="A560" s="69" t="s">
        <v>58</v>
      </c>
    </row>
    <row r="561" spans="1:1">
      <c r="A561" s="69" t="s">
        <v>32</v>
      </c>
    </row>
    <row r="562" spans="1:1">
      <c r="A562" s="69" t="s">
        <v>30</v>
      </c>
    </row>
    <row r="563" spans="1:1">
      <c r="A563" s="69" t="s">
        <v>51</v>
      </c>
    </row>
    <row r="564" spans="1:1">
      <c r="A564" s="69" t="s">
        <v>32</v>
      </c>
    </row>
    <row r="565" spans="1:1">
      <c r="A565" s="69" t="s">
        <v>32</v>
      </c>
    </row>
    <row r="566" spans="1:1">
      <c r="A566" s="69" t="s">
        <v>30</v>
      </c>
    </row>
    <row r="567" spans="1:1">
      <c r="A567" s="69" t="s">
        <v>30</v>
      </c>
    </row>
    <row r="568" spans="1:1">
      <c r="A568" s="69" t="s">
        <v>32</v>
      </c>
    </row>
    <row r="569" spans="1:1">
      <c r="A569" s="69" t="s">
        <v>32</v>
      </c>
    </row>
    <row r="570" spans="1:1">
      <c r="A570" s="69" t="s">
        <v>30</v>
      </c>
    </row>
    <row r="571" spans="1:1">
      <c r="A571" s="69" t="s">
        <v>58</v>
      </c>
    </row>
    <row r="572" spans="1:1">
      <c r="A572" s="69" t="s">
        <v>30</v>
      </c>
    </row>
    <row r="573" spans="1:1">
      <c r="A573" s="69" t="s">
        <v>58</v>
      </c>
    </row>
    <row r="574" spans="1:1">
      <c r="A574" s="69" t="s">
        <v>30</v>
      </c>
    </row>
    <row r="575" spans="1:1">
      <c r="A575" s="69" t="s">
        <v>32</v>
      </c>
    </row>
    <row r="576" spans="1:1">
      <c r="A576" s="69" t="s">
        <v>51</v>
      </c>
    </row>
    <row r="577" spans="1:1">
      <c r="A577" s="69" t="s">
        <v>30</v>
      </c>
    </row>
    <row r="578" spans="1:1">
      <c r="A578" s="69" t="s">
        <v>32</v>
      </c>
    </row>
    <row r="579" spans="1:1">
      <c r="A579" s="69" t="s">
        <v>30</v>
      </c>
    </row>
    <row r="580" spans="1:1">
      <c r="A580" s="69" t="s">
        <v>30</v>
      </c>
    </row>
    <row r="581" spans="1:1">
      <c r="A581" s="69" t="s">
        <v>32</v>
      </c>
    </row>
    <row r="582" spans="1:1">
      <c r="A582" s="69" t="s">
        <v>32</v>
      </c>
    </row>
    <row r="583" spans="1:1">
      <c r="A583" s="69" t="s">
        <v>32</v>
      </c>
    </row>
    <row r="584" spans="1:1">
      <c r="A584" s="69" t="s">
        <v>30</v>
      </c>
    </row>
    <row r="585" spans="1:1">
      <c r="A585" s="69" t="s">
        <v>51</v>
      </c>
    </row>
    <row r="586" spans="1:1">
      <c r="A586" s="69" t="s">
        <v>30</v>
      </c>
    </row>
    <row r="587" spans="1:1">
      <c r="A587" s="69" t="s">
        <v>32</v>
      </c>
    </row>
    <row r="588" spans="1:1">
      <c r="A588" s="69" t="s">
        <v>58</v>
      </c>
    </row>
    <row r="589" spans="1:1">
      <c r="A589" s="69" t="s">
        <v>30</v>
      </c>
    </row>
    <row r="590" spans="1:1">
      <c r="A590" s="69" t="s">
        <v>30</v>
      </c>
    </row>
    <row r="591" spans="1:1">
      <c r="A591" s="69" t="s">
        <v>51</v>
      </c>
    </row>
    <row r="592" spans="1:1">
      <c r="A592" s="69" t="s">
        <v>30</v>
      </c>
    </row>
    <row r="593" spans="1:1">
      <c r="A593" s="69" t="s">
        <v>30</v>
      </c>
    </row>
    <row r="594" spans="1:1">
      <c r="A594" s="69" t="s">
        <v>30</v>
      </c>
    </row>
    <row r="595" spans="1:1">
      <c r="A595" s="69" t="s">
        <v>51</v>
      </c>
    </row>
    <row r="596" spans="1:1">
      <c r="A596" s="69" t="s">
        <v>30</v>
      </c>
    </row>
    <row r="597" spans="1:1">
      <c r="A597" s="69" t="s">
        <v>58</v>
      </c>
    </row>
    <row r="598" spans="1:1">
      <c r="A598" s="69" t="s">
        <v>32</v>
      </c>
    </row>
    <row r="599" spans="1:1">
      <c r="A599" s="69" t="s">
        <v>30</v>
      </c>
    </row>
    <row r="600" spans="1:1">
      <c r="A600" s="69" t="s">
        <v>32</v>
      </c>
    </row>
    <row r="601" spans="1:1">
      <c r="A601" s="69" t="s">
        <v>51</v>
      </c>
    </row>
    <row r="602" spans="1:1">
      <c r="A602" s="69" t="s">
        <v>32</v>
      </c>
    </row>
    <row r="603" spans="1:1">
      <c r="A603" s="69" t="s">
        <v>51</v>
      </c>
    </row>
    <row r="604" spans="1:1">
      <c r="A604" s="69" t="s">
        <v>30</v>
      </c>
    </row>
    <row r="605" spans="1:1">
      <c r="A605" s="69" t="s">
        <v>30</v>
      </c>
    </row>
    <row r="606" spans="1:1">
      <c r="A606" s="69" t="s">
        <v>30</v>
      </c>
    </row>
    <row r="607" spans="1:1">
      <c r="A607" s="69" t="s">
        <v>30</v>
      </c>
    </row>
    <row r="608" spans="1:1">
      <c r="A608" s="69" t="s">
        <v>30</v>
      </c>
    </row>
    <row r="609" spans="1:1">
      <c r="A609" s="69" t="s">
        <v>30</v>
      </c>
    </row>
    <row r="610" spans="1:1">
      <c r="A610" s="69" t="s">
        <v>30</v>
      </c>
    </row>
    <row r="611" spans="1:1">
      <c r="A611" s="69" t="s">
        <v>30</v>
      </c>
    </row>
    <row r="612" spans="1:1">
      <c r="A612" s="69" t="s">
        <v>58</v>
      </c>
    </row>
    <row r="613" spans="1:1">
      <c r="A613" s="69" t="s">
        <v>32</v>
      </c>
    </row>
    <row r="614" spans="1:1">
      <c r="A614" s="69" t="s">
        <v>32</v>
      </c>
    </row>
    <row r="615" spans="1:1">
      <c r="A615" s="69" t="s">
        <v>30</v>
      </c>
    </row>
    <row r="616" spans="1:1">
      <c r="A616" s="69" t="s">
        <v>30</v>
      </c>
    </row>
    <row r="617" spans="1:1">
      <c r="A617" s="69" t="s">
        <v>58</v>
      </c>
    </row>
    <row r="618" spans="1:1">
      <c r="A618" s="69" t="s">
        <v>32</v>
      </c>
    </row>
    <row r="619" spans="1:1">
      <c r="A619" s="69" t="s">
        <v>58</v>
      </c>
    </row>
    <row r="620" spans="1:1">
      <c r="A620" s="69" t="s">
        <v>32</v>
      </c>
    </row>
    <row r="621" spans="1:1">
      <c r="A621" s="69" t="s">
        <v>30</v>
      </c>
    </row>
    <row r="622" spans="1:1">
      <c r="A622" s="69" t="s">
        <v>51</v>
      </c>
    </row>
    <row r="623" spans="1:1">
      <c r="A623" s="69" t="s">
        <v>30</v>
      </c>
    </row>
    <row r="624" spans="1:1">
      <c r="A624" s="69" t="s">
        <v>30</v>
      </c>
    </row>
    <row r="625" spans="1:1">
      <c r="A625" s="69" t="s">
        <v>32</v>
      </c>
    </row>
    <row r="626" spans="1:1">
      <c r="A626" s="69" t="s">
        <v>58</v>
      </c>
    </row>
    <row r="627" spans="1:1">
      <c r="A627" s="69" t="s">
        <v>32</v>
      </c>
    </row>
    <row r="628" spans="1:1">
      <c r="A628" s="69" t="s">
        <v>51</v>
      </c>
    </row>
    <row r="629" spans="1:1">
      <c r="A629" s="69" t="s">
        <v>32</v>
      </c>
    </row>
    <row r="630" spans="1:1">
      <c r="A630" s="69" t="s">
        <v>51</v>
      </c>
    </row>
    <row r="631" spans="1:1">
      <c r="A631" s="69" t="s">
        <v>58</v>
      </c>
    </row>
    <row r="632" spans="1:1">
      <c r="A632" s="69" t="s">
        <v>30</v>
      </c>
    </row>
    <row r="633" spans="1:1">
      <c r="A633" s="69" t="s">
        <v>30</v>
      </c>
    </row>
    <row r="634" spans="1:1">
      <c r="A634" s="69" t="s">
        <v>58</v>
      </c>
    </row>
    <row r="635" spans="1:1">
      <c r="A635" s="69" t="s">
        <v>32</v>
      </c>
    </row>
    <row r="636" spans="1:1">
      <c r="A636" s="69" t="s">
        <v>51</v>
      </c>
    </row>
    <row r="637" spans="1:1">
      <c r="A637" s="69" t="s">
        <v>32</v>
      </c>
    </row>
    <row r="638" spans="1:1">
      <c r="A638" s="69" t="s">
        <v>32</v>
      </c>
    </row>
    <row r="639" spans="1:1">
      <c r="A639" s="69" t="s">
        <v>30</v>
      </c>
    </row>
    <row r="640" spans="1:1">
      <c r="A640" s="69" t="s">
        <v>30</v>
      </c>
    </row>
    <row r="641" spans="1:1">
      <c r="A641" s="69" t="s">
        <v>30</v>
      </c>
    </row>
    <row r="642" spans="1:1">
      <c r="A642" s="69" t="s">
        <v>32</v>
      </c>
    </row>
    <row r="643" spans="1:1">
      <c r="A643" s="69" t="s">
        <v>58</v>
      </c>
    </row>
    <row r="644" spans="1:1">
      <c r="A644" s="69" t="s">
        <v>32</v>
      </c>
    </row>
    <row r="645" spans="1:1">
      <c r="A645" s="69" t="s">
        <v>30</v>
      </c>
    </row>
    <row r="646" spans="1:1">
      <c r="A646" s="69" t="s">
        <v>30</v>
      </c>
    </row>
    <row r="647" spans="1:1">
      <c r="A647" s="69" t="s">
        <v>30</v>
      </c>
    </row>
    <row r="648" spans="1:1">
      <c r="A648" s="69" t="s">
        <v>32</v>
      </c>
    </row>
    <row r="649" spans="1:1">
      <c r="A649" s="69" t="s">
        <v>51</v>
      </c>
    </row>
    <row r="650" spans="1:1">
      <c r="A650" s="69" t="s">
        <v>30</v>
      </c>
    </row>
    <row r="651" spans="1:1">
      <c r="A651" s="69" t="s">
        <v>30</v>
      </c>
    </row>
    <row r="652" spans="1:1">
      <c r="A652" s="69" t="s">
        <v>30</v>
      </c>
    </row>
    <row r="653" spans="1:1">
      <c r="A653" s="69" t="s">
        <v>30</v>
      </c>
    </row>
    <row r="654" spans="1:1">
      <c r="A654" s="69" t="s">
        <v>30</v>
      </c>
    </row>
    <row r="655" spans="1:1">
      <c r="A655" s="69" t="s">
        <v>30</v>
      </c>
    </row>
    <row r="656" spans="1:1">
      <c r="A656" s="69" t="s">
        <v>30</v>
      </c>
    </row>
    <row r="657" spans="1:1">
      <c r="A657" s="69" t="s">
        <v>30</v>
      </c>
    </row>
    <row r="658" spans="1:1">
      <c r="A658" s="69" t="s">
        <v>30</v>
      </c>
    </row>
    <row r="659" spans="1:1">
      <c r="A659" s="69" t="s">
        <v>30</v>
      </c>
    </row>
    <row r="660" spans="1:1">
      <c r="A660" s="69" t="s">
        <v>30</v>
      </c>
    </row>
    <row r="661" spans="1:1">
      <c r="A661" s="69" t="s">
        <v>32</v>
      </c>
    </row>
    <row r="662" spans="1:1">
      <c r="A662" s="69" t="s">
        <v>30</v>
      </c>
    </row>
    <row r="663" spans="1:1">
      <c r="A663" s="69" t="s">
        <v>58</v>
      </c>
    </row>
    <row r="664" spans="1:1">
      <c r="A664" s="69" t="s">
        <v>30</v>
      </c>
    </row>
    <row r="665" spans="1:1">
      <c r="A665" s="69" t="s">
        <v>32</v>
      </c>
    </row>
    <row r="666" spans="1:1">
      <c r="A666" s="69" t="s">
        <v>58</v>
      </c>
    </row>
    <row r="667" spans="1:1">
      <c r="A667" s="69" t="s">
        <v>51</v>
      </c>
    </row>
    <row r="668" spans="1:1">
      <c r="A668" s="69" t="s">
        <v>51</v>
      </c>
    </row>
    <row r="669" spans="1:1">
      <c r="A669" s="69" t="s">
        <v>32</v>
      </c>
    </row>
    <row r="670" spans="1:1">
      <c r="A670" s="69" t="s">
        <v>30</v>
      </c>
    </row>
    <row r="671" spans="1:1">
      <c r="A671" s="69" t="s">
        <v>32</v>
      </c>
    </row>
    <row r="672" spans="1:1">
      <c r="A672" s="69" t="s">
        <v>32</v>
      </c>
    </row>
    <row r="673" spans="1:1">
      <c r="A673" s="69" t="s">
        <v>30</v>
      </c>
    </row>
    <row r="674" spans="1:1">
      <c r="A674" s="69" t="s">
        <v>30</v>
      </c>
    </row>
    <row r="675" spans="1:1">
      <c r="A675" s="69" t="s">
        <v>32</v>
      </c>
    </row>
    <row r="676" spans="1:1">
      <c r="A676" s="69" t="s">
        <v>51</v>
      </c>
    </row>
    <row r="677" spans="1:1">
      <c r="A677" s="69" t="s">
        <v>30</v>
      </c>
    </row>
    <row r="678" spans="1:1">
      <c r="A678" s="69" t="s">
        <v>32</v>
      </c>
    </row>
    <row r="679" spans="1:1">
      <c r="A679" s="69" t="s">
        <v>30</v>
      </c>
    </row>
    <row r="680" spans="1:1">
      <c r="A680" s="69" t="s">
        <v>30</v>
      </c>
    </row>
    <row r="681" spans="1:1">
      <c r="A681" s="69" t="s">
        <v>30</v>
      </c>
    </row>
    <row r="682" spans="1:1">
      <c r="A682" s="69" t="s">
        <v>32</v>
      </c>
    </row>
    <row r="683" spans="1:1">
      <c r="A683" s="69" t="s">
        <v>51</v>
      </c>
    </row>
    <row r="684" spans="1:1">
      <c r="A684" s="69" t="s">
        <v>30</v>
      </c>
    </row>
    <row r="685" spans="1:1">
      <c r="A685" s="69" t="s">
        <v>30</v>
      </c>
    </row>
    <row r="686" spans="1:1">
      <c r="A686" s="69" t="s">
        <v>30</v>
      </c>
    </row>
    <row r="687" spans="1:1">
      <c r="A687" s="69" t="s">
        <v>30</v>
      </c>
    </row>
    <row r="688" spans="1:1">
      <c r="A688" s="69" t="s">
        <v>58</v>
      </c>
    </row>
    <row r="689" spans="1:1">
      <c r="A689" s="69" t="s">
        <v>30</v>
      </c>
    </row>
    <row r="690" spans="1:1">
      <c r="A690" s="69" t="s">
        <v>30</v>
      </c>
    </row>
    <row r="691" spans="1:1">
      <c r="A691" s="69" t="s">
        <v>30</v>
      </c>
    </row>
    <row r="692" spans="1:1">
      <c r="A692" s="69" t="s">
        <v>30</v>
      </c>
    </row>
    <row r="693" spans="1:1">
      <c r="A693" s="69" t="s">
        <v>30</v>
      </c>
    </row>
    <row r="694" spans="1:1">
      <c r="A694" s="69" t="s">
        <v>58</v>
      </c>
    </row>
    <row r="695" spans="1:1">
      <c r="A695" s="69" t="s">
        <v>32</v>
      </c>
    </row>
    <row r="696" spans="1:1">
      <c r="A696" s="69" t="s">
        <v>30</v>
      </c>
    </row>
    <row r="697" spans="1:1">
      <c r="A697" s="69" t="s">
        <v>32</v>
      </c>
    </row>
    <row r="698" spans="1:1">
      <c r="A698" s="69" t="s">
        <v>30</v>
      </c>
    </row>
    <row r="699" spans="1:1">
      <c r="A699" s="69" t="s">
        <v>58</v>
      </c>
    </row>
    <row r="700" spans="1:1">
      <c r="A700" s="69" t="s">
        <v>58</v>
      </c>
    </row>
    <row r="701" spans="1:1">
      <c r="A701" s="69" t="s">
        <v>30</v>
      </c>
    </row>
    <row r="702" spans="1:1">
      <c r="A702" s="69" t="s">
        <v>58</v>
      </c>
    </row>
    <row r="703" spans="1:1">
      <c r="A703" s="69" t="s">
        <v>58</v>
      </c>
    </row>
    <row r="704" spans="1:1">
      <c r="A704" s="69" t="s">
        <v>58</v>
      </c>
    </row>
    <row r="705" spans="1:1">
      <c r="A705" s="69" t="s">
        <v>30</v>
      </c>
    </row>
    <row r="706" spans="1:1">
      <c r="A706" s="69" t="s">
        <v>30</v>
      </c>
    </row>
    <row r="707" spans="1:1">
      <c r="A707" s="69" t="s">
        <v>30</v>
      </c>
    </row>
    <row r="708" spans="1:1">
      <c r="A708" s="69" t="s">
        <v>32</v>
      </c>
    </row>
    <row r="709" spans="1:1">
      <c r="A709" s="69" t="s">
        <v>30</v>
      </c>
    </row>
    <row r="710" spans="1:1">
      <c r="A710" s="69" t="s">
        <v>30</v>
      </c>
    </row>
    <row r="711" spans="1:1">
      <c r="A711" s="69" t="s">
        <v>32</v>
      </c>
    </row>
    <row r="712" spans="1:1">
      <c r="A712" s="69" t="s">
        <v>30</v>
      </c>
    </row>
    <row r="713" spans="1:1">
      <c r="A713" s="69" t="s">
        <v>30</v>
      </c>
    </row>
    <row r="714" spans="1:1">
      <c r="A714" s="69" t="s">
        <v>32</v>
      </c>
    </row>
    <row r="715" spans="1:1">
      <c r="A715" s="69" t="s">
        <v>58</v>
      </c>
    </row>
    <row r="716" spans="1:1">
      <c r="A716" s="69" t="s">
        <v>30</v>
      </c>
    </row>
    <row r="717" spans="1:1">
      <c r="A717" s="69" t="s">
        <v>30</v>
      </c>
    </row>
    <row r="718" spans="1:1">
      <c r="A718" s="69" t="s">
        <v>30</v>
      </c>
    </row>
    <row r="719" spans="1:1">
      <c r="A719" s="69" t="s">
        <v>51</v>
      </c>
    </row>
    <row r="720" spans="1:1">
      <c r="A720" s="69" t="s">
        <v>32</v>
      </c>
    </row>
    <row r="721" spans="1:1">
      <c r="A721" s="69" t="s">
        <v>30</v>
      </c>
    </row>
    <row r="722" spans="1:1">
      <c r="A722" s="69" t="s">
        <v>30</v>
      </c>
    </row>
    <row r="723" spans="1:1">
      <c r="A723" s="69" t="s">
        <v>30</v>
      </c>
    </row>
    <row r="724" spans="1:1">
      <c r="A724" s="69" t="s">
        <v>30</v>
      </c>
    </row>
    <row r="725" spans="1:1">
      <c r="A725" s="69" t="s">
        <v>58</v>
      </c>
    </row>
    <row r="726" spans="1:1">
      <c r="A726" s="69" t="s">
        <v>58</v>
      </c>
    </row>
    <row r="727" spans="1:1">
      <c r="A727" s="69" t="s">
        <v>58</v>
      </c>
    </row>
    <row r="728" spans="1:1">
      <c r="A728" s="69" t="s">
        <v>58</v>
      </c>
    </row>
    <row r="729" spans="1:1">
      <c r="A729" s="69" t="s">
        <v>30</v>
      </c>
    </row>
    <row r="730" spans="1:1">
      <c r="A730" s="69" t="s">
        <v>30</v>
      </c>
    </row>
    <row r="731" spans="1:1">
      <c r="A731" s="69" t="s">
        <v>30</v>
      </c>
    </row>
    <row r="732" spans="1:1">
      <c r="A732" s="69" t="s">
        <v>58</v>
      </c>
    </row>
    <row r="733" spans="1:1">
      <c r="A733" s="69" t="s">
        <v>58</v>
      </c>
    </row>
    <row r="734" spans="1:1">
      <c r="A734" s="69" t="s">
        <v>30</v>
      </c>
    </row>
    <row r="735" spans="1:1">
      <c r="A735" s="69" t="s">
        <v>32</v>
      </c>
    </row>
    <row r="736" spans="1:1">
      <c r="A736" s="69" t="s">
        <v>30</v>
      </c>
    </row>
    <row r="737" spans="1:1">
      <c r="A737" s="69" t="s">
        <v>32</v>
      </c>
    </row>
    <row r="738" spans="1:1">
      <c r="A738" s="69" t="s">
        <v>30</v>
      </c>
    </row>
    <row r="739" spans="1:1">
      <c r="A739" s="69" t="s">
        <v>30</v>
      </c>
    </row>
    <row r="740" spans="1:1">
      <c r="A740" s="69" t="s">
        <v>32</v>
      </c>
    </row>
    <row r="741" spans="1:1">
      <c r="A741" s="69" t="s">
        <v>30</v>
      </c>
    </row>
    <row r="742" spans="1:1">
      <c r="A742" s="69" t="s">
        <v>30</v>
      </c>
    </row>
    <row r="743" spans="1:1">
      <c r="A743" s="69" t="s">
        <v>30</v>
      </c>
    </row>
    <row r="744" spans="1:1">
      <c r="A744" s="69" t="s">
        <v>58</v>
      </c>
    </row>
    <row r="745" spans="1:1">
      <c r="A745" s="69" t="s">
        <v>58</v>
      </c>
    </row>
    <row r="746" spans="1:1">
      <c r="A746" s="69" t="s">
        <v>32</v>
      </c>
    </row>
    <row r="747" spans="1:1">
      <c r="A747" s="69" t="s">
        <v>30</v>
      </c>
    </row>
    <row r="748" spans="1:1">
      <c r="A748" s="69" t="s">
        <v>32</v>
      </c>
    </row>
    <row r="749" spans="1:1">
      <c r="A749" s="69" t="s">
        <v>30</v>
      </c>
    </row>
    <row r="750" spans="1:1">
      <c r="A750" s="69" t="s">
        <v>30</v>
      </c>
    </row>
    <row r="751" spans="1:1">
      <c r="A751" s="69" t="s">
        <v>32</v>
      </c>
    </row>
    <row r="752" spans="1:1">
      <c r="A752" s="69" t="s">
        <v>30</v>
      </c>
    </row>
    <row r="753" spans="1:1">
      <c r="A753" s="69" t="s">
        <v>51</v>
      </c>
    </row>
    <row r="754" spans="1:1">
      <c r="A754" s="69" t="s">
        <v>58</v>
      </c>
    </row>
    <row r="755" spans="1:1">
      <c r="A755" s="69" t="s">
        <v>30</v>
      </c>
    </row>
    <row r="756" spans="1:1">
      <c r="A756" s="69" t="s">
        <v>58</v>
      </c>
    </row>
    <row r="757" spans="1:1">
      <c r="A757" s="69" t="s">
        <v>30</v>
      </c>
    </row>
    <row r="758" spans="1:1">
      <c r="A758" s="69" t="s">
        <v>30</v>
      </c>
    </row>
    <row r="759" spans="1:1">
      <c r="A759" s="69" t="s">
        <v>58</v>
      </c>
    </row>
    <row r="760" spans="1:1">
      <c r="A760" s="69" t="s">
        <v>30</v>
      </c>
    </row>
    <row r="761" spans="1:1">
      <c r="A761" s="69" t="s">
        <v>32</v>
      </c>
    </row>
    <row r="762" spans="1:1">
      <c r="A762" s="69" t="s">
        <v>32</v>
      </c>
    </row>
    <row r="763" spans="1:1">
      <c r="A763" s="69" t="s">
        <v>32</v>
      </c>
    </row>
    <row r="764" spans="1:1">
      <c r="A764" s="69" t="s">
        <v>30</v>
      </c>
    </row>
    <row r="765" spans="1:1">
      <c r="A765" s="69" t="s">
        <v>30</v>
      </c>
    </row>
    <row r="766" spans="1:1">
      <c r="A766" s="69" t="s">
        <v>58</v>
      </c>
    </row>
    <row r="767" spans="1:1">
      <c r="A767" s="69" t="s">
        <v>30</v>
      </c>
    </row>
    <row r="768" spans="1:1">
      <c r="A768" s="69" t="s">
        <v>30</v>
      </c>
    </row>
    <row r="769" spans="1:1">
      <c r="A769" s="69" t="s">
        <v>51</v>
      </c>
    </row>
    <row r="770" spans="1:1">
      <c r="A770" s="69" t="s">
        <v>32</v>
      </c>
    </row>
    <row r="771" spans="1:1">
      <c r="A771" s="69" t="s">
        <v>51</v>
      </c>
    </row>
    <row r="772" spans="1:1">
      <c r="A772" s="69" t="s">
        <v>30</v>
      </c>
    </row>
    <row r="773" spans="1:1">
      <c r="A773" s="69" t="s">
        <v>32</v>
      </c>
    </row>
    <row r="774" spans="1:1">
      <c r="A774" s="69" t="s">
        <v>58</v>
      </c>
    </row>
    <row r="775" spans="1:1">
      <c r="A775" s="69" t="s">
        <v>58</v>
      </c>
    </row>
    <row r="776" spans="1:1">
      <c r="A776" s="69" t="s">
        <v>30</v>
      </c>
    </row>
    <row r="777" spans="1:1">
      <c r="A777" s="69" t="s">
        <v>32</v>
      </c>
    </row>
    <row r="778" spans="1:1">
      <c r="A778" s="69" t="s">
        <v>30</v>
      </c>
    </row>
    <row r="779" spans="1:1">
      <c r="A779" s="69" t="s">
        <v>32</v>
      </c>
    </row>
    <row r="780" spans="1:1">
      <c r="A780" s="69" t="s">
        <v>30</v>
      </c>
    </row>
    <row r="781" spans="1:1">
      <c r="A781" s="69" t="s">
        <v>30</v>
      </c>
    </row>
    <row r="782" spans="1:1">
      <c r="A782" s="69" t="s">
        <v>30</v>
      </c>
    </row>
    <row r="783" spans="1:1">
      <c r="A783" s="69" t="s">
        <v>30</v>
      </c>
    </row>
    <row r="784" spans="1:1">
      <c r="A784" s="69" t="s">
        <v>32</v>
      </c>
    </row>
    <row r="785" spans="1:1">
      <c r="A785" s="69" t="s">
        <v>58</v>
      </c>
    </row>
    <row r="786" spans="1:1">
      <c r="A786" s="69" t="s">
        <v>30</v>
      </c>
    </row>
    <row r="787" spans="1:1">
      <c r="A787" s="69" t="s">
        <v>30</v>
      </c>
    </row>
    <row r="788" spans="1:1">
      <c r="A788" s="69" t="s">
        <v>58</v>
      </c>
    </row>
    <row r="789" spans="1:1">
      <c r="A789" s="69" t="s">
        <v>30</v>
      </c>
    </row>
    <row r="790" spans="1:1">
      <c r="A790" s="69" t="s">
        <v>51</v>
      </c>
    </row>
    <row r="791" spans="1:1">
      <c r="A791" s="69" t="s">
        <v>58</v>
      </c>
    </row>
    <row r="792" spans="1:1">
      <c r="A792" s="69" t="s">
        <v>30</v>
      </c>
    </row>
    <row r="793" spans="1:1">
      <c r="A793" s="69" t="s">
        <v>30</v>
      </c>
    </row>
    <row r="794" spans="1:1">
      <c r="A794" s="69" t="s">
        <v>30</v>
      </c>
    </row>
    <row r="795" spans="1:1">
      <c r="A795" s="69" t="s">
        <v>58</v>
      </c>
    </row>
    <row r="796" spans="1:1">
      <c r="A796" s="69" t="s">
        <v>58</v>
      </c>
    </row>
    <row r="797" spans="1:1">
      <c r="A797" s="69" t="s">
        <v>51</v>
      </c>
    </row>
    <row r="798" spans="1:1">
      <c r="A798" s="69" t="s">
        <v>30</v>
      </c>
    </row>
    <row r="799" spans="1:1">
      <c r="A799" s="69" t="s">
        <v>30</v>
      </c>
    </row>
    <row r="800" spans="1:1">
      <c r="A800" s="69" t="s">
        <v>58</v>
      </c>
    </row>
    <row r="801" spans="1:1">
      <c r="A801" s="69" t="s">
        <v>32</v>
      </c>
    </row>
    <row r="802" spans="1:1">
      <c r="A802" s="69" t="s">
        <v>32</v>
      </c>
    </row>
    <row r="803" spans="1:1">
      <c r="A803" s="69" t="s">
        <v>32</v>
      </c>
    </row>
    <row r="804" spans="1:1">
      <c r="A804" s="69" t="s">
        <v>30</v>
      </c>
    </row>
    <row r="805" spans="1:1">
      <c r="A805" s="69" t="s">
        <v>32</v>
      </c>
    </row>
    <row r="806" spans="1:1">
      <c r="A806" s="69" t="s">
        <v>189</v>
      </c>
    </row>
    <row r="807" spans="1:1">
      <c r="A807" s="69" t="s">
        <v>30</v>
      </c>
    </row>
    <row r="808" spans="1:1">
      <c r="A808" s="69" t="s">
        <v>51</v>
      </c>
    </row>
    <row r="809" spans="1:1">
      <c r="A809" s="69" t="s">
        <v>32</v>
      </c>
    </row>
    <row r="810" spans="1:1">
      <c r="A810" s="69" t="s">
        <v>30</v>
      </c>
    </row>
    <row r="811" spans="1:1">
      <c r="A811" s="69" t="s">
        <v>30</v>
      </c>
    </row>
    <row r="812" spans="1:1">
      <c r="A812" s="69" t="s">
        <v>30</v>
      </c>
    </row>
    <row r="813" spans="1:1">
      <c r="A813" s="74" t="s">
        <v>30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235006-02FD-42DE-9A04-D1B1378E74CF}">
          <x14:formula1>
            <xm:f>LISTA!$A$1:$A$13</xm:f>
          </x14:formula1>
          <xm:sqref>A1:A692 A694:A719 A722:A813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0F63-1970-454E-975A-1924ABACD98E}">
  <dimension ref="A1:G23"/>
  <sheetViews>
    <sheetView workbookViewId="0">
      <selection activeCell="G9" sqref="G9"/>
    </sheetView>
  </sheetViews>
  <sheetFormatPr defaultRowHeight="15"/>
  <cols>
    <col min="1" max="1" width="15.7109375" bestFit="1" customWidth="1"/>
  </cols>
  <sheetData>
    <row r="1" spans="1:7">
      <c r="A1" s="70" t="s">
        <v>1808</v>
      </c>
      <c r="B1">
        <f>COUNTIF(G:G,A1)</f>
        <v>3</v>
      </c>
      <c r="G1" s="70" t="s">
        <v>1808</v>
      </c>
    </row>
    <row r="2" spans="1:7">
      <c r="A2" s="70" t="s">
        <v>39</v>
      </c>
      <c r="B2">
        <f>COUNTIF(G:G,A2)</f>
        <v>2</v>
      </c>
      <c r="G2" s="70" t="s">
        <v>39</v>
      </c>
    </row>
    <row r="3" spans="1:7">
      <c r="A3" s="70" t="s">
        <v>1910</v>
      </c>
      <c r="B3">
        <f>COUNTIF(G:G,A3)</f>
        <v>3</v>
      </c>
      <c r="G3" s="70" t="s">
        <v>1808</v>
      </c>
    </row>
    <row r="4" spans="1:7">
      <c r="A4" s="69"/>
      <c r="B4">
        <f>COUNTIF(G:G,A4)</f>
        <v>0</v>
      </c>
      <c r="G4" s="70" t="s">
        <v>1910</v>
      </c>
    </row>
    <row r="5" spans="1:7">
      <c r="G5" s="70" t="s">
        <v>39</v>
      </c>
    </row>
    <row r="6" spans="1:7">
      <c r="G6" s="70" t="s">
        <v>1910</v>
      </c>
    </row>
    <row r="7" spans="1:7">
      <c r="G7" s="70" t="s">
        <v>1808</v>
      </c>
    </row>
    <row r="8" spans="1:7">
      <c r="G8" s="70" t="s">
        <v>1910</v>
      </c>
    </row>
    <row r="9" spans="1:7">
      <c r="G9" s="70"/>
    </row>
    <row r="10" spans="1:7">
      <c r="G10" s="70"/>
    </row>
    <row r="11" spans="1:7">
      <c r="G11" s="75"/>
    </row>
    <row r="12" spans="1:7">
      <c r="G12" s="138"/>
    </row>
    <row r="13" spans="1:7">
      <c r="G13" s="198"/>
    </row>
    <row r="14" spans="1:7">
      <c r="G14" s="138"/>
    </row>
    <row r="15" spans="1:7">
      <c r="G15" s="198"/>
    </row>
    <row r="16" spans="1:7">
      <c r="G16" s="138"/>
    </row>
    <row r="17" spans="7:7">
      <c r="G17" s="198"/>
    </row>
    <row r="18" spans="7:7">
      <c r="G18" s="138"/>
    </row>
    <row r="19" spans="7:7">
      <c r="G19" s="198"/>
    </row>
    <row r="20" spans="7:7">
      <c r="G20" s="138"/>
    </row>
    <row r="21" spans="7:7">
      <c r="G21" s="198"/>
    </row>
    <row r="22" spans="7:7">
      <c r="G22" s="138"/>
    </row>
    <row r="23" spans="7:7">
      <c r="G23" s="1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Edna Yukari Rodriguez Bautista</cp:lastModifiedBy>
  <cp:revision/>
  <dcterms:created xsi:type="dcterms:W3CDTF">2026-09-28T14:06:28Z</dcterms:created>
  <dcterms:modified xsi:type="dcterms:W3CDTF">2026-09-29T20:20:30Z</dcterms:modified>
  <cp:category/>
  <cp:contentStatus/>
</cp:coreProperties>
</file>